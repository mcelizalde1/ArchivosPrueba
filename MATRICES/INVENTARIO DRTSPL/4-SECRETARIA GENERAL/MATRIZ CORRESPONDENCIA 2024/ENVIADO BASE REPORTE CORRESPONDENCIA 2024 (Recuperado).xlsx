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\4-SECRETARIA GENERAL\MATRIZ CORRESPONDENCIA 2024\"/>
    </mc:Choice>
  </mc:AlternateContent>
  <xr:revisionPtr revIDLastSave="0" documentId="13_ncr:1_{06F908E8-40C3-413C-AD68-AD69128E5C8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BASE CORRESPONDENCIA 2024" sheetId="1" r:id="rId1"/>
    <sheet name="Hoja1" sheetId="5" r:id="rId2"/>
  </sheets>
  <externalReferences>
    <externalReference r:id="rId3"/>
    <externalReference r:id="rId4"/>
  </externalReferences>
  <definedNames>
    <definedName name="_xlnm._FilterDatabase" localSheetId="0" hidden="1">'BASE CORRESPONDENCIA 2024'!$A$3:$Q$545</definedName>
    <definedName name="_xlnm.Print_Titles" localSheetId="0">'BASE CORRESPONDENCIA 2024'!$1:$2</definedName>
  </definedNames>
  <calcPr calcId="181029"/>
</workbook>
</file>

<file path=xl/calcChain.xml><?xml version="1.0" encoding="utf-8"?>
<calcChain xmlns="http://schemas.openxmlformats.org/spreadsheetml/2006/main">
  <c r="O137" i="1" l="1"/>
  <c r="O136" i="1"/>
  <c r="O135" i="1"/>
  <c r="O134" i="1"/>
  <c r="O133" i="1"/>
  <c r="O132" i="1"/>
  <c r="O131" i="1"/>
  <c r="O130" i="1"/>
  <c r="O129" i="1"/>
  <c r="O128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I359" i="1"/>
</calcChain>
</file>

<file path=xl/sharedStrings.xml><?xml version="1.0" encoding="utf-8"?>
<sst xmlns="http://schemas.openxmlformats.org/spreadsheetml/2006/main" count="3939" uniqueCount="1112">
  <si>
    <t>DATOS DE LA CORRESPONDENCIA ENVIADA</t>
  </si>
  <si>
    <t>DATOS DE  DESTINATARIO</t>
  </si>
  <si>
    <t>Nro.</t>
  </si>
  <si>
    <t>FECHA DE ENTREGA DE LA CORRESPONDENCIA</t>
  </si>
  <si>
    <t>TIPO DE DESTINO</t>
  </si>
  <si>
    <t>DESCRIPCIÓN DEL CONTENIDO DEL PAQUETE</t>
  </si>
  <si>
    <t>CIUDAD</t>
  </si>
  <si>
    <t>OBSERVACIONES</t>
  </si>
  <si>
    <t>LOCAL</t>
  </si>
  <si>
    <t>QUITO</t>
  </si>
  <si>
    <t>GEMINIS</t>
  </si>
  <si>
    <t>TIPO DE CONTENEDOR</t>
  </si>
  <si>
    <t>CANTONAL</t>
  </si>
  <si>
    <t xml:space="preserve">PROVINCIAL </t>
  </si>
  <si>
    <t xml:space="preserve">REGIONAL </t>
  </si>
  <si>
    <t>ESPECIAL</t>
  </si>
  <si>
    <t>GALAPAGOS</t>
  </si>
  <si>
    <t>INTERNACIONA</t>
  </si>
  <si>
    <t>INTERNA</t>
  </si>
  <si>
    <t>SOBRE</t>
  </si>
  <si>
    <t>CAJA R3</t>
  </si>
  <si>
    <t>CAJA T15</t>
  </si>
  <si>
    <t>BULTO</t>
  </si>
  <si>
    <t>Columna1</t>
  </si>
  <si>
    <t>Columna2</t>
  </si>
  <si>
    <t>NOMBRE DEL REMITENTE</t>
  </si>
  <si>
    <t>NÚMERO DE GUIA / ACTA</t>
  </si>
  <si>
    <t>NÚMERO  DE  CONTENEDORES</t>
  </si>
  <si>
    <t>NOMBRES DEL DESTINATARIO</t>
  </si>
  <si>
    <t>UNIDAD ADMINISTRATIVA DE DESTINO</t>
  </si>
  <si>
    <t>RECEPCIÓN</t>
  </si>
  <si>
    <t>NOMBRE SERVIDOR QUE RECIBE</t>
  </si>
  <si>
    <t xml:space="preserve"> FECHA </t>
  </si>
  <si>
    <t>HORA</t>
  </si>
  <si>
    <t>TIEMPO DE ATENCIÓN</t>
  </si>
  <si>
    <t>FE DE RECEPCIÓN</t>
  </si>
  <si>
    <t>AV. REPUBLICA DEL SALVADOR Y SUIZA EDIF. TORREZUL</t>
  </si>
  <si>
    <t>MACHALA</t>
  </si>
  <si>
    <t>DELEGACIÓN PROVINCIAL DEL TRABAJO Y SERVICIO PÚBLICO DE EL ORO - MACHALA</t>
  </si>
  <si>
    <t>DIRECCIÓN DE ADMINISTRACIÓN DEL TALENTO HUMANO</t>
  </si>
  <si>
    <t>Paul Eduardo Carrión Vivanco - Asistente de Empleo</t>
  </si>
  <si>
    <t xml:space="preserve">ENTREGADO A: 0701216475 PALACIOS VILLACIS ENMA PIEDAD </t>
  </si>
  <si>
    <t>ENTREGADO A: 1704076924 MOSCOSO PROAÑO JULIO CESAR</t>
  </si>
  <si>
    <t>DOCUMENTOS  PARA GUARDERIA</t>
  </si>
  <si>
    <t>0702070517 GUZMAN GUTIERREZ  LUIS ANTONIO</t>
  </si>
  <si>
    <t xml:space="preserve">1704076924 MOSCOSO PROAÑO JULIO CESAR </t>
  </si>
  <si>
    <t>ACTA DE ESBYE FIRMADA</t>
  </si>
  <si>
    <t>Yanela Elizabeth Torres Calderón - Técnico Regional de Archivo</t>
  </si>
  <si>
    <t>2402803500039</t>
  </si>
  <si>
    <t>2402803500040</t>
  </si>
  <si>
    <t xml:space="preserve">0703977892 PLACENCIA MOSQUERA LEONID JIFFREY / </t>
  </si>
  <si>
    <t>TARQUI ENTE BOLIVAR Y PICHINCHA EDIFICIO NAGUA Y NAGUA</t>
  </si>
  <si>
    <t>DEVOLUCIÓN EXPEDIENTES: EMMA LOPEZ MEMORANDO 017-M; RAUL LEON MEMORANDO 0019-M; DANILO CALERO MEMORANDO 0020-M</t>
  </si>
  <si>
    <t>2402803500054</t>
  </si>
  <si>
    <t xml:space="preserve">1802781474 RIOFRÍO MIRANDA LUIS GERMÁN / </t>
  </si>
  <si>
    <t>LA JOYA DE LOS SACHAS</t>
  </si>
  <si>
    <t>DELEGACIÓN PROVINCIAL DEL TRABAJO Y SERVICIO PÚBLICO ORELLANA - JOYA DE LOS SACHAS</t>
  </si>
  <si>
    <t>DEPRECATORIO  RECLAMO LABORAL MDT-DRTSPL-2023-8936-E</t>
  </si>
  <si>
    <t>2402803500064</t>
  </si>
  <si>
    <t>Claudia Gabriela  Arboleda Guerrero</t>
  </si>
  <si>
    <t>BARRIO MACHALA CALLES  A Y D</t>
  </si>
  <si>
    <t xml:space="preserve"> ENTREGADO A: |0702070517 GUZMAN GUTIERREZ LUIS ANTONIO</t>
  </si>
  <si>
    <t>DEVOLUCION DOCUMENTOS MDT-DRTSPL-2024-0029-M-0030-M-00031-M</t>
  </si>
  <si>
    <t xml:space="preserve">0704787936 CALERO MORA DANILO  GABRIEL </t>
  </si>
  <si>
    <t>Sandra Maritza Torres Guarnizo</t>
  </si>
  <si>
    <t xml:space="preserve">1710255173 AGUILAR ESTRELLA PATRICIO FERNANDO / </t>
  </si>
  <si>
    <t>DIRECCIÓN DE SECRETARIA GENERAL</t>
  </si>
  <si>
    <t>ACTA DE DESCARGO N. 23</t>
  </si>
  <si>
    <t>1713580502 REINOSO LEON MARLON WLADIMIR</t>
  </si>
  <si>
    <t>DIRECCIÓN REGIONAL DE TRABAJO Y SERVICIO PÚBLICO DE QUITO</t>
  </si>
  <si>
    <t>CLEMENTE PONCE Y PIEDRAHITA EDIF. GEMINIS</t>
  </si>
  <si>
    <t>ACTA DE DESCARGO 24</t>
  </si>
  <si>
    <t>24028035110</t>
  </si>
  <si>
    <t>24028035109</t>
  </si>
  <si>
    <t>Darwin Rogoberto Guarnizo Jaramillo</t>
  </si>
  <si>
    <t>DEPRECATORIO  RECLAMO LABORAL MEMORANDO MDT-DRTSPL-2024-0054-M</t>
  </si>
  <si>
    <t>24028035124</t>
  </si>
  <si>
    <t>1 SOBRE- NO ESPECIFICA DETALLE DEL ENVÍO</t>
  </si>
  <si>
    <t>1104340029 DELGADO CARRION LUIS EDUARDO</t>
  </si>
  <si>
    <t>ZONA: RURAL SECTOR: MALACATOS CALLES: BENIGNO CASTILLO y ALEJANDRO BRAVO</t>
  </si>
  <si>
    <t>LOJA</t>
  </si>
  <si>
    <t>TENENCIA POLÍTICA DE LA PARROQUIA MALACATOS</t>
  </si>
  <si>
    <t>230280354356</t>
  </si>
  <si>
    <t xml:space="preserve">CUENCA </t>
  </si>
  <si>
    <t xml:space="preserve">DIRECCION REGIONAL DEL TRABAJO Y SERVICIO PÚBLICO DE CUENCA </t>
  </si>
  <si>
    <t>TRES DE NOVIEMBRE Y PASAJE PUMAPUNGO</t>
  </si>
  <si>
    <t>Andres Paul Flores Yazbek - Director Regional</t>
  </si>
  <si>
    <t>DEVOLUCIÓN CONTRATO COLECTIVO TAISHA CON MEMORANDO MDT-DRTSPL-2023-0057-M; ACTA DE DESCARGO 0001</t>
  </si>
  <si>
    <t xml:space="preserve">0103679718 HIDALGO CAICEDO MARIA PATRICIA </t>
  </si>
  <si>
    <t>PORTOVELO</t>
  </si>
  <si>
    <t>DELEGACIÓN PROVINCIAL DE TRABAJO Y SERVICIO PÚBLICO DE EL ORO - PORTOVELO</t>
  </si>
  <si>
    <t>GONZALO DIAZ Y ANTONIO JOSE DE SUCRE EDIFICIO CUERPO DE BOMBEROS</t>
  </si>
  <si>
    <t>0705051746 SARAGURO MARTINEZ ALVARO FABIAN</t>
  </si>
  <si>
    <t>DEVOLUCIÓN EXTERNOS: MDT-DRTSPL-2021-6585-EXTERNO; MDT-DRTSPL-2023-8728-E</t>
  </si>
  <si>
    <t>24028035146</t>
  </si>
  <si>
    <t>Documentación para beneficio de guarderia</t>
  </si>
  <si>
    <t>0501925804 MARIA ALEXANDRA HERRERA PEÑAHERRERA</t>
  </si>
  <si>
    <t>Acta de descargo n. 0057</t>
  </si>
  <si>
    <t xml:space="preserve">1900570464 GONSALEZ ANGULO JHOMAIRA LISETH / </t>
  </si>
  <si>
    <t>ZAMORA CHINCHIPE</t>
  </si>
  <si>
    <t>DELEGACIÓN PROVINCIAL DE TRABAJO Y SERVICIO PÚBLICO DE ZAMORA CHINCHIPE</t>
  </si>
  <si>
    <t>SEVILLA DE ORO Y 24 DE MAYO</t>
  </si>
  <si>
    <t>ACTA DE DESCARGO N. 63</t>
  </si>
  <si>
    <t>24028035190</t>
  </si>
  <si>
    <t>Leonid Jiffrey Plascencia Mosquera</t>
  </si>
  <si>
    <t>EXTERNOS: 0118, 0119, 0117, 0147; RECIBIDOS CON GUIA 2400303500058 EL 15/01/2024</t>
  </si>
  <si>
    <t>24028035215</t>
  </si>
  <si>
    <t xml:space="preserve">DEVOLUCIÓN EXPEDIENTES MEMORANDO MDT-DRTSPL-2024-0086-M </t>
  </si>
  <si>
    <t>0702759762 BALLADARES LAMBERT DIANA DEL PILAR</t>
  </si>
  <si>
    <t>Gabriela Cecible Cabrera León</t>
  </si>
  <si>
    <t>24028035216</t>
  </si>
  <si>
    <t>24028035202</t>
  </si>
  <si>
    <t>Andrea Jhovanna procel Moreno</t>
  </si>
  <si>
    <t>1 SOBRE PARA LEONID PLASCENCIA - REMITE ANDREA PROCEL Y 1 SOBRE PARA ENMA PALACIOS - REMITE MARIA CASTILLO</t>
  </si>
  <si>
    <t>24028035247</t>
  </si>
  <si>
    <t>2 BOLETAS PARA NOTIFICAR</t>
  </si>
  <si>
    <t>STIVEN ESTUARDO ORTIZ YAGUANA</t>
  </si>
  <si>
    <t xml:space="preserve">QUILANGA </t>
  </si>
  <si>
    <t xml:space="preserve">COMISARIA NACIONAL DE POLICIA  DEL CANTON QUILANGA </t>
  </si>
  <si>
    <t>24028035287</t>
  </si>
  <si>
    <t xml:space="preserve"> ENTREGADO A:liscam CAMBO LISA</t>
  </si>
  <si>
    <t xml:space="preserve"> 11:10</t>
  </si>
  <si>
    <t>ENTREGADO A: |0704787936 CALERO MORA DANILO GABRIEL</t>
  </si>
  <si>
    <t xml:space="preserve"> ENTREGADO A: |MINTRA ANALUISA GUSTAVO</t>
  </si>
  <si>
    <t>ENTREGADO A:2mdt NASEVILLA ALEXANDRA</t>
  </si>
  <si>
    <t>ENTREGADO A:00 ARPI CESAR</t>
  </si>
  <si>
    <t>ENTREGADO A: |0705051746 SARAGURO MARTINEZ ALVARO FABIAN</t>
  </si>
  <si>
    <t>ENTREGADO A: |1 MIGUEL QUELAL</t>
  </si>
  <si>
    <t xml:space="preserve">1 SOBRE ACTA DE DESSCARGO N. 92/ 1 SOBRE PARA MARCO VINICIO CARCELEN - REMITE FREDDY GUAMAN </t>
  </si>
  <si>
    <t>24028035288</t>
  </si>
  <si>
    <t xml:space="preserve">1 SOBRE PARA LEONID PLASCENCIA - REMITE ANDREA PROCEL - 1 SOBRE CON ACTAS DE DESCARGO PARA SU DEVOLUCION - REMITE JHULIANA </t>
  </si>
  <si>
    <t>24028035289</t>
  </si>
  <si>
    <t>24028035290</t>
  </si>
  <si>
    <t>ACTA DE DESCARGO N. 93</t>
  </si>
  <si>
    <t>1310278559 GARCIA  DUEÑAS  OSCAR MARIANO</t>
  </si>
  <si>
    <t>PORTOVIEJO</t>
  </si>
  <si>
    <t>DELEGACIÓN PROVINCIAL DE TRABAJO Y SERVICIO PÚBLICO DE PORTOVIEJO</t>
  </si>
  <si>
    <t>CALLE NARDOS  Y AV. 15 DE ABRIL</t>
  </si>
  <si>
    <t xml:space="preserve">APARICIO JIMENEZ SN Y Y 18 DE NOVIEMBRE </t>
  </si>
  <si>
    <t>COMISARÍA DE POLICÍA DEL CANTÓN OLMEDO</t>
  </si>
  <si>
    <t>OLMEDO</t>
  </si>
  <si>
    <t>1103599500 MEDINA RIOS MARIA YOLANDA</t>
  </si>
  <si>
    <t>24028035308</t>
  </si>
  <si>
    <t>MEMORANDO MDT-DRTSPL-2024-0162-M</t>
  </si>
  <si>
    <t>1717638579 RECALDE GALARRAGA CONSUELO ISABEL</t>
  </si>
  <si>
    <t>DIRECCION REGIONAL DEL TRABAJO Y SERVICIO PÚBLICO DE QUITO</t>
  </si>
  <si>
    <t>24028035310</t>
  </si>
  <si>
    <t xml:space="preserve">DEVOLUCIÓN EXPEDIENTES MEMORANDO MDT-DRTSPL-2024-0179-M </t>
  </si>
  <si>
    <t>24028035339</t>
  </si>
  <si>
    <t>Jefferson Jamil Rojas Jaramillo</t>
  </si>
  <si>
    <t>MEMORANDO MDT-DRTSPL-2024-0191-M</t>
  </si>
  <si>
    <t>24028035357</t>
  </si>
  <si>
    <t>ACTA DE DESCARGO N. 143</t>
  </si>
  <si>
    <t>CLEMENTE PONCE N15-59 Y PIEDRAHITA REFERENCIA: EDIFICIO GEMINIS</t>
  </si>
  <si>
    <t>ACTA DE DESCARGO N. 145</t>
  </si>
  <si>
    <t>1206610196 MORALES ARECHUA DERLY STEFANIA</t>
  </si>
  <si>
    <t>GUAYAQUIL</t>
  </si>
  <si>
    <t>DIRECCIÓN REGIONAL DE TRABAJO Y SERVICIO PÚBLICO DEL GUAYAS</t>
  </si>
  <si>
    <t xml:space="preserve"> AV QUITO y Y PRIMERO DE MAYO</t>
  </si>
  <si>
    <t xml:space="preserve">DIRECCIÓN REGIONAL DEL TRABAJO Y SERVICIO PÚBLICO DE AMBATO  </t>
  </si>
  <si>
    <t>AMBATO</t>
  </si>
  <si>
    <t xml:space="preserve">AV. VICTOR HUGO  Y COSME RENELLA </t>
  </si>
  <si>
    <t xml:space="preserve"> 0503337297 HIDALGO VINOCUNGA MARIO ALBERTO</t>
  </si>
  <si>
    <t>ACTA DE DESCARGO N. 146</t>
  </si>
  <si>
    <t xml:space="preserve"> 070539038 ORTEGA ESPINOZA GLUBIS GASTÓN </t>
  </si>
  <si>
    <t>ACTA DE DESCARGO N. 147</t>
  </si>
  <si>
    <t xml:space="preserve">ENTREGADO A: MONTESDEOCA MARIA BELÉN </t>
  </si>
  <si>
    <t xml:space="preserve"> 14:15:00</t>
  </si>
  <si>
    <t xml:space="preserve"> 14:15</t>
  </si>
  <si>
    <t>ENTREGADO A: |0702759762 BALLADARES LAMBERT DIANA DEL PILAR</t>
  </si>
  <si>
    <t>ENTREGADO A: |0703977892 PLACENCIA MOSQUERA LEONID JIFFREY</t>
  </si>
  <si>
    <t xml:space="preserve"> ENTREGADO A: ANALUISA GUSTAVO</t>
  </si>
  <si>
    <t>0703977892 PLACENCIA MOSQUERA LEONID JIFFREY</t>
  </si>
  <si>
    <t xml:space="preserve"> ENTREGADO A: ANDREA VINCES</t>
  </si>
  <si>
    <t>CONSUELO ISABEL / ENTREGADO A:2mdt NASEVILLA ALEXANDRA</t>
  </si>
  <si>
    <t>LLEGADA_DOM EN FRANCISCO DE ORELLANA (EL COCA)</t>
  </si>
  <si>
    <t xml:space="preserve">24028035125
</t>
  </si>
  <si>
    <t>LLEGADA_DOM EN ZAMORA CHINCHIPE</t>
  </si>
  <si>
    <t xml:space="preserve">DESPACHADO_DOM EN LOJA cod despacho 2402800400173 </t>
  </si>
  <si>
    <t xml:space="preserve">cod despacho 2402800400172 </t>
  </si>
  <si>
    <t>LLEGADA_DOM EN ZAMORA CHINCHIP</t>
  </si>
  <si>
    <t xml:space="preserve">DESPACHADO_DOM EN MACHALA cod despacho 2400300200164 </t>
  </si>
  <si>
    <t xml:space="preserve">ACTA DE DESCARGO N. 144 -/ 2 BOLETAS PARA NOTIFICACION </t>
  </si>
  <si>
    <t>1713580502 REINOSO LEON MARLON WLADIMIR -ABG. CONSUELO RECALDE GALARRA)</t>
  </si>
  <si>
    <t>COMISIÓN - REMITE DARWIN GUARNIZO</t>
  </si>
  <si>
    <t xml:space="preserve">1104680739 MENA MANZANILLAS EILSON BAYARDO </t>
  </si>
  <si>
    <t>CELICA</t>
  </si>
  <si>
    <t>COMISARÍA NACIONAL DE POLICÍA</t>
  </si>
  <si>
    <t>CELICA CALLES: AV.12 DE DICIEMBRE y Y PREBISTERIO RIOFRIO</t>
  </si>
  <si>
    <t>ZAPOTILLO CALLES: JUAN MONTALVO y 18 DE NOVIEMBRE</t>
  </si>
  <si>
    <t>ZAPOTILLO</t>
  </si>
  <si>
    <t xml:space="preserve">1102635883 REQUENA PEÑA MARCO VINICIO </t>
  </si>
  <si>
    <t>24028035452</t>
  </si>
  <si>
    <t>Claudia Arboleda  Guerrero</t>
  </si>
  <si>
    <t>2 BOLETAS PARA NOTIFICAR - REMITE CLAUDIA ARBOLEDA</t>
  </si>
  <si>
    <t>CUENCA BENITEZ VICTOR HUGO</t>
  </si>
  <si>
    <t>CATAMAYO</t>
  </si>
  <si>
    <t xml:space="preserve">COMISARIA NACIONAL DE POLICIA DEL CANTON CATAMAYO </t>
  </si>
  <si>
    <t xml:space="preserve">CATAMAYO </t>
  </si>
  <si>
    <t>RECIBIDA_OFI EN LOJA</t>
  </si>
  <si>
    <t>ENTREGADO A: |MDT 12 MOTESDEOCA MARÍA BELÉN</t>
  </si>
  <si>
    <t xml:space="preserve"> 11:05</t>
  </si>
  <si>
    <t xml:space="preserve">ENTREGADO A:5mdt MACIAS CARLA </t>
  </si>
  <si>
    <t>ENTREGADO A: POVEDA ALEXIS</t>
  </si>
  <si>
    <t xml:space="preserve"> 12:30</t>
  </si>
  <si>
    <t>ENTREGADO A: |0503337297 PAREDES CARLOS</t>
  </si>
  <si>
    <t>ENTREGADO A: |070539038 ORTEGA ESPINOZA GLUBIS GASTÓN</t>
  </si>
  <si>
    <t>cod despacho 2402800400254</t>
  </si>
  <si>
    <t>cod despacho 2402800400271</t>
  </si>
  <si>
    <t xml:space="preserve"> 08:00</t>
  </si>
  <si>
    <t>RECIBIDA_OFI EN LOJA HACIA CATAMAYO</t>
  </si>
  <si>
    <t xml:space="preserve"> 18:00</t>
  </si>
  <si>
    <t>Jhuliana del Cisne Suin - Oficinista - Claudia Arboleda  Guerrero</t>
  </si>
  <si>
    <t>Jhuliana del Cisne  Suin  Narvaez - Oficinista</t>
  </si>
  <si>
    <t>Andrea Jhovanna procel Moreno - Jhuliana del Cisne  Suin  Narvaez</t>
  </si>
  <si>
    <t>Jhuliana del Cisne Suin Narvaez - Oficinista</t>
  </si>
  <si>
    <t>RESPUESTA A MDT-DPTSPOM-2024-0500- 0444 - E Y ACTA DE DESCARGO 182</t>
  </si>
  <si>
    <t xml:space="preserve"> 0703977892 PLACENCIA MOSQUERA LEONID JIFFREY </t>
  </si>
  <si>
    <t xml:space="preserve"> 1717638579 RECALDE GALARRAGA CONSUELO ISABEL / </t>
  </si>
  <si>
    <t>Darwin Rigoberto guarnizo Jaramillo</t>
  </si>
  <si>
    <t>DEPRECATORIO</t>
  </si>
  <si>
    <t xml:space="preserve"> 1710255173 AGUILAR ESTRELLA PATRICIO FERNANDO- MARIA ALEXANDRA HERRERA </t>
  </si>
  <si>
    <t xml:space="preserve">Jhuliana del Cisne  Suin  Narvaez - Oficinista/ Darwin Guajala </t>
  </si>
  <si>
    <t xml:space="preserve">ACTA DE DESCARGO N. 183- SOBRE PARA MARIA HERRERA (ENVIA dARWIN gUAJALA) /DOCUMENTOS GUARDERIA JORGE JIMENEZ </t>
  </si>
  <si>
    <t>MEMORANDO MDT-DRTSPL-2024-0289-M, NOTIFICACIÓN SINDICATO úNICO DE TRABAJADORES DE LA SALUD DE LA PROVINCIA DE LOJA</t>
  </si>
  <si>
    <t>Danilo Javier Cueva Cueva</t>
  </si>
  <si>
    <t>1711970937 CALVACHE RECALDE JUAN CARLOS</t>
  </si>
  <si>
    <t>DIRECCION DE ORGANIZACIONES LABORALES</t>
  </si>
  <si>
    <t>CERTIFICADO DE ASISTENCIA - PAGO BENEFICIO GUARDERIA</t>
  </si>
  <si>
    <t>1002963120 GOMEZ PUETATE DIEGO ALEJANDRO</t>
  </si>
  <si>
    <t>TRABAJO SOCIAL</t>
  </si>
  <si>
    <t xml:space="preserve">Jorge Patricio Jiménez Mora </t>
  </si>
  <si>
    <t>Jhuliana del Cisne Narvaez Suin - Oficinista</t>
  </si>
  <si>
    <t xml:space="preserve">1102354360/ SILVA  ARMIJOS WILMAN LEONARDO </t>
  </si>
  <si>
    <t>ACTA DE DESCARGO N. 211</t>
  </si>
  <si>
    <t>1900424837 FLORES TOMAS</t>
  </si>
  <si>
    <t>MDT-DRTSPL-2024-0294-M - DEVOLUCIÓN BOLETA MDT-DPTSPZCH-2024-0015-E</t>
  </si>
  <si>
    <t>24028035556</t>
  </si>
  <si>
    <t>DEVOLUCIÓN EXPEDIENTE: MDT-DRTSPL-2024-0295-M, MDT-DR7-MCH-2023-28-ERLA</t>
  </si>
  <si>
    <t>0704919224 LOPEZ ABARCA EMMA DEL ROCIO</t>
  </si>
  <si>
    <t>24028035558</t>
  </si>
  <si>
    <t>DELEGACIÓN PROVINCIAL DE TRABAJO Y SERVICIO PÚBLICO DE EL ORO - MACHALA</t>
  </si>
  <si>
    <t>oficio DE RESPUESTA MDT-DRTSPL-2024--0888-O (MDT-DRTSPL-2024-0735-E)</t>
  </si>
  <si>
    <t>Mayte Elizalde Vivanco</t>
  </si>
  <si>
    <t xml:space="preserve"> 1103393649 SOTO CARRION ANA ELIZABETH</t>
  </si>
  <si>
    <t>CARIAMANGA</t>
  </si>
  <si>
    <t xml:space="preserve">JOSE ANGEL PALACIOS Y 18 DE NOVIEMBRE </t>
  </si>
  <si>
    <t>FISCALIA DE CARIAMANGA</t>
  </si>
  <si>
    <t>ACTA DE DESCARGO N. 228 - 1 SOBRE PARA ABG. JHON PALADINES</t>
  </si>
  <si>
    <t xml:space="preserve"> 1900570464 GONSALEZ ANGULO JHOMAIRA LISETH</t>
  </si>
  <si>
    <t>ACTA DE DESCARGO N. 229</t>
  </si>
  <si>
    <t>Jhuliana del Cisne  Suin  Narvaez - Oficinista/ PAUL Carrion Vivanco</t>
  </si>
  <si>
    <t xml:space="preserve">MULTAS MANUELAES  DEL 19 AL 31 DE ENERO / CONVENIOS DE PAGO </t>
  </si>
  <si>
    <t xml:space="preserve"> 1002360558 CARCELEN CARCELEN MARCO VINICIO</t>
  </si>
  <si>
    <t xml:space="preserve">QUITO </t>
  </si>
  <si>
    <t xml:space="preserve">CONTABILIDAD </t>
  </si>
  <si>
    <t>Freddy Guillermo Guamán González</t>
  </si>
  <si>
    <t>Darwin Afranio Guajala Rivilla</t>
  </si>
  <si>
    <t>Horas extras y suplementarias enero 2024 - correcciones</t>
  </si>
  <si>
    <t>24028035616</t>
  </si>
  <si>
    <t>Yanela Elizabeth Torres Calderón - Técnico Regional de Archivo - Darwin Afranio Guajala Rivilla</t>
  </si>
  <si>
    <t>1710255173 AGUILAR ESTRELLA PATRICIO FERNANDO</t>
  </si>
  <si>
    <t>OFICIO DE RESPUESTA MDT-DRTSPL-2024-1077-O</t>
  </si>
  <si>
    <t>1717280182 PAZMIÑO GOMEZ BORIA PATRICIO</t>
  </si>
  <si>
    <t xml:space="preserve">JORGE MOSQUERA Y 12 DE FEBRERO ESQUINA </t>
  </si>
  <si>
    <t xml:space="preserve">FISCALIA GENERAL DE ZAMORA </t>
  </si>
  <si>
    <t xml:space="preserve">Mayte Del Cisne Elizalde Vivanco </t>
  </si>
  <si>
    <t>MEMORANDO MDT-DRTSPL-2024-0325-M- DEPRECATORIO</t>
  </si>
  <si>
    <t xml:space="preserve">  Jefferson Jamil Rojas Jaramillo</t>
  </si>
  <si>
    <t xml:space="preserve">DEPRECATORIO - ENVIA DARWIN GUARNIZO </t>
  </si>
  <si>
    <t xml:space="preserve"> 0915662878 LOPEZ CABRERA LORENA CRISTINA </t>
  </si>
  <si>
    <t>DIRECCION REGIONAL DE TRABAJO Y SERVICICIO PUBLICO  DEL GUAYAS</t>
  </si>
  <si>
    <t xml:space="preserve">ACTA DE DESCARGO N.211-1 SOBRE PARA ING. MARIA ALEXANDRA  HERRERA - SOBRE DE GUARDERIA YANELA </t>
  </si>
  <si>
    <t xml:space="preserve">AVENIDA QUITO Y PRIMEO DE MAYO </t>
  </si>
  <si>
    <t>0201728391 PAMBABAY RAMIREZ JORGE ALBERTO /</t>
  </si>
  <si>
    <t>DIRECCIÓN D MEDIACION LABORAL Y RECURSOS ADMINISTRATIVOS</t>
  </si>
  <si>
    <t>MEMORANDO MDT-DRTSPL-2024-0288-M -DOCUMENTO EXTERNO MDT-DRTSPL-2024-0927-E</t>
  </si>
  <si>
    <t>24028035645</t>
  </si>
  <si>
    <t>RESPUESTA A EXTERNOS MDT-DPTSPOM-2024-0835-823-816-885</t>
  </si>
  <si>
    <t>Andrea Jhovanna procel Moreno -</t>
  </si>
  <si>
    <t xml:space="preserve"> 0703977892 PLACENCIA MOSQUERA LEONID JIFFREY</t>
  </si>
  <si>
    <t xml:space="preserve"> 11:00</t>
  </si>
  <si>
    <t>ENTREGADO A:7mdt TRAVEZ GABRIELA</t>
  </si>
  <si>
    <t xml:space="preserve"> 13:00</t>
  </si>
  <si>
    <t>ENTREGADO A: |1 sello ESTEBAN FUENTES</t>
  </si>
  <si>
    <t xml:space="preserve">ENTREGADO A: MONTESDEOCA MARÍA BELÉN </t>
  </si>
  <si>
    <t>od despacho 2402800400112</t>
  </si>
  <si>
    <t>ENTREGADO A: |0704919224 LOPEZ ABARCA EMMA DEL ROCIO</t>
  </si>
  <si>
    <t>cod despacho 2402800400341</t>
  </si>
  <si>
    <t>ENTREGADO A: |0705391308 ORTEGA ESPINOZA GLUBIS GASTON</t>
  </si>
  <si>
    <t xml:space="preserve"> cod despacho 2402800400126</t>
  </si>
  <si>
    <t>ENTREGADO A: FUENTES STEVAN</t>
  </si>
  <si>
    <t>cod despacho 2402800400128</t>
  </si>
  <si>
    <t>cod despacho 2402800400131</t>
  </si>
  <si>
    <t xml:space="preserve"> cod despacho 2402800400131</t>
  </si>
  <si>
    <t xml:space="preserve"> ENTREGADO A: |0915662878 MALDONADO EDDIE</t>
  </si>
  <si>
    <t>1 SOBRE MEDIO MAGNÉTICO CD - REMITE PAUL CARRION</t>
  </si>
  <si>
    <t>1718812140 VACA ROGEL MIGUEL ANGEL</t>
  </si>
  <si>
    <t>MINISTERIO DE TRABAJO</t>
  </si>
  <si>
    <t>24028035680</t>
  </si>
  <si>
    <t>3 SUMARIOS PARA NOTIFICACIÓN, 3 COPAIS DE CADA UNO: 2023-173(5787); 2023-0082; 2023-0169 - REMITE: JAMIL ROJAS JARAMILLO</t>
  </si>
  <si>
    <t>0703661264 PALADINES ULLOA JOHN ENRIQUE</t>
  </si>
  <si>
    <t>24028035681</t>
  </si>
  <si>
    <t>ACTA DE DESCARGO N. 267</t>
  </si>
  <si>
    <t>ACTA DE DESCARGO N. 266</t>
  </si>
  <si>
    <t>ACTA DE DESCARGO N. 265</t>
  </si>
  <si>
    <t xml:space="preserve"> HERRERA PAILLACHO CARMEN CENEIDA </t>
  </si>
  <si>
    <t>TULCAN</t>
  </si>
  <si>
    <t xml:space="preserve">DELEGACIÓN PROVINCIAL DE TRABAJO Y SERVICIO PÚBLICO DE TULCAN </t>
  </si>
  <si>
    <t>CALLE ANTISANA 00 Y AV. UNIVESITARIA</t>
  </si>
  <si>
    <t>ACTA DE DESCARGO N. 264 -  1 SOBRE PARA DIRECCION DE SUMARIOS (MDT-DRTSPL-2024-0363-M - CON NOTIFICACION DE SUMARIO  MDT-SSCRSSP-SA-2023-187</t>
  </si>
  <si>
    <t xml:space="preserve">Memorando MDT-DRTSPL-2024-0359-M - Devolución Expediente Original Pliego de Peticiones Nro. 309940, perteneciente al COMITÉ DE EMPRESA PÚBLICA DE AGUA POTABLE Y ALCANTARILLADO DEL CANTÓN SANTA ROSA EMAMPASR EP </t>
  </si>
  <si>
    <t xml:space="preserve">0704787936 CALERO MORA DANILO GABRIEL </t>
  </si>
  <si>
    <t>24028035697</t>
  </si>
  <si>
    <t>DOS SOBRES PARA TALENTO HUMANO; CORRECCIÓN HORAS EXTRAS ENERO DE GIOVANNY BRITO; 1 MEMORANDO REMITE VICTOR HUGO RAMÓN</t>
  </si>
  <si>
    <t>24028035738</t>
  </si>
  <si>
    <t>DEVOLUCION MEMORANDO MDT-DRTSPL-2024-083-M; EXPEDIENTE DPDR71093</t>
  </si>
  <si>
    <t>24028035740</t>
  </si>
  <si>
    <t>MDT-DRTSPL-2024-0382-M - DEVOLUCION DOCUMENTO MDT-DRTSPL-2024-1092-E</t>
  </si>
  <si>
    <t>24028035741</t>
  </si>
  <si>
    <t>memo mdt-drtspl-2024-0389-m-recurso de apelacion</t>
  </si>
  <si>
    <t>0201728391 PAMBABAY RAMIREZ JORGE ALBERTO</t>
  </si>
  <si>
    <t>DIRECCION DE MEDIACION LABORAL Y RECURSOS  ADMINISTRATIVOS</t>
  </si>
  <si>
    <t>JAMIL ROJAS JARMILLO</t>
  </si>
  <si>
    <t>ACTA DE DESCARGO N. 309</t>
  </si>
  <si>
    <t>1804023917 PUNINA AZOGUE EDWIN ROLANDO</t>
  </si>
  <si>
    <t>DIRECCION REGIONAL  DE TRABAJO AMBATO</t>
  </si>
  <si>
    <t>ACTA DE DESCARGO N. 310-2024</t>
  </si>
  <si>
    <t>ACTA DE DESCARGO N. 311-2024</t>
  </si>
  <si>
    <t>deprecatorio - memorando mdt-drtspl-2024-0433-m - remite claudia arboleda</t>
  </si>
  <si>
    <t>0704336932 LEON SARAGURO RAUL FERNANDO</t>
  </si>
  <si>
    <t>1 SOBRE - REMITE JAMIL ROJAS</t>
  </si>
  <si>
    <t>1900356658 OCHOA JIMENEZ YADIRA ANAHI</t>
  </si>
  <si>
    <t>24028035896</t>
  </si>
  <si>
    <t>ENTREGADO A: |0915662878 MALDONADO EDDIE</t>
  </si>
  <si>
    <t xml:space="preserve"> 08:01</t>
  </si>
  <si>
    <t xml:space="preserve"> 11:00:00</t>
  </si>
  <si>
    <t xml:space="preserve"> ENTREGADO A: |MDT 111 STEVAN FUENTES</t>
  </si>
  <si>
    <t xml:space="preserve">  13:31:00</t>
  </si>
  <si>
    <t>ENTREGADO A: |0703661264 PALADINES ULLOA JOHN ENRIQUE</t>
  </si>
  <si>
    <t xml:space="preserve">ENTREGADO A: MONTESDEOCA M BELÉN  </t>
  </si>
  <si>
    <t xml:space="preserve"> 12:18</t>
  </si>
  <si>
    <t xml:space="preserve"> 12:45</t>
  </si>
  <si>
    <t xml:space="preserve"> cod despacho 2402800400147</t>
  </si>
  <si>
    <t xml:space="preserve"> 08:46</t>
  </si>
  <si>
    <t xml:space="preserve"> ENTREGADO A: PAUCAR DIANA</t>
  </si>
  <si>
    <t xml:space="preserve"> 09:00</t>
  </si>
  <si>
    <t xml:space="preserve"> ENTREGADO A: |0704787936 CALERO MORA DANILO GABRIEL</t>
  </si>
  <si>
    <t>ENTREGADO A: |MDT 10 FUENTES STEVAN</t>
  </si>
  <si>
    <t xml:space="preserve"> 15:00</t>
  </si>
  <si>
    <t xml:space="preserve"> cod despacho 2402800400159</t>
  </si>
  <si>
    <t xml:space="preserve">ENTREGADO A: FUENTES STEVAN </t>
  </si>
  <si>
    <t xml:space="preserve"> cod despacho 2402800400190</t>
  </si>
  <si>
    <t xml:space="preserve"> ENTREGADO A: |1804023917 PAREDES CARLOS</t>
  </si>
  <si>
    <t>ENTREGADO A: SELLO MINISTERIO DE TRABAJO STEVEN FUENTES</t>
  </si>
  <si>
    <t xml:space="preserve"> 12:49</t>
  </si>
  <si>
    <t>ENTREGADO A: |0704336932 LEON SARAGURO RAUL FERNANDO</t>
  </si>
  <si>
    <t>ACTA DE DESCARGO N. 352</t>
  </si>
  <si>
    <t xml:space="preserve"> 0102220621 ARPI PAUTA CESAR ALFREDO</t>
  </si>
  <si>
    <t>ACTA DE DESCARGO N. 353</t>
  </si>
  <si>
    <t>1301760961 PONCE DELGADO NERIS HOMERO</t>
  </si>
  <si>
    <t>ACTA DE DESCARGO N. 354</t>
  </si>
  <si>
    <t>ACTA DE DESCARGO N. 355 +1 SOBRE PARA MARIA ALEXANDRA HERRERA</t>
  </si>
  <si>
    <t>Jhuliana del Cisne  Suin  Narvaez - Oficinista - Darwin Guajala</t>
  </si>
  <si>
    <t>MEMORANDO MDT-DPTSPOM-2024-0153-M,</t>
  </si>
  <si>
    <t xml:space="preserve"> 0704787936 CALERO MORA DANILO GABRIEL</t>
  </si>
  <si>
    <t>DEVOLUCIÓN EXPEDIENTES: JOHN PALADINES MEMORANDO 0483-M; EMMA LOPEZ MEMORANDO 0496-M- 1 SOBRE REMITE ANDREA PROCEL PARA LEONID PLASCENCIA</t>
  </si>
  <si>
    <t>1 SOBRE</t>
  </si>
  <si>
    <t>0915735617 CHONILLO RAMIREZ CARLA MARIA</t>
  </si>
  <si>
    <t>24028035973</t>
  </si>
  <si>
    <t xml:space="preserve">MULTAS MANUALES  DEL 02 AL 29 DE FEBRERO/01-04-DE MARZO/MULTAS SINACOI 22 Y 23 DE FEBRERO /MULTAS SINACOI 01 DE MARZO  / CONVENIOS DE PAGO </t>
  </si>
  <si>
    <t>DEPRECATORIO –MDT-DRTSPL-2024-0521-M</t>
  </si>
  <si>
    <t xml:space="preserve"> 0926724337 LOPEZ CABRERA LORENA CRISTINA</t>
  </si>
  <si>
    <t xml:space="preserve">Cueva Cueva Danilo Javier </t>
  </si>
  <si>
    <t>´240280351005</t>
  </si>
  <si>
    <t xml:space="preserve">DOCUMENTOS - ENVIA PAUL CARRION </t>
  </si>
  <si>
    <t>Carrion Vivanco Paul Eduardo</t>
  </si>
  <si>
    <t xml:space="preserve"> ENTREGADO A: |0102220621 ARPI PAUTA CESAR ALFREDO</t>
  </si>
  <si>
    <t xml:space="preserve"> 11:55</t>
  </si>
  <si>
    <t>ENTREGADO A: |1206610196 MORALES ARECHUA DERLY STEFANIA</t>
  </si>
  <si>
    <t xml:space="preserve"> 12:05</t>
  </si>
  <si>
    <t>cod despacho 2401400300216</t>
  </si>
  <si>
    <t xml:space="preserve"> 08:05</t>
  </si>
  <si>
    <t xml:space="preserve">ENTREGADO A: GUARDERAS ANDREA </t>
  </si>
  <si>
    <t>ENTREGADO A:ENMA PALACIOS PALACIOS ENMA</t>
  </si>
  <si>
    <t>ENTREGADO A: GUARDERAS ANDREA</t>
  </si>
  <si>
    <t xml:space="preserve"> cod despacho 2402800400216</t>
  </si>
  <si>
    <t>cod despacho 2402800400218</t>
  </si>
  <si>
    <t xml:space="preserve"> 17:17</t>
  </si>
  <si>
    <t>ACTA DE DESCARGO N. 398</t>
  </si>
  <si>
    <t>ACTA DE DESCARGO N. 399</t>
  </si>
  <si>
    <t>240280351022</t>
  </si>
  <si>
    <t>240280351019</t>
  </si>
  <si>
    <t>240280351006</t>
  </si>
  <si>
    <t>ACTA DE DESCARGO N. 400</t>
  </si>
  <si>
    <t>240280351024</t>
  </si>
  <si>
    <t>240280351025</t>
  </si>
  <si>
    <t>CASTILLO CASTILLO MARIA CRISITINA</t>
  </si>
  <si>
    <t xml:space="preserve">COMISARIA NACIONAL DE POLICIA </t>
  </si>
  <si>
    <t xml:space="preserve">CARIAMANGA </t>
  </si>
  <si>
    <t>DEVOLUCIONES MEMORANDO MDT-DRTSPL-2024-0545-M</t>
  </si>
  <si>
    <t>240280351055</t>
  </si>
  <si>
    <t>Yanela Torres Calderon</t>
  </si>
  <si>
    <t>240280351079</t>
  </si>
  <si>
    <t>Acta de Descargo N° 426</t>
  </si>
  <si>
    <t>Andrea Jhovvanna Procel Moreno</t>
  </si>
  <si>
    <t>240280351081</t>
  </si>
  <si>
    <t>Respuesta a Memorando MDT-DPTSPOM-2024-1386-E ( 4 TITULOS)</t>
  </si>
  <si>
    <t xml:space="preserve">1103947303 LUDEÑA APOLO CARLOS ALBERTO / </t>
  </si>
  <si>
    <t>240280351082</t>
  </si>
  <si>
    <t>Acta de Descargo N° 427</t>
  </si>
  <si>
    <t>devoluciones para patricio maldonado - mdtt-drtspl-2024-0565-m</t>
  </si>
  <si>
    <t>0301784997 MALDONADO DUTAN PATRICIO JAVIER</t>
  </si>
  <si>
    <t>240280351100</t>
  </si>
  <si>
    <t>ACTA DE DESCARGO N. 450</t>
  </si>
  <si>
    <t>240280351137</t>
  </si>
  <si>
    <t>ACTA DE DESCARGO N. 451</t>
  </si>
  <si>
    <t>240280351138</t>
  </si>
  <si>
    <t>ACTA DE DESCARGO N. 452</t>
  </si>
  <si>
    <t>240280351139</t>
  </si>
  <si>
    <t>ACTA DE DESCARGO N. 453</t>
  </si>
  <si>
    <t>240280351140</t>
  </si>
  <si>
    <t>ENTREGADO A: MALDONADO EDDIE</t>
  </si>
  <si>
    <t xml:space="preserve"> 10:14</t>
  </si>
  <si>
    <t>ENTREGADO A: FUENTES STEVEN</t>
  </si>
  <si>
    <t>ENTREGADO A: CASTILLO CASTILLO MARIA CRISTINA</t>
  </si>
  <si>
    <t xml:space="preserve"> 10:00</t>
  </si>
  <si>
    <t xml:space="preserve"> 12:00</t>
  </si>
  <si>
    <t>ENTREGADO A:1 STEVEN FUENTE</t>
  </si>
  <si>
    <t xml:space="preserve">ENTREGADO A: |1103947303 LUDEÑA APOLO CARLOS ALBERTO </t>
  </si>
  <si>
    <t>cod despacho 2400300400304</t>
  </si>
  <si>
    <t xml:space="preserve">ACCIONES DE PERSONAL ANDRES FLORES - DIEGO TINOCO - ACTA COMFORMACION COMITE PARITARIO </t>
  </si>
  <si>
    <t>1722248646 SANI OÑA NATALIA VANESSA</t>
  </si>
  <si>
    <t>240280351166</t>
  </si>
  <si>
    <t>Darwuin Afranio Guakala Rivilla</t>
  </si>
  <si>
    <t>TALENTO HUMANO - MDT-QUITO</t>
  </si>
  <si>
    <t>0595-M PARA JHON PALADINES; 0596-M PARA RAUL LEON; 0597-M PARA PATRICIO MALDONADO; 0598-M PARA DANILO CALERO; 0599-M PARA ENMA LOPEZ; 613-M PARA PATRICIO MALDONADO; 0644 PARA DANILO CALERO- Y 1 TONER</t>
  </si>
  <si>
    <t>240280351208</t>
  </si>
  <si>
    <t xml:space="preserve">Mayte Elizalde Vivanco - Paul Carrion </t>
  </si>
  <si>
    <t>1900233360 REY CURAY ROSA MARLENE</t>
  </si>
  <si>
    <t>240280351214</t>
  </si>
  <si>
    <t>ENTREGADO A:00 BACUILIMA MARIBEL</t>
  </si>
  <si>
    <t>ENTREGADO A: SELLO MINISTERIO DEL TRABAJO ANDREA GUARDERAS</t>
  </si>
  <si>
    <t xml:space="preserve"> 19:01</t>
  </si>
  <si>
    <t>cod despacho 2402800400256</t>
  </si>
  <si>
    <t>cod despacho 2402800400277</t>
  </si>
  <si>
    <t>ACTA DE DESCARGO N. 489</t>
  </si>
  <si>
    <t>240280351221</t>
  </si>
  <si>
    <t>ACTA DE DESCARGO N. 490</t>
  </si>
  <si>
    <t>SERRANO ABRAHAM MARIA EUGENIA</t>
  </si>
  <si>
    <t>240280351223</t>
  </si>
  <si>
    <t>ACTA DE DESCARGO N. 491</t>
  </si>
  <si>
    <t>ACTA DE DESCARGO N. 492</t>
  </si>
  <si>
    <t>240280351224</t>
  </si>
  <si>
    <t>240280351225</t>
  </si>
  <si>
    <t>OFICIO MDT-DRTSPL-2024-2169-O</t>
  </si>
  <si>
    <t>1105227563 ENCALADA LARGO CESAR JOSE</t>
  </si>
  <si>
    <t>CHAGUARPAMBA</t>
  </si>
  <si>
    <t>COMISARÍA DE CHAGUARPAMBA CALLES: 10 DE AGOSTO y SN</t>
  </si>
  <si>
    <t>240280351253</t>
  </si>
  <si>
    <t>PILAS 1 SOBRE  PARA BAYRON LEON; 1 SOBRE CON 3 COPIAS PARA NOTIFICACIÓN DE SUMARIO ADMINISTRATIVO NO. MDT-SSCRSSP-DRSASP-SA-2024-020</t>
  </si>
  <si>
    <t>Freddy Guillermo Guamán González- Geovanny Brito Hirtado</t>
  </si>
  <si>
    <t xml:space="preserve"> 1002360558 CARCELEN CARCELEN MARCO VINICIO - JESSICA ALEXANDRA CHICAIZA CHICAIZA</t>
  </si>
  <si>
    <t>MULTAS  MANUALES  DEL 05Y 19 DE MARZO 2024-MULTAS SINACOI DEL 07 AL 9 DE MARZO - CONVENIO  DE PAGO N.006-DRTSPL-2024- CONTROL VEHICULAR</t>
  </si>
  <si>
    <t>240280351278</t>
  </si>
  <si>
    <t>cod despacho 2402800400281</t>
  </si>
  <si>
    <t xml:space="preserve"> ENTREGADO A: PAREDES CARLOS</t>
  </si>
  <si>
    <t xml:space="preserve"> 12:51:00</t>
  </si>
  <si>
    <t xml:space="preserve"> 12:31:00</t>
  </si>
  <si>
    <t>cod despacho 2402800400751</t>
  </si>
  <si>
    <t>ACTA DE DESCARGO N. 530</t>
  </si>
  <si>
    <t>240280351306</t>
  </si>
  <si>
    <t>ACTA DE DESCARGO N. 531</t>
  </si>
  <si>
    <t>240280351307</t>
  </si>
  <si>
    <t>ACTA DE DESCARGO N. 532</t>
  </si>
  <si>
    <t>240280351308</t>
  </si>
  <si>
    <t xml:space="preserve"> 16:47</t>
  </si>
  <si>
    <t>ENTREGADO A: |SRI 4 CRUZ ANGELA</t>
  </si>
  <si>
    <t xml:space="preserve">ENTREGADO A: FUENTES STEVEN </t>
  </si>
  <si>
    <t xml:space="preserve"> 2024-04-01</t>
  </si>
  <si>
    <t xml:space="preserve"> 18:47</t>
  </si>
  <si>
    <t xml:space="preserve"> Darwin Guajala - Yanela Torres </t>
  </si>
  <si>
    <t xml:space="preserve">Horas extras -documentacion guarderia </t>
  </si>
  <si>
    <t xml:space="preserve">ACTA DE DESCARGO N. 572-  1 SOBRE PARA PATRICIO AGUILAR-(envia machala ) </t>
  </si>
  <si>
    <t xml:space="preserve">1 SOBRE ENVIA MACHALA  </t>
  </si>
  <si>
    <t>Jhuliana del Cisne  Suin  Narvaez - Oficinista -Enma Piedad Palacios Villacís</t>
  </si>
  <si>
    <t>Enma Piedad Palacios Villacís</t>
  </si>
  <si>
    <t>ACTA DE DESCARGO 574</t>
  </si>
  <si>
    <t>00221426</t>
  </si>
  <si>
    <t>0221442</t>
  </si>
  <si>
    <t>0221440</t>
  </si>
  <si>
    <t>0221441</t>
  </si>
  <si>
    <t>0221439</t>
  </si>
  <si>
    <t>1 SOBRE DE MACHALA</t>
  </si>
  <si>
    <t>ENVIOS DE MACHALA: 2 SOBRES PARA PATRICIO AGUILAR; RECIBIDO CON GUIA VELOZEXPRESS 0001334; 1 SOBRE ACTA DESCARGO 615 REMITE JHULIANA SUIN; 1 SOBRE PARA MARIA ALEXANDRA HEERRERA REMITE DARWIN GUAJALA</t>
  </si>
  <si>
    <t>1 SOBRE ACTA DESCARGO 616</t>
  </si>
  <si>
    <t>2 SOBRES DE MACHALA; 1 SOBRE DE LOJA EXPEDIENTE MDT-DPTSPOM-2024-1032-E PARA Zhulma Paulina Vásquez Hojas</t>
  </si>
  <si>
    <t>0221487</t>
  </si>
  <si>
    <t>0221488</t>
  </si>
  <si>
    <t>0221489</t>
  </si>
  <si>
    <t>0221490</t>
  </si>
  <si>
    <t>0221491</t>
  </si>
  <si>
    <t>MDT-DRTSPL-2024-0865-M</t>
  </si>
  <si>
    <t>2 SOBRES- (ACTA DE DESCARGO N. 674 Y 1 SOBRE REMITE MACHALA)</t>
  </si>
  <si>
    <t>Jhuliana del Cisne  Suin  Narvaez - Oficinista - Darwin Guajala-Enma Piedad Palacios Villacís</t>
  </si>
  <si>
    <t xml:space="preserve">DELEGACIÓN PROVINCIAL DEL TRABAJO Y SERVICIO PÚBLICO DE EL ORO - MACHALA </t>
  </si>
  <si>
    <t xml:space="preserve">DIRECCIÓN DE SECRETARIA GENERAL </t>
  </si>
  <si>
    <t>1 SOBRE ENVIA MACHALA-1 SOBRE ACTA DE DESCARGO N.675</t>
  </si>
  <si>
    <t>Enma Piedad Palacios Villacís-Jhuliana del Cisne  Suin  Narvaez - Oficinista</t>
  </si>
  <si>
    <t>11.38</t>
  </si>
  <si>
    <t>13.42</t>
  </si>
  <si>
    <t xml:space="preserve">ENTREGADO A:DERLY MORALES </t>
  </si>
  <si>
    <t>12.02</t>
  </si>
  <si>
    <t xml:space="preserve">ENTREGADO A: CESAR ARPI </t>
  </si>
  <si>
    <t>10.10</t>
  </si>
  <si>
    <t xml:space="preserve">ENTREGADO A: MARLENE REY </t>
  </si>
  <si>
    <t>10.03</t>
  </si>
  <si>
    <t>SELLO  MINISTERIO DE TRABAJO</t>
  </si>
  <si>
    <t>12.00</t>
  </si>
  <si>
    <t>ENTREGADO A: LEONID PLASCENCIA</t>
  </si>
  <si>
    <t xml:space="preserve">AMADA BEATRIZ PEREZ PEREZ </t>
  </si>
  <si>
    <t>1 SOBRE ENVIA MACHALA -1 SOBRE ENVIA ZAMORA - 1 SOBRE PARAING. ANDRES MURILLO ARROYO(Acuse recibido MDT-DATH-2024-0114-O) -1 SOBRE PARA MIRIAN PINTADO PEÑA</t>
  </si>
  <si>
    <t>Enma Piedad Palacios Villacís- Marlene Rey- Maria Andrea vera-Andres Flores</t>
  </si>
  <si>
    <t>ENTREGADO A:BEATRIZ PEREZ</t>
  </si>
  <si>
    <t xml:space="preserve">Maria Andrea Vera Mosquera </t>
  </si>
  <si>
    <t xml:space="preserve"> Fuentes Cazares Steven Ernesto</t>
  </si>
  <si>
    <t>ACTA DE DESCARGO N. 722</t>
  </si>
  <si>
    <t>Diana Aracelly Solís Silba</t>
  </si>
  <si>
    <t>ACTA DE DESCARGO N. 723</t>
  </si>
  <si>
    <t xml:space="preserve">1 SOBRE PARA MIRIAM OLINDA PINTADO  PEÑA - ACTA DE DESCARGO N. 724-MDT-DRTSPL-2024-0986-M(Constancia de Notificacion de Sumario MDT-SISPTE-DRSA-SA-2024-56- </t>
  </si>
  <si>
    <t>1 SOBRE DE ENMA PALACIOS PARA PATRICIO AGUILAR
1 SOBRE DE DARWIN GUAJALA PARA ANDRES DAVID MURILLO ARROYO (HORAS EXTRAS);
1 SOBRE DE MARIA ANDREA VERA PARA MIRIAM OLINDA PINTADO PEÑA 0384, 0385, 0386, 0387, 0399 Y 0403 M;
1 SOBRE DE MARLENE REY PARA FERNANDO AGUILAR;
1 SOBRE DE YANELA TORRES ACTA 747 PARA STEVEN ERNESTO FUENTES CAZARES;
1 SOBRE REMITE JORGE JIMÉNESZ PARA DIEGO GOMEZ (DOCUMENTOS GUARDERIA)</t>
  </si>
  <si>
    <t>DEVOLUCIÓN EXPEDIENTES MEMORANDO MDT-DRTSPL-2024-1048-M PARA DANILO CALERO; MDT-DRTSPL-2024-1044-M PARA JOHN PALADINES; MDT-DRTSPL-2024-1043-M PARA JOHN PALADINES; 1 SOBRE QUE REMITE ANDREA PROCEL PARA LEONID PLASCENCIA</t>
  </si>
  <si>
    <t>ENTREGADO: STEVEN FUENTES - DGDA</t>
  </si>
  <si>
    <t>DECRETO 255 02/05/2024</t>
  </si>
  <si>
    <t>Yanela Elizabeth Torres Calderón</t>
  </si>
  <si>
    <t>ACTA DE DESCARGO 778</t>
  </si>
  <si>
    <t>Juan Pablo Chuquiguanga Lalvay</t>
  </si>
  <si>
    <t>1 SOBRE ACTA DE DESCARGO 777</t>
  </si>
  <si>
    <t>Enma Piedad Palacios Villacis</t>
  </si>
  <si>
    <t>1 SOBRE REMITE ENMA PALACIOS;
1 MEMORANDO MDT-DRTSPL-2024-1031-M REMITE DANILO CUEVA CUEVA</t>
  </si>
  <si>
    <t>Daniel Peñafiel Orellana - INSPECTOR INTEGRAL 2 MACHALA</t>
  </si>
  <si>
    <t>Angélica Arcos Solórzano</t>
  </si>
  <si>
    <t>SANTO DOMINGO</t>
  </si>
  <si>
    <t>ABRAHAM CALAZACON - INSTALACIONES DEL SECAP</t>
  </si>
  <si>
    <t>DELEGACIÓN PROVINCIAL DE TRABAJO Y SERVICIO PUBLICO DE SANTO DOMINGO</t>
  </si>
  <si>
    <t>Leonid Jiffrey Palscencia Mosquera</t>
  </si>
  <si>
    <t>SE ENVIA CON CRISTIAN PORTILLO</t>
  </si>
  <si>
    <t>LEONID JIFFREY PLASCENCIA MOSQUERA</t>
  </si>
  <si>
    <t>ENTRGADO PERSONAL</t>
  </si>
  <si>
    <t>1 EXPEDIENTE DE SUMARIO MEMORANDO NO. MDT-DRTSPL-2024-1063-E;
1 SOBRE PARA STEVEN ERNESTO FUENTES CAZAREZ ACTA DE DESCARGO 800</t>
  </si>
  <si>
    <t>1 SOBRE PARA ANDRES DAVID MURILLO ARROYO; 1 SOBRE ACTA DE DESCARGO 830; 1 SOBRE PARA Abg. IVONNE ELIZABETH NUÑEZ FIGUEROA (VISTO BUENO MDT-DPTSPOM-2024-2107-E)</t>
  </si>
  <si>
    <t>Tomás Wladimir Flores Rivera</t>
  </si>
  <si>
    <t>DIRECCIÓN DE GESTIÓN DOCUMENTAL Y ARCHIVO</t>
  </si>
  <si>
    <t>1 SOBRE PARA QUITO REMITE ENMA PALACIOS;
1 SOBRE PARA QUITO REMITE MARLENE REY
1 SOBRE PARA QUITO ACTA DESCARGO NO. 843 REMITE YANELA TORRES</t>
  </si>
  <si>
    <t>1 SOBRE PARA CUENCA ACTA DESCARGO NO. 836 REMITE YANELA TORRES</t>
  </si>
  <si>
    <t>1 COMISIÓN DEPRECATORIO</t>
  </si>
  <si>
    <t>Dr. Jaime Patricio Sarmiento</t>
  </si>
  <si>
    <t>COMISARÍA DE POLICIA</t>
  </si>
  <si>
    <t>1 SOBRE PARA TOMAS WLADIMIR FLORES PROYECTO CONTRATO COELCTIVO EL PANGUI</t>
  </si>
  <si>
    <t>SE ENVÍA CON CRISTIAN PORTILLO</t>
  </si>
  <si>
    <t>1 SOBRE PARA ENMA PALACIOS ACTA DE DESCARGO 776;
1 SOBRE PARA DANILO CALERO REMITE SANDRA TORRES DEVOLUCIONES MEMORANDO 1064-M (Devolución visto bueno Nro. MDT-DPTSPOM-2024-2090-E)</t>
  </si>
  <si>
    <t>1 SOBRE DE DEVOLUCIÓN DE ACTAS QUE REMITE YANELA TORRES
1 SOBRE PARA EMMA DEL ROCIO LOPEZ REMITE SANDRA TORRES (VISTO BUENO MDT-DPTSPOM-2024-1554-E);
1 SOBRE PARA JORGE MARTINEZ MONTESDEOCA REMITE DARWIN GUAJALA</t>
  </si>
  <si>
    <t>1 SOBRE CON DOCUENTOS PARA MATRICULACIÓN VEHÍCULO</t>
  </si>
  <si>
    <t>Paul Eduardo Carrión Vivanco</t>
  </si>
  <si>
    <t>BAYRON RODRIGO LEON AGUINSACA</t>
  </si>
  <si>
    <t xml:space="preserve">Roberto Mauricio  Riofrio Berru </t>
  </si>
  <si>
    <t xml:space="preserve">CLAUDIA MELISSA  MUÑOZ  CALLE </t>
  </si>
  <si>
    <t xml:space="preserve">MINISTERIO DE PRODUCCION  COMERCIO  INVERSIONES  Y PESCA </t>
  </si>
  <si>
    <t xml:space="preserve">1 SOBRE ENVIA ENMA PALACIOS </t>
  </si>
  <si>
    <t>1 SOBRE - ENVIA MACHALA ENMA PALACIOS                            1 SOBRE CON ACTA DE DESCARGO N. 863- ENVIA JHULIANA SUIN                              1 SOBRE PARA JESSENIA QUISPI (ACCIONES DE PERSONAL ROBETO YA NDRES )</t>
  </si>
  <si>
    <t xml:space="preserve">AMAZONAS  ENTRE UNION NACIONAL  DE PERIODISTAS  Y ALFONSO PEREIRA </t>
  </si>
  <si>
    <t>1 SOBRE PARA LEONID PLASCENCIA - REMITE ANDREA PROCEL / DEVOLUCIÓN INSPECCION MDT-DR7-MCH-2018-051-CYSP - memorando MDT-DRTSPL-2024-0838-M - REMITE SANDRA TORRES</t>
  </si>
  <si>
    <t xml:space="preserve">ENTREGADO: MARLENE REY CURAY </t>
  </si>
  <si>
    <t xml:space="preserve">ENTREGADO: LEONID PLASCENCIA </t>
  </si>
  <si>
    <t>ENTREGADO: SELLO MDT</t>
  </si>
  <si>
    <t xml:space="preserve">ENTREGADO A:JESSENIA V </t>
  </si>
  <si>
    <t xml:space="preserve">ENTREGADO A: TOMAS FLORES </t>
  </si>
  <si>
    <t xml:space="preserve">FIRMA </t>
  </si>
  <si>
    <t xml:space="preserve">ENTREGADO A:BELEN MONTESDEOCA </t>
  </si>
  <si>
    <t xml:space="preserve">ENTREGADO A:ALEX RAMIREZ </t>
  </si>
  <si>
    <t xml:space="preserve">SELLO DEL MINISTERIO  DE COMERCIO </t>
  </si>
  <si>
    <t>1 SOBRE PARA MARIA ANDREA VERA 
1 SOBRE ACTA DE DESCARGO N. 878
1 SOBRE PARA WALTER PAREDES (VISTO BUENO 326514)</t>
  </si>
  <si>
    <t>1 SOBRE ENVIA ENMA PALACIOS
1SOBRE PARA CARLA MARIA CHONILLO RAMIREZ (ENVIA FREDDY GUAMAN )</t>
  </si>
  <si>
    <t xml:space="preserve">1 SOBRE - ENVIA MACHALA ENMA PALACIOS 
1 SOBRE ACTA DESCARGO N.877
1 SOBRE  PARA PAOLA JANINA MONTENEGRO BENITEZ (ENVIO DE EXPEDIENTES REFORMA DE ESTATUTOS- MDT-DRTSPL-2024-1173-M)  </t>
  </si>
  <si>
    <t>ACTA DE DESCARGO 879</t>
  </si>
  <si>
    <t xml:space="preserve">CLEMENTE PONCE  N.15-59 Y PIEDRAHITA - EDIFICOI GEMINIS </t>
  </si>
  <si>
    <t>1 SOBRE PARA ABG. DANILO CALERO(DEVOLUCION DE EXPEDIENTES  MDT-DRTSPL-2024-1191-M-1192-M-ENVIA SANRA TORRES)
1 SOBRE PARA ABG. RAUL FERNANDO LEON(DEVOLUCION DE EXPEDIENTES  MDT-DRTSPL-2024-1190-M-ENVIA MAYTE E)
1 SOBRE PARA ABG. EMMA LOPEZ ABARCA(PLIEGO DE PETICIONES N. 319231-2023-MDT-DRTSPL-2024-1198-M- ENVIA ANDRES FLORES)
1 SOBRE CON ACTA D EDESARGO N. 905</t>
  </si>
  <si>
    <t>1 SOBRE(CONTIENE 7 SOBRES TRANSFERENCIA DE EXPEDIENTES-  MDT-DRTSPL-2024-3558-O- FACES )</t>
  </si>
  <si>
    <t>LOJA: ACTA DESCARGO 779; Y UN SOBRE PARA BETTY RNRIQUEZ DOCUM GUARDERIA REMITE YANNELA TORRES; 1 SOBRE PARA PAOLA MONTENEGRO REMITE DIANA SANCHEZ- MDT- DRTSPL-2024-1054-M.
ZAMORA: ACTA DESCARGO 80 Y 1 SOBRE QUE REMITE MARLENE REY PARA PATRICIO AGUILAR
MACHALA: 1 SOBRE REMITE ENMA PALACIOS
1 SOBRE DE HORAS EXTRAS REMITE GEOVANNY BRITO</t>
  </si>
  <si>
    <t xml:space="preserve">MINISTERIO DE INCLUSION  ECONOMICA Y SOCIAL </t>
  </si>
  <si>
    <t xml:space="preserve">KARLA ESTEFANIA CALLE CALLE - DIRECTORA DISTRITAL  DEL MIES MACHALA </t>
  </si>
  <si>
    <t xml:space="preserve">ENVIO DE EXPEDIENTES(9 SOBRES)ENVIO DE EXPEDIENTES-ASOCIACIÓN DE JUBILADOS Y
PENSIONISTAS DEL SINDICATO LIBRE DE PUERTO BOLÍVAR" Y
ASOCIACIÓN DE EX SOCIOS JUBILADOS Y PENSIONISTAS DEL SINDICATO
DE PUERTO BOLÍVAR.  MDT-DRTSPL-2024-3724-O- MINISTERIO DE INCLUSION ECONOMICA  Y SOCIAL MACHALA </t>
  </si>
  <si>
    <t xml:space="preserve">ONCEAVA SUR Y PALMERRAS - TRAS ESTADIO KLEVER FRANCO CRUZ </t>
  </si>
  <si>
    <t xml:space="preserve">ENTREGADO A:JENNY MACIAS </t>
  </si>
  <si>
    <t xml:space="preserve">ENTREGADO A:ENMA PALACIOS VILLACIS </t>
  </si>
  <si>
    <t xml:space="preserve">ENTREGADO A: ANDRES ACOSTA </t>
  </si>
  <si>
    <t xml:space="preserve">1 SOBRE  D EGREMIOS ARTESANALES - REMITE ANDREA PROCEL.
1 SOBRE PARA WILLIAMS MACIAS - REMITE PAUL CARRION </t>
  </si>
  <si>
    <t>1 SOBRE - PLIEGO DE PETICIONES 319859-2023 - PARA RAUL FERNANDO LEON SARAGURO</t>
  </si>
  <si>
    <t>Andres Flores Yazbek</t>
  </si>
  <si>
    <t>NOTIFICACION DE OFICIO MDT-DRTSPQ-2024-11629-O</t>
  </si>
  <si>
    <t>1 SOBRE PARA MARLENE REY(NOTIFICACION A OFICIO MDT-DPTSPZCH-2024-0168-O)
1 SOBRE PARA BYRON RODRIGO LEON(ENVIA PAUL CARRION)</t>
  </si>
  <si>
    <t>COMISARIA  DE POLICIA DE CATAMAYO</t>
  </si>
  <si>
    <t xml:space="preserve">JAIME PATRICIO SARMIENTO LOPEZ </t>
  </si>
  <si>
    <t>1 SOBRE PARA MARIA AGUSTA  MERCHAN HELOU(MDT-DRTSPL-2024-1248-M)
1 SOBRE(ENVIA ENMA PALACIOS)
1 SOBRE PARA MIRIAM OLINDA PINTDO PEÑA(ENVIA MARIA ANDREA VERA)1 SOBRE CON ACTA D EDESCARGO N. 938</t>
  </si>
  <si>
    <t>1 SOBRE ENVIA ENMA PALACIOS
1 SOBRE CON ACTA DE DESCARGO N.  939</t>
  </si>
  <si>
    <t>ACTA DE DESCARGO N. 940</t>
  </si>
  <si>
    <t xml:space="preserve">1 SOBRE - ENVIA SANDRA TORRES </t>
  </si>
  <si>
    <t xml:space="preserve">SANDRA TORRES GUARNIZO </t>
  </si>
  <si>
    <t xml:space="preserve">1 SOBRE ENVIA ENMA PALACIOS
</t>
  </si>
  <si>
    <t>1 SOBRE ENVIA ENMA PALACIOS MACHALA.
1 SOBRE ENVIA MARLENE  REY-ZAMORA.
1 SOBRE CON ACTA DE DESCARGO N. 904
1 SOBRE (ENVIO DE EXPDIENTE PARA REFORMA DE ESTATUTO DE LA SOCIEDAD OBREROS VICENTINOS DE LOJA- ENVIA DIANA SANCHEZ - MDT-DRTSPL-2024-1217-M)</t>
  </si>
  <si>
    <t xml:space="preserve">ENTREGADO A: VERONICA </t>
  </si>
  <si>
    <t>11.45</t>
  </si>
  <si>
    <t xml:space="preserve">ENTREGADO A: R MALDONADO </t>
  </si>
  <si>
    <t xml:space="preserve">ENTREGADO A: SELLO </t>
  </si>
  <si>
    <t xml:space="preserve">ENTREGADO A: SOFIA AGUILERA  </t>
  </si>
  <si>
    <t xml:space="preserve">ENTREGADO A: DERLY MORALES  </t>
  </si>
  <si>
    <t xml:space="preserve">ENTREGADO A: FIRMA </t>
  </si>
  <si>
    <r>
      <t xml:space="preserve">2 SOBRES ENVIA ENMA PALACIOS
1 SOBRE PARA JANETH ENRIQUEZ(DOCUMENTOS GUARDERIA MES DE MAYO)
1 SOBRE PARA PATRICIO AGUILAR - ENVIA GLUBIS  ORTEGA.
1 SOBRE PARA ANDRES DAVID MURILLO - ENVIA DARWIN GUAJALA
</t>
    </r>
    <r>
      <rPr>
        <sz val="10"/>
        <color rgb="FFFF0000"/>
        <rFont val="Arial"/>
        <family val="2"/>
      </rPr>
      <t/>
    </r>
  </si>
  <si>
    <t>1 SOBRE - ACTAS DE ORDENES DE MOVILIZACION</t>
  </si>
  <si>
    <t xml:space="preserve"> BYRON RODRIGO LEON  AGUISACA</t>
  </si>
  <si>
    <t>Edgar Vinicio Salazar Campoverde</t>
  </si>
  <si>
    <t>1 SOBRE - MDT-DMLRA-2024-(DEVOLUCION DE VISTO BUENO)MDT-DPTSPOM-2024-2107-E</t>
  </si>
  <si>
    <t>1 SOBRE PARA MARCO VINICIO  CARCELEN CARCELEN-ENVIA FREDDY GUAMAN
1 SOBRE PARA JANETH ENRIQUEZ MONTENEGRO-ENVIA GABRIELA CABRERA 
1 SOBRE CON ACTA DE DESCARGO N. 986
1 SOBRE PARA PAOLA VILLARROEL - NOTIFICACION DE SUMARIO MDT-SSCRSSP-DRSA-SP-SA-2023-078-MEMO MDT-DRTSPL-2024-1345-M</t>
  </si>
  <si>
    <t xml:space="preserve">Andrea Jhovanna Procel Moreno </t>
  </si>
  <si>
    <t>1 SOBRE RESPUESTA A MEMORANDO MDT-DRTSPL-2024-4701-E</t>
  </si>
  <si>
    <t xml:space="preserve">DELEGACION PROVINCIAL DE TRABAJJO DE MACHALA </t>
  </si>
  <si>
    <t>ACTA DE DESCARGO N. 1010</t>
  </si>
  <si>
    <t xml:space="preserve">KLEVER HORACIO NARANJO GONZALEZ </t>
  </si>
  <si>
    <t xml:space="preserve">ENTREGADO A: ANTONNY </t>
  </si>
  <si>
    <t>1 SOBRE -ENVIA ENMA  PALACIOS 
 1 SOBRE CON ACTA DE DESCARGO N.1017</t>
  </si>
  <si>
    <t xml:space="preserve">1 SOBRE ENVIA ENMA ENMA PALACIOS </t>
  </si>
  <si>
    <t xml:space="preserve">SE ENVIA CON CRISTIAN PORTILLO </t>
  </si>
  <si>
    <t>DOCUMENTOS DE NOTIFICACION DEPRECATORIO</t>
  </si>
  <si>
    <t xml:space="preserve">DAVID ROMERO VARGAS </t>
  </si>
  <si>
    <t xml:space="preserve">CAÑAR </t>
  </si>
  <si>
    <t xml:space="preserve">DELEGACIÓN PROVINCIAL DE TRABAJO Y SERVICIO PÚBLICO DE CAÑAR </t>
  </si>
  <si>
    <t xml:space="preserve">AV. 16 DE ABRIL  ENTRE NAPO  Y BABAHOYO </t>
  </si>
  <si>
    <t xml:space="preserve">MARLENE REY CURAY </t>
  </si>
  <si>
    <t>1 SOBRE PARA PATRICIO AGUILAR - ENVIA MARLENE REY.
1 SOBRE PARA PATRICO AGUILAR - ENVIA ENMA PALACIOS.
1 SOBRE CON ACTA DE DESCARGO N. 1038
1 SOBRE PARA ANDRES DAVID MORILLO  ARROYO (5 ACCIONES  DE PERSONAL Y HORAS EXTRAS)</t>
  </si>
  <si>
    <t>ACTA DE DESCARGO 1039</t>
  </si>
  <si>
    <t>ACTA DE DESCARGO N. 1037</t>
  </si>
  <si>
    <t xml:space="preserve">Gabriela Cecibel Cabrera Leon </t>
  </si>
  <si>
    <t xml:space="preserve">DIANA ARACELY SILVA </t>
  </si>
  <si>
    <t>ACTA DE SUMINISTROS 
1 SOBRE PARA AMADA BEATRIZ PEREZ PEREZ (DEVOLUCION DE EXPEDIENTE MDT-DRTSPL-2024-1398-M)</t>
  </si>
  <si>
    <t>1 SOBRE PARA JOHN PALADINES ULLOA(DEVOLUCION EXPEDIENTE MDT-DRTSPL-2024-1400-M)
2 SOBRES PARA EMMA LOPEZ (DEVOLUCION EXPEDIENTE MDT-DRTSPL-20241403-M-MDT-DRTSPL-20241388-M)
1 SOBRE PATRICIO MALDONADO(MDT-DRTSPL-2024-1406-M)
1 SOBRE PARA DANILO CALERO (DEVOLUCION DE EXPEDIENTE MDT-DRTSPL-2024-1391 y 1392-M
1 SOBRE PAA WALTER PAREDES(MDT-DRTSPL-2024-1395-M)</t>
  </si>
  <si>
    <t xml:space="preserve">ENTREGADO A: LEONID PLASCENCIA </t>
  </si>
  <si>
    <t xml:space="preserve">ENTREGADO </t>
  </si>
  <si>
    <t>Acta descargo - 573
1 sobre para Miriam Pintado de Maria Vera
1 Sore para Talento Humano - remite Verónica Carballo contrato Kelvin Romero
1 sobre de elizabeth montero</t>
  </si>
  <si>
    <t>Enma Piedad Palacios Villacís - Jhuliana del Cisne  Suin  Narvaez - Oficinista</t>
  </si>
  <si>
    <t>1 SOBRE PARA SILVANA PAOLA  VILLAROEL CAMPOS(NOTIFICACION SUMARIO MDT-SSCRSSP-DRSASP-SA-2024-098 - MDT-DRTSPL-2024-1480-M)
1 SOBRE PARA MARCO CARCELEN CARCELEN- ENVIA FREDDY GUAMAN 
1 SOBE CON ACTA DE DESCARGO N. 1065</t>
  </si>
  <si>
    <t>1 SOBRE ENVIA ENMA PALACIOS
1 SOBRE CON ACTA DE DESCARGO N.  1066</t>
  </si>
  <si>
    <t xml:space="preserve">BYRON  RODRIGO  LEON AGUISACA </t>
  </si>
  <si>
    <t xml:space="preserve">1 SOBRE </t>
  </si>
  <si>
    <t xml:space="preserve">1 SOBRE PARA PATRICIO AGUILAR - REMITE ENMA PALACIOS
1 SOBRE CON ACTA DE DESCARGO N. 1086
1 SOBRE PARA MARIA AGUSTA MERCHAN (MDT-DRTSPL-2024-1441-1501,1504,1511, 1439-M- MDT-DRTSPL-2024-5176-E)
1 SOBRE PARA VERONICA FELIX- ENVIA NURY  PAREDES TORRES 
</t>
  </si>
  <si>
    <t>1 SOBRE -DEVOLUCION DE EXPEDIENTE MDT-DRTSPL-2024-1452-M
1 SOBRE ACTA D EDESCARGO N. 1087</t>
  </si>
  <si>
    <t xml:space="preserve">ENTREGADO A: JUAN SILVA </t>
  </si>
  <si>
    <t xml:space="preserve">DELEGACION PROVINCIAL DE TRABAJO DE MACHALA </t>
  </si>
  <si>
    <t xml:space="preserve">1 SOBRE - REMITE ENMA PALACIOS </t>
  </si>
  <si>
    <t xml:space="preserve">Enma Piedad Palacios Villacís </t>
  </si>
  <si>
    <t>1 SOBRE PARA PATRICIO AGUILAR - REMITE ENMA PALACIOS.
1 SOBRE CON ACTA DE DESCARGO N. 1116</t>
  </si>
  <si>
    <t xml:space="preserve">1 SOBRE - REMITE ENMA PALACIOS
1 SOBRE ACTA DE DESCARGO N.1115.  </t>
  </si>
  <si>
    <t>1 SOBRE - ENVIO DE VISTO BUENO MDT-DRTSPL-2024-1574-M</t>
  </si>
  <si>
    <t xml:space="preserve">ENTREGADO A: ENMA PALACIOS  </t>
  </si>
  <si>
    <t>1 SOBRE PARA ANDRES MURILLO ARROLLO- ENVIA ELIZBETH MONTERO
1 SOBRE PARA PATRICIO AGUILAR - ENVIA  ENMA PALACIOS 
1 SOBRE CON ACTA DE DESCARGO N. 1127</t>
  </si>
  <si>
    <t>1 SOBRE MDT-DRTSPL-2024-1570- PROYECTO DE CONTRATO COLECTIVO  N. 316789
1 SOBRE CON ACTA DE DESCARGO N. 1128</t>
  </si>
  <si>
    <t>1 SOBRE CON ACTA DE DESCARGO N. 1129</t>
  </si>
  <si>
    <t xml:space="preserve">PACIFICO FERMIN  HERRERA </t>
  </si>
  <si>
    <t xml:space="preserve">DELEGACIÓN PROVINCIAL DEL TRABAJO Y SERVICIO PÚBLICO DE EL ORO -PORTOVELO </t>
  </si>
  <si>
    <t>DELEGACIÓN PROVINCIAL DEL TRABAJO Y SERVICIO PÚBLICO DE EL ORO -MACHALA</t>
  </si>
  <si>
    <t xml:space="preserve">1 SOBRE ENVIA MARLENE REY 
1 SOBRE PARA MARIA AGUSTA MERCHAN- (MDT-DRTSPL-2024-1587-1583-M)
2 SOBRES PARA PATRICIO AGUILAR - ENVIA ENMA PALACIOS
1 SOBRE PARA JANETH ENRIQUEZ(DOCUMENTOS GUARDERIA MES DE JUNIO)
1 SOBRE  PARA ANDRES MURILLO - REMITE ELIZABETH MONTERO 
</t>
  </si>
  <si>
    <t xml:space="preserve">ENMA PALACIOS - FREDDY GUAMAN </t>
  </si>
  <si>
    <t xml:space="preserve">1 SOBRE PARA SANDRA LORENA  NOVILLO ORTIZ - 1 CD - OFICIO  MDT-DRTSPL-2024-4649-O-Y CERTIFICACION DE JUZGADO DE COACTIVAS </t>
  </si>
  <si>
    <t xml:space="preserve">SANDRA LORENA NOVILLO  ORTIZ </t>
  </si>
  <si>
    <t xml:space="preserve">SERVICIO DE RENTAS INTERNA </t>
  </si>
  <si>
    <t xml:space="preserve">AV. 25 DE JUNIO  KILOMETRO 11/2 VIA A PASAJE </t>
  </si>
  <si>
    <t xml:space="preserve">1 SOBRE ENVIA ENMA PALACIOS
1 SOBRE PARA CARLA MARIA CHONILLO RAMIREZ - ENVIA FREWDDY GUAMAN  </t>
  </si>
  <si>
    <t>05/0/2024</t>
  </si>
  <si>
    <t>1 SOBRE PARA PATRICIO  AGUILAR - REMITE MARLENE REY
1 SOBRE CON ACTA DE DESCARGO N.  1177</t>
  </si>
  <si>
    <t>1 SOBRE DEPRECATORIO(KELVIN BOLIVAR ROMERO )
1 SOBRE CON ACTA DE DESCARGO 1179</t>
  </si>
  <si>
    <t>05/0/2025</t>
  </si>
  <si>
    <t>ACTA DE DESCARGO N. 1180</t>
  </si>
  <si>
    <t>ACTA DE DESCARGO N. 1178</t>
  </si>
  <si>
    <t xml:space="preserve">ENMA PALACIOS - </t>
  </si>
  <si>
    <t>DIANA ARACELLY SOLIS SILBA</t>
  </si>
  <si>
    <t>1 SOBRE PARA PATRICIO AGUILAR- ENVIA ENMA PALACIOS
1 SOBRE PARA MIRIAM PINTADO PEÑA- ENVIA MARIA ANDREA VERA 
1 SOBRE PARA TALENTO HUMANO- ENVIA VERONICA CARBALLO 
1 CARTON - PLIEGO DE PETICIONES N.318513(MDT-DRTSPL-2024-1690-M.- PARA ALEXIS CRISTOBAL GARCIA ADUM</t>
  </si>
  <si>
    <t>1SOBRE PARA EMMA LOPEZ(MDT- DRTSPL-2024-1645-M)
1SOBRE PARA DANILO CALERO (MDT-DRTSPL-2024-1644-M)
1 SOBRE PARA JOHN PALADINESMDT-DRTSPL-2024-1642-M)
2 SOBRES PARA WALTER PAREDES OCHOA MDT-DRTSPL-2024-1647-1652-M)</t>
  </si>
  <si>
    <t>POTOVIEJO</t>
  </si>
  <si>
    <t xml:space="preserve">1 SOBRE ACTA DE DESCARGO N.1213
1 SOBRE PARA JESSICA CHICAIZA CHICAIZA- ENVIA PAUL CARRION  </t>
  </si>
  <si>
    <t xml:space="preserve">ACTA DE DESCARGO N.1214 </t>
  </si>
  <si>
    <t>CALLE LOS NARDOS Y AV. 15 DE ABRIL - CENTRO DE ATENCIÓN CIUDADANA</t>
  </si>
  <si>
    <t xml:space="preserve">1310278559 GARCIA DUEÑAS OSCAR  MARIANO / </t>
  </si>
  <si>
    <t>10.51</t>
  </si>
  <si>
    <t>ACTA DE DESCARGO N. 1235</t>
  </si>
  <si>
    <t>1 SOBRE PARA ANDRES MURILLO- ENVIA ELIZABETH MONTERO.
1 SOBRE PARA PATRICIO AGUILAR- ENVIA ENMA PALACIOS 
1 SOBRE CON ACTA DE DESCARGO N. 1236
1 SOBRE PARA MARIA AGUSTA MERCHAN(MDT-DRTSPL-2024-1747, 1737, 1699-M)</t>
  </si>
  <si>
    <t xml:space="preserve">Jhuliana del Cisne  Suin  Narvaez - Oficinista
Claudia Arboleda </t>
  </si>
  <si>
    <t>ACTA DE DESCARGO N. 1237
1 SOBRE PARA KELVIN  ROMEROMDT-DRTSPL-2024-1426-M-   MDT-DRTSPL-2024-5724, 5859, 5860-E;   MDT-DPTSPZCH-2024-0885, 0886-E) 
1 SOBRE VISTO BUENO N. MDT-DPTSPOM-2024-2107-E- MDT-DRTSPC-2024-1848-M(110 FOJAS)</t>
  </si>
  <si>
    <t>1 SOBRE ACTA DESCARGO 1256 - REMITE JHULIANA SUIN
1 SOBRE CORRECCIONES HORAS EXTRAS JUNIO - REMITE ELIZABETH MONTERO
1 SOBRE PARA MIRIAM OLINDA PINTADO PEÑA - REMITE MARIA ANDREA VERA
1 SOBRE PARA SECRETARÍA GENERAL - REMITE ENMA PALACIOS DE MACHALA</t>
  </si>
  <si>
    <t>Enma Palacios Villalcis</t>
  </si>
  <si>
    <t>DOCUMENTOS EXTERNOS</t>
  </si>
  <si>
    <t>1 SOBRE ACTA DE DESCARGO 1283</t>
  </si>
  <si>
    <t>JHOMAIRA GONSALEZ ANGULO</t>
  </si>
  <si>
    <t>1 SOBRE PARA MARIA ANDRE VERA - REMITE PAUL CARRION;
1 SOBRE PARA ENMA PALACIOS REMITE JHULIANA SUIN ACTA DESCARGO 1287;
1 SOBRE PARA KELVIN ROMERO REMITE CLAUDIA ARBOLEDA;
1 SOBRE PARA WILLIAMS MACIAS - REMITE PAUL CARRION</t>
  </si>
  <si>
    <t xml:space="preserve">1 SOBRE ACTA DE DESCARGO 1288 </t>
  </si>
  <si>
    <t>GONAZALO DIAZ Y ANTONIO JOSE DE SUCRE</t>
  </si>
  <si>
    <t>1 SOBRE PARA JESSICA CHICAIZA - REMITE WALTER PAREDES;
1 SOBRE PARA PATRICIO AGUILAR ACTA DESCARGO 353 - REMITE GLUBIS ORTEGA;
1 SOBRE PARA PATRICIO AGUILAR ACTA DESCARGO 22 - REMITE MARLENE REY;
1 SOBRE PARA JESSICA CHICAIZA - REMITE PAUL CARRION;
1 SOBRE PARA PATRICIO AGUILAR ACTA DE DESCARGO 124 REMITE JHOMAIRA GONSALEZ;
1 SOBRE PARA PATRICIO AGUILAR MEMORANDO MDT-DPTSPZCH-2024-0164-M DE SUMARIO MDT-SSCRSSP-DRSASP-SA-2024-075;
1 SOBRE PARA MARCO VINICIO CARCELEN - REMITE FREDDY GUAMAN;
1 - 2 CARPETAS Y MEMORANDO MDT-DRTSPL-2024-1806-M DE SUMARIO MDT-SSCRSSP-DRSASP-SA-2024-112 (NOTIFICACIÓN)</t>
  </si>
  <si>
    <t>NOTIFICACION DE SUMARIO SUMARIO MDT-SSCRSSP-DRSASP-SA-2024-152</t>
  </si>
  <si>
    <t>DEVOLUCION EXPEDIENTES: MEMORANDO MDT-DRTSPL-2024-1818-M</t>
  </si>
  <si>
    <t>Danilo Gabriel Calero Mora</t>
  </si>
  <si>
    <t>Vanessa Alexandra Moreta Bedoya</t>
  </si>
  <si>
    <t>DIRECCION DE RECURSOS Y SUMARIOS ADMINISTRATIVOS</t>
  </si>
  <si>
    <t>UNIDAD JUDICIAL MULTICOMPETENTE DEL CANTON CHINCHIPE</t>
  </si>
  <si>
    <t>CHINCHIPE</t>
  </si>
  <si>
    <t>AV. MANUEL RODRÍGUEZ Y AV. DEL EJERCITO, ESQUINA</t>
  </si>
  <si>
    <t>OFICIOS: MDT-DRTSPC-2024-4406-O, MDT-DRTSPC-2024-4417-O, MDT-DRTSPC-2024-4407-O, MDT-DRTSPC-2024-4327-O, MDT-DRTSPC-2024-4326-O, MDT-DRTSPC-2024-4328-O, MDT-DRTSPC-2024-4331-O, MDT-DRTSPC-2024-4332-O, MDT-DRTSPC-2024-4333-O, MDT-DRTSPC-2024-4335-O</t>
  </si>
  <si>
    <t>ACTA DE DESCARGO 1316; 2 SOBRES PARA PATRICIO AGUILAR REMITE ENMA PALACIOS; 1 SOBRE PARA MIRIAM OLINDA PINTADO PEÑA REMITEO MARIA ANDREA VERA MOSQUERA</t>
  </si>
  <si>
    <t>Elizabeth Noemí Montero Romero</t>
  </si>
  <si>
    <t xml:space="preserve">PAZ Y SALVO: ERAZO TIGRE MAYRA PRISCILA </t>
  </si>
  <si>
    <t>ANDRES DAVID MURILLO ARROYO</t>
  </si>
  <si>
    <t>DIRECIÓN DE ADMINISTRACIÓN DEL TALENTO HUMANO</t>
  </si>
  <si>
    <t>ALVARO FABIAN SARAGURO MARTINEZ</t>
  </si>
  <si>
    <t>DEVOLUCION EXPEDIENTES MEMORANDO MDT-DRTSPL-2024-1852-M</t>
  </si>
  <si>
    <t>ACTA DE DESCARGO 1336
1 SOBRE PARA ING. MANUEL ANGEL VACA ROGEL
1 SOBRE PARA ANDRES DAVID MURILLO ARROYO Y 1 SOBRE QUE REMITE ENMA PALACIOS DE MACHALA</t>
  </si>
  <si>
    <t>ACTA DESCARGO NO. 1338
1 SOBRE QUE REMITE ENMA PALACIOS DE MACHALA</t>
  </si>
  <si>
    <t>2 SOBRES PARA KELVIN ROMERO QUE REMITE CLAUDIA ARBOLEDA
1 SOBRE ACTA DE DESCARGO 1337, 1 SOBRE PARA LISBETH VIVANCO REMITE PAUL CARRION</t>
  </si>
  <si>
    <t>ACTA DE DESCARGO 1342
1 SOBRE PARA GESTION DOCUMENTAL Y ARCHIVO - REMITE: DELEGACIÓN DE ZAMORA</t>
  </si>
  <si>
    <t xml:space="preserve">1 SOBRE PARA MIRIAM PINTADO  PEÑA  - REMITE DELEGACION DE MACHALA 
1 SOBRE PARA GESTION DOCUMENTAL Y ARCHIVO - REMITE: DELEGACIÓN DE MACHALA
1 SOBRE CON ACTA DE DESCARGO N. 1373
1 SOBRE PARA MARIA MERCHAN HELOU(MDT-DRTSPL-2024-1893, 1892-M- MDT-DRTSPL-2024-6361-E23 FOJAS))
</t>
  </si>
  <si>
    <t>ACTA DE DESCARGO N. 1374</t>
  </si>
  <si>
    <t>ENTREGADO A:IVAN RODRIGUEZ</t>
  </si>
  <si>
    <t>09.31</t>
  </si>
  <si>
    <t xml:space="preserve">ENTREGADO A: ENMA PALACIOS S  </t>
  </si>
  <si>
    <t>15.45</t>
  </si>
  <si>
    <t xml:space="preserve">ENTREGADO A:VERONICA FELIX </t>
  </si>
  <si>
    <t xml:space="preserve">ENTREGADO A: PACIFICO HERRERA </t>
  </si>
  <si>
    <t xml:space="preserve">1 SOBRE  PARA KELVIN ROMERO  REMITE CLAUDIA ARBOLEDA
1 SOBRE PARA EMMA LOPEZ - DEVOLUCION DE EXPEDIENTE TRAMITE DE VISTO BUENO N.329201- MDT-DRTSPL-2024-1907-M- REMITE SANDRA TORRES)
1 SOBRE PARA LEONID PLASCENCIA(MDT-DPTSPOM-2024-5092-E- REMITE ANDREA PROCEL)
1 SOBRE CON ACTA DE DESCARGO N. 1397
</t>
  </si>
  <si>
    <t xml:space="preserve">1 SOBRE PARA GESTION DOCUMENTAL Y ARCHIVO - REMITE: DELEGACIÓN DE MACHALA
1 SOBRE CON ACTA DE DESCARGO N. 1396
1 SOBRE PARA GESTION DOCUEMENTAL Y ARCHIVO- REMITE DELEGACION DE ZAMORA 
1 SOBRE PARA JANETH ENRIQUEZ- REMITE JORGE JIMENEZ </t>
  </si>
  <si>
    <t xml:space="preserve">ENTREGADO A:MARCO GRANDA </t>
  </si>
  <si>
    <t>08.54</t>
  </si>
  <si>
    <t>ENTREGADO A: SELLO DE LA INSTITUCION</t>
  </si>
  <si>
    <t>ENTREGADO A: ANTHONY PIGUAVI</t>
  </si>
  <si>
    <t xml:space="preserve">YANELA ELIZABETH TORRES CALDERON </t>
  </si>
  <si>
    <t>JANNETH ENRIQUEZ MONTENEGRO</t>
  </si>
  <si>
    <t xml:space="preserve">1 SOBRE DOCUEMNTACION GUARDERIA JULIO </t>
  </si>
  <si>
    <t xml:space="preserve">1 SOBRE PARA GESTION DOCUMENTAL Y ARCHIVO - REMITE: DELEGACIÓN DE ZAMORA.
2 SOBRES PARA GESTION DOCUMENTAL Y ARCHIVO - REMITE: DELEGACIÓN DE MACHALA
1 SOBRE PARA ANDRES MURILLO ARROYO- REMITE ELIZABETH MONTERO
1 SOBRE CON ACTA DE DESCARGO N. 1434.
</t>
  </si>
  <si>
    <t>2 SOBRES PARA GESTION DOCUMENTAL Y ARCHIVO - REMITE: DELEGACIÓN DE MACHALA.
1 SOBRE PARA MIRIAM PINTADO PEÑA- REMITE MARIA ANDREA VERA 
1 SOBRE CON ACTA DE DESCARGO N. 1458</t>
  </si>
  <si>
    <t>1 SOBRE PARA KEVIN ROMERO - REMITE CLAUDIA ARBOLEDA
1 SOBRE PARA WALTER PAREDES(DEVOLUCION DE EXPEDIENTE MDT-DRTSPL-2024-1929-M- REMITE SANDRA TORRES)
1 SOBRE CON ACTA DE DESCARGO N. 1435
1 SOBRE PARA EMMA LOPEZ (MDT-DRTSPL-2024-1943-M ENVIO DE EXTERNO -MDT-DPTSPOM-2024-5234-E-  CON RELACION A VISTO BUENO N. 329201- ENVIA SANDRA TORRES)
1 SOBRE PARA PATRICIO MALDONADO DEVOLUCION DE EXPEDIENTE MDT-DRTSPL-2024-1339-M-Inspección Aleatoria Nro. MDT-DR7-MCH-2020-46-PJM,  ENVIA SANDRA TORRES.</t>
  </si>
  <si>
    <t>1 SOBRE PARA GESTION DOCUMENTAL Y ARCHIVO - REMITE: DELEGACIÓN DE MACHALA.
1 SOBRE PARA GESTION DOCUMENTAL Y ARCHIVO - REMITE: DELEGACIÓN DE ZAMORA.
1 SOBRE CON ACTA DE DESCARGO N. 1478</t>
  </si>
  <si>
    <t xml:space="preserve">JHULIANA DEL CISNE SUIN </t>
  </si>
  <si>
    <t>1 SOBRE  CON ACTA DE DESCARGO N. 1477.
1 SOBRE PARA WALTER PAREDES MEORANDOS MDT-DRTSPL-2024-1984-M; MDT-DRTSPL-2024-2007-M REMITE SANDRA TORRES
1 PARA EMMA LOPEZ ABARCA MEMORANDO MDT-DRTSPL-2024-1998-VISTO BUENO 329016 REMITE SANDRA TORRES</t>
  </si>
  <si>
    <t>ACTA DE DESCARGO N. 1475
1 SOBRE QUE REMITE ENMA PALACIOS DE MACHALA</t>
  </si>
  <si>
    <t>ACTA DE DESCARGO 1476</t>
  </si>
  <si>
    <t xml:space="preserve">GONZALO DIAZ  Y ANTONIO JOSE DE SUCRE </t>
  </si>
  <si>
    <t xml:space="preserve">DOCUMENTACION </t>
  </si>
  <si>
    <t xml:space="preserve">JHON GONZALO ESPINOSA </t>
  </si>
  <si>
    <t>ACTA DE DESCARGO 1494</t>
  </si>
  <si>
    <t xml:space="preserve">ENTREGADO A: MARIA BELEN MONTESDEOCA </t>
  </si>
  <si>
    <t>ENTREGADO A: MERCEDES PAZMIÑO</t>
  </si>
  <si>
    <t xml:space="preserve">ENTREGADO A: ENMA PALACIOS   </t>
  </si>
  <si>
    <t>9.52</t>
  </si>
  <si>
    <t xml:space="preserve">ENTREGADO A: MARLENE REY  </t>
  </si>
  <si>
    <t>ACTA DE DESCARGO 953 DE MACHALA
ACTA DE DESCARGO 1519 - DE LOJA</t>
  </si>
  <si>
    <t>ACTA DE DESCARGO N. 1535</t>
  </si>
  <si>
    <t>ACTA DE DESCARGO N. 1536</t>
  </si>
  <si>
    <t xml:space="preserve">1 SOBRE PARA CARLA MARIA CHONILLO RAMIREZ- REMITE MARIA ANDREA VERA 
1 SOBRE CON ACTA DE DESCARGO N. 1537
</t>
  </si>
  <si>
    <t>1 SOBRE PARA SANDRA PIZARRO(MDT-DRTSPL-2024-2042-2041-E(ASOCIACION DE MORADORES DE LA LOTIZACION LOS ANGELES- ASO. COMERCIANTES MINORISTAS  CENTRO COMERCIAL LAS PALMERAS)
1 SOBRE PARA MIRIAN OLINDA PINTADO- REMITE MARIA ANDREA.
1 SOBRE PARA GESTION DOCUMENTAL Y ARCHIVO- REMITE DELEGACION DE MACHALA.
ACTA DE DESCARGO N. 1534
ACTA DE DESCARGO N. - REMITE DIANA SANCHEZ - MDT-DPTSPOM-2024-4289-E</t>
  </si>
  <si>
    <t>1 SOBRE PARA KELVIN ROMERO REMITE CLAUDIA ARBOLEDA
1 SOBRE PARA ENMA PALACIOS REMITE JHIULIANA SUIN</t>
  </si>
  <si>
    <t xml:space="preserve">1 SOBRE ACCIONES DE PERSONAL - DECLARACIONES JURAMENTADAS Y HORAS EXTRAS </t>
  </si>
  <si>
    <t xml:space="preserve">ELIZABETH MONTERO RMERO </t>
  </si>
  <si>
    <t xml:space="preserve">DIRECCION  DE ADMINISTRACION DEL TALENTO HUMANO </t>
  </si>
  <si>
    <t xml:space="preserve">DELEGACION PROVINCIAL DE TRABAJO  Y SERVICIO PUBLICO  DE EL ORO </t>
  </si>
  <si>
    <t xml:space="preserve">1 SOBRE PARA LEONID PLASCENCIA (RESPUESTA A MEMORANDO MDT-DPTSPOM-2024-5388-E, 5450-E, 5451-E, 5429, 5428-E)- REMITE ANDREA PROCEL
1 SOBRE PARA WILLIANS MACIAS - ENVIA PAUL CARRION 
1 SOBRE DEVOLUCION DE VISTO BUENO N. 331212-2024-CALI SISALIMA  JOSE JAVIER- REMITE JAMIL ROJAS </t>
  </si>
  <si>
    <t xml:space="preserve">1 SOBRE  PARA DERLY MORALES </t>
  </si>
  <si>
    <t>ACTA DE DESCARGO N. 1562</t>
  </si>
  <si>
    <t xml:space="preserve">JHULIANA SUIN NARVAEZ </t>
  </si>
  <si>
    <t xml:space="preserve">2 SOBRES PARA GESTION DOCUMENTAL Y ARCHIVO- REMITE DELEGACION DE MACHALA.
1 SOBRE PARA MIRIAM OLINDA PINTADO PEÑA- REMITE MARIA ANDREA VERA. 
1 SOBRE CON ACTA DE DESCARGO N. 1561
</t>
  </si>
  <si>
    <t>1SOBRE PARA GESTION DOCUMENTAL Y ARCHIVO- REMITE DELEGACION DE ZAMORA</t>
  </si>
  <si>
    <t>30/0/2024</t>
  </si>
  <si>
    <t xml:space="preserve">KELVIN BOLIVAR ROMERO ORDOÑEZ </t>
  </si>
  <si>
    <t>CLAUDIA ARBOLEDA GUERRERO</t>
  </si>
  <si>
    <t>1 SOBRE PARA GESTION DOCUMENTAL Y ARCHIVO- REMITE DELEGACION DE MACHALA 
1 SOBRE PARA JANETH ENRIQUEZ</t>
  </si>
  <si>
    <t>ENTREGADO A: BELEN MONTESDEOCA</t>
  </si>
  <si>
    <t>28/2024</t>
  </si>
  <si>
    <t xml:space="preserve">ENTREGADO A: NATHALY OLIVER  </t>
  </si>
  <si>
    <t xml:space="preserve">MAYTE ELIZALDE </t>
  </si>
  <si>
    <t xml:space="preserve">MARLON RAY SANTORUM MONTERO </t>
  </si>
  <si>
    <t xml:space="preserve">ALAMOR </t>
  </si>
  <si>
    <t xml:space="preserve">UNIDAD JUDICIAL MULTICOMPETENTE DEL CANTON PUYANGO </t>
  </si>
  <si>
    <t>LUIS FRÍAS Y 10 DE AGOSTO (JUNTO A FISCALIA)</t>
  </si>
  <si>
    <t>1 SOBRE- MDT-DRTSPL-2024-6376-O- MDT-DRTSPL-2024-7265-E</t>
  </si>
  <si>
    <t>1 SOBRE CON ACTA DE DESCARGO N. 1599
1 SOBRE  PARA ANDRES DAVID MURILLO ARROYO- REMITE ELIZABETH MONTERO - HORAS EXTRAS.</t>
  </si>
  <si>
    <t>1 SOBRE CON ACTA DE DESCARGO N.1600</t>
  </si>
  <si>
    <t xml:space="preserve">MARIA BELEN MONTESDEOCA </t>
  </si>
  <si>
    <t>HUMBERTO OSWALDO SARITAMA NAULA</t>
  </si>
  <si>
    <t xml:space="preserve">CHAGUARPAMBA </t>
  </si>
  <si>
    <t>JUZGADO MULTICOMPETENTE  DEL CANTON CHAGUARPAMBA</t>
  </si>
  <si>
    <t>CALLE DIEZ DE AGOSTO  Y VIA A LA COSTA SN</t>
  </si>
  <si>
    <t xml:space="preserve">MAYTE ELIZALDE VIVANCO </t>
  </si>
  <si>
    <t>NOTIFICACION DE OFICIOS MDT-DRTSPL-2024-6439-6436-6440-O</t>
  </si>
  <si>
    <t>ACTA DE DESCARGO N. 1615</t>
  </si>
  <si>
    <t>ACTA DE DESCARGO N. 1616</t>
  </si>
  <si>
    <t>1 SOBRE PARA LEONIDAD  PLASCENCIA - RESPUESTA A MEMORANDO MDT-DPTSPOM-2024-5382-E(12 TITULOS- MDT-DPTSPOM-2024-5671-E(65 TITULOS)
1 SOBRE PARA KELVIN  ROMERO - REMITECLAUDIA ARBOLEDA.
1 SOBRE CON ACTA DE DESCARGO N. 1617</t>
  </si>
  <si>
    <t>1 SOBRE PARA SANDRA GISELE PIZARRO GRANDA(REFORMA DE ESTATUTOS EMPLEADOS GAD  MUNICIPAL DE YANZATZA - COMITÉ DE EMPRESA DE LOS TRABAJADORES EMAPAS EP-MDT-DRTSPL-2024-2173-2181-M
1SOBRE PARA GESTION DOCUMENTAL Y ARCHIVO- REMITE DELEGACION DE MACHALA.
1SOBRE PARA GESTION DOCUMENTAL Y ARCHIVO- REMITE DELEGACION DE NAPO.
1 SOBRE PARA MARCO ARCELEN - REMITE DELÑEGACION DE ZAMORA
1 SOBRE CON ACTA DE DESCARGO N. 1614
1 SOBRE PARA SILVANA PAOLA VILLAROEL CAMPOS- NOTIFICACION DE SUMARIO ADMINISTRATIVO MDT-SSCRSSP-DRSASP-SA-2024-247(6825)MDT-DRTSPL-2024-2185-M</t>
  </si>
  <si>
    <t xml:space="preserve">1  SOBRE CON HORAS EXTRAS </t>
  </si>
  <si>
    <t xml:space="preserve">ANDRES DAVID  MURILLO ARROYO </t>
  </si>
  <si>
    <t xml:space="preserve">DIRECCIÓN DE ADMINISTRACION DE TALENTO HUMANO  </t>
  </si>
  <si>
    <t xml:space="preserve">CRISTIAN PORTILLO </t>
  </si>
  <si>
    <t>1 SOBRE  MEMORANDO MDT-DRTSPL-2024-2198-M</t>
  </si>
  <si>
    <t xml:space="preserve">ENTREGADO A: CESAR ARPI  </t>
  </si>
  <si>
    <t xml:space="preserve">JHULINA SUIN </t>
  </si>
  <si>
    <t>1 SOBRE  CON ACTA DE DESCARGO N. 1628</t>
  </si>
  <si>
    <t xml:space="preserve">1 SOBRE ACTA DE ENTREGA DE NEUMATICOS 
1 SOBRE PARA DIANA VALLADAREZ MDT-DRTSPL-2024-2213-M(MDT-DSSTGIR-CMPL-2024-0019-CRISTIAN PORTILLO </t>
  </si>
  <si>
    <t xml:space="preserve">PATRICIO JAVIER MALDONADO DUTAN </t>
  </si>
  <si>
    <t>1 SOBRE MDT-DRTSPL-2024-2229-M</t>
  </si>
  <si>
    <t xml:space="preserve">ENMA PALACIOS </t>
  </si>
  <si>
    <t xml:space="preserve">1 SOBRE PARA MIRIAM OLINDA PINTADO PEÑA-REMITE DELEGACION MACHALA
1 SOBRE PARA GESTION DOCUMENTAL Y ARCHIVO- REMITE DELEGACION MACHALA
1 SOBRE CON CTA DE DESCARGO N. 1646
</t>
  </si>
  <si>
    <t>1 SOBRE REMITE DELEGACION DE MACHALA 
1 SOBRE CON ACTA DE DESCARGO N. 1645</t>
  </si>
  <si>
    <t xml:space="preserve">ENTREGADO A: SELLO DE LA UNIDAD JUDICIAL </t>
  </si>
  <si>
    <t xml:space="preserve">ENTREGADO A:BALEXANDRA PUGLLA </t>
  </si>
  <si>
    <t xml:space="preserve">ENTREGADO A: DIANA SOLIS </t>
  </si>
  <si>
    <t>10.55</t>
  </si>
  <si>
    <t xml:space="preserve">ENTREGADO A:MARLENE REY CURAY </t>
  </si>
  <si>
    <t xml:space="preserve">1 SOBRE PARA GESTION DOCUMENTAL Y ARCHIVO - REMITE DELEGACION DE MACHALA.
</t>
  </si>
  <si>
    <t xml:space="preserve">1 SOBRE - REMITE DELEGACION DE MACHALA </t>
  </si>
  <si>
    <t>2 SOBRES MDT-DRTSPL-2024-2240-M</t>
  </si>
  <si>
    <t>ACTA DE DESCARGO N. 1659</t>
  </si>
  <si>
    <t>ACTA DE DESCARGO N. 1661</t>
  </si>
  <si>
    <t xml:space="preserve">ACTA DE DESCARGO N. 1662
1 SOBRE PARA KELVIN  ROMERO- REMITE CLAUDIA ARBOLEDA 
1 SOBRE PARA DIANA BALLADARES(MDT-DRTSPL-2024-2264-M-INSPECCION MDT-DSSTGIR-CMPL-2024-0063- REMITE CRISTIAN PORTILLO </t>
  </si>
  <si>
    <t>1 SOBRE COn ACTA DE DESCARGO N. 1660
1 SOBRE PARA MARCO VINICIO CARCELEN - REMITE  FREDDY GUAMAN 
1 SOBRE PARA SANDRA PIZARROINFORME DE APROBACION DE ESTATUTOS Y OTORGGAMNIENTO DE PERSONERIA JURIDICA DE LA ASOCIACION DE EMPLEADOS DEL GOBIERNO AUTONOMO DESCENTRALIZADO MUNICIPAL DE ZARUMA-MDT-DRTSPL-2024-2243-M - REMITE ROBERTO RIOFRIO.
1 SOBRE PARA SANDRA PIZARRO(MDT-DRTSPL-2024-2267-M)-REMITE MAYTE ELIZALDE 
1 SOBRE PARA SANDRA PIZARRO(EXPEDIENTE ORIGINAL MDT-DGDA-2024-2264-E CON MEMORANDO MDT-DRTSPL-2024-2269-M)- REMITE DIANA SANCHEZ</t>
  </si>
  <si>
    <t>1 SOBRE ACTA DE DESCARGO 1697- DE LOJA
1 SOBRE ACTA DE DESCARGO 1073 - DE MACHALA</t>
  </si>
  <si>
    <t>ACTA 1074: MDT-DPTSPOM-2024-5915-E</t>
  </si>
  <si>
    <t>1 SOBRE QUE REMITE ENMA PALACIOS DE MACHALA</t>
  </si>
  <si>
    <t xml:space="preserve"> AV QUITO Y PRIMERO DE MAYO</t>
  </si>
  <si>
    <t>Maria Elizabeth Castillo Villalta</t>
  </si>
  <si>
    <t>ING. LUPE ELIZABETH SAMANIEGO VEINTIMILLA</t>
  </si>
  <si>
    <t>ZARUMA</t>
  </si>
  <si>
    <t>DITRITO 07D03 ZARUMA EDUCACIÓN</t>
  </si>
  <si>
    <t>1 SOBRE: ACTAS ESTUDIO DE CONTROL TÉCNICO DIRECCION DISTRITAL 07D03 ZARUMA EDUCACIÓN</t>
  </si>
  <si>
    <t xml:space="preserve">AVDA. EL SEXMO JUNTO A LA EEB GBRIELA MISTRAL, PISO 2.
072973640 EXT. 1004 </t>
  </si>
  <si>
    <t>1 SOBRE PARA LEONID PLASCENCIA - REMITE ANDREA PROCEL
2 SOBRES PARA KELVIN ROMERO REMITE CLAUDIA ARBOLEDA
1 SOBRE PARA JOHN PALADINES ULLOA REMITE SANDRA TORRES DEVOL EXPEDIENTE MEMORANDO MDT-DRTSPL-2024-2356-M</t>
  </si>
  <si>
    <t>1 SOBRE QUE REMITE ENMA PALACIOS DE MACHALA
1 SOBRE ACTA DESCARGO 1729 - REMITE YANELA TORRES - LOJA</t>
  </si>
  <si>
    <t>1 SOBRE PARA PATRICIO AGUILAR REMITE ENMA PALACIOS
1 SOBREACTA DE DESCARGO 1727 - PARA MARIA BELEN MONTESDEOCA REMITE YANELA TORRES  - LOJA</t>
  </si>
  <si>
    <t>1 SOBRE ACTA DE DESCARGO 1728</t>
  </si>
  <si>
    <t xml:space="preserve">1 SOBRE PARA ADRIANA YASMIN ANDRADE PEÑARANDA - DIRECCION DE RECURSOS Y SUMARIOS - REMITE ROMMEL MANJARREZ MEMORANDO MDT-DRTSPL-2024-1008-M
1 SOBRE ACTA DESCARGO 1748 </t>
  </si>
  <si>
    <t>1 SOBRE PARA KELVIN ROMERO REMITE CLAUDIA ARBOLEDA</t>
  </si>
  <si>
    <t>1 SOBRE PARA ANDREA KARLINA AGUILAR SALAZAR ACTA DESCARGO 1686
1 SOBRE PARA ALVARO SARAGURO REMITE SANDRA TORRES GUARNIZO MEMORANDO MDT-DRTSPL-2408-M- DEVOLUCIONES</t>
  </si>
  <si>
    <t>PACIFICO FERMIN  HERRERA MALLA</t>
  </si>
  <si>
    <t>AMADA BEATRIZ PEREZ PEREZ</t>
  </si>
  <si>
    <t>1 SOBRE PARA AMADA BEATRIZ PEREZ PEREZ REMITE SANDRA TORRES GUARNIZO - DEVOLUCIONES MEMORANDO MDT-DRTSPL-2024-2405-M</t>
  </si>
  <si>
    <t>2 SOBRES PARA PATRICIO AGUILAR - REMITE ENMA PALACIOS
1 ACTA DESCARGO 1768: 7952-E. 7984-E, 8021-E, 8036-E, POM 6178-E</t>
  </si>
  <si>
    <t>1 SOBRE QUE REMITE ENMA PALACIOS</t>
  </si>
  <si>
    <t xml:space="preserve">1 SOBRE CON ACTA DE DESCARGO N. </t>
  </si>
  <si>
    <t>1 SOBRE CON ACTAS DE DESCARGO N. 1738-1749-1756-1766-1775</t>
  </si>
  <si>
    <t xml:space="preserve">ANDREA KARLINA AGUILAR SALAZAR </t>
  </si>
  <si>
    <t xml:space="preserve">PORTOVELO </t>
  </si>
  <si>
    <t xml:space="preserve">DELEGACION PROVINCIAL DE TRABAJO  Y SERVICIO PUBLICO  DE PORTOVELO </t>
  </si>
  <si>
    <t xml:space="preserve">ELIZABETH MONTERO - CUEVA CUEVA DANILO </t>
  </si>
  <si>
    <t>1 SOBRE PARA  ANDRES MURILLO ARROYO 
1 SOBRE PARA ADRIANA ANDRADE PEÑARANDA(MDT-DRTSPL-2024-2448-M)</t>
  </si>
  <si>
    <t>RESPUESTA A MEMORANDO  MDT-DPTSPOM-2024-6269-E(73 CARPETAS) MDT-DPTSPOM-2024-6159-E(1 TITULO)</t>
  </si>
  <si>
    <t>ENTREGADO A LILIA QUEZADA</t>
  </si>
  <si>
    <t xml:space="preserve">ENTREGADO A ALEXIS POVEDA </t>
  </si>
  <si>
    <t xml:space="preserve">ENTREGADO A MARIA BELEN MONTESDEOCA </t>
  </si>
  <si>
    <t xml:space="preserve">ENTREGADO A CESAR ARPI </t>
  </si>
  <si>
    <t xml:space="preserve">ENTREGADO A. SELLO DE LA INSTITUCION </t>
  </si>
  <si>
    <t xml:space="preserve">ENTREGADO A ENMA PALACIOS </t>
  </si>
  <si>
    <t xml:space="preserve">ENTREGADO A SELLO DE LA INSTITUCION </t>
  </si>
  <si>
    <t xml:space="preserve">ENTREGADO A PACIFICO HERRERA </t>
  </si>
  <si>
    <t xml:space="preserve">ENTREGADO A VERONICA FELIX </t>
  </si>
  <si>
    <t xml:space="preserve">ENTREGADO A JHOMAYRA GONZALEZ </t>
  </si>
  <si>
    <t xml:space="preserve">ENTREGADO A MARLENE REY </t>
  </si>
  <si>
    <t xml:space="preserve">ENTREGADO A VERONICA FELIIX </t>
  </si>
  <si>
    <t xml:space="preserve">ENTREGADO A DERLY MORALES </t>
  </si>
  <si>
    <t xml:space="preserve">ENTREGADO SELLO DE LA INSTITUCION </t>
  </si>
  <si>
    <t xml:space="preserve">RECIBE SORAYA MONTOYA </t>
  </si>
  <si>
    <t xml:space="preserve">ELIZABETH MONTERO </t>
  </si>
  <si>
    <t>1 SOBRE PARA ANDRES DAVID MURILLO  ARROYO (HORAS  ESTRAS MES DE SEPTIEMBRE</t>
  </si>
  <si>
    <t>ANFRES DAVID  MURILLO ARROYO</t>
  </si>
  <si>
    <t xml:space="preserve">DIRECCION DE ADMINISTRACION  DE TALENTO HUMANO </t>
  </si>
  <si>
    <t xml:space="preserve">1 SOBRE REMITE DELEGACION DE ZAMORA </t>
  </si>
  <si>
    <t xml:space="preserve">1 SOBRE REMITRE DELAGACION DE MACHALA </t>
  </si>
  <si>
    <t>1 SOBRE PARA JANETH  ENRIQUEZ(DOCUEMENTACION DE GUARDERIA MES DE SEPTIEMBRE)
1 SOBRE PARA ANDRES MURILLO ARROYO(HORAS EXTRAS SEPTIEMBRE, WILLAN MACIAS)
1 SOBRE PARA GESTION DOCUMENTAL Y ARCHIVO- REMITE DELEGACION DE ZAMORA.
 SOBRE PARA GESTION DOCUMENTAL Y ARCHIVO- REMITE DELEGACION DE MACHALA.
1 SOBRE  CON ACTA DE DESCARO N. 1811</t>
  </si>
  <si>
    <t>1 SOBRE CON ACTA DE DESCARGO N. 1812</t>
  </si>
  <si>
    <t>1 SOBRE CON ACTA DE DESCARGO N. 1813</t>
  </si>
  <si>
    <t xml:space="preserve">PAUL CARRION VIVANCO </t>
  </si>
  <si>
    <t>1 SOBRE INFORME DE SINIESTRO</t>
  </si>
  <si>
    <t>CLARA ESTHER  VILLACRES  GAVILANES</t>
  </si>
  <si>
    <t xml:space="preserve">DIRECCION REGIONAL DE TRABAJO Y SERVICIO PUBLICO DE QUITO </t>
  </si>
  <si>
    <t xml:space="preserve">EMMA LOPEZ ABARCA </t>
  </si>
  <si>
    <t>1 SOBRE - DEVOLUCION  DE EXPEDIENTE  MEMORANDO MDT-DRTSPL-2024-2542-M</t>
  </si>
  <si>
    <t>1 SOBRE PARA GESTION DOCUMENTAL Y ARCHIVO - REMITE DELEGACION DE MACHALA.
1 SOBRE PARA MIRIAN PINRTADO PEÑA- REMITE DELEGACION DE MACHALA.
ACTA DE DESCARGO N. 1839.</t>
  </si>
  <si>
    <t>1 SOBRE  PARA LEONID PLASCENCIA(MDT-DPTSPOM-20246233-E(16 CARPETAS), MDT-DPTSPOM-2024-6260-E(88 FOJAS, 7 CARPETAS)
ACTA DE DESCARGO N. 1837.</t>
  </si>
  <si>
    <t>ACTA D EDESCARGO N. 1840</t>
  </si>
  <si>
    <t>ACTA DE DESCARGO N. 1838</t>
  </si>
  <si>
    <t>ACTAS DE DESCARGO N. 1786,1794,1801,1821</t>
  </si>
  <si>
    <t>1 SOBRE PARA ALVARO SARAGURO( MDT-DRTSPL-20242606-M-DEVOLUCION DE EXPEDIENTE.</t>
  </si>
  <si>
    <t>1 SOBRE PARA PATRICIO MALDONADO(MDT-DRTSPL-2024-2608-M)
1 SOBRE PARA JHON PALADINES ULLOA(MDT-DRTSPL-2024-2609-M)
1 SOBRE PARA ENMA LOPEZ ABARCA(MDT-DRTSPL-2024-2612 Y 2607-M)</t>
  </si>
  <si>
    <t>1 SOBRE PARA JANETHENRIQUEZ MONTENEGRO (DOCUMENTACION GUARDERIA MES DE SEPTIEMBRE)- REMITE GABRIELA CABERA.
1 SOBRE CON ACTA DE DESCARGO N. 1834
1 SOBRE PARA ORGANIZACIONES LABORALES (MDT-DRTSPL-2024-2615-M, COLEGIO DE PROFESIONALES DE INGENIEROS EN ALIMENTOS. )</t>
  </si>
  <si>
    <t xml:space="preserve">ENMAPALACIOS </t>
  </si>
  <si>
    <t xml:space="preserve">1 SOBRE PARA CESAR ARPI </t>
  </si>
  <si>
    <t xml:space="preserve">1 SOBRE PARA GESTION DOCUMENTAL Y ARCHIVO - REMITE DELEGACION  DE MACHALA.
1 SOBRE PARA ANABEL SANDOVAL - REMITE  ANDREA MORILLO. 
1 SOBRE PARA BYRON ZAMORA(CHALECO MORADO)- REMITE ROBERTO RIOFRIO 
</t>
  </si>
  <si>
    <t xml:space="preserve">ENTREGADO A LEONID JIFFREY PLASCENCIA </t>
  </si>
  <si>
    <t xml:space="preserve">ENTREGADO A. MARJORIE RUEDA </t>
  </si>
  <si>
    <t xml:space="preserve">1 SOBRE -  PARA PATRICIO MALDONADO-DEVOLUCION DE EXPEDIENTE MDT-DRTSPL-2024-2642-M- REMITE SANDRA TORRES 
1 SOBRE CON ACTA DE DESCARGO N. (1859,1883,1884)
1 SOBRE PARA LEONID PLASCENCIA(MDT-DPTSPOM-2024-6436-M, 1 TITULO)-REMITE ANDREA PROCEL </t>
  </si>
  <si>
    <t>1 SOBRE CON ACTAS DE DESCARGO N. 1841,1869,1858)</t>
  </si>
  <si>
    <t>1 SOBRE CON ACTAS D EDESCARGO N. (1846,1857,1879)</t>
  </si>
  <si>
    <t>1 SOBRE PARA GESTION DOCUMENTAL Y ARCHIVO - REMITE DELEGACION DE MACHALA 
1 SOBRE PARA ANDRES MURILLO ARROYO(ACCIONES DE PERSONAL BLANCA, CLAUDIA Y DARWIN)- REMITE ELIZABETH MONTERO</t>
  </si>
  <si>
    <t>DEVOLUCION DE EXPEDIENTE(MDT-DRTSPL-2024-2664-M-EXPEDIENTE AGUAS</t>
  </si>
  <si>
    <t xml:space="preserve">WALTER PAREDES OCHOA </t>
  </si>
  <si>
    <t xml:space="preserve">ROBERTO RIOFRIO </t>
  </si>
  <si>
    <t>1 SOBRE  CON EXPEDIENTE MDT-DRTSPL-2024-8502-E- MDTDRTSPL-20242673-M, MDT-DRTSPL-20248291-E, MDT-DRTSPL-2024-2670-M</t>
  </si>
  <si>
    <t xml:space="preserve">SANDRA GISELE PIZARRO GRANDA </t>
  </si>
  <si>
    <t xml:space="preserve">DIRECCION DE ORGANIZACIONES  LABORALES </t>
  </si>
  <si>
    <t>1 ACTA DESCARGO 
DOCUMENTOS MEMORANDO MDT-DRTSPL-2024-2691-M, Remite Dirección Regional</t>
  </si>
  <si>
    <t>TOMAS WLADIMIR FLORES RIVERA</t>
  </si>
  <si>
    <t>1 ACTA DE DESCARGO 1928</t>
  </si>
  <si>
    <t>ACTAS DE DESCARGO 1889, 1902, 1906, 1919
1 SOBRE PARA TOMAS FLORES: MEMORANDO MDT-DRTSPL-2024-2713-M (EXPEDIENTE INSPECCION 33-IT-MDT-2024-TTWFR) INFORME MDT-DSSTGIR-CMPL-2024-0080</t>
  </si>
  <si>
    <t>ACTAS DE DESCARGO 1891, 1902, 1906, 1919
1 SOBRE PARA JHON ESPINOSA REMITE PAUL CARRION</t>
  </si>
  <si>
    <t>ACTAS DE DESCARGO 1900, 1929
1 SOBRE PARA MARIA ANDREA VERA REMITE PAUL CARRION</t>
  </si>
  <si>
    <t>ACTA DE DESCARGO N. 1940</t>
  </si>
  <si>
    <t xml:space="preserve"> ACTA DE DESCARGO 1939</t>
  </si>
  <si>
    <t xml:space="preserve">ENTREGADO A. PACIFICO HERRERA </t>
  </si>
  <si>
    <t xml:space="preserve">ENTREGADO A. JHOMAIRA GONSALES </t>
  </si>
  <si>
    <t>10.28</t>
  </si>
  <si>
    <t xml:space="preserve">ENTREGADO A MARJORIE RUEDA </t>
  </si>
  <si>
    <t xml:space="preserve">ENTREGADO A NATHALY OCHOA </t>
  </si>
  <si>
    <t>10.39</t>
  </si>
  <si>
    <t>09.35</t>
  </si>
  <si>
    <t xml:space="preserve">CLAUDIA  ARBOLEDA GUERRERO </t>
  </si>
  <si>
    <t xml:space="preserve">1 SOBRE  TRÁMITES  REASIGNADOS </t>
  </si>
  <si>
    <t>1 SOBRE  PARA JHON  PALADINES(DEVOLUCION DE EXPEDIENTE MDT-DRTSPL-2024-2748-M)
1 SOBRE PARA PATRICIO MALDONADO 1 SOBRE  PARA JHON  PALADINES(DEVOLUCION DE EXPEDIENTE MDT-DRTSPL-2024-2750-M)</t>
  </si>
  <si>
    <t xml:space="preserve">1 SOBRE PARA GESTION DOCUMENTAL Y ARCHIVO - REMITE DELEGACION DE MACHALA 
1 SOBRE CON ACTA DE DESCARGO N. 1960- REMITE JHULIANA SUIN </t>
  </si>
  <si>
    <t xml:space="preserve">ENMA PALACIOS  </t>
  </si>
  <si>
    <t xml:space="preserve">1 SOBRE  - DELEGACION MACHALA </t>
  </si>
  <si>
    <t>1 SOBRE CON OFICIO DE RESPUESTA MDT-DRTSPL-2024-7270-O</t>
  </si>
  <si>
    <t xml:space="preserve">EDGAR CRISTOBAL FLORES CRIOLLO </t>
  </si>
  <si>
    <t xml:space="preserve">GONZANAMA </t>
  </si>
  <si>
    <t xml:space="preserve">UNIDAD JUDICIAL DE GONZANAMA </t>
  </si>
  <si>
    <t>1 SOBRE  CON OFICIO MDT-DRTSPL-2024-7282-O</t>
  </si>
  <si>
    <t xml:space="preserve">ALEX DAMIAN TORRES ROBALINO </t>
  </si>
  <si>
    <t xml:space="preserve">SARAGURO </t>
  </si>
  <si>
    <t xml:space="preserve">UNIDAD JUDICIAL DE SARAGURO </t>
  </si>
  <si>
    <t xml:space="preserve">MONFILIO  MUÑOZ  Y AVENIDA LOJA </t>
  </si>
  <si>
    <t xml:space="preserve">DIRECCION REGIONAL DE TRABAJO DE CUENCA </t>
  </si>
  <si>
    <t>1 SOBRE REMITE - DELEGACION DE MACHALA 
ACTA DE DESCARGO N. 1991</t>
  </si>
  <si>
    <t>1 SOBRE CON MDT-DPTSPOM-2024-6653-E
1 SOBRE CON ACTA DE DESCARGO N. 1990</t>
  </si>
  <si>
    <t>1 SOBRE CON ACTAS DE DESCARGO N° 1933 - 1941 - 1953 -1968 - 1969 - 1980</t>
  </si>
  <si>
    <t>1 SOBRES CON ACTAS DE DESCARGO N° 1922 - 1934 - 1945 - 1952 - 1966 - 1971 - 1985</t>
  </si>
  <si>
    <t xml:space="preserve">1 SOBRE PARA SANDRA PIZARRO GRANDA(MDT-DRTSPL-2024-2800-M)
1 SOBRE PARA GESTION DOCUMENTAL Y ARCHIVO - REMITE DELEGACION DE MACHALA
1 SOBRE CON ACTA DE DESCARGO N. 2014 </t>
  </si>
  <si>
    <t>1 SOBRE CON ACTA DE DESCARGO 1993-2002</t>
  </si>
  <si>
    <t>1 SOBRE C ON ACTA DE DESCARGO N. 1992-2000</t>
  </si>
  <si>
    <t xml:space="preserve">1 SOBRE CON ACTA D EDESCARGO N. 2015
1 SOBRE PARA KELVIN  ROMERO ORDOÑEZ- REMITE CLAUDIA ARBOLEDA </t>
  </si>
  <si>
    <t>ACTA DE DESCARGO N. 2017</t>
  </si>
  <si>
    <t xml:space="preserve">1 SOBRE - DOCUMENTOS NOTIFICACION CONTRATO COLECTIVO  FEDERACION  DEPORTIVA  DE EL ORO MDT-DRTSPL-2024-2809-M
</t>
  </si>
  <si>
    <t>ACTA DE DESCARGO N. 1986 - ENVIADO  EL 28 DE OCTUBRE</t>
  </si>
  <si>
    <t xml:space="preserve">JORGE JIMENEZ MORA </t>
  </si>
  <si>
    <t xml:space="preserve">1 CARTON CON SWITCH DE COMUNICACIÓN </t>
  </si>
  <si>
    <t xml:space="preserve">ALEXANDRA QUINCHUQUI SANTILLAN </t>
  </si>
  <si>
    <t xml:space="preserve">DIRECCION DE TECNOLOGIAS </t>
  </si>
  <si>
    <t>1 SOBRE MEMOANDO MDT-DRTSPL-2024-2871-M-DEVOLUCION DE EXPEDIENTE  VISTO BUENO N. 333611</t>
  </si>
  <si>
    <t xml:space="preserve">ANDREA PROCEL MORENO </t>
  </si>
  <si>
    <t xml:space="preserve">1 SOBRE PARA GESTION DOCUMENTAL - REMITE DELEGACION DE MACHALA.
1 SOBRE JANETH ENRIQUEZ MONTENEGRO (DOCUMENTACION GUARDERIA MES DE OCTUBRE-SANDRA Y YANELA)
1 SOBRE PARA  ANDRES DAVID MURRILLO - REMITE ELIZABETH MONTERO 
1 SOBRE PARA GESTION DOCUMENTAL Y ARCHIVO - REMITE DELEGACION DE ZAMORA
1 SOBRE CON ACTA D EDESCARGO N. 2038- REMITE JHULIANA SUIN  </t>
  </si>
  <si>
    <t xml:space="preserve">1 SOBRE - REMITE DELEGACION DE MACHALA 
1 SOBRE CON ACTA DE DESCARGO N. 2039 - REMITE JHULIANA SUIN </t>
  </si>
  <si>
    <t xml:space="preserve">1 SORE PARA LEONID MDT-DPTSPOM-2024-6774-E
1 SOBRE CON ACTA DE DESCARGO N. 2040 - REMITE JHULIANA SUIN </t>
  </si>
  <si>
    <t xml:space="preserve">ENTREGADO A PACIFICO HERRERA  </t>
  </si>
  <si>
    <t xml:space="preserve">1 SOBRE PARA KELVIN ROMEROP ORDOÑEZ - REMITE CLAUDIA ARBOLEDA 
1 SOBRE PARA PATRICIO MALDONADO (DEVOLUCION EXPEDIENTE MDT-DRTSPL-2024-2896-M)
1 SOBRE PARA JOHN PALADINES (DEVOLUCION EXPEDIENTE MDT-DRTSPL-2024-2893-M)
1 SOBRE PARDIANA BALLADARES (DEVOLUCION EXPEDIENTE MDT-DRTSPL-2024-2894-M)- REMITE SANDRA TORRES 
</t>
  </si>
  <si>
    <t xml:space="preserve">1 SOBRE PARA MIRIAN OLINDA PINTADO - REMITE MARIA ANDREA VERA 
</t>
  </si>
  <si>
    <t xml:space="preserve">ENTREGADO AMARLENE REY </t>
  </si>
  <si>
    <t xml:space="preserve">ENTREGADO A DERLY MORALES  </t>
  </si>
  <si>
    <t xml:space="preserve">ENTREGADO A JORGE PATIÑO  </t>
  </si>
  <si>
    <t>ENTREGADO A FIRMA Y SELLO DE LA INSTITUCION</t>
  </si>
  <si>
    <t xml:space="preserve">ENTREGADO AGLUBIS ORTEGA </t>
  </si>
  <si>
    <t>1 SOBRE CON ACTA DE DESCARGO N. 2050</t>
  </si>
  <si>
    <t>1 SOBE CON ACTA DE DESCARGO 2059</t>
  </si>
  <si>
    <t xml:space="preserve">2 SOBRES PARA JANETH  ENRIQUEZ(DOCUEMENTACION DE GUARDERIA MES DE OCTUBRE - JORGE Y GABY)
1 SOBRE PARA ANDRES MURILLO ARROYO(DECLARACION PATRIMONIAL JURAMENTADA  FAUSTO MONTOYA)
1 SOBRE PARA CLARA VILLACRES - REMITE PAUL CARRION.
1 SOBRE CON ACTA DE DESCARGO N. 2058- REMITE JHULINA SUIN 
</t>
  </si>
  <si>
    <t xml:space="preserve">ENTREGADO A PAOLA SANTAMARIA </t>
  </si>
  <si>
    <t>1 SOBRE CON ACTA DE DESCARGO N. 2096</t>
  </si>
  <si>
    <t xml:space="preserve">1 SOBRE PARA ANDRES DAVID  MURIILO - ACTA DE ENTREGA DE CREDENCIAL Y ACCION DE PERSONAL  DE ISMAEL - REMITE ELIZABETH MONTERO.
1 SOBRE CON ACCTA DE DESCARGO N. 2095- REMITE JHULIANA SUIN </t>
  </si>
  <si>
    <t xml:space="preserve">1 SOBRE PARA CARLA MARIA CHONILLO RAMIREZ- REMITE MARIA ANDREA VERA 
</t>
  </si>
  <si>
    <t xml:space="preserve">MARIA ANDREA VERA </t>
  </si>
  <si>
    <t>ROMEL MANJARREZ</t>
  </si>
  <si>
    <t xml:space="preserve">1 SOBRE MIRIAM OLINDA PINTADO PEÑA - REMITE MARIA ANDREA VERA 
1SOBRE PARA SANDRA PIZARRO GRANDA (MDT-DRTSPL-2024-2987-M)
1 SOBRE  CON ACTA DE DESCARGO N. 2107- REMITE JHULIANA SUIN </t>
  </si>
  <si>
    <t>1 SOBRE  CON ACTA DE DESCARGO N. 2108</t>
  </si>
  <si>
    <t xml:space="preserve">PACIFICO FERMIN HERRERA </t>
  </si>
  <si>
    <t>1 SOBRE CON ACTA DE DESCARGO N. 2115</t>
  </si>
  <si>
    <t>1 SOBRE  CON ACTAA DE DESCARGO N. 2016,2028,2041,2048,2057,2073,2080.</t>
  </si>
  <si>
    <t xml:space="preserve">1 SOBRE  PARA JHON GONZALO ESPINOSA
1 SOBRE CON ACTAS DE DESCARGO N. 2063, 2084 </t>
  </si>
  <si>
    <t xml:space="preserve">ALEXIS CRISTOBAL  GARCIA </t>
  </si>
  <si>
    <t>1 SOBRE CON ACTA DE DESCARGO N.2131</t>
  </si>
  <si>
    <t xml:space="preserve">1 SOBRE PARA  MIRIAM OLINDA PINTADO  PEÑA - REMITE DELEGACION DE MACHALA 
1 SOBRE CON ACTA DE DESCARGO N. 2128
1 SOBRE PARA  ANDRES AVID  MURILLO  ARRYO - REMITE ELIZABETH  MONTERO </t>
  </si>
  <si>
    <t>DEVOLUCION VISTO BUENO 334771- MDT-DRTSPL-2024-3039-M</t>
  </si>
  <si>
    <t xml:space="preserve">1 SOBRE CON NOTIFICACION DE SUMARIO ADMINISTRATIVO N. MDT-SSCRSSP-DRSASP-SA-2024-262/ mdt-drtspl-2024-3047-M- REMITE LILA CASTRO 
1 SOBRE PARA MARCO VINICIO  CARCELN  CARCELEN - REMITE FREDDY GUAMAN </t>
  </si>
  <si>
    <t>1 SOBRE CON ACTA DE DESCARGO N. 2150</t>
  </si>
  <si>
    <t>1 SOBRE CON ACTA DE DESCARGO N. 2149</t>
  </si>
  <si>
    <t>1 SOBRE CON ACTA DE DESCARGO N. 2151</t>
  </si>
  <si>
    <t xml:space="preserve">1 SOBRE CON ACTA DE DESCARGO N. 2148
1 SOBRE PARA GESTION DOCUEMTAL Y ARCHIVO - REMITE DELEGACION DE ZAMORA </t>
  </si>
  <si>
    <t>DIANA BALLADARES LAMBERT</t>
  </si>
  <si>
    <t>1 SOBRE  CON DEVOLUCION DE EXPEDIENTE  VISTO BUENO N. 335115-MDT-DRTSPL-2024-3077-M</t>
  </si>
  <si>
    <t xml:space="preserve">LOREA PIEDAD VALVERDE  VALVERDE </t>
  </si>
  <si>
    <t xml:space="preserve">ENTREGADO A </t>
  </si>
  <si>
    <t>1 SOBRE CON ACTA DE DESCARGO N. 2165</t>
  </si>
  <si>
    <t>1 SOBRE CON ACTA DE DESCARGO N. 2166</t>
  </si>
  <si>
    <t xml:space="preserve">JHON IVAN ROGEL CELI </t>
  </si>
  <si>
    <t>AV. 24DE MAYO  FRERE AL MICRMERCADO  MAUEL ALEJANDRO</t>
  </si>
  <si>
    <t xml:space="preserve">IVONNE ROMERO LOZAO </t>
  </si>
  <si>
    <t xml:space="preserve">PATRICIO MALDOADO DUTAN </t>
  </si>
  <si>
    <t>3 CAJAS CON DEVOLUCION DE EXPEDIENTES  MDT-DRTSPL-2024-3138-M</t>
  </si>
  <si>
    <t>2 CAJAS CON DEVOLUCION DE EXPEDIENTES  MDT-DRTSPL-2024-3137-M</t>
  </si>
  <si>
    <t xml:space="preserve">ENMA LOPEZ ABARCA </t>
  </si>
  <si>
    <t>1 SOBRE CON DEVOLUCION DE EXPEDIENTES MDT-DRTSPL-2024-3128-M</t>
  </si>
  <si>
    <t xml:space="preserve">RAUL FERANDO LEON SARAGURO </t>
  </si>
  <si>
    <t>1 SOBRE CON DEVOLUCION DE EXPEDIENTES MDT-DRTSPL-2024-3127-M</t>
  </si>
  <si>
    <t>JHON PALADINES ULLOA</t>
  </si>
  <si>
    <t>1 SOBRE CON DEVOLUCION DE EXPEDIENTES MDT-DRTSPL-2024-3126-M</t>
  </si>
  <si>
    <t>1 SOBRE CON DEVOLUCION DE EXPEDIENTES MDT-DRTSPL-2024-3129-M</t>
  </si>
  <si>
    <t xml:space="preserve">ENTREGADO A MARJORIE PINEDA </t>
  </si>
  <si>
    <t xml:space="preserve">ENTREGADO A VERONICA FIERRO   </t>
  </si>
  <si>
    <t>0/7112024</t>
  </si>
  <si>
    <t xml:space="preserve">ENTREGADO A ALVARO SARAGURO  </t>
  </si>
  <si>
    <t xml:space="preserve">ENTREGADO A GLUBIS ORTEGA </t>
  </si>
  <si>
    <t xml:space="preserve">ENTREGADO A JUAN CARLOS DE LA TORRE VILLA  </t>
  </si>
  <si>
    <t>ENTREGADO A CESARARPI</t>
  </si>
  <si>
    <t xml:space="preserve">ENTREGADO A ENMA PALACIOS  </t>
  </si>
  <si>
    <t xml:space="preserve">1 SOBRE DELEGACION MACHALA </t>
  </si>
  <si>
    <t xml:space="preserve">ENTREGADO A JORGE LUIS MIELES </t>
  </si>
  <si>
    <t>1SOBRE PARA GESTION DOCUMENTAL Y ARCHIVO - REMITE DELEGACION DE MACHALA
1 SBRE CON ACTA DE DESCARG N. 2187</t>
  </si>
  <si>
    <t>1 SOBRE CON ACTA DE DESCARGO N. 2188</t>
  </si>
  <si>
    <t>2 SOBRE CON ACTA DE DESCARGO N. 2189</t>
  </si>
  <si>
    <t>1 SOBRE  PARA LEONID PLASCENCIA(MDT-DPTSPOM-2024-7308-E(12 CARPETAS), MDT-DPTSPOM-2024-7178-E(11 CARPETAS) ,MDT-DPTSPOM-2024-7177-E(12 CARPETAS)</t>
  </si>
  <si>
    <t xml:space="preserve">DELEGACIÓN PROVINCIAL DEL TRABAJO Y SERVICIO PÚBLICO DE EL ORO -MACHALA </t>
  </si>
  <si>
    <t xml:space="preserve">COMISARIA NACIONAL  DE POLICIA DE CALVAS </t>
  </si>
  <si>
    <t xml:space="preserve">ENTREGADO A SELLO Y FIRMA  </t>
  </si>
  <si>
    <t xml:space="preserve">ENTREGADO A JHOMAIRA GONZALEZ  </t>
  </si>
  <si>
    <t xml:space="preserve">ENTREGADO A EMA PALACIOS </t>
  </si>
  <si>
    <t>1 SOBRE PARA MARIA NELY TERAN VILLARREAL
1 SOBRE PARA GESTION DOCUMENTAL Y ARCHIVO - REMITE DELEGACION DE MACHALA</t>
  </si>
  <si>
    <t>BYRON RODRIGO LEON AGUISACA</t>
  </si>
  <si>
    <t xml:space="preserve">1 SOBRE PARA GESTION DOCUMENTAL Y ARCHIVO </t>
  </si>
  <si>
    <t xml:space="preserve">1 SOBRE PARA DIEGO ALEJANDRO  GOMEZ - REMITE JORGE JIMENEZ  
1 SOBRE PARA JANETH ENRIQUEZ (DOCUMENTACION MES DE NOVIEMBRE)
1 SOBRE PARA CRISTIAN FIERRO(DEVOLUCION DE ACTA DE ENTREGA  EXPEDIENTES ORGANIZACIONES LABORALES 
1  SOBRE PARA HUGO SATIAGO VITERI - REMITE ELIZABETH MONTERO </t>
  </si>
  <si>
    <t xml:space="preserve">ROBERT BLACIO AGUIRRE </t>
  </si>
  <si>
    <t xml:space="preserve">LEONID PLASCENCIA MOSQUERA </t>
  </si>
  <si>
    <t xml:space="preserve">DEVOLUCION DE 5 EXPEDIENTES, MDT-DRTSPL-2024-3222-M
(MDT-DRL-DPTSPOM-2020-041-MGPE;
MDT-DRL-DPTSPOM-2020-021-MGPE;
MDT-DRL-DPTSPOM-2020-030-CDCE;
MDT-DR7-MCH-2020-56-PJMD;
MDT-DRL-DPTSPOM-2020-022-JEPU-PS </t>
  </si>
  <si>
    <t xml:space="preserve">DANILO GABRIEL CALERO MORA </t>
  </si>
  <si>
    <t>DEVOLUCION DE EXPEDIENTE MDT-DRTSPL-2024-3223-M, MDTDR7-MCH-2023-047-DGCM- CENTRO TURISTIC EL REFUGIO</t>
  </si>
  <si>
    <t xml:space="preserve">PATRICIIO JAVIER  MALDONADO DUTAN </t>
  </si>
  <si>
    <t>DEVOLUCION DE EXPEDIENTE MDT-DRTSPL-2024-3223-M, MDT-DRL-DPTSPOM-2021-003-PJMD-VE-FLORES SACA DANNY FABRICIO COMERCIAL SISTEL</t>
  </si>
  <si>
    <t xml:space="preserve">EMMA DEL ROCIO LOPEZ ABARCA </t>
  </si>
  <si>
    <t xml:space="preserve">ENMA PALACIOS  VILLACIS </t>
  </si>
  <si>
    <t>1 SOBRE CON ACTA DE DESCARGO N. 2224</t>
  </si>
  <si>
    <t>1 SOBRE CON ACTA DE DESCARGO N. 2223</t>
  </si>
  <si>
    <t xml:space="preserve">1 SOBRE PARA GESTION DOCUMENTAL Y ARCHIVO - REMITE DELEGACIO DE MACHALA 
1 SOBRE CON ACTA DE DESCARG N.2222 - REMITE JHULIANA SUIN </t>
  </si>
  <si>
    <t xml:space="preserve">ETREGADO A CESAR API </t>
  </si>
  <si>
    <t xml:space="preserve">ENTREGADO FIRMA Y SELLO DE LA INSSTUITUCION </t>
  </si>
  <si>
    <t>ETREGAD A PACIFICO FERMIN  HERRERA MALLA</t>
  </si>
  <si>
    <t xml:space="preserve">DEVOLUCION DE EXPEDIENTE MDT-DRTSPL-2024-3223-M, MDT-R7-MCH-2023-10-ERLA-EMPRESA MUNICIPAL REGIONAL DE AGUA POTABLE DE ARENILLAS Y HUAQUILLAS </t>
  </si>
  <si>
    <t>1 SOBRE PARA  HUGO SATIAGO VITERI -HORAS EXTRAS  MES DE NOVIEMBRE 
1 SOBRE CON ACTA DE DESCARGO N. 2234</t>
  </si>
  <si>
    <t>WALTER MAUELPAREDES  OCHOA</t>
  </si>
  <si>
    <t>1 SOBRE CON  DE EXTEROS DE EX JUBILADOS  DE LA ASOCIACION  DE LA UNIVERSIDAD  TECICA  DE MACHALA MDTRTSPL-2024-3257-M</t>
  </si>
  <si>
    <t xml:space="preserve">LILA DE LOS ANGELES  CASTRO </t>
  </si>
  <si>
    <t xml:space="preserve">DANY OCHOA JAPON </t>
  </si>
  <si>
    <t xml:space="preserve">COMISARIO DE POLICIA DE QUILANGA </t>
  </si>
  <si>
    <t xml:space="preserve">CALLE PREDESUR  Y 10 DE AGOSTO </t>
  </si>
  <si>
    <t xml:space="preserve">1 SOBRE  CON NOTIFICACION PROYECTO DE TERCER CONTRATO COLECTIVO </t>
  </si>
  <si>
    <t xml:space="preserve">SADDRA TORRES GUARNIZO </t>
  </si>
  <si>
    <t xml:space="preserve">WALTER MANUEL PAREDES  OCHOA </t>
  </si>
  <si>
    <t xml:space="preserve">MACHALA </t>
  </si>
  <si>
    <t xml:space="preserve">1 SOBRE CON COMISION  DE NOTIFICACION  AGUAS EP MDT-DRTSPL-2024-3258-M
1 SOBRE CON ACTA DE DESCARGO N. 2052- REMITE JHULIANA SUIN </t>
  </si>
  <si>
    <t xml:space="preserve">ROBERTO  RIOFRIO </t>
  </si>
  <si>
    <t>COMISION DE NOTIFICACION PROCURADORIA GENERAL DEL ESTADO -AGUA PAS EP - MDT-DRTSPL-2024-3260-M</t>
  </si>
  <si>
    <t>JESENIA AMALIA QUIMIS SEGOVIA - DIRECTORA REGIOBAL DE TRABAJO DE GUAYAQUIL</t>
  </si>
  <si>
    <t xml:space="preserve">1 SOBRE PARA GESTION DOCUMENTAL Y ARCHIVO - REMITE DELEGACION MACHALA
2 SOBRES CON ACTA DE DESCARGO N. 2251
1 SOBRE PARA  SANDRA  PIZARRO GRANDA(MDT-DRTSPL-2024-3272-M, INFORME RE ASOCIACION DE OBREROS  DE MALACATOS,MDT-DRTSPL-2024- 3273-M, INFORME DE RE, OBREROS GAD SOZORANGA) REMITE ROBERT RIOFRIO 
1 SOBRE PARA HUGO SANTIAGO  VITERI ( NVIA BITACORAS  D ELA REGIONAL LOJA, ZAMORA Y PRTOVELO Y CRRECCION DE HORAS EXTRAS  WILLIAMS MACIAS - REMITE ELIZABETH MONTERO </t>
  </si>
  <si>
    <r>
      <t>1 SOBRE PARA LEONID PLASCENCIA MDT-D</t>
    </r>
    <r>
      <rPr>
        <sz val="11"/>
        <color theme="1"/>
        <rFont val="Calibri"/>
        <family val="2"/>
        <scheme val="minor"/>
      </rPr>
      <t xml:space="preserve">RTSPL-2024-9334-E, MDT-DPTSPOM-2024-6892-E
4 SOBRES PARA WALTER PAREDES N. 037-038- REMITE SANDRA TORRES 
1 SORE PARA VERONICA CARBALLO - REMITE JORGE JIMENEZ </t>
    </r>
  </si>
  <si>
    <t xml:space="preserve">1 SOBRE  DEVOLUCION DE EXPDIENTE MDT-DRTSPL-2024-3229-M
1 SOBRE PARA LEONID PLASCENCIA - REMITE ANDREA PROCEL 
1 SOBR PARA LEONID PLASCENCIA  DEVOLUCION DE EXPDIENTE  MDT-DRTSPL-2024-3247-M-(Devolución expediente VISTO BUENO 304069-2024)-REMITE SANDRA TORRES
1 SOBRE CON ACCTA DE DESCARG N.  </t>
  </si>
  <si>
    <t xml:space="preserve">BRYAN  ANDRES  JIMENEZ  MORA </t>
  </si>
  <si>
    <t>MALACATOS</t>
  </si>
  <si>
    <t xml:space="preserve">TENENCIA POLITICA  DE LA PARRQUIA DE MALACATOS </t>
  </si>
  <si>
    <t xml:space="preserve">PARROQUIA  DE MALACATOS </t>
  </si>
  <si>
    <t>COMISION DE NOTIFICACION  SR. FRANKLIN SARANGO GUAMAN OFICIO N. MDT-DRTSPL-2024-8224-O</t>
  </si>
  <si>
    <t>1 sobre para María Belen Montesdeoca acta descargo 2269 remite Jhuliana Suin
1 sobre para Marco Vinicio Carcelen  multas manuales noviembre, multas mani¿ueales diciembre, multas sinacoi noviembre, multas sinacoi diciembre, convenio de pago remite Freddy Guaman
1 sobre para Clara Esher Villacres, documentos vehículo Machala, copias a color de cédula RUC y matrícula
1 sobre para Patricio Aguilar remite Marlene Rey 
1 sobre para Marco Carcelen remite Marlene Rey</t>
  </si>
  <si>
    <t>ACTAS DE DESCARGO 2270</t>
  </si>
  <si>
    <t>ACTA DE DESCARGO 2267</t>
  </si>
  <si>
    <t>ACTA DE DESCARGO 2268</t>
  </si>
  <si>
    <t>EXPEDIENTE DE SEGURIDAD Y SALUD MEMORANDO MDT-DRTSPL-2024-3348-M, MEMORANDO MDT-DRTSPL-2024-3347-M, MEMORANDO MDT-DRTSPL-2024-3349-M</t>
  </si>
  <si>
    <t>ROMMEL ERWIN MANJARREZ GANCHOSO</t>
  </si>
  <si>
    <t>1 SOBRE PARA HUGO SANTIAGO VITERI SUNTAXI - TALENTO HUMANO REMITE ELIZABETH MONTERO (ACCION DE PERSONAL DARWIN GUARNIZO)
1 SOBRE PARA PATRICIO AGUILAR QUE REMITE ENMA PALACIOS;
1 SOBRE PARA SANDRA PIZARRO GRANDA DIRECTORA DE ORGANIZACIONES LABORALES MEMORANDO MDT-DRTSPL-2024-3340-M CON EXPEDIENTE ORIGINAL MDT-DRTSPL-2024-10011-E RE REMITE DIANA SANCHEZ;
DEVOLUCION NOTIFICACIÓN SUMARIO MDT-SSCRSSP-DRSASP-SA-2024-342 (9108) REMITE DANILO CUEVA</t>
  </si>
  <si>
    <t>1 SOBRE PARA DERLY MORALES DE ENMA PALACIOS</t>
  </si>
  <si>
    <t>1 SOBRE PARA HUGO SANTIAGO VITERI SUNTAXI - TALENTO HUMANO- REMITE ELIZABETH MONTERO (BITACORAS DELEGACION PORTOVELO 13, 14 DE NOVIEMBRE 2024- ETREGAR A SEBASTIAN FERNANDEZ)
1 SOBRE PARA PATRICIO AGUILAR DE ENMA PALACIOS
1 SOBRE PARA SANDRA PIZARRO- ORGANIZACIONES LABORALES- REMITE DIANA SANCHEZ (EXPEDIENT ORIGINAL MDT-DPTSPOM-2024-7711-E CON MEMORANDO MDT-RTSPL-2024-3365-M DE FECHA 19 DE DICIEMBRE 2024)</t>
  </si>
  <si>
    <t>1 CARTÓN: MEMORANDO MDT-DRTSPL-2024-3372-M, DEVOLUCIÓN EXPEDIENTE original sumario administrativo NRO. MDT-SSCRSSP-DRSASP-SA-2024-056, propuesto en contra de la servidora ORTEGA ESPINOSA MELISSA JOAN.</t>
  </si>
  <si>
    <t>Mgs. Ruth Stefanía Espinoza Avilés</t>
  </si>
  <si>
    <t>Dirección de Recursos y Sumarios Administrativos del Servicio Público</t>
  </si>
  <si>
    <t>1 SOBRE ACTA DE DSCARGO NO. 2305- REMITE JHULIAANA SUIN</t>
  </si>
  <si>
    <t>1 SOBRE ACTAS D DESCARGO No. 2307 - REMITE JHULIANA SUIN</t>
  </si>
  <si>
    <t>1 SOBRE CON ACTA DE DESCARGO N.</t>
  </si>
  <si>
    <t>1 SOBRE ACTA DESCARGO No. 2321- remite jhulinan suin</t>
  </si>
  <si>
    <t>1 SOBRE ACTA DESCARGO No. 2322</t>
  </si>
  <si>
    <t xml:space="preserve"> MORALES ARECHUA DERLY STEFANIA</t>
  </si>
  <si>
    <t>1 SOBRE ACTA DESCARGO2333-REMITE JHULIANA SUIN
1 SOBRE ACTA DESCARGO 1439-  REMITE ENMA PALACIOS</t>
  </si>
  <si>
    <t>ENMA PALACIOS</t>
  </si>
  <si>
    <t xml:space="preserve">1SOBRE </t>
  </si>
  <si>
    <t>1  SOBRE ACTA DESCARGA- 2334</t>
  </si>
  <si>
    <t>1 SOBRE ACTA DESCARGO No. 2349</t>
  </si>
  <si>
    <t>1 SOBRE ACTA DECARGO No. 2348</t>
  </si>
  <si>
    <t xml:space="preserve">ETREGAD A PACIFICO LEOID PLASCENCIA </t>
  </si>
  <si>
    <t xml:space="preserve">ENTREGADO A ANDREA VERA  </t>
  </si>
  <si>
    <t xml:space="preserve">ENTREGADO A MESTEVEN FUENTES  </t>
  </si>
  <si>
    <t xml:space="preserve">ENTREGAD A MARJORIE RUEDA </t>
  </si>
  <si>
    <t xml:space="preserve">ENTREGADO A GLUBIS ORTEGA  </t>
  </si>
  <si>
    <t xml:space="preserve">SELLO DE A INSTITUCION </t>
  </si>
  <si>
    <t xml:space="preserve">ENTREGADO A YADIRA OCHOA </t>
  </si>
  <si>
    <t xml:space="preserve">ETREGADO A DERLY MORALES </t>
  </si>
  <si>
    <t xml:space="preserve">ENTREGADO EMA PALACIOS </t>
  </si>
  <si>
    <t xml:space="preserve">ENTREGAD A MARLENE REY CURAY </t>
  </si>
  <si>
    <t xml:space="preserve">ENTRGADO A LENID PLASCENCIA </t>
  </si>
  <si>
    <t xml:space="preserve">ENTREGADO ENMA PALACIOS </t>
  </si>
  <si>
    <t>1 SOBRE CON NOTIFICACION DE DENUNCIA DE ACOSO  LABORAL N. MDT-RTSPL-20249284-E</t>
  </si>
  <si>
    <t xml:space="preserve">4 CAJAS  CON PLIEGO DE PETICIONES  275630-2018 PARA ALEXIS CRISTOBAL  GARCIA ADUM (MDT-DPTSPOM-2024-1230-M- REMITE ROMEL MANJARREZ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</si>
</sst>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00A]General"/>
    <numFmt numFmtId="165" formatCode="[$$-300A]#,##0.00;[Red][$$-300A]&quot;-&quot;#,##0.00"/>
    <numFmt numFmtId="166" formatCode="yyyy/mm/dd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u/>
      <sz val="9.9"/>
      <color theme="10"/>
      <name val="Calibri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1"/>
      <color theme="1"/>
      <name val="Cambria"/>
      <family val="2"/>
      <scheme val="maj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153">
    <xf numFmtId="0" fontId="0" fillId="0" borderId="0"/>
    <xf numFmtId="0" fontId="3" fillId="0" borderId="0" applyNumberFormat="0" applyFill="0" applyBorder="0" applyAlignment="0" applyProtection="0"/>
    <xf numFmtId="164" fontId="4" fillId="0" borderId="0" applyBorder="0" applyProtection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  <xf numFmtId="165" fontId="8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3" borderId="7">
      <alignment horizontal="left" vertical="center"/>
    </xf>
    <xf numFmtId="0" fontId="15" fillId="0" borderId="0" applyNumberFormat="0" applyFill="0" applyBorder="0" applyAlignment="0" applyProtection="0"/>
    <xf numFmtId="0" fontId="1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/>
    <xf numFmtId="0" fontId="4" fillId="0" borderId="0"/>
    <xf numFmtId="0" fontId="16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10" fillId="2" borderId="5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4" fontId="17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2" fontId="9" fillId="2" borderId="5" xfId="0" applyNumberFormat="1" applyFont="1" applyFill="1" applyBorder="1" applyAlignment="1">
      <alignment horizontal="center" vertical="center" wrapText="1"/>
    </xf>
    <xf numFmtId="49" fontId="14" fillId="2" borderId="6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4" fontId="19" fillId="2" borderId="1" xfId="0" applyNumberFormat="1" applyFont="1" applyFill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 applyProtection="1">
      <alignment vertical="center" wrapText="1"/>
      <protection locked="0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20" fontId="19" fillId="2" borderId="1" xfId="0" applyNumberFormat="1" applyFont="1" applyFill="1" applyBorder="1" applyAlignment="1">
      <alignment horizontal="center" vertical="center" wrapText="1"/>
    </xf>
    <xf numFmtId="2" fontId="19" fillId="2" borderId="1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quotePrefix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0" fontId="9" fillId="2" borderId="5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2" fontId="9" fillId="2" borderId="1" xfId="0" applyNumberFormat="1" applyFont="1" applyFill="1" applyBorder="1" applyAlignment="1">
      <alignment horizontal="center" vertical="center" wrapText="1"/>
    </xf>
    <xf numFmtId="21" fontId="9" fillId="2" borderId="5" xfId="0" applyNumberFormat="1" applyFont="1" applyFill="1" applyBorder="1" applyAlignment="1">
      <alignment horizontal="center" vertical="center" wrapText="1"/>
    </xf>
    <xf numFmtId="0" fontId="14" fillId="2" borderId="1" xfId="0" quotePrefix="1" applyFont="1" applyFill="1" applyBorder="1" applyAlignment="1">
      <alignment horizontal="center" vertical="center" wrapText="1"/>
    </xf>
    <xf numFmtId="22" fontId="0" fillId="0" borderId="1" xfId="0" applyNumberFormat="1" applyBorder="1"/>
    <xf numFmtId="0" fontId="0" fillId="0" borderId="0" xfId="0" applyAlignment="1">
      <alignment horizont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23" fillId="2" borderId="6" xfId="0" applyNumberFormat="1" applyFont="1" applyFill="1" applyBorder="1" applyAlignment="1">
      <alignment horizontal="center" vertical="center" wrapText="1"/>
    </xf>
    <xf numFmtId="0" fontId="23" fillId="2" borderId="6" xfId="0" applyFont="1" applyFill="1" applyBorder="1" applyAlignment="1" applyProtection="1">
      <alignment horizontal="center" vertical="center" wrapText="1"/>
      <protection locked="0"/>
    </xf>
    <xf numFmtId="14" fontId="22" fillId="2" borderId="6" xfId="0" applyNumberFormat="1" applyFont="1" applyFill="1" applyBorder="1" applyAlignment="1">
      <alignment horizontal="center" vertical="center" wrapText="1"/>
    </xf>
    <xf numFmtId="14" fontId="22" fillId="2" borderId="2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left" vertical="center" wrapText="1"/>
    </xf>
    <xf numFmtId="0" fontId="23" fillId="2" borderId="6" xfId="0" applyFont="1" applyFill="1" applyBorder="1" applyAlignment="1">
      <alignment horizontal="left" vertical="center" wrapText="1"/>
    </xf>
    <xf numFmtId="14" fontId="24" fillId="2" borderId="5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14" fontId="22" fillId="2" borderId="5" xfId="0" applyNumberFormat="1" applyFont="1" applyFill="1" applyBorder="1" applyAlignment="1">
      <alignment horizontal="center" vertical="center" wrapText="1"/>
    </xf>
    <xf numFmtId="2" fontId="22" fillId="2" borderId="5" xfId="0" applyNumberFormat="1" applyFont="1" applyFill="1" applyBorder="1" applyAlignment="1">
      <alignment horizontal="center" vertical="center" wrapText="1"/>
    </xf>
    <xf numFmtId="14" fontId="24" fillId="2" borderId="2" xfId="0" applyNumberFormat="1" applyFont="1" applyFill="1" applyBorder="1" applyAlignment="1">
      <alignment horizontal="center" vertical="center" wrapText="1"/>
    </xf>
    <xf numFmtId="2" fontId="22" fillId="2" borderId="2" xfId="0" applyNumberFormat="1" applyFont="1" applyFill="1" applyBorder="1" applyAlignment="1">
      <alignment horizontal="center" vertical="center" wrapText="1"/>
    </xf>
    <xf numFmtId="20" fontId="22" fillId="2" borderId="2" xfId="0" applyNumberFormat="1" applyFont="1" applyFill="1" applyBorder="1" applyAlignment="1">
      <alignment horizontal="center" vertical="center" wrapText="1"/>
    </xf>
    <xf numFmtId="20" fontId="22" fillId="2" borderId="5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4" fontId="9" fillId="2" borderId="6" xfId="0" applyNumberFormat="1" applyFont="1" applyFill="1" applyBorder="1" applyAlignment="1">
      <alignment horizontal="center" vertical="center" wrapText="1"/>
    </xf>
    <xf numFmtId="2" fontId="9" fillId="2" borderId="2" xfId="0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4" fontId="26" fillId="2" borderId="2" xfId="0" applyNumberFormat="1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49" fontId="27" fillId="2" borderId="6" xfId="0" applyNumberFormat="1" applyFont="1" applyFill="1" applyBorder="1" applyAlignment="1">
      <alignment horizontal="center" vertical="center" wrapText="1"/>
    </xf>
    <xf numFmtId="0" fontId="27" fillId="2" borderId="6" xfId="0" applyFont="1" applyFill="1" applyBorder="1" applyAlignment="1" applyProtection="1">
      <alignment horizontal="center" vertical="center" wrapText="1"/>
      <protection locked="0"/>
    </xf>
    <xf numFmtId="14" fontId="25" fillId="2" borderId="6" xfId="0" applyNumberFormat="1" applyFont="1" applyFill="1" applyBorder="1" applyAlignment="1">
      <alignment horizontal="center" vertical="center" wrapText="1"/>
    </xf>
    <xf numFmtId="14" fontId="25" fillId="2" borderId="2" xfId="0" applyNumberFormat="1" applyFont="1" applyFill="1" applyBorder="1" applyAlignment="1">
      <alignment horizontal="center" vertical="center" wrapText="1"/>
    </xf>
    <xf numFmtId="2" fontId="25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>
      <alignment horizontal="center" vertical="center" wrapText="1"/>
    </xf>
    <xf numFmtId="14" fontId="10" fillId="2" borderId="2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4" fontId="9" fillId="2" borderId="11" xfId="0" applyNumberFormat="1" applyFont="1" applyFill="1" applyBorder="1" applyAlignment="1">
      <alignment horizontal="center" vertical="center" wrapText="1"/>
    </xf>
    <xf numFmtId="14" fontId="9" fillId="2" borderId="12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20" fontId="9" fillId="2" borderId="12" xfId="0" applyNumberFormat="1" applyFont="1" applyFill="1" applyBorder="1" applyAlignment="1">
      <alignment horizontal="center" vertical="center" wrapText="1"/>
    </xf>
    <xf numFmtId="20" fontId="9" fillId="2" borderId="2" xfId="0" applyNumberFormat="1" applyFont="1" applyFill="1" applyBorder="1" applyAlignment="1">
      <alignment horizontal="center" vertical="center" wrapText="1"/>
    </xf>
    <xf numFmtId="20" fontId="25" fillId="2" borderId="2" xfId="0" applyNumberFormat="1" applyFont="1" applyFill="1" applyBorder="1" applyAlignment="1">
      <alignment horizontal="center" vertical="center" wrapText="1"/>
    </xf>
    <xf numFmtId="20" fontId="28" fillId="2" borderId="2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20" fontId="9" fillId="2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153">
    <cellStyle name="%" xfId="10" xr:uid="{00000000-0005-0000-0000-000000000000}"/>
    <cellStyle name="% 2" xfId="11" xr:uid="{00000000-0005-0000-0000-000001000000}"/>
    <cellStyle name="% 3" xfId="12" xr:uid="{00000000-0005-0000-0000-000002000000}"/>
    <cellStyle name="% 4" xfId="13" xr:uid="{00000000-0005-0000-0000-000003000000}"/>
    <cellStyle name="% 5" xfId="14" xr:uid="{00000000-0005-0000-0000-000004000000}"/>
    <cellStyle name="% 6" xfId="15" xr:uid="{00000000-0005-0000-0000-000005000000}"/>
    <cellStyle name="% 7" xfId="16" xr:uid="{00000000-0005-0000-0000-000006000000}"/>
    <cellStyle name="% 9" xfId="17" xr:uid="{00000000-0005-0000-0000-000007000000}"/>
    <cellStyle name="=C:\WINNT\SYSTEM32\COMMAND.COM" xfId="1" xr:uid="{00000000-0005-0000-0000-000008000000}"/>
    <cellStyle name="=C:\WINNT\SYSTEM32\COMMAND.COM 2" xfId="18" xr:uid="{00000000-0005-0000-0000-000009000000}"/>
    <cellStyle name="Excel Built-in Normal" xfId="2" xr:uid="{00000000-0005-0000-0000-00000A000000}"/>
    <cellStyle name="Excel Built-in Normal 2" xfId="3" xr:uid="{00000000-0005-0000-0000-00000B000000}"/>
    <cellStyle name="Excel Built-in Normal 3" xfId="19" xr:uid="{00000000-0005-0000-0000-00000C000000}"/>
    <cellStyle name="Excel Built-in Normal 4" xfId="20" xr:uid="{00000000-0005-0000-0000-00000D000000}"/>
    <cellStyle name="Heading" xfId="4" xr:uid="{00000000-0005-0000-0000-00000E000000}"/>
    <cellStyle name="Heading1" xfId="5" xr:uid="{00000000-0005-0000-0000-00000F000000}"/>
    <cellStyle name="Hipervínculo 2" xfId="6" xr:uid="{00000000-0005-0000-0000-000010000000}"/>
    <cellStyle name="Hipervínculo 3" xfId="131" xr:uid="{00000000-0005-0000-0000-000011000000}"/>
    <cellStyle name="Millares 2" xfId="21" xr:uid="{00000000-0005-0000-0000-000012000000}"/>
    <cellStyle name="Normal" xfId="0" builtinId="0"/>
    <cellStyle name="Normal 10" xfId="22" xr:uid="{00000000-0005-0000-0000-000014000000}"/>
    <cellStyle name="Normal 10 2" xfId="23" xr:uid="{00000000-0005-0000-0000-000015000000}"/>
    <cellStyle name="Normal 10 3" xfId="24" xr:uid="{00000000-0005-0000-0000-000016000000}"/>
    <cellStyle name="Normal 10 4" xfId="25" xr:uid="{00000000-0005-0000-0000-000017000000}"/>
    <cellStyle name="Normal 100 6" xfId="132" xr:uid="{00000000-0005-0000-0000-000018000000}"/>
    <cellStyle name="Normal 11" xfId="26" xr:uid="{00000000-0005-0000-0000-000019000000}"/>
    <cellStyle name="Normal 11 2" xfId="27" xr:uid="{00000000-0005-0000-0000-00001A000000}"/>
    <cellStyle name="Normal 11 3" xfId="28" xr:uid="{00000000-0005-0000-0000-00001B000000}"/>
    <cellStyle name="Normal 11 4" xfId="29" xr:uid="{00000000-0005-0000-0000-00001C000000}"/>
    <cellStyle name="Normal 12" xfId="30" xr:uid="{00000000-0005-0000-0000-00001D000000}"/>
    <cellStyle name="Normal 12 2" xfId="31" xr:uid="{00000000-0005-0000-0000-00001E000000}"/>
    <cellStyle name="Normal 12 3" xfId="32" xr:uid="{00000000-0005-0000-0000-00001F000000}"/>
    <cellStyle name="Normal 12 4" xfId="33" xr:uid="{00000000-0005-0000-0000-000020000000}"/>
    <cellStyle name="Normal 13" xfId="34" xr:uid="{00000000-0005-0000-0000-000021000000}"/>
    <cellStyle name="Normal 14" xfId="35" xr:uid="{00000000-0005-0000-0000-000022000000}"/>
    <cellStyle name="Normal 15" xfId="36" xr:uid="{00000000-0005-0000-0000-000023000000}"/>
    <cellStyle name="Normal 16" xfId="37" xr:uid="{00000000-0005-0000-0000-000024000000}"/>
    <cellStyle name="Normal 17" xfId="38" xr:uid="{00000000-0005-0000-0000-000025000000}"/>
    <cellStyle name="Normal 18" xfId="39" xr:uid="{00000000-0005-0000-0000-000026000000}"/>
    <cellStyle name="Normal 19" xfId="40" xr:uid="{00000000-0005-0000-0000-000027000000}"/>
    <cellStyle name="Normal 2" xfId="7" xr:uid="{00000000-0005-0000-0000-000028000000}"/>
    <cellStyle name="Normal 2 2" xfId="151" xr:uid="{00000000-0005-0000-0000-000029000000}"/>
    <cellStyle name="Normal 2 3" xfId="41" xr:uid="{00000000-0005-0000-0000-00002A000000}"/>
    <cellStyle name="Normal 20" xfId="42" xr:uid="{00000000-0005-0000-0000-00002B000000}"/>
    <cellStyle name="Normal 21" xfId="43" xr:uid="{00000000-0005-0000-0000-00002C000000}"/>
    <cellStyle name="Normal 22" xfId="44" xr:uid="{00000000-0005-0000-0000-00002D000000}"/>
    <cellStyle name="Normal 22 2" xfId="45" xr:uid="{00000000-0005-0000-0000-00002E000000}"/>
    <cellStyle name="Normal 22 3" xfId="46" xr:uid="{00000000-0005-0000-0000-00002F000000}"/>
    <cellStyle name="Normal 22 4" xfId="47" xr:uid="{00000000-0005-0000-0000-000030000000}"/>
    <cellStyle name="Normal 23" xfId="48" xr:uid="{00000000-0005-0000-0000-000031000000}"/>
    <cellStyle name="Normal 23 2" xfId="49" xr:uid="{00000000-0005-0000-0000-000032000000}"/>
    <cellStyle name="Normal 23 3" xfId="50" xr:uid="{00000000-0005-0000-0000-000033000000}"/>
    <cellStyle name="Normal 23 4" xfId="51" xr:uid="{00000000-0005-0000-0000-000034000000}"/>
    <cellStyle name="Normal 24" xfId="52" xr:uid="{00000000-0005-0000-0000-000035000000}"/>
    <cellStyle name="Normal 24 2" xfId="53" xr:uid="{00000000-0005-0000-0000-000036000000}"/>
    <cellStyle name="Normal 24 3" xfId="54" xr:uid="{00000000-0005-0000-0000-000037000000}"/>
    <cellStyle name="Normal 24 4" xfId="55" xr:uid="{00000000-0005-0000-0000-000038000000}"/>
    <cellStyle name="Normal 25" xfId="56" xr:uid="{00000000-0005-0000-0000-000039000000}"/>
    <cellStyle name="Normal 26" xfId="57" xr:uid="{00000000-0005-0000-0000-00003A000000}"/>
    <cellStyle name="Normal 27" xfId="58" xr:uid="{00000000-0005-0000-0000-00003B000000}"/>
    <cellStyle name="Normal 27 2" xfId="59" xr:uid="{00000000-0005-0000-0000-00003C000000}"/>
    <cellStyle name="Normal 27 3" xfId="60" xr:uid="{00000000-0005-0000-0000-00003D000000}"/>
    <cellStyle name="Normal 27 4" xfId="61" xr:uid="{00000000-0005-0000-0000-00003E000000}"/>
    <cellStyle name="Normal 28" xfId="62" xr:uid="{00000000-0005-0000-0000-00003F000000}"/>
    <cellStyle name="Normal 28 2" xfId="133" xr:uid="{00000000-0005-0000-0000-000040000000}"/>
    <cellStyle name="Normal 29" xfId="63" xr:uid="{00000000-0005-0000-0000-000041000000}"/>
    <cellStyle name="Normal 3" xfId="64" xr:uid="{00000000-0005-0000-0000-000042000000}"/>
    <cellStyle name="Normal 3 2" xfId="65" xr:uid="{00000000-0005-0000-0000-000043000000}"/>
    <cellStyle name="Normal 3 3" xfId="66" xr:uid="{00000000-0005-0000-0000-000044000000}"/>
    <cellStyle name="Normal 3 4" xfId="67" xr:uid="{00000000-0005-0000-0000-000045000000}"/>
    <cellStyle name="Normal 30" xfId="68" xr:uid="{00000000-0005-0000-0000-000046000000}"/>
    <cellStyle name="Normal 31" xfId="69" xr:uid="{00000000-0005-0000-0000-000047000000}"/>
    <cellStyle name="Normal 32" xfId="70" xr:uid="{00000000-0005-0000-0000-000048000000}"/>
    <cellStyle name="Normal 33" xfId="71" xr:uid="{00000000-0005-0000-0000-000049000000}"/>
    <cellStyle name="Normal 34" xfId="72" xr:uid="{00000000-0005-0000-0000-00004A000000}"/>
    <cellStyle name="Normal 35" xfId="73" xr:uid="{00000000-0005-0000-0000-00004B000000}"/>
    <cellStyle name="Normal 36" xfId="74" xr:uid="{00000000-0005-0000-0000-00004C000000}"/>
    <cellStyle name="Normal 37" xfId="75" xr:uid="{00000000-0005-0000-0000-00004D000000}"/>
    <cellStyle name="Normal 38" xfId="76" xr:uid="{00000000-0005-0000-0000-00004E000000}"/>
    <cellStyle name="Normal 39" xfId="77" xr:uid="{00000000-0005-0000-0000-00004F000000}"/>
    <cellStyle name="Normal 4" xfId="78" xr:uid="{00000000-0005-0000-0000-000050000000}"/>
    <cellStyle name="Normal 40" xfId="79" xr:uid="{00000000-0005-0000-0000-000051000000}"/>
    <cellStyle name="Normal 41" xfId="80" xr:uid="{00000000-0005-0000-0000-000052000000}"/>
    <cellStyle name="Normal 42" xfId="81" xr:uid="{00000000-0005-0000-0000-000053000000}"/>
    <cellStyle name="Normal 43" xfId="82" xr:uid="{00000000-0005-0000-0000-000054000000}"/>
    <cellStyle name="Normal 44" xfId="83" xr:uid="{00000000-0005-0000-0000-000055000000}"/>
    <cellStyle name="Normal 45" xfId="84" xr:uid="{00000000-0005-0000-0000-000056000000}"/>
    <cellStyle name="Normal 46" xfId="85" xr:uid="{00000000-0005-0000-0000-000057000000}"/>
    <cellStyle name="Normal 47" xfId="86" xr:uid="{00000000-0005-0000-0000-000058000000}"/>
    <cellStyle name="Normal 48" xfId="87" xr:uid="{00000000-0005-0000-0000-000059000000}"/>
    <cellStyle name="Normal 49" xfId="88" xr:uid="{00000000-0005-0000-0000-00005A000000}"/>
    <cellStyle name="Normal 5" xfId="89" xr:uid="{00000000-0005-0000-0000-00005B000000}"/>
    <cellStyle name="Normal 50" xfId="90" xr:uid="{00000000-0005-0000-0000-00005C000000}"/>
    <cellStyle name="Normal 51" xfId="91" xr:uid="{00000000-0005-0000-0000-00005D000000}"/>
    <cellStyle name="Normal 52" xfId="92" xr:uid="{00000000-0005-0000-0000-00005E000000}"/>
    <cellStyle name="Normal 53" xfId="93" xr:uid="{00000000-0005-0000-0000-00005F000000}"/>
    <cellStyle name="Normal 54" xfId="94" xr:uid="{00000000-0005-0000-0000-000060000000}"/>
    <cellStyle name="Normal 55" xfId="95" xr:uid="{00000000-0005-0000-0000-000061000000}"/>
    <cellStyle name="Normal 56" xfId="96" xr:uid="{00000000-0005-0000-0000-000062000000}"/>
    <cellStyle name="Normal 57" xfId="97" xr:uid="{00000000-0005-0000-0000-000063000000}"/>
    <cellStyle name="Normal 58" xfId="98" xr:uid="{00000000-0005-0000-0000-000064000000}"/>
    <cellStyle name="Normal 59" xfId="99" xr:uid="{00000000-0005-0000-0000-000065000000}"/>
    <cellStyle name="Normal 6" xfId="100" xr:uid="{00000000-0005-0000-0000-000066000000}"/>
    <cellStyle name="Normal 6 2" xfId="101" xr:uid="{00000000-0005-0000-0000-000067000000}"/>
    <cellStyle name="Normal 6 3" xfId="102" xr:uid="{00000000-0005-0000-0000-000068000000}"/>
    <cellStyle name="Normal 6 4" xfId="103" xr:uid="{00000000-0005-0000-0000-000069000000}"/>
    <cellStyle name="Normal 60" xfId="104" xr:uid="{00000000-0005-0000-0000-00006A000000}"/>
    <cellStyle name="Normal 61" xfId="105" xr:uid="{00000000-0005-0000-0000-00006B000000}"/>
    <cellStyle name="Normal 62" xfId="106" xr:uid="{00000000-0005-0000-0000-00006C000000}"/>
    <cellStyle name="Normal 63" xfId="107" xr:uid="{00000000-0005-0000-0000-00006D000000}"/>
    <cellStyle name="Normal 64" xfId="108" xr:uid="{00000000-0005-0000-0000-00006E000000}"/>
    <cellStyle name="Normal 65" xfId="109" xr:uid="{00000000-0005-0000-0000-00006F000000}"/>
    <cellStyle name="Normal 66" xfId="110" xr:uid="{00000000-0005-0000-0000-000070000000}"/>
    <cellStyle name="Normal 67" xfId="111" xr:uid="{00000000-0005-0000-0000-000071000000}"/>
    <cellStyle name="Normal 68" xfId="112" xr:uid="{00000000-0005-0000-0000-000072000000}"/>
    <cellStyle name="Normal 69" xfId="113" xr:uid="{00000000-0005-0000-0000-000073000000}"/>
    <cellStyle name="Normal 7" xfId="114" xr:uid="{00000000-0005-0000-0000-000074000000}"/>
    <cellStyle name="Normal 7 2" xfId="115" xr:uid="{00000000-0005-0000-0000-000075000000}"/>
    <cellStyle name="Normal 7 3" xfId="116" xr:uid="{00000000-0005-0000-0000-000076000000}"/>
    <cellStyle name="Normal 7 4" xfId="117" xr:uid="{00000000-0005-0000-0000-000077000000}"/>
    <cellStyle name="Normal 70" xfId="118" xr:uid="{00000000-0005-0000-0000-000078000000}"/>
    <cellStyle name="Normal 71" xfId="119" xr:uid="{00000000-0005-0000-0000-000079000000}"/>
    <cellStyle name="Normal 72" xfId="120" xr:uid="{00000000-0005-0000-0000-00007A000000}"/>
    <cellStyle name="Normal 73" xfId="121" xr:uid="{00000000-0005-0000-0000-00007B000000}"/>
    <cellStyle name="Normal 74" xfId="134" xr:uid="{00000000-0005-0000-0000-00007C000000}"/>
    <cellStyle name="Normal 75" xfId="135" xr:uid="{00000000-0005-0000-0000-00007D000000}"/>
    <cellStyle name="Normal 76" xfId="136" xr:uid="{00000000-0005-0000-0000-00007E000000}"/>
    <cellStyle name="Normal 77" xfId="137" xr:uid="{00000000-0005-0000-0000-00007F000000}"/>
    <cellStyle name="Normal 78" xfId="138" xr:uid="{00000000-0005-0000-0000-000080000000}"/>
    <cellStyle name="Normal 79" xfId="139" xr:uid="{00000000-0005-0000-0000-000081000000}"/>
    <cellStyle name="Normal 8" xfId="122" xr:uid="{00000000-0005-0000-0000-000082000000}"/>
    <cellStyle name="Normal 8 2" xfId="123" xr:uid="{00000000-0005-0000-0000-000083000000}"/>
    <cellStyle name="Normal 8 3" xfId="124" xr:uid="{00000000-0005-0000-0000-000084000000}"/>
    <cellStyle name="Normal 8 4" xfId="125" xr:uid="{00000000-0005-0000-0000-000085000000}"/>
    <cellStyle name="Normal 80" xfId="140" xr:uid="{00000000-0005-0000-0000-000086000000}"/>
    <cellStyle name="Normal 81" xfId="141" xr:uid="{00000000-0005-0000-0000-000087000000}"/>
    <cellStyle name="Normal 82" xfId="142" xr:uid="{00000000-0005-0000-0000-000088000000}"/>
    <cellStyle name="Normal 83" xfId="147" xr:uid="{00000000-0005-0000-0000-000089000000}"/>
    <cellStyle name="Normal 84" xfId="143" xr:uid="{00000000-0005-0000-0000-00008A000000}"/>
    <cellStyle name="Normal 85" xfId="144" xr:uid="{00000000-0005-0000-0000-00008B000000}"/>
    <cellStyle name="Normal 86" xfId="145" xr:uid="{00000000-0005-0000-0000-00008C000000}"/>
    <cellStyle name="Normal 87" xfId="146" xr:uid="{00000000-0005-0000-0000-00008D000000}"/>
    <cellStyle name="Normal 88" xfId="148" xr:uid="{00000000-0005-0000-0000-00008E000000}"/>
    <cellStyle name="Normal 9" xfId="126" xr:uid="{00000000-0005-0000-0000-00008F000000}"/>
    <cellStyle name="Normal 9 2" xfId="127" xr:uid="{00000000-0005-0000-0000-000090000000}"/>
    <cellStyle name="Normal 9 3" xfId="128" xr:uid="{00000000-0005-0000-0000-000091000000}"/>
    <cellStyle name="Normal 9 4" xfId="129" xr:uid="{00000000-0005-0000-0000-000092000000}"/>
    <cellStyle name="Normal 93" xfId="150" xr:uid="{00000000-0005-0000-0000-000093000000}"/>
    <cellStyle name="Normal 93 2" xfId="152" xr:uid="{00000000-0005-0000-0000-000094000000}"/>
    <cellStyle name="Normal 94" xfId="149" xr:uid="{00000000-0005-0000-0000-000095000000}"/>
    <cellStyle name="Page Title Bar" xfId="130" xr:uid="{00000000-0005-0000-0000-000096000000}"/>
    <cellStyle name="Result" xfId="8" xr:uid="{00000000-0005-0000-0000-000097000000}"/>
    <cellStyle name="Result2" xfId="9" xr:uid="{00000000-0005-0000-0000-000098000000}"/>
  </cellStyles>
  <dxfs count="33"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INVENTARIO%20DRTSPL\5-UNIDAD%20DE%20APOYO%20Y%20ASESORIA\1-GESTION%20INTERNA%20ADMINISTRATIVA%20FINANCIERA\4-SECRETARIA%20GENERAL\MATRIZ%20CORRESPONDENCIA%202023\LOJA%20BASE%20REPORTE%20CORRESPONDENC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VENTARIO%20DRTSPL\5-UNIDAD%20DE%20APOYO%20Y%20ASESORIA\1-GESTION%20INTERNA%20ADMINISTRATIVA%20FINANCIERA\4-SECRETARIA%20GENERAL\MATRIZ%20CORRESPONDENCIA%202023\LOJA%20BASE%20REPORTE%20CORRESPOND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OJA BASE REPORTE CORRESPONDENC"/>
      <sheetName val="BASE CORRESPONDENCIA 2023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6" displayName="Tabla6" ref="A2:Q137" totalsRowShown="0" headerRowDxfId="32" headerRowBorderDxfId="31" tableBorderDxfId="30" totalsRowBorderDxfId="29">
  <tableColumns count="17">
    <tableColumn id="1" xr3:uid="{00000000-0010-0000-0000-000001000000}" name="Nro." dataDxfId="28"/>
    <tableColumn id="2" xr3:uid="{00000000-0010-0000-0000-000002000000}" name="FECHA DE ENTREGA DE LA CORRESPONDENCIA" dataDxfId="27"/>
    <tableColumn id="3" xr3:uid="{00000000-0010-0000-0000-000003000000}" name="TIPO DE DESTINO" dataDxfId="26"/>
    <tableColumn id="15" xr3:uid="{00000000-0010-0000-0000-00000F000000}" name="NOMBRE DEL REMITENTE" dataDxfId="25"/>
    <tableColumn id="4" xr3:uid="{00000000-0010-0000-0000-000004000000}" name="TIPO DE CONTENEDOR" dataDxfId="24"/>
    <tableColumn id="19" xr3:uid="{00000000-0010-0000-0000-000013000000}" name="NÚMERO  DE  CONTENEDORES" dataDxfId="23"/>
    <tableColumn id="5" xr3:uid="{00000000-0010-0000-0000-000005000000}" name="NÚMERO DE GUIA / ACTA" dataDxfId="22"/>
    <tableColumn id="6" xr3:uid="{00000000-0010-0000-0000-000006000000}" name="DESCRIPCIÓN DEL CONTENIDO DEL PAQUETE" dataDxfId="21"/>
    <tableColumn id="8" xr3:uid="{00000000-0010-0000-0000-000008000000}" name="NOMBRES DEL DESTINATARIO" dataDxfId="20"/>
    <tableColumn id="16" xr3:uid="{00000000-0010-0000-0000-000010000000}" name="CIUDAD" dataDxfId="19"/>
    <tableColumn id="9" xr3:uid="{00000000-0010-0000-0000-000009000000}" name="UNIDAD ADMINISTRATIVA DE DESTINO" dataDxfId="18"/>
    <tableColumn id="10" xr3:uid="{00000000-0010-0000-0000-00000A000000}" name="NOMBRE SERVIDOR QUE RECIBE" dataDxfId="17"/>
    <tableColumn id="12" xr3:uid="{00000000-0010-0000-0000-00000C000000}" name=" FECHA " dataDxfId="16"/>
    <tableColumn id="17" xr3:uid="{00000000-0010-0000-0000-000011000000}" name="HORA" dataDxfId="15"/>
    <tableColumn id="13" xr3:uid="{00000000-0010-0000-0000-00000D000000}" name="TIEMPO DE ATENCIÓN" dataDxfId="14">
      <calculatedColumnFormula>Tabla6[[#This Row],[ FECHA ]]-Tabla6[[#This Row],[FECHA DE ENTREGA DE LA CORRESPONDENCIA]]</calculatedColumnFormula>
    </tableColumn>
    <tableColumn id="18" xr3:uid="{00000000-0010-0000-0000-000012000000}" name="FE DE RECEPCIÓN" dataDxfId="13"/>
    <tableColumn id="14" xr3:uid="{00000000-0010-0000-0000-00000E000000}" name="OBSERVACION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A1:B11" totalsRowShown="0">
  <autoFilter ref="A1:B11" xr:uid="{00000000-0009-0000-0100-000007000000}"/>
  <tableColumns count="2">
    <tableColumn id="1" xr3:uid="{00000000-0010-0000-0100-000001000000}" name="Columna1"/>
    <tableColumn id="2" xr3:uid="{00000000-0010-0000-0100-000002000000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X1475"/>
  <sheetViews>
    <sheetView showGridLines="0" tabSelected="1" topLeftCell="A2" zoomScale="80" zoomScaleNormal="80" workbookViewId="0">
      <pane xSplit="1" ySplit="1" topLeftCell="B74" activePane="bottomRight" state="frozen"/>
      <selection activeCell="A2" sqref="A2"/>
      <selection pane="topRight" activeCell="B2" sqref="B2"/>
      <selection pane="bottomLeft" activeCell="A3" sqref="A3"/>
      <selection pane="bottomRight" activeCell="H77" sqref="H77"/>
    </sheetView>
  </sheetViews>
  <sheetFormatPr baseColWidth="10" defaultRowHeight="86.25" customHeight="1" x14ac:dyDescent="0.25"/>
  <cols>
    <col min="1" max="1" width="8.28515625" style="2" customWidth="1"/>
    <col min="2" max="2" width="19.42578125" style="2" customWidth="1"/>
    <col min="3" max="3" width="15.28515625" style="2" customWidth="1"/>
    <col min="4" max="4" width="22.140625" style="2" customWidth="1"/>
    <col min="5" max="5" width="16.7109375" style="2" customWidth="1"/>
    <col min="6" max="6" width="14.85546875" style="2" customWidth="1"/>
    <col min="7" max="7" width="18.42578125" style="2" customWidth="1"/>
    <col min="8" max="8" width="36.85546875" style="7" customWidth="1"/>
    <col min="9" max="9" width="26.42578125" style="2" customWidth="1"/>
    <col min="10" max="10" width="19.5703125" style="2" customWidth="1"/>
    <col min="11" max="11" width="28.7109375" style="2" customWidth="1"/>
    <col min="12" max="12" width="33.28515625" style="2" customWidth="1"/>
    <col min="13" max="13" width="14.5703125" style="2" customWidth="1"/>
    <col min="14" max="14" width="12.7109375" style="12" customWidth="1"/>
    <col min="15" max="16" width="17" style="12" customWidth="1"/>
    <col min="17" max="17" width="25" style="2" customWidth="1"/>
    <col min="18" max="206" width="11.42578125" style="1"/>
    <col min="207" max="16384" width="11.42578125" style="2"/>
  </cols>
  <sheetData>
    <row r="1" spans="1:19" s="1" customFormat="1" ht="39.75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3" t="s">
        <v>1</v>
      </c>
      <c r="J1" s="94"/>
      <c r="K1" s="95"/>
      <c r="L1" s="96" t="s">
        <v>30</v>
      </c>
      <c r="M1" s="97"/>
      <c r="N1" s="97"/>
      <c r="O1" s="97"/>
      <c r="P1" s="97"/>
      <c r="Q1" s="98"/>
    </row>
    <row r="2" spans="1:19" s="17" customFormat="1" ht="63.75" customHeight="1" x14ac:dyDescent="0.25">
      <c r="A2" s="28" t="s">
        <v>2</v>
      </c>
      <c r="B2" s="28" t="s">
        <v>3</v>
      </c>
      <c r="C2" s="28" t="s">
        <v>4</v>
      </c>
      <c r="D2" s="28" t="s">
        <v>25</v>
      </c>
      <c r="E2" s="28" t="s">
        <v>11</v>
      </c>
      <c r="F2" s="28" t="s">
        <v>27</v>
      </c>
      <c r="G2" s="28" t="s">
        <v>26</v>
      </c>
      <c r="H2" s="29" t="s">
        <v>5</v>
      </c>
      <c r="I2" s="28" t="s">
        <v>28</v>
      </c>
      <c r="J2" s="28" t="s">
        <v>6</v>
      </c>
      <c r="K2" s="28" t="s">
        <v>29</v>
      </c>
      <c r="L2" s="28" t="s">
        <v>31</v>
      </c>
      <c r="M2" s="28" t="s">
        <v>32</v>
      </c>
      <c r="N2" s="28" t="s">
        <v>33</v>
      </c>
      <c r="O2" s="28" t="s">
        <v>34</v>
      </c>
      <c r="P2" s="28" t="s">
        <v>35</v>
      </c>
      <c r="Q2" s="28" t="s">
        <v>7</v>
      </c>
    </row>
    <row r="3" spans="1:19" ht="60" customHeight="1" x14ac:dyDescent="0.25">
      <c r="A3" s="30">
        <v>1</v>
      </c>
      <c r="B3" s="20">
        <v>45294</v>
      </c>
      <c r="C3" s="18" t="s">
        <v>13</v>
      </c>
      <c r="D3" s="21" t="s">
        <v>47</v>
      </c>
      <c r="E3" s="18" t="s">
        <v>19</v>
      </c>
      <c r="F3" s="18">
        <v>1</v>
      </c>
      <c r="G3" s="31" t="s">
        <v>48</v>
      </c>
      <c r="H3" s="22" t="s">
        <v>43</v>
      </c>
      <c r="I3" s="23" t="s">
        <v>45</v>
      </c>
      <c r="J3" s="23" t="s">
        <v>9</v>
      </c>
      <c r="K3" s="24" t="s">
        <v>39</v>
      </c>
      <c r="L3" s="23" t="s">
        <v>42</v>
      </c>
      <c r="M3" s="19">
        <v>45296</v>
      </c>
      <c r="N3" s="25">
        <v>0.45694444444444443</v>
      </c>
      <c r="O3" s="26"/>
      <c r="P3" s="19">
        <v>45296</v>
      </c>
      <c r="Q3" s="24" t="s">
        <v>36</v>
      </c>
      <c r="S3" s="17"/>
    </row>
    <row r="4" spans="1:19" ht="22.5" x14ac:dyDescent="0.25">
      <c r="A4" s="30">
        <v>2</v>
      </c>
      <c r="B4" s="20">
        <v>45294</v>
      </c>
      <c r="C4" s="18" t="s">
        <v>13</v>
      </c>
      <c r="D4" s="21" t="s">
        <v>40</v>
      </c>
      <c r="E4" s="18" t="s">
        <v>19</v>
      </c>
      <c r="F4" s="18">
        <v>1</v>
      </c>
      <c r="G4" s="31" t="s">
        <v>49</v>
      </c>
      <c r="H4" s="22" t="s">
        <v>46</v>
      </c>
      <c r="I4" s="23" t="s">
        <v>44</v>
      </c>
      <c r="J4" s="23" t="s">
        <v>37</v>
      </c>
      <c r="K4" s="24" t="s">
        <v>38</v>
      </c>
      <c r="L4" s="23" t="s">
        <v>41</v>
      </c>
      <c r="M4" s="19">
        <v>45294</v>
      </c>
      <c r="N4" s="25">
        <v>0.46597222222222223</v>
      </c>
      <c r="O4" s="26">
        <f>Tabla6[[#This Row],[ FECHA ]]-Tabla6[[#This Row],[FECHA DE ENTREGA DE LA CORRESPONDENCIA]]</f>
        <v>0</v>
      </c>
      <c r="P4" s="19">
        <v>45236</v>
      </c>
      <c r="Q4" s="24" t="s">
        <v>51</v>
      </c>
    </row>
    <row r="5" spans="1:19" ht="33.75" x14ac:dyDescent="0.25">
      <c r="A5" s="30">
        <v>3</v>
      </c>
      <c r="B5" s="20">
        <v>45294</v>
      </c>
      <c r="C5" s="18" t="s">
        <v>13</v>
      </c>
      <c r="D5" s="21" t="s">
        <v>215</v>
      </c>
      <c r="E5" s="18" t="s">
        <v>19</v>
      </c>
      <c r="F5" s="18">
        <v>1</v>
      </c>
      <c r="G5" s="31" t="s">
        <v>53</v>
      </c>
      <c r="H5" s="24" t="s">
        <v>52</v>
      </c>
      <c r="I5" s="23" t="s">
        <v>50</v>
      </c>
      <c r="J5" s="23" t="s">
        <v>37</v>
      </c>
      <c r="K5" s="24" t="s">
        <v>38</v>
      </c>
      <c r="L5" s="23" t="s">
        <v>61</v>
      </c>
      <c r="M5" s="19">
        <v>45295</v>
      </c>
      <c r="N5" s="25">
        <v>0.45833333333333331</v>
      </c>
      <c r="O5" s="26" t="e">
        <f>[1]!Tabla6[[#This Row],[ FECHA ]]-[1]!Tabla6[[#This Row],[FECHA DE ENTREGA DE LA CORRESPONDENCIA]]</f>
        <v>#REF!</v>
      </c>
      <c r="P5" s="19">
        <v>45295</v>
      </c>
      <c r="Q5" s="24" t="s">
        <v>51</v>
      </c>
    </row>
    <row r="6" spans="1:19" ht="33.75" x14ac:dyDescent="0.25">
      <c r="A6" s="30">
        <v>4</v>
      </c>
      <c r="B6" s="20">
        <v>45295</v>
      </c>
      <c r="C6" s="18" t="s">
        <v>13</v>
      </c>
      <c r="D6" s="21" t="s">
        <v>59</v>
      </c>
      <c r="E6" s="18" t="s">
        <v>19</v>
      </c>
      <c r="F6" s="18">
        <v>1</v>
      </c>
      <c r="G6" s="31" t="s">
        <v>58</v>
      </c>
      <c r="H6" s="22" t="s">
        <v>57</v>
      </c>
      <c r="I6" s="23" t="s">
        <v>54</v>
      </c>
      <c r="J6" s="23" t="s">
        <v>55</v>
      </c>
      <c r="K6" s="24" t="s">
        <v>56</v>
      </c>
      <c r="L6" s="23" t="s">
        <v>120</v>
      </c>
      <c r="M6" s="19">
        <v>45300</v>
      </c>
      <c r="N6" s="25" t="s">
        <v>121</v>
      </c>
      <c r="O6" s="26">
        <f>Tabla6[[#This Row],[ FECHA ]]-Tabla6[[#This Row],[FECHA DE ENTREGA DE LA CORRESPONDENCIA]]</f>
        <v>5</v>
      </c>
      <c r="P6" s="19">
        <v>45300</v>
      </c>
      <c r="Q6" s="24" t="s">
        <v>60</v>
      </c>
    </row>
    <row r="7" spans="1:19" ht="22.5" x14ac:dyDescent="0.25">
      <c r="A7" s="30">
        <v>5</v>
      </c>
      <c r="B7" s="20">
        <v>45296</v>
      </c>
      <c r="C7" s="18" t="s">
        <v>13</v>
      </c>
      <c r="D7" s="21" t="s">
        <v>64</v>
      </c>
      <c r="E7" s="18" t="s">
        <v>19</v>
      </c>
      <c r="F7" s="18">
        <v>1</v>
      </c>
      <c r="G7" s="22">
        <v>24028035104</v>
      </c>
      <c r="H7" s="22" t="s">
        <v>62</v>
      </c>
      <c r="I7" s="23" t="s">
        <v>63</v>
      </c>
      <c r="J7" s="23" t="s">
        <v>37</v>
      </c>
      <c r="K7" s="24" t="s">
        <v>38</v>
      </c>
      <c r="L7" s="23" t="s">
        <v>122</v>
      </c>
      <c r="M7" s="19">
        <v>45299</v>
      </c>
      <c r="N7" s="25">
        <v>0.45833333333333331</v>
      </c>
      <c r="O7" s="26">
        <f>Tabla6[[#This Row],[ FECHA ]]-Tabla6[[#This Row],[FECHA DE ENTREGA DE LA CORRESPONDENCIA]]</f>
        <v>3</v>
      </c>
      <c r="P7" s="19">
        <v>45299</v>
      </c>
      <c r="Q7" s="24" t="s">
        <v>51</v>
      </c>
    </row>
    <row r="8" spans="1:19" ht="22.5" x14ac:dyDescent="0.25">
      <c r="A8" s="30">
        <v>6</v>
      </c>
      <c r="B8" s="20">
        <v>45631</v>
      </c>
      <c r="C8" s="18" t="s">
        <v>13</v>
      </c>
      <c r="D8" s="21" t="s">
        <v>215</v>
      </c>
      <c r="E8" s="18" t="s">
        <v>19</v>
      </c>
      <c r="F8" s="18">
        <v>1</v>
      </c>
      <c r="G8" s="31" t="s">
        <v>73</v>
      </c>
      <c r="H8" s="22" t="s">
        <v>67</v>
      </c>
      <c r="I8" s="23" t="s">
        <v>65</v>
      </c>
      <c r="J8" s="23" t="s">
        <v>9</v>
      </c>
      <c r="K8" s="24" t="s">
        <v>66</v>
      </c>
      <c r="L8" s="23" t="s">
        <v>123</v>
      </c>
      <c r="M8" s="19">
        <v>45299</v>
      </c>
      <c r="N8" s="25">
        <v>0.58333333333333337</v>
      </c>
      <c r="O8" s="26" t="e">
        <f>[1]!Tabla6[[#This Row],[ FECHA ]]-[1]!Tabla6[[#This Row],[FECHA DE ENTREGA DE LA CORRESPONDENCIA]]</f>
        <v>#REF!</v>
      </c>
      <c r="P8" s="19">
        <v>45299</v>
      </c>
      <c r="Q8" s="24" t="s">
        <v>36</v>
      </c>
    </row>
    <row r="9" spans="1:19" ht="22.5" x14ac:dyDescent="0.25">
      <c r="A9" s="30">
        <v>7</v>
      </c>
      <c r="B9" s="20">
        <v>45631</v>
      </c>
      <c r="C9" s="18" t="s">
        <v>13</v>
      </c>
      <c r="D9" s="21" t="s">
        <v>215</v>
      </c>
      <c r="E9" s="18" t="s">
        <v>19</v>
      </c>
      <c r="F9" s="18">
        <v>1</v>
      </c>
      <c r="G9" s="31" t="s">
        <v>72</v>
      </c>
      <c r="H9" s="22" t="s">
        <v>71</v>
      </c>
      <c r="I9" s="23" t="s">
        <v>68</v>
      </c>
      <c r="J9" s="23" t="s">
        <v>9</v>
      </c>
      <c r="K9" s="24" t="s">
        <v>69</v>
      </c>
      <c r="L9" s="23" t="s">
        <v>124</v>
      </c>
      <c r="M9" s="19">
        <v>45299</v>
      </c>
      <c r="N9" s="25">
        <v>0.58333333333333337</v>
      </c>
      <c r="O9" s="26" t="e">
        <f>[1]!Tabla6[[#This Row],[ FECHA ]]-[1]!Tabla6[[#This Row],[FECHA DE ENTREGA DE LA CORRESPONDENCIA]]</f>
        <v>#REF!</v>
      </c>
      <c r="P9" s="19">
        <v>45299</v>
      </c>
      <c r="Q9" s="24" t="s">
        <v>70</v>
      </c>
    </row>
    <row r="10" spans="1:19" ht="33.75" x14ac:dyDescent="0.25">
      <c r="A10" s="30">
        <v>8</v>
      </c>
      <c r="B10" s="20">
        <v>45299</v>
      </c>
      <c r="C10" s="18" t="s">
        <v>13</v>
      </c>
      <c r="D10" s="21" t="s">
        <v>74</v>
      </c>
      <c r="E10" s="18" t="s">
        <v>19</v>
      </c>
      <c r="F10" s="18">
        <v>1</v>
      </c>
      <c r="G10" s="31" t="s">
        <v>76</v>
      </c>
      <c r="H10" s="22" t="s">
        <v>75</v>
      </c>
      <c r="I10" s="23" t="s">
        <v>54</v>
      </c>
      <c r="J10" s="23" t="s">
        <v>55</v>
      </c>
      <c r="K10" s="24" t="s">
        <v>56</v>
      </c>
      <c r="L10" s="23" t="s">
        <v>175</v>
      </c>
      <c r="M10" s="19">
        <v>45299</v>
      </c>
      <c r="N10" s="25">
        <v>0.625</v>
      </c>
      <c r="O10" s="26">
        <f>Tabla6[[#This Row],[ FECHA ]]-Tabla6[[#This Row],[FECHA DE ENTREGA DE LA CORRESPONDENCIA]]</f>
        <v>0</v>
      </c>
      <c r="P10" s="19">
        <v>45299</v>
      </c>
      <c r="Q10" s="24" t="s">
        <v>60</v>
      </c>
    </row>
    <row r="11" spans="1:19" ht="33.75" x14ac:dyDescent="0.25">
      <c r="A11" s="30">
        <v>9</v>
      </c>
      <c r="B11" s="20">
        <v>45299</v>
      </c>
      <c r="C11" s="18" t="s">
        <v>13</v>
      </c>
      <c r="D11" s="21" t="s">
        <v>59</v>
      </c>
      <c r="E11" s="18" t="s">
        <v>19</v>
      </c>
      <c r="F11" s="18">
        <v>1</v>
      </c>
      <c r="G11" s="22" t="s">
        <v>176</v>
      </c>
      <c r="H11" s="22" t="s">
        <v>77</v>
      </c>
      <c r="I11" s="23" t="s">
        <v>78</v>
      </c>
      <c r="J11" s="23" t="s">
        <v>80</v>
      </c>
      <c r="K11" s="24" t="s">
        <v>81</v>
      </c>
      <c r="L11" s="23" t="s">
        <v>199</v>
      </c>
      <c r="M11" s="19">
        <v>45299</v>
      </c>
      <c r="N11" s="25">
        <v>0.45833333333333331</v>
      </c>
      <c r="O11" s="26">
        <f>Tabla6[[#This Row],[ FECHA ]]-Tabla6[[#This Row],[FECHA DE ENTREGA DE LA CORRESPONDENCIA]]</f>
        <v>0</v>
      </c>
      <c r="P11" s="19">
        <v>45299</v>
      </c>
      <c r="Q11" s="24" t="s">
        <v>79</v>
      </c>
    </row>
    <row r="12" spans="1:19" ht="33.75" x14ac:dyDescent="0.25">
      <c r="A12" s="30">
        <v>10</v>
      </c>
      <c r="B12" s="20">
        <v>45299</v>
      </c>
      <c r="C12" s="18" t="s">
        <v>13</v>
      </c>
      <c r="D12" s="21" t="s">
        <v>86</v>
      </c>
      <c r="E12" s="18" t="s">
        <v>19</v>
      </c>
      <c r="F12" s="18">
        <v>1</v>
      </c>
      <c r="G12" s="31" t="s">
        <v>82</v>
      </c>
      <c r="H12" s="22" t="s">
        <v>87</v>
      </c>
      <c r="I12" s="23" t="s">
        <v>88</v>
      </c>
      <c r="J12" s="23" t="s">
        <v>83</v>
      </c>
      <c r="K12" s="24" t="s">
        <v>84</v>
      </c>
      <c r="L12" s="23" t="s">
        <v>125</v>
      </c>
      <c r="M12" s="19">
        <v>45299</v>
      </c>
      <c r="N12" s="25">
        <v>0.47916666666666669</v>
      </c>
      <c r="O12" s="26" t="e">
        <f>[1]!Tabla6[[#This Row],[ FECHA ]]-[1]!Tabla6[[#This Row],[FECHA DE ENTREGA DE LA CORRESPONDENCIA]]</f>
        <v>#REF!</v>
      </c>
      <c r="P12" s="19">
        <v>45299</v>
      </c>
      <c r="Q12" s="24" t="s">
        <v>85</v>
      </c>
    </row>
    <row r="13" spans="1:19" ht="33.75" x14ac:dyDescent="0.25">
      <c r="A13" s="30">
        <v>11</v>
      </c>
      <c r="B13" s="20">
        <v>45300</v>
      </c>
      <c r="C13" s="18" t="s">
        <v>13</v>
      </c>
      <c r="D13" s="21" t="s">
        <v>64</v>
      </c>
      <c r="E13" s="18" t="s">
        <v>19</v>
      </c>
      <c r="F13" s="18">
        <v>1</v>
      </c>
      <c r="G13" s="31" t="s">
        <v>94</v>
      </c>
      <c r="H13" s="22" t="s">
        <v>93</v>
      </c>
      <c r="I13" s="23" t="s">
        <v>92</v>
      </c>
      <c r="J13" s="23" t="s">
        <v>89</v>
      </c>
      <c r="K13" s="24" t="s">
        <v>90</v>
      </c>
      <c r="L13" s="23" t="s">
        <v>126</v>
      </c>
      <c r="M13" s="19">
        <v>45306</v>
      </c>
      <c r="N13" s="25">
        <v>0.625</v>
      </c>
      <c r="O13" s="26" t="e">
        <f>[1]!Tabla6[[#This Row],[ FECHA ]]-[1]!Tabla6[[#This Row],[FECHA DE ENTREGA DE LA CORRESPONDENCIA]]</f>
        <v>#REF!</v>
      </c>
      <c r="P13" s="19">
        <v>45306</v>
      </c>
      <c r="Q13" s="24" t="s">
        <v>91</v>
      </c>
    </row>
    <row r="14" spans="1:19" ht="33.75" x14ac:dyDescent="0.25">
      <c r="A14" s="30">
        <v>12</v>
      </c>
      <c r="B14" s="20">
        <v>45303</v>
      </c>
      <c r="C14" s="18" t="s">
        <v>13</v>
      </c>
      <c r="D14" s="21" t="s">
        <v>47</v>
      </c>
      <c r="E14" s="18" t="s">
        <v>19</v>
      </c>
      <c r="F14" s="18">
        <v>1</v>
      </c>
      <c r="G14" s="22">
        <v>24028035181</v>
      </c>
      <c r="H14" s="22" t="s">
        <v>95</v>
      </c>
      <c r="I14" s="23" t="s">
        <v>96</v>
      </c>
      <c r="J14" s="23" t="s">
        <v>9</v>
      </c>
      <c r="K14" s="24" t="s">
        <v>39</v>
      </c>
      <c r="L14" s="23" t="s">
        <v>127</v>
      </c>
      <c r="M14" s="19">
        <v>45306</v>
      </c>
      <c r="N14" s="25">
        <v>0.57638888888888895</v>
      </c>
      <c r="O14" s="26">
        <f>Tabla6[[#This Row],[ FECHA ]]-Tabla6[[#This Row],[FECHA DE ENTREGA DE LA CORRESPONDENCIA]]</f>
        <v>3</v>
      </c>
      <c r="P14" s="19">
        <v>45306</v>
      </c>
      <c r="Q14" s="24" t="s">
        <v>36</v>
      </c>
    </row>
    <row r="15" spans="1:19" ht="22.5" x14ac:dyDescent="0.25">
      <c r="A15" s="30">
        <v>13</v>
      </c>
      <c r="B15" s="20">
        <v>45303</v>
      </c>
      <c r="C15" s="18" t="s">
        <v>13</v>
      </c>
      <c r="D15" s="21" t="s">
        <v>215</v>
      </c>
      <c r="E15" s="18" t="s">
        <v>19</v>
      </c>
      <c r="F15" s="18">
        <v>1</v>
      </c>
      <c r="G15" s="22">
        <v>24028035184</v>
      </c>
      <c r="H15" s="22" t="s">
        <v>97</v>
      </c>
      <c r="I15" s="23" t="s">
        <v>65</v>
      </c>
      <c r="J15" s="23" t="s">
        <v>9</v>
      </c>
      <c r="K15" s="24" t="s">
        <v>66</v>
      </c>
      <c r="L15" s="23" t="s">
        <v>127</v>
      </c>
      <c r="M15" s="19">
        <v>45306</v>
      </c>
      <c r="N15" s="25">
        <v>0.57638888888888895</v>
      </c>
      <c r="O15" s="26">
        <f>Tabla6[[#This Row],[ FECHA ]]-Tabla6[[#This Row],[FECHA DE ENTREGA DE LA CORRESPONDENCIA]]</f>
        <v>3</v>
      </c>
      <c r="P15" s="19">
        <v>45306</v>
      </c>
      <c r="Q15" s="24" t="s">
        <v>36</v>
      </c>
    </row>
    <row r="16" spans="1:19" ht="22.5" x14ac:dyDescent="0.25">
      <c r="A16" s="30">
        <v>14</v>
      </c>
      <c r="B16" s="20">
        <v>45303</v>
      </c>
      <c r="C16" s="18" t="s">
        <v>13</v>
      </c>
      <c r="D16" s="21" t="s">
        <v>215</v>
      </c>
      <c r="E16" s="18" t="s">
        <v>19</v>
      </c>
      <c r="F16" s="18">
        <v>1</v>
      </c>
      <c r="G16" s="31" t="s">
        <v>103</v>
      </c>
      <c r="H16" s="22" t="s">
        <v>102</v>
      </c>
      <c r="I16" s="23" t="s">
        <v>98</v>
      </c>
      <c r="J16" s="23" t="s">
        <v>99</v>
      </c>
      <c r="K16" s="24" t="s">
        <v>100</v>
      </c>
      <c r="L16" s="23" t="s">
        <v>177</v>
      </c>
      <c r="M16" s="19">
        <v>45303</v>
      </c>
      <c r="N16" s="25">
        <v>0.33333333333333331</v>
      </c>
      <c r="O16" s="26" t="e">
        <f>[1]!Tabla6[[#This Row],[ FECHA ]]-[1]!Tabla6[[#This Row],[FECHA DE ENTREGA DE LA CORRESPONDENCIA]]</f>
        <v>#REF!</v>
      </c>
      <c r="P16" s="19">
        <v>45306</v>
      </c>
      <c r="Q16" s="24" t="s">
        <v>101</v>
      </c>
    </row>
    <row r="17" spans="1:17" ht="22.5" x14ac:dyDescent="0.25">
      <c r="A17" s="30">
        <v>15</v>
      </c>
      <c r="B17" s="20">
        <v>45306</v>
      </c>
      <c r="C17" s="18" t="s">
        <v>13</v>
      </c>
      <c r="D17" s="21" t="s">
        <v>104</v>
      </c>
      <c r="E17" s="18" t="s">
        <v>19</v>
      </c>
      <c r="F17" s="18">
        <v>1</v>
      </c>
      <c r="G17" s="31" t="s">
        <v>111</v>
      </c>
      <c r="H17" s="22" t="s">
        <v>105</v>
      </c>
      <c r="I17" s="23" t="s">
        <v>65</v>
      </c>
      <c r="J17" s="23" t="s">
        <v>9</v>
      </c>
      <c r="K17" s="24" t="s">
        <v>66</v>
      </c>
      <c r="L17" s="23" t="s">
        <v>166</v>
      </c>
      <c r="M17" s="19">
        <v>45308</v>
      </c>
      <c r="N17" s="25" t="s">
        <v>167</v>
      </c>
      <c r="O17" s="26"/>
      <c r="P17" s="19">
        <v>45308</v>
      </c>
      <c r="Q17" s="24" t="s">
        <v>36</v>
      </c>
    </row>
    <row r="18" spans="1:17" ht="22.5" x14ac:dyDescent="0.25">
      <c r="A18" s="30">
        <v>16</v>
      </c>
      <c r="B18" s="20">
        <v>45306</v>
      </c>
      <c r="C18" s="18" t="s">
        <v>13</v>
      </c>
      <c r="D18" s="21" t="s">
        <v>109</v>
      </c>
      <c r="E18" s="18" t="s">
        <v>19</v>
      </c>
      <c r="F18" s="18">
        <v>1</v>
      </c>
      <c r="G18" s="31" t="s">
        <v>106</v>
      </c>
      <c r="H18" s="22" t="s">
        <v>95</v>
      </c>
      <c r="I18" s="23" t="s">
        <v>96</v>
      </c>
      <c r="J18" s="23" t="s">
        <v>9</v>
      </c>
      <c r="K18" s="24" t="s">
        <v>39</v>
      </c>
      <c r="L18" s="23" t="s">
        <v>166</v>
      </c>
      <c r="M18" s="19">
        <v>45308</v>
      </c>
      <c r="N18" s="25" t="s">
        <v>168</v>
      </c>
      <c r="O18" s="26">
        <f>Tabla6[[#This Row],[ FECHA ]]-Tabla6[[#This Row],[FECHA DE ENTREGA DE LA CORRESPONDENCIA]]</f>
        <v>2</v>
      </c>
      <c r="P18" s="19">
        <v>45308</v>
      </c>
      <c r="Q18" s="24" t="s">
        <v>36</v>
      </c>
    </row>
    <row r="19" spans="1:17" ht="22.5" x14ac:dyDescent="0.25">
      <c r="A19" s="30">
        <v>17</v>
      </c>
      <c r="B19" s="20">
        <v>45306</v>
      </c>
      <c r="C19" s="18" t="s">
        <v>13</v>
      </c>
      <c r="D19" s="21" t="s">
        <v>64</v>
      </c>
      <c r="E19" s="18" t="s">
        <v>19</v>
      </c>
      <c r="F19" s="18">
        <v>1</v>
      </c>
      <c r="G19" s="31" t="s">
        <v>110</v>
      </c>
      <c r="H19" s="22" t="s">
        <v>107</v>
      </c>
      <c r="I19" s="23" t="s">
        <v>108</v>
      </c>
      <c r="J19" s="23" t="s">
        <v>37</v>
      </c>
      <c r="K19" s="24" t="s">
        <v>38</v>
      </c>
      <c r="L19" s="23" t="s">
        <v>169</v>
      </c>
      <c r="M19" s="19">
        <v>45308</v>
      </c>
      <c r="N19" s="25">
        <v>0.45833333333333331</v>
      </c>
      <c r="O19" s="26">
        <f>Tabla6[[#This Row],[ FECHA ]]-Tabla6[[#This Row],[FECHA DE ENTREGA DE LA CORRESPONDENCIA]]</f>
        <v>2</v>
      </c>
      <c r="P19" s="19">
        <v>45308</v>
      </c>
      <c r="Q19" s="24" t="s">
        <v>51</v>
      </c>
    </row>
    <row r="20" spans="1:17" ht="33.75" x14ac:dyDescent="0.25">
      <c r="A20" s="30">
        <v>18</v>
      </c>
      <c r="B20" s="20">
        <v>45307</v>
      </c>
      <c r="C20" s="18" t="s">
        <v>13</v>
      </c>
      <c r="D20" s="21" t="s">
        <v>112</v>
      </c>
      <c r="E20" s="18" t="s">
        <v>19</v>
      </c>
      <c r="F20" s="18">
        <v>1</v>
      </c>
      <c r="G20" s="31" t="s">
        <v>114</v>
      </c>
      <c r="H20" s="24" t="s">
        <v>113</v>
      </c>
      <c r="I20" s="23" t="s">
        <v>50</v>
      </c>
      <c r="J20" s="23" t="s">
        <v>37</v>
      </c>
      <c r="K20" s="24" t="s">
        <v>38</v>
      </c>
      <c r="L20" s="23" t="s">
        <v>170</v>
      </c>
      <c r="M20" s="19">
        <v>45309</v>
      </c>
      <c r="N20" s="25">
        <v>0.45833333333333331</v>
      </c>
      <c r="O20" s="26">
        <f>Tabla6[[#This Row],[ FECHA ]]-Tabla6[[#This Row],[FECHA DE ENTREGA DE LA CORRESPONDENCIA]]</f>
        <v>2</v>
      </c>
      <c r="P20" s="19">
        <v>45309</v>
      </c>
      <c r="Q20" s="24" t="s">
        <v>51</v>
      </c>
    </row>
    <row r="21" spans="1:17" ht="22.5" x14ac:dyDescent="0.25">
      <c r="A21" s="30">
        <v>19</v>
      </c>
      <c r="B21" s="20">
        <v>45310</v>
      </c>
      <c r="C21" s="18" t="s">
        <v>13</v>
      </c>
      <c r="D21" s="21" t="s">
        <v>59</v>
      </c>
      <c r="E21" s="18" t="s">
        <v>19</v>
      </c>
      <c r="F21" s="18">
        <v>1</v>
      </c>
      <c r="G21" s="31" t="s">
        <v>119</v>
      </c>
      <c r="H21" s="22" t="s">
        <v>115</v>
      </c>
      <c r="I21" s="23" t="s">
        <v>116</v>
      </c>
      <c r="J21" s="23" t="s">
        <v>117</v>
      </c>
      <c r="K21" s="24" t="s">
        <v>118</v>
      </c>
      <c r="L21" s="23" t="s">
        <v>178</v>
      </c>
      <c r="M21" s="19">
        <v>45314</v>
      </c>
      <c r="N21" s="25">
        <v>0.60277777777777775</v>
      </c>
      <c r="O21" s="26">
        <f>Tabla6[[#This Row],[ FECHA ]]-Tabla6[[#This Row],[FECHA DE ENTREGA DE LA CORRESPONDENCIA]]</f>
        <v>4</v>
      </c>
      <c r="P21" s="19">
        <v>45314</v>
      </c>
      <c r="Q21" s="24" t="s">
        <v>118</v>
      </c>
    </row>
    <row r="22" spans="1:17" ht="22.5" x14ac:dyDescent="0.25">
      <c r="A22" s="30">
        <v>20</v>
      </c>
      <c r="B22" s="20">
        <v>45310</v>
      </c>
      <c r="C22" s="18" t="s">
        <v>13</v>
      </c>
      <c r="D22" s="21" t="s">
        <v>215</v>
      </c>
      <c r="E22" s="18" t="s">
        <v>19</v>
      </c>
      <c r="F22" s="18">
        <v>1</v>
      </c>
      <c r="G22" s="31" t="s">
        <v>129</v>
      </c>
      <c r="H22" s="22" t="s">
        <v>128</v>
      </c>
      <c r="I22" s="23" t="s">
        <v>65</v>
      </c>
      <c r="J22" s="23" t="s">
        <v>9</v>
      </c>
      <c r="K22" s="24" t="s">
        <v>66</v>
      </c>
      <c r="L22" s="23" t="s">
        <v>171</v>
      </c>
      <c r="M22" s="19">
        <v>45315</v>
      </c>
      <c r="N22" s="25">
        <v>0.45833333333333331</v>
      </c>
      <c r="O22" s="26">
        <f>Tabla6[[#This Row],[ FECHA ]]-Tabla6[[#This Row],[FECHA DE ENTREGA DE LA CORRESPONDENCIA]]</f>
        <v>5</v>
      </c>
      <c r="P22" s="19">
        <v>45315</v>
      </c>
      <c r="Q22" s="24" t="s">
        <v>36</v>
      </c>
    </row>
    <row r="23" spans="1:17" ht="33.75" x14ac:dyDescent="0.25">
      <c r="A23" s="30">
        <v>21</v>
      </c>
      <c r="B23" s="20">
        <v>45310</v>
      </c>
      <c r="C23" s="18" t="s">
        <v>13</v>
      </c>
      <c r="D23" s="21" t="s">
        <v>112</v>
      </c>
      <c r="E23" s="18" t="s">
        <v>19</v>
      </c>
      <c r="F23" s="18">
        <v>1</v>
      </c>
      <c r="G23" s="31" t="s">
        <v>131</v>
      </c>
      <c r="H23" s="22" t="s">
        <v>130</v>
      </c>
      <c r="I23" s="23" t="s">
        <v>50</v>
      </c>
      <c r="J23" s="23" t="s">
        <v>37</v>
      </c>
      <c r="K23" s="24" t="s">
        <v>38</v>
      </c>
      <c r="L23" s="23" t="s">
        <v>172</v>
      </c>
      <c r="M23" s="19">
        <v>45313</v>
      </c>
      <c r="N23" s="25">
        <v>0.45833333333333331</v>
      </c>
      <c r="O23" s="26">
        <f>Tabla6[[#This Row],[ FECHA ]]-Tabla6[[#This Row],[FECHA DE ENTREGA DE LA CORRESPONDENCIA]]</f>
        <v>3</v>
      </c>
      <c r="P23" s="19">
        <v>45313</v>
      </c>
      <c r="Q23" s="24" t="s">
        <v>51</v>
      </c>
    </row>
    <row r="24" spans="1:17" ht="22.5" x14ac:dyDescent="0.25">
      <c r="A24" s="30">
        <v>22</v>
      </c>
      <c r="B24" s="20">
        <v>45310</v>
      </c>
      <c r="C24" s="18" t="s">
        <v>13</v>
      </c>
      <c r="D24" s="21" t="s">
        <v>215</v>
      </c>
      <c r="E24" s="18" t="s">
        <v>19</v>
      </c>
      <c r="F24" s="18">
        <v>1</v>
      </c>
      <c r="G24" s="31" t="s">
        <v>132</v>
      </c>
      <c r="H24" s="22" t="s">
        <v>133</v>
      </c>
      <c r="I24" s="23" t="s">
        <v>134</v>
      </c>
      <c r="J24" s="23" t="s">
        <v>135</v>
      </c>
      <c r="K24" s="24" t="s">
        <v>136</v>
      </c>
      <c r="L24" s="23" t="s">
        <v>173</v>
      </c>
      <c r="M24" s="19">
        <v>45314</v>
      </c>
      <c r="N24" s="25">
        <v>0.45833333333333331</v>
      </c>
      <c r="O24" s="26">
        <f>Tabla6[[#This Row],[ FECHA ]]-Tabla6[[#This Row],[FECHA DE ENTREGA DE LA CORRESPONDENCIA]]</f>
        <v>4</v>
      </c>
      <c r="P24" s="19">
        <v>45314</v>
      </c>
      <c r="Q24" s="24" t="s">
        <v>137</v>
      </c>
    </row>
    <row r="25" spans="1:17" ht="22.5" x14ac:dyDescent="0.25">
      <c r="A25" s="30">
        <v>23</v>
      </c>
      <c r="B25" s="20">
        <v>45313</v>
      </c>
      <c r="C25" s="18" t="s">
        <v>13</v>
      </c>
      <c r="D25" s="21" t="s">
        <v>59</v>
      </c>
      <c r="E25" s="18" t="s">
        <v>19</v>
      </c>
      <c r="F25" s="18">
        <v>1</v>
      </c>
      <c r="G25" s="31" t="s">
        <v>142</v>
      </c>
      <c r="H25" s="22" t="s">
        <v>115</v>
      </c>
      <c r="I25" s="23" t="s">
        <v>141</v>
      </c>
      <c r="J25" s="23" t="s">
        <v>140</v>
      </c>
      <c r="K25" s="24" t="s">
        <v>139</v>
      </c>
      <c r="L25" s="23" t="s">
        <v>179</v>
      </c>
      <c r="M25" s="19">
        <v>45313</v>
      </c>
      <c r="N25" s="25">
        <v>0.52222222222222225</v>
      </c>
      <c r="O25" s="26">
        <f>Tabla6[[#This Row],[ FECHA ]]-Tabla6[[#This Row],[FECHA DE ENTREGA DE LA CORRESPONDENCIA]]</f>
        <v>0</v>
      </c>
      <c r="P25" s="19">
        <v>45313</v>
      </c>
      <c r="Q25" s="24" t="s">
        <v>138</v>
      </c>
    </row>
    <row r="26" spans="1:17" ht="22.5" x14ac:dyDescent="0.25">
      <c r="A26" s="30">
        <v>24</v>
      </c>
      <c r="B26" s="20">
        <v>45313</v>
      </c>
      <c r="C26" s="18" t="s">
        <v>13</v>
      </c>
      <c r="D26" s="21" t="s">
        <v>59</v>
      </c>
      <c r="E26" s="18" t="s">
        <v>19</v>
      </c>
      <c r="F26" s="18">
        <v>1</v>
      </c>
      <c r="G26" s="31" t="s">
        <v>146</v>
      </c>
      <c r="H26" s="22" t="s">
        <v>143</v>
      </c>
      <c r="I26" s="23" t="s">
        <v>144</v>
      </c>
      <c r="J26" s="23" t="s">
        <v>9</v>
      </c>
      <c r="K26" s="24" t="s">
        <v>145</v>
      </c>
      <c r="L26" s="23" t="s">
        <v>174</v>
      </c>
      <c r="M26" s="19">
        <v>45315</v>
      </c>
      <c r="N26" s="25">
        <v>0.52222222222222225</v>
      </c>
      <c r="O26" s="26">
        <f>Tabla6[[#This Row],[ FECHA ]]-Tabla6[[#This Row],[FECHA DE ENTREGA DE LA CORRESPONDENCIA]]</f>
        <v>2</v>
      </c>
      <c r="P26" s="19">
        <v>45315</v>
      </c>
      <c r="Q26" s="24" t="s">
        <v>70</v>
      </c>
    </row>
    <row r="27" spans="1:17" ht="25.5" x14ac:dyDescent="0.25">
      <c r="A27" s="30">
        <v>25</v>
      </c>
      <c r="B27" s="20">
        <v>45314</v>
      </c>
      <c r="C27" s="18" t="s">
        <v>13</v>
      </c>
      <c r="D27" s="21" t="s">
        <v>64</v>
      </c>
      <c r="E27" s="18" t="s">
        <v>19</v>
      </c>
      <c r="F27" s="18">
        <v>1</v>
      </c>
      <c r="G27" s="31" t="s">
        <v>148</v>
      </c>
      <c r="H27" s="22" t="s">
        <v>147</v>
      </c>
      <c r="I27" s="23" t="s">
        <v>63</v>
      </c>
      <c r="J27" s="23" t="s">
        <v>37</v>
      </c>
      <c r="K27" s="24" t="s">
        <v>38</v>
      </c>
      <c r="L27" s="32" t="s">
        <v>181</v>
      </c>
      <c r="M27" s="19">
        <v>45316</v>
      </c>
      <c r="N27" s="25">
        <v>0.52222222222222225</v>
      </c>
      <c r="O27" s="26">
        <f>Tabla6[[#This Row],[ FECHA ]]-Tabla6[[#This Row],[FECHA DE ENTREGA DE LA CORRESPONDENCIA]]</f>
        <v>2</v>
      </c>
      <c r="P27" s="19">
        <v>45316</v>
      </c>
      <c r="Q27" s="24" t="s">
        <v>51</v>
      </c>
    </row>
    <row r="28" spans="1:17" ht="22.5" x14ac:dyDescent="0.25">
      <c r="A28" s="30">
        <v>26</v>
      </c>
      <c r="B28" s="20">
        <v>45303</v>
      </c>
      <c r="C28" s="18" t="s">
        <v>13</v>
      </c>
      <c r="D28" s="21" t="s">
        <v>149</v>
      </c>
      <c r="E28" s="18" t="s">
        <v>19</v>
      </c>
      <c r="F28" s="18">
        <v>1</v>
      </c>
      <c r="G28" s="31" t="s">
        <v>151</v>
      </c>
      <c r="H28" s="22" t="s">
        <v>150</v>
      </c>
      <c r="I28" s="23" t="s">
        <v>98</v>
      </c>
      <c r="J28" s="23" t="s">
        <v>99</v>
      </c>
      <c r="K28" s="24" t="s">
        <v>100</v>
      </c>
      <c r="L28" s="23" t="s">
        <v>180</v>
      </c>
      <c r="M28" s="19">
        <v>45316</v>
      </c>
      <c r="N28" s="25">
        <v>0.33333333333333331</v>
      </c>
      <c r="O28" s="26">
        <f>Tabla6[[#This Row],[ FECHA ]]-Tabla6[[#This Row],[FECHA DE ENTREGA DE LA CORRESPONDENCIA]]</f>
        <v>13</v>
      </c>
      <c r="P28" s="19">
        <v>45316</v>
      </c>
      <c r="Q28" s="24" t="s">
        <v>101</v>
      </c>
    </row>
    <row r="29" spans="1:17" ht="22.5" x14ac:dyDescent="0.25">
      <c r="A29" s="30">
        <v>27</v>
      </c>
      <c r="B29" s="20">
        <v>45317</v>
      </c>
      <c r="C29" s="18" t="s">
        <v>13</v>
      </c>
      <c r="D29" s="21" t="s">
        <v>213</v>
      </c>
      <c r="E29" s="18" t="s">
        <v>19</v>
      </c>
      <c r="F29" s="18">
        <v>1</v>
      </c>
      <c r="G29" s="22">
        <v>24028035400</v>
      </c>
      <c r="H29" s="22" t="s">
        <v>152</v>
      </c>
      <c r="I29" s="23" t="s">
        <v>65</v>
      </c>
      <c r="J29" s="23" t="s">
        <v>9</v>
      </c>
      <c r="K29" s="24" t="s">
        <v>66</v>
      </c>
      <c r="L29" s="23" t="s">
        <v>200</v>
      </c>
      <c r="M29" s="19">
        <v>45320</v>
      </c>
      <c r="N29" s="25" t="s">
        <v>201</v>
      </c>
      <c r="O29" s="26">
        <f>Tabla6[[#This Row],[ FECHA ]]-Tabla6[[#This Row],[FECHA DE ENTREGA DE LA CORRESPONDENCIA]]</f>
        <v>3</v>
      </c>
      <c r="P29" s="19">
        <v>45320</v>
      </c>
      <c r="Q29" s="24" t="s">
        <v>36</v>
      </c>
    </row>
    <row r="30" spans="1:17" ht="33.75" x14ac:dyDescent="0.25">
      <c r="A30" s="30">
        <v>28</v>
      </c>
      <c r="B30" s="20">
        <v>45317</v>
      </c>
      <c r="C30" s="18" t="s">
        <v>13</v>
      </c>
      <c r="D30" s="21" t="s">
        <v>212</v>
      </c>
      <c r="E30" s="18" t="s">
        <v>19</v>
      </c>
      <c r="F30" s="18">
        <v>2</v>
      </c>
      <c r="G30" s="22">
        <v>24028035401</v>
      </c>
      <c r="H30" s="22" t="s">
        <v>182</v>
      </c>
      <c r="I30" s="23" t="s">
        <v>183</v>
      </c>
      <c r="J30" s="23" t="s">
        <v>9</v>
      </c>
      <c r="K30" s="24" t="s">
        <v>69</v>
      </c>
      <c r="L30" s="23" t="s">
        <v>202</v>
      </c>
      <c r="M30" s="19">
        <v>45320</v>
      </c>
      <c r="N30" s="25">
        <v>0.59722222222222221</v>
      </c>
      <c r="O30" s="26">
        <f>Tabla6[[#This Row],[ FECHA ]]-Tabla6[[#This Row],[FECHA DE ENTREGA DE LA CORRESPONDENCIA]]</f>
        <v>3</v>
      </c>
      <c r="P30" s="19">
        <v>45320</v>
      </c>
      <c r="Q30" s="24" t="s">
        <v>153</v>
      </c>
    </row>
    <row r="31" spans="1:17" ht="22.5" x14ac:dyDescent="0.25">
      <c r="A31" s="30">
        <v>29</v>
      </c>
      <c r="B31" s="20">
        <v>45317</v>
      </c>
      <c r="C31" s="18" t="s">
        <v>13</v>
      </c>
      <c r="D31" s="21" t="s">
        <v>213</v>
      </c>
      <c r="E31" s="18" t="s">
        <v>19</v>
      </c>
      <c r="F31" s="18">
        <v>1</v>
      </c>
      <c r="G31" s="22">
        <v>24028035402</v>
      </c>
      <c r="H31" s="22" t="s">
        <v>154</v>
      </c>
      <c r="I31" s="23" t="s">
        <v>155</v>
      </c>
      <c r="J31" s="23" t="s">
        <v>156</v>
      </c>
      <c r="K31" s="24" t="s">
        <v>157</v>
      </c>
      <c r="L31" s="23" t="s">
        <v>203</v>
      </c>
      <c r="M31" s="19">
        <v>45320</v>
      </c>
      <c r="N31" s="25" t="s">
        <v>204</v>
      </c>
      <c r="O31" s="26">
        <f>Tabla6[[#This Row],[ FECHA ]]-Tabla6[[#This Row],[FECHA DE ENTREGA DE LA CORRESPONDENCIA]]</f>
        <v>3</v>
      </c>
      <c r="P31" s="19">
        <v>45320</v>
      </c>
      <c r="Q31" s="24" t="s">
        <v>158</v>
      </c>
    </row>
    <row r="32" spans="1:17" ht="22.5" x14ac:dyDescent="0.25">
      <c r="A32" s="30">
        <v>30</v>
      </c>
      <c r="B32" s="20">
        <v>45317</v>
      </c>
      <c r="C32" s="18" t="s">
        <v>13</v>
      </c>
      <c r="D32" s="21" t="s">
        <v>213</v>
      </c>
      <c r="E32" s="18" t="s">
        <v>19</v>
      </c>
      <c r="F32" s="18">
        <v>1</v>
      </c>
      <c r="G32" s="22">
        <v>24028035403</v>
      </c>
      <c r="H32" s="22" t="s">
        <v>163</v>
      </c>
      <c r="I32" s="23" t="s">
        <v>162</v>
      </c>
      <c r="J32" s="23" t="s">
        <v>160</v>
      </c>
      <c r="K32" s="24" t="s">
        <v>159</v>
      </c>
      <c r="L32" s="23" t="s">
        <v>205</v>
      </c>
      <c r="M32" s="19">
        <v>45321</v>
      </c>
      <c r="N32" s="25">
        <v>0.66666666666666663</v>
      </c>
      <c r="O32" s="26">
        <f>Tabla6[[#This Row],[ FECHA ]]-Tabla6[[#This Row],[FECHA DE ENTREGA DE LA CORRESPONDENCIA]]</f>
        <v>4</v>
      </c>
      <c r="P32" s="19">
        <v>45321</v>
      </c>
      <c r="Q32" s="24" t="s">
        <v>161</v>
      </c>
    </row>
    <row r="33" spans="1:17" ht="22.5" x14ac:dyDescent="0.25">
      <c r="A33" s="30">
        <v>31</v>
      </c>
      <c r="B33" s="20">
        <v>45317</v>
      </c>
      <c r="C33" s="18" t="s">
        <v>13</v>
      </c>
      <c r="D33" s="21" t="s">
        <v>213</v>
      </c>
      <c r="E33" s="18" t="s">
        <v>19</v>
      </c>
      <c r="F33" s="18">
        <v>1</v>
      </c>
      <c r="G33" s="22">
        <v>24028035404</v>
      </c>
      <c r="H33" s="22" t="s">
        <v>165</v>
      </c>
      <c r="I33" s="23" t="s">
        <v>164</v>
      </c>
      <c r="J33" s="23" t="s">
        <v>37</v>
      </c>
      <c r="K33" s="24" t="s">
        <v>38</v>
      </c>
      <c r="L33" s="23" t="s">
        <v>206</v>
      </c>
      <c r="M33" s="19">
        <v>45320</v>
      </c>
      <c r="N33" s="25">
        <v>0.45833333333333331</v>
      </c>
      <c r="O33" s="26">
        <f>Tabla6[[#This Row],[ FECHA ]]-Tabla6[[#This Row],[FECHA DE ENTREGA DE LA CORRESPONDENCIA]]</f>
        <v>3</v>
      </c>
      <c r="P33" s="19">
        <v>45320</v>
      </c>
      <c r="Q33" s="24" t="s">
        <v>51</v>
      </c>
    </row>
    <row r="34" spans="1:17" ht="22.5" x14ac:dyDescent="0.25">
      <c r="A34" s="30">
        <v>32</v>
      </c>
      <c r="B34" s="20">
        <v>45321</v>
      </c>
      <c r="C34" s="18" t="s">
        <v>13</v>
      </c>
      <c r="D34" s="21" t="s">
        <v>74</v>
      </c>
      <c r="E34" s="18" t="s">
        <v>19</v>
      </c>
      <c r="F34" s="18">
        <v>1</v>
      </c>
      <c r="G34" s="22">
        <v>24028035451</v>
      </c>
      <c r="H34" s="22" t="s">
        <v>184</v>
      </c>
      <c r="I34" s="23" t="s">
        <v>185</v>
      </c>
      <c r="J34" s="23" t="s">
        <v>186</v>
      </c>
      <c r="K34" s="24" t="s">
        <v>187</v>
      </c>
      <c r="L34" s="23" t="s">
        <v>207</v>
      </c>
      <c r="M34" s="19">
        <v>45322</v>
      </c>
      <c r="N34" s="25">
        <v>0.33333333333333331</v>
      </c>
      <c r="O34" s="26">
        <f>Tabla6[[#This Row],[ FECHA ]]-Tabla6[[#This Row],[FECHA DE ENTREGA DE LA CORRESPONDENCIA]]</f>
        <v>1</v>
      </c>
      <c r="P34" s="19">
        <v>45322</v>
      </c>
      <c r="Q34" s="24" t="s">
        <v>188</v>
      </c>
    </row>
    <row r="35" spans="1:17" ht="22.5" x14ac:dyDescent="0.25">
      <c r="A35" s="30">
        <v>33</v>
      </c>
      <c r="B35" s="20">
        <v>45321</v>
      </c>
      <c r="C35" s="18" t="s">
        <v>13</v>
      </c>
      <c r="D35" s="21" t="s">
        <v>74</v>
      </c>
      <c r="E35" s="18" t="s">
        <v>19</v>
      </c>
      <c r="F35" s="18">
        <v>1</v>
      </c>
      <c r="G35" s="31" t="s">
        <v>192</v>
      </c>
      <c r="H35" s="22" t="s">
        <v>184</v>
      </c>
      <c r="I35" s="23" t="s">
        <v>191</v>
      </c>
      <c r="J35" s="23" t="s">
        <v>190</v>
      </c>
      <c r="K35" s="24" t="s">
        <v>187</v>
      </c>
      <c r="L35" s="23" t="s">
        <v>208</v>
      </c>
      <c r="M35" s="19">
        <v>45323</v>
      </c>
      <c r="N35" s="25" t="s">
        <v>209</v>
      </c>
      <c r="O35" s="26">
        <f>Tabla6[[#This Row],[ FECHA ]]-Tabla6[[#This Row],[FECHA DE ENTREGA DE LA CORRESPONDENCIA]]</f>
        <v>2</v>
      </c>
      <c r="P35" s="19">
        <v>45323</v>
      </c>
      <c r="Q35" s="24" t="s">
        <v>189</v>
      </c>
    </row>
    <row r="36" spans="1:17" ht="22.5" x14ac:dyDescent="0.25">
      <c r="A36" s="30">
        <v>34</v>
      </c>
      <c r="B36" s="20">
        <v>45322</v>
      </c>
      <c r="C36" s="18" t="s">
        <v>13</v>
      </c>
      <c r="D36" s="21" t="s">
        <v>193</v>
      </c>
      <c r="E36" s="18" t="s">
        <v>19</v>
      </c>
      <c r="F36" s="18">
        <v>1</v>
      </c>
      <c r="G36" s="22">
        <v>24028035478</v>
      </c>
      <c r="H36" s="22" t="s">
        <v>194</v>
      </c>
      <c r="I36" s="23" t="s">
        <v>195</v>
      </c>
      <c r="J36" s="23" t="s">
        <v>196</v>
      </c>
      <c r="K36" s="24" t="s">
        <v>197</v>
      </c>
      <c r="L36" s="23" t="s">
        <v>210</v>
      </c>
      <c r="M36" s="19">
        <v>45322</v>
      </c>
      <c r="N36" s="25" t="s">
        <v>211</v>
      </c>
      <c r="O36" s="26">
        <f>Tabla6[[#This Row],[ FECHA ]]-Tabla6[[#This Row],[FECHA DE ENTREGA DE LA CORRESPONDENCIA]]</f>
        <v>0</v>
      </c>
      <c r="P36" s="19">
        <v>45322</v>
      </c>
      <c r="Q36" s="24" t="s">
        <v>198</v>
      </c>
    </row>
    <row r="37" spans="1:17" ht="33.75" x14ac:dyDescent="0.25">
      <c r="A37" s="30">
        <v>35</v>
      </c>
      <c r="B37" s="20">
        <v>45323</v>
      </c>
      <c r="C37" s="18" t="s">
        <v>13</v>
      </c>
      <c r="D37" s="21" t="s">
        <v>214</v>
      </c>
      <c r="E37" s="18" t="s">
        <v>19</v>
      </c>
      <c r="F37" s="18">
        <v>1</v>
      </c>
      <c r="G37" s="22">
        <v>24028035488</v>
      </c>
      <c r="H37" s="22" t="s">
        <v>216</v>
      </c>
      <c r="I37" s="23" t="s">
        <v>217</v>
      </c>
      <c r="J37" s="23" t="s">
        <v>37</v>
      </c>
      <c r="K37" s="24" t="s">
        <v>38</v>
      </c>
      <c r="L37" s="23" t="s">
        <v>170</v>
      </c>
      <c r="M37" s="19">
        <v>45324</v>
      </c>
      <c r="N37" s="25" t="s">
        <v>281</v>
      </c>
      <c r="O37" s="26">
        <f>Tabla6[[#This Row],[ FECHA ]]-Tabla6[[#This Row],[FECHA DE ENTREGA DE LA CORRESPONDENCIA]]</f>
        <v>1</v>
      </c>
      <c r="P37" s="19">
        <v>45324</v>
      </c>
      <c r="Q37" s="24" t="s">
        <v>51</v>
      </c>
    </row>
    <row r="38" spans="1:17" ht="33.75" x14ac:dyDescent="0.25">
      <c r="A38" s="30">
        <v>36</v>
      </c>
      <c r="B38" s="20">
        <v>45323</v>
      </c>
      <c r="C38" s="18" t="s">
        <v>13</v>
      </c>
      <c r="D38" s="21" t="s">
        <v>219</v>
      </c>
      <c r="E38" s="18" t="s">
        <v>19</v>
      </c>
      <c r="F38" s="18">
        <v>1</v>
      </c>
      <c r="G38" s="22">
        <v>24028035489</v>
      </c>
      <c r="H38" s="22" t="s">
        <v>220</v>
      </c>
      <c r="I38" s="23" t="s">
        <v>218</v>
      </c>
      <c r="J38" s="23" t="s">
        <v>9</v>
      </c>
      <c r="K38" s="24" t="s">
        <v>69</v>
      </c>
      <c r="L38" s="23" t="s">
        <v>282</v>
      </c>
      <c r="M38" s="19">
        <v>45324</v>
      </c>
      <c r="N38" s="25" t="s">
        <v>283</v>
      </c>
      <c r="O38" s="26">
        <f>Tabla6[[#This Row],[ FECHA ]]-Tabla6[[#This Row],[FECHA DE ENTREGA DE LA CORRESPONDENCIA]]</f>
        <v>1</v>
      </c>
      <c r="P38" s="19">
        <v>45324</v>
      </c>
      <c r="Q38" s="24" t="s">
        <v>153</v>
      </c>
    </row>
    <row r="39" spans="1:17" ht="33.75" x14ac:dyDescent="0.25">
      <c r="A39" s="30">
        <v>37</v>
      </c>
      <c r="B39" s="20">
        <v>45324</v>
      </c>
      <c r="C39" s="18" t="s">
        <v>13</v>
      </c>
      <c r="D39" s="21" t="s">
        <v>222</v>
      </c>
      <c r="E39" s="18" t="s">
        <v>19</v>
      </c>
      <c r="F39" s="18">
        <v>1</v>
      </c>
      <c r="G39" s="22">
        <v>24028035507</v>
      </c>
      <c r="H39" s="22" t="s">
        <v>223</v>
      </c>
      <c r="I39" s="23" t="s">
        <v>221</v>
      </c>
      <c r="J39" s="23" t="s">
        <v>9</v>
      </c>
      <c r="K39" s="24" t="s">
        <v>66</v>
      </c>
      <c r="L39" s="23" t="s">
        <v>284</v>
      </c>
      <c r="M39" s="19">
        <v>45327</v>
      </c>
      <c r="N39" s="25">
        <v>0.4201388888888889</v>
      </c>
      <c r="O39" s="26">
        <f>Tabla6[[#This Row],[ FECHA ]]-Tabla6[[#This Row],[FECHA DE ENTREGA DE LA CORRESPONDENCIA]]</f>
        <v>3</v>
      </c>
      <c r="P39" s="19">
        <v>45327</v>
      </c>
      <c r="Q39" s="24" t="s">
        <v>36</v>
      </c>
    </row>
    <row r="40" spans="1:17" ht="33.75" x14ac:dyDescent="0.25">
      <c r="A40" s="30">
        <v>38</v>
      </c>
      <c r="B40" s="20">
        <v>45327</v>
      </c>
      <c r="C40" s="18" t="s">
        <v>13</v>
      </c>
      <c r="D40" s="21" t="s">
        <v>225</v>
      </c>
      <c r="E40" s="18" t="s">
        <v>19</v>
      </c>
      <c r="F40" s="18">
        <v>1</v>
      </c>
      <c r="G40" s="22">
        <v>24028035531</v>
      </c>
      <c r="H40" s="22" t="s">
        <v>224</v>
      </c>
      <c r="I40" s="23" t="s">
        <v>226</v>
      </c>
      <c r="J40" s="23" t="s">
        <v>9</v>
      </c>
      <c r="K40" s="24" t="s">
        <v>227</v>
      </c>
      <c r="L40" s="23" t="s">
        <v>285</v>
      </c>
      <c r="M40" s="19">
        <v>45328</v>
      </c>
      <c r="N40" s="25">
        <v>0.85</v>
      </c>
      <c r="O40" s="26">
        <f>Tabla6[[#This Row],[ FECHA ]]-Tabla6[[#This Row],[FECHA DE ENTREGA DE LA CORRESPONDENCIA]]</f>
        <v>1</v>
      </c>
      <c r="P40" s="19">
        <v>45328</v>
      </c>
      <c r="Q40" s="24" t="s">
        <v>36</v>
      </c>
    </row>
    <row r="41" spans="1:17" ht="22.5" x14ac:dyDescent="0.25">
      <c r="A41" s="30">
        <v>39</v>
      </c>
      <c r="B41" s="20">
        <v>45327</v>
      </c>
      <c r="C41" s="18" t="s">
        <v>13</v>
      </c>
      <c r="D41" s="21" t="s">
        <v>231</v>
      </c>
      <c r="E41" s="18" t="s">
        <v>19</v>
      </c>
      <c r="F41" s="18">
        <v>1</v>
      </c>
      <c r="G41" s="22">
        <v>24028035532</v>
      </c>
      <c r="H41" s="22" t="s">
        <v>228</v>
      </c>
      <c r="I41" s="23" t="s">
        <v>229</v>
      </c>
      <c r="J41" s="23" t="s">
        <v>9</v>
      </c>
      <c r="K41" s="24" t="s">
        <v>230</v>
      </c>
      <c r="L41" s="23" t="s">
        <v>285</v>
      </c>
      <c r="M41" s="19">
        <v>45328</v>
      </c>
      <c r="N41" s="25">
        <v>0.85</v>
      </c>
      <c r="O41" s="26">
        <f>Tabla6[[#This Row],[ FECHA ]]-Tabla6[[#This Row],[FECHA DE ENTREGA DE LA CORRESPONDENCIA]]</f>
        <v>1</v>
      </c>
      <c r="P41" s="19">
        <v>45328</v>
      </c>
      <c r="Q41" s="24" t="s">
        <v>36</v>
      </c>
    </row>
    <row r="42" spans="1:17" ht="22.5" x14ac:dyDescent="0.25">
      <c r="A42" s="30">
        <v>40</v>
      </c>
      <c r="B42" s="20">
        <v>45328</v>
      </c>
      <c r="C42" s="18" t="s">
        <v>13</v>
      </c>
      <c r="D42" s="21" t="s">
        <v>232</v>
      </c>
      <c r="E42" s="18" t="s">
        <v>19</v>
      </c>
      <c r="F42" s="18">
        <v>1</v>
      </c>
      <c r="G42" s="22">
        <v>24028035554</v>
      </c>
      <c r="H42" s="22" t="s">
        <v>234</v>
      </c>
      <c r="I42" s="23" t="s">
        <v>233</v>
      </c>
      <c r="J42" s="23" t="s">
        <v>83</v>
      </c>
      <c r="K42" s="24" t="s">
        <v>84</v>
      </c>
      <c r="L42" s="23" t="s">
        <v>125</v>
      </c>
      <c r="M42" s="19">
        <v>45329</v>
      </c>
      <c r="N42" s="25">
        <v>0.53402777777777777</v>
      </c>
      <c r="O42" s="26">
        <f>Tabla6[[#This Row],[ FECHA ]]-Tabla6[[#This Row],[FECHA DE ENTREGA DE LA CORRESPONDENCIA]]</f>
        <v>1</v>
      </c>
      <c r="P42" s="19">
        <v>45329</v>
      </c>
      <c r="Q42" s="24" t="s">
        <v>85</v>
      </c>
    </row>
    <row r="43" spans="1:17" ht="29.25" customHeight="1" x14ac:dyDescent="0.25">
      <c r="A43" s="30">
        <v>41</v>
      </c>
      <c r="B43" s="20">
        <v>45328</v>
      </c>
      <c r="C43" s="18" t="s">
        <v>13</v>
      </c>
      <c r="D43" s="21" t="s">
        <v>64</v>
      </c>
      <c r="E43" s="18" t="s">
        <v>19</v>
      </c>
      <c r="F43" s="18">
        <v>1</v>
      </c>
      <c r="G43" s="31" t="s">
        <v>237</v>
      </c>
      <c r="H43" s="22" t="s">
        <v>236</v>
      </c>
      <c r="I43" s="23" t="s">
        <v>235</v>
      </c>
      <c r="J43" s="23" t="s">
        <v>99</v>
      </c>
      <c r="K43" s="24" t="s">
        <v>100</v>
      </c>
      <c r="L43" s="23" t="s">
        <v>286</v>
      </c>
      <c r="M43" s="19">
        <v>45329</v>
      </c>
      <c r="N43" s="25">
        <v>0.33333333333333331</v>
      </c>
      <c r="O43" s="26">
        <f>Tabla6[[#This Row],[ FECHA ]]-Tabla6[[#This Row],[FECHA DE ENTREGA DE LA CORRESPONDENCIA]]</f>
        <v>1</v>
      </c>
      <c r="P43" s="19">
        <v>45329</v>
      </c>
      <c r="Q43" s="24" t="s">
        <v>101</v>
      </c>
    </row>
    <row r="44" spans="1:17" ht="22.5" x14ac:dyDescent="0.25">
      <c r="A44" s="30">
        <v>42</v>
      </c>
      <c r="B44" s="20">
        <v>45328</v>
      </c>
      <c r="C44" s="18" t="s">
        <v>13</v>
      </c>
      <c r="D44" s="21" t="s">
        <v>64</v>
      </c>
      <c r="E44" s="18" t="s">
        <v>19</v>
      </c>
      <c r="F44" s="18">
        <v>1</v>
      </c>
      <c r="G44" s="31" t="s">
        <v>240</v>
      </c>
      <c r="H44" s="22" t="s">
        <v>238</v>
      </c>
      <c r="I44" s="23" t="s">
        <v>239</v>
      </c>
      <c r="J44" s="23" t="s">
        <v>37</v>
      </c>
      <c r="K44" s="24" t="s">
        <v>241</v>
      </c>
      <c r="L44" s="23" t="s">
        <v>287</v>
      </c>
      <c r="M44" s="19">
        <v>45329</v>
      </c>
      <c r="N44" s="25">
        <v>0.45833333333333331</v>
      </c>
      <c r="O44" s="26">
        <f>Tabla6[[#This Row],[ FECHA ]]-Tabla6[[#This Row],[FECHA DE ENTREGA DE LA CORRESPONDENCIA]]</f>
        <v>1</v>
      </c>
      <c r="P44" s="19">
        <v>45329</v>
      </c>
      <c r="Q44" s="24" t="s">
        <v>51</v>
      </c>
    </row>
    <row r="45" spans="1:17" ht="22.5" x14ac:dyDescent="0.25">
      <c r="A45" s="30">
        <v>43</v>
      </c>
      <c r="B45" s="20">
        <v>45329</v>
      </c>
      <c r="C45" s="18" t="s">
        <v>13</v>
      </c>
      <c r="D45" s="21" t="s">
        <v>243</v>
      </c>
      <c r="E45" s="18" t="s">
        <v>19</v>
      </c>
      <c r="F45" s="18">
        <v>1</v>
      </c>
      <c r="G45" s="22">
        <v>24028035586</v>
      </c>
      <c r="H45" s="22" t="s">
        <v>242</v>
      </c>
      <c r="I45" s="23" t="s">
        <v>244</v>
      </c>
      <c r="J45" s="23" t="s">
        <v>245</v>
      </c>
      <c r="K45" s="24" t="s">
        <v>246</v>
      </c>
      <c r="L45" s="23" t="s">
        <v>288</v>
      </c>
      <c r="M45" s="19">
        <v>45331</v>
      </c>
      <c r="N45" s="25">
        <v>0.33333333333333331</v>
      </c>
      <c r="O45" s="26">
        <f>Tabla6[[#This Row],[ FECHA ]]-Tabla6[[#This Row],[FECHA DE ENTREGA DE LA CORRESPONDENCIA]]</f>
        <v>2</v>
      </c>
      <c r="P45" s="19">
        <v>45331</v>
      </c>
      <c r="Q45" s="24" t="s">
        <v>247</v>
      </c>
    </row>
    <row r="46" spans="1:17" ht="33.75" x14ac:dyDescent="0.25">
      <c r="A46" s="30">
        <v>44</v>
      </c>
      <c r="B46" s="20">
        <v>45330</v>
      </c>
      <c r="C46" s="18" t="s">
        <v>13</v>
      </c>
      <c r="D46" s="21" t="s">
        <v>251</v>
      </c>
      <c r="E46" s="18" t="s">
        <v>19</v>
      </c>
      <c r="F46" s="18">
        <v>1</v>
      </c>
      <c r="G46" s="22">
        <v>24028035601</v>
      </c>
      <c r="H46" s="22" t="s">
        <v>248</v>
      </c>
      <c r="I46" s="23" t="s">
        <v>164</v>
      </c>
      <c r="J46" s="23" t="s">
        <v>37</v>
      </c>
      <c r="K46" s="24" t="s">
        <v>241</v>
      </c>
      <c r="L46" s="23" t="s">
        <v>289</v>
      </c>
      <c r="M46" s="19">
        <v>45331</v>
      </c>
      <c r="N46" s="25">
        <v>0.45833333333333331</v>
      </c>
      <c r="O46" s="26">
        <f>Tabla6[[#This Row],[ FECHA ]]-Tabla6[[#This Row],[FECHA DE ENTREGA DE LA CORRESPONDENCIA]]</f>
        <v>1</v>
      </c>
      <c r="P46" s="19">
        <v>45331</v>
      </c>
      <c r="Q46" s="24" t="s">
        <v>51</v>
      </c>
    </row>
    <row r="47" spans="1:17" ht="22.5" x14ac:dyDescent="0.25">
      <c r="A47" s="30">
        <v>45</v>
      </c>
      <c r="B47" s="20">
        <v>45330</v>
      </c>
      <c r="C47" s="18" t="s">
        <v>13</v>
      </c>
      <c r="D47" s="21" t="s">
        <v>213</v>
      </c>
      <c r="E47" s="18" t="s">
        <v>19</v>
      </c>
      <c r="F47" s="18">
        <v>1</v>
      </c>
      <c r="G47" s="22">
        <v>24028035602</v>
      </c>
      <c r="H47" s="22" t="s">
        <v>250</v>
      </c>
      <c r="I47" s="23" t="s">
        <v>249</v>
      </c>
      <c r="J47" s="23" t="s">
        <v>99</v>
      </c>
      <c r="K47" s="24" t="s">
        <v>100</v>
      </c>
      <c r="L47" s="23" t="s">
        <v>290</v>
      </c>
      <c r="M47" s="19">
        <v>45331</v>
      </c>
      <c r="N47" s="25">
        <v>0.33333333333333331</v>
      </c>
      <c r="O47" s="26">
        <f>Tabla6[[#This Row],[ FECHA ]]-Tabla6[[#This Row],[FECHA DE ENTREGA DE LA CORRESPONDENCIA]]</f>
        <v>1</v>
      </c>
      <c r="P47" s="19">
        <v>45331</v>
      </c>
      <c r="Q47" s="24" t="s">
        <v>101</v>
      </c>
    </row>
    <row r="48" spans="1:17" ht="22.5" x14ac:dyDescent="0.25">
      <c r="A48" s="30">
        <v>46</v>
      </c>
      <c r="B48" s="20">
        <v>45330</v>
      </c>
      <c r="C48" s="18" t="s">
        <v>13</v>
      </c>
      <c r="D48" s="21" t="s">
        <v>256</v>
      </c>
      <c r="E48" s="18" t="s">
        <v>19</v>
      </c>
      <c r="F48" s="18">
        <v>1</v>
      </c>
      <c r="G48" s="22">
        <v>24028035603</v>
      </c>
      <c r="H48" s="22" t="s">
        <v>252</v>
      </c>
      <c r="I48" s="23" t="s">
        <v>253</v>
      </c>
      <c r="J48" s="23" t="s">
        <v>254</v>
      </c>
      <c r="K48" s="24" t="s">
        <v>255</v>
      </c>
      <c r="L48" s="23" t="s">
        <v>291</v>
      </c>
      <c r="M48" s="19">
        <v>45335</v>
      </c>
      <c r="N48" s="25">
        <v>0.47638888888888892</v>
      </c>
      <c r="O48" s="26">
        <f>Tabla6[[#This Row],[ FECHA ]]-Tabla6[[#This Row],[FECHA DE ENTREGA DE LA CORRESPONDENCIA]]</f>
        <v>5</v>
      </c>
      <c r="P48" s="19">
        <v>45335</v>
      </c>
      <c r="Q48" s="24" t="s">
        <v>36</v>
      </c>
    </row>
    <row r="49" spans="1:17" ht="22.5" x14ac:dyDescent="0.25">
      <c r="A49" s="30">
        <v>47</v>
      </c>
      <c r="B49" s="20">
        <v>45330</v>
      </c>
      <c r="C49" s="18" t="s">
        <v>13</v>
      </c>
      <c r="D49" s="21" t="s">
        <v>257</v>
      </c>
      <c r="E49" s="18" t="s">
        <v>19</v>
      </c>
      <c r="F49" s="18">
        <v>1</v>
      </c>
      <c r="G49" s="31" t="s">
        <v>259</v>
      </c>
      <c r="H49" s="22" t="s">
        <v>258</v>
      </c>
      <c r="I49" s="23" t="s">
        <v>96</v>
      </c>
      <c r="J49" s="23" t="s">
        <v>9</v>
      </c>
      <c r="K49" s="24" t="s">
        <v>39</v>
      </c>
      <c r="L49" s="23" t="s">
        <v>291</v>
      </c>
      <c r="M49" s="19">
        <v>45335</v>
      </c>
      <c r="N49" s="25">
        <v>0.47638888888888892</v>
      </c>
      <c r="O49" s="26">
        <f>Tabla6[[#This Row],[ FECHA ]]-Tabla6[[#This Row],[FECHA DE ENTREGA DE LA CORRESPONDENCIA]]</f>
        <v>5</v>
      </c>
      <c r="P49" s="19">
        <v>45335</v>
      </c>
      <c r="Q49" s="24" t="s">
        <v>36</v>
      </c>
    </row>
    <row r="50" spans="1:17" ht="45" x14ac:dyDescent="0.25">
      <c r="A50" s="30">
        <v>48</v>
      </c>
      <c r="B50" s="20">
        <v>45331</v>
      </c>
      <c r="C50" s="18" t="s">
        <v>13</v>
      </c>
      <c r="D50" s="21" t="s">
        <v>260</v>
      </c>
      <c r="E50" s="18" t="s">
        <v>19</v>
      </c>
      <c r="F50" s="18">
        <v>1</v>
      </c>
      <c r="G50" s="31">
        <v>24028035629</v>
      </c>
      <c r="H50" s="22" t="s">
        <v>272</v>
      </c>
      <c r="I50" s="23" t="s">
        <v>261</v>
      </c>
      <c r="J50" s="23" t="s">
        <v>9</v>
      </c>
      <c r="K50" s="27" t="s">
        <v>66</v>
      </c>
      <c r="L50" s="23" t="s">
        <v>292</v>
      </c>
      <c r="M50" s="19">
        <v>45331</v>
      </c>
      <c r="N50" s="19" t="s">
        <v>211</v>
      </c>
      <c r="O50" s="26">
        <f>Tabla6[[#This Row],[ FECHA ]]-Tabla6[[#This Row],[FECHA DE ENTREGA DE LA CORRESPONDENCIA]]</f>
        <v>0</v>
      </c>
      <c r="P50" s="19">
        <v>45331</v>
      </c>
      <c r="Q50" s="24" t="s">
        <v>36</v>
      </c>
    </row>
    <row r="51" spans="1:17" ht="22.5" x14ac:dyDescent="0.25">
      <c r="A51" s="30">
        <v>49</v>
      </c>
      <c r="B51" s="20">
        <v>45421</v>
      </c>
      <c r="C51" s="18" t="s">
        <v>13</v>
      </c>
      <c r="D51" s="21" t="s">
        <v>266</v>
      </c>
      <c r="E51" s="18" t="s">
        <v>19</v>
      </c>
      <c r="F51" s="18">
        <v>1</v>
      </c>
      <c r="G51" s="31">
        <v>24028035630</v>
      </c>
      <c r="H51" s="22" t="s">
        <v>262</v>
      </c>
      <c r="I51" s="23" t="s">
        <v>263</v>
      </c>
      <c r="J51" s="23" t="s">
        <v>99</v>
      </c>
      <c r="K51" s="24" t="s">
        <v>265</v>
      </c>
      <c r="L51" s="23" t="s">
        <v>293</v>
      </c>
      <c r="M51" s="19">
        <v>45336</v>
      </c>
      <c r="N51" s="19" t="s">
        <v>211</v>
      </c>
      <c r="O51" s="26">
        <v>0</v>
      </c>
      <c r="P51" s="19">
        <v>45336</v>
      </c>
      <c r="Q51" s="24" t="s">
        <v>264</v>
      </c>
    </row>
    <row r="52" spans="1:17" ht="22.5" x14ac:dyDescent="0.25">
      <c r="A52" s="30">
        <v>50</v>
      </c>
      <c r="B52" s="20">
        <v>45421</v>
      </c>
      <c r="C52" s="18" t="s">
        <v>13</v>
      </c>
      <c r="D52" s="21" t="s">
        <v>268</v>
      </c>
      <c r="E52" s="18" t="s">
        <v>19</v>
      </c>
      <c r="F52" s="18">
        <v>1</v>
      </c>
      <c r="G52" s="31">
        <v>24028035631</v>
      </c>
      <c r="H52" s="22" t="s">
        <v>267</v>
      </c>
      <c r="I52" s="23" t="s">
        <v>249</v>
      </c>
      <c r="J52" s="23" t="s">
        <v>99</v>
      </c>
      <c r="K52" s="24" t="s">
        <v>100</v>
      </c>
      <c r="L52" s="23" t="s">
        <v>294</v>
      </c>
      <c r="M52" s="19">
        <v>45336</v>
      </c>
      <c r="N52" s="19" t="s">
        <v>211</v>
      </c>
      <c r="O52" s="26">
        <v>0</v>
      </c>
      <c r="P52" s="19">
        <v>45336</v>
      </c>
      <c r="Q52" s="24" t="s">
        <v>101</v>
      </c>
    </row>
    <row r="53" spans="1:17" ht="22.5" x14ac:dyDescent="0.25">
      <c r="A53" s="30">
        <v>51</v>
      </c>
      <c r="B53" s="20">
        <v>45421</v>
      </c>
      <c r="C53" s="18" t="s">
        <v>13</v>
      </c>
      <c r="D53" s="21" t="s">
        <v>74</v>
      </c>
      <c r="E53" s="18" t="s">
        <v>19</v>
      </c>
      <c r="F53" s="18">
        <v>1</v>
      </c>
      <c r="G53" s="31">
        <v>24028035634</v>
      </c>
      <c r="H53" s="22" t="s">
        <v>269</v>
      </c>
      <c r="I53" s="23" t="s">
        <v>270</v>
      </c>
      <c r="J53" s="23" t="s">
        <v>156</v>
      </c>
      <c r="K53" s="24" t="s">
        <v>271</v>
      </c>
      <c r="L53" s="23" t="s">
        <v>295</v>
      </c>
      <c r="M53" s="19">
        <v>45336</v>
      </c>
      <c r="N53" s="19" t="s">
        <v>209</v>
      </c>
      <c r="O53" s="26">
        <v>0</v>
      </c>
      <c r="P53" s="19">
        <v>45336</v>
      </c>
      <c r="Q53" s="24" t="s">
        <v>273</v>
      </c>
    </row>
    <row r="54" spans="1:17" ht="22.5" x14ac:dyDescent="0.25">
      <c r="A54" s="30">
        <v>52</v>
      </c>
      <c r="B54" s="20">
        <v>45421</v>
      </c>
      <c r="C54" s="18" t="s">
        <v>13</v>
      </c>
      <c r="D54" s="21" t="s">
        <v>149</v>
      </c>
      <c r="E54" s="18" t="s">
        <v>19</v>
      </c>
      <c r="F54" s="18">
        <v>1</v>
      </c>
      <c r="G54" s="31" t="s">
        <v>277</v>
      </c>
      <c r="H54" s="22" t="s">
        <v>276</v>
      </c>
      <c r="I54" s="23" t="s">
        <v>274</v>
      </c>
      <c r="J54" s="23" t="s">
        <v>9</v>
      </c>
      <c r="K54" s="24" t="s">
        <v>275</v>
      </c>
      <c r="L54" s="23" t="s">
        <v>334</v>
      </c>
      <c r="M54" s="19">
        <v>45336</v>
      </c>
      <c r="N54" s="19" t="s">
        <v>204</v>
      </c>
      <c r="O54" s="26">
        <v>0</v>
      </c>
      <c r="P54" s="19">
        <v>45336</v>
      </c>
      <c r="Q54" s="24" t="s">
        <v>36</v>
      </c>
    </row>
    <row r="55" spans="1:17" ht="22.5" x14ac:dyDescent="0.25">
      <c r="A55" s="30">
        <v>53</v>
      </c>
      <c r="B55" s="20">
        <v>45336</v>
      </c>
      <c r="C55" s="18" t="s">
        <v>13</v>
      </c>
      <c r="D55" s="21" t="s">
        <v>279</v>
      </c>
      <c r="E55" s="18" t="s">
        <v>19</v>
      </c>
      <c r="F55" s="18">
        <v>1</v>
      </c>
      <c r="G55" s="31">
        <v>24028035652</v>
      </c>
      <c r="H55" s="22" t="s">
        <v>278</v>
      </c>
      <c r="I55" s="23" t="s">
        <v>280</v>
      </c>
      <c r="J55" s="23" t="s">
        <v>37</v>
      </c>
      <c r="K55" s="24" t="s">
        <v>241</v>
      </c>
      <c r="L55" s="23" t="s">
        <v>170</v>
      </c>
      <c r="M55" s="19">
        <v>45337</v>
      </c>
      <c r="N55" s="19" t="s">
        <v>336</v>
      </c>
      <c r="O55" s="26">
        <f>Tabla6[[#This Row],[ FECHA ]]-Tabla6[[#This Row],[FECHA DE ENTREGA DE LA CORRESPONDENCIA]]</f>
        <v>1</v>
      </c>
      <c r="P55" s="19">
        <v>45337</v>
      </c>
      <c r="Q55" s="24" t="s">
        <v>51</v>
      </c>
    </row>
    <row r="56" spans="1:17" ht="22.5" x14ac:dyDescent="0.25">
      <c r="A56" s="30">
        <v>54</v>
      </c>
      <c r="B56" s="20">
        <v>45337</v>
      </c>
      <c r="C56" s="18" t="s">
        <v>13</v>
      </c>
      <c r="D56" s="21" t="s">
        <v>40</v>
      </c>
      <c r="E56" s="18" t="s">
        <v>19</v>
      </c>
      <c r="F56" s="18">
        <v>1</v>
      </c>
      <c r="G56" s="31" t="s">
        <v>299</v>
      </c>
      <c r="H56" s="22" t="s">
        <v>296</v>
      </c>
      <c r="I56" s="23" t="s">
        <v>297</v>
      </c>
      <c r="J56" s="23" t="s">
        <v>9</v>
      </c>
      <c r="K56" s="24" t="s">
        <v>298</v>
      </c>
      <c r="L56" s="23" t="s">
        <v>337</v>
      </c>
      <c r="M56" s="19">
        <v>45338</v>
      </c>
      <c r="N56" s="19" t="s">
        <v>338</v>
      </c>
      <c r="O56" s="26">
        <f>Tabla6[[#This Row],[ FECHA ]]-Tabla6[[#This Row],[FECHA DE ENTREGA DE LA CORRESPONDENCIA]]</f>
        <v>1</v>
      </c>
      <c r="P56" s="19">
        <v>45338</v>
      </c>
      <c r="Q56" s="24" t="s">
        <v>36</v>
      </c>
    </row>
    <row r="57" spans="1:17" ht="33.75" x14ac:dyDescent="0.25">
      <c r="A57" s="30">
        <v>55</v>
      </c>
      <c r="B57" s="20">
        <v>45337</v>
      </c>
      <c r="C57" s="18" t="s">
        <v>13</v>
      </c>
      <c r="D57" s="21" t="s">
        <v>149</v>
      </c>
      <c r="E57" s="18" t="s">
        <v>19</v>
      </c>
      <c r="F57" s="18">
        <v>1</v>
      </c>
      <c r="G57" s="31" t="s">
        <v>302</v>
      </c>
      <c r="H57" s="22" t="s">
        <v>300</v>
      </c>
      <c r="I57" s="23" t="s">
        <v>301</v>
      </c>
      <c r="J57" s="23" t="s">
        <v>37</v>
      </c>
      <c r="K57" s="24" t="s">
        <v>241</v>
      </c>
      <c r="L57" s="23" t="s">
        <v>339</v>
      </c>
      <c r="M57" s="19">
        <v>45338</v>
      </c>
      <c r="N57" s="25">
        <v>0.45833333333333331</v>
      </c>
      <c r="O57" s="26">
        <f>Tabla6[[#This Row],[ FECHA ]]-Tabla6[[#This Row],[FECHA DE ENTREGA DE LA CORRESPONDENCIA]]</f>
        <v>1</v>
      </c>
      <c r="P57" s="19">
        <v>45338</v>
      </c>
      <c r="Q57" s="24" t="s">
        <v>51</v>
      </c>
    </row>
    <row r="58" spans="1:17" ht="45" x14ac:dyDescent="0.25">
      <c r="A58" s="30">
        <v>56</v>
      </c>
      <c r="B58" s="20">
        <v>45338</v>
      </c>
      <c r="C58" s="18" t="s">
        <v>13</v>
      </c>
      <c r="D58" s="21" t="s">
        <v>213</v>
      </c>
      <c r="E58" s="18" t="s">
        <v>19</v>
      </c>
      <c r="F58" s="18">
        <v>1</v>
      </c>
      <c r="G58" s="31">
        <v>24028035691</v>
      </c>
      <c r="H58" s="22" t="s">
        <v>310</v>
      </c>
      <c r="I58" s="23" t="s">
        <v>261</v>
      </c>
      <c r="J58" s="23" t="s">
        <v>9</v>
      </c>
      <c r="K58" s="24" t="s">
        <v>66</v>
      </c>
      <c r="L58" s="23" t="s">
        <v>340</v>
      </c>
      <c r="M58" s="19">
        <v>45341</v>
      </c>
      <c r="N58" s="25" t="s">
        <v>341</v>
      </c>
      <c r="O58" s="26">
        <f>Tabla6[[#This Row],[ FECHA ]]-Tabla6[[#This Row],[FECHA DE ENTREGA DE LA CORRESPONDENCIA]]</f>
        <v>3</v>
      </c>
      <c r="P58" s="19">
        <v>45341</v>
      </c>
      <c r="Q58" s="24" t="s">
        <v>36</v>
      </c>
    </row>
    <row r="59" spans="1:17" ht="22.5" x14ac:dyDescent="0.25">
      <c r="A59" s="30">
        <v>57</v>
      </c>
      <c r="B59" s="20">
        <v>45338</v>
      </c>
      <c r="C59" s="18" t="s">
        <v>13</v>
      </c>
      <c r="D59" s="21" t="s">
        <v>213</v>
      </c>
      <c r="E59" s="18" t="s">
        <v>19</v>
      </c>
      <c r="F59" s="18">
        <v>1</v>
      </c>
      <c r="G59" s="31">
        <v>24028035692</v>
      </c>
      <c r="H59" s="22" t="s">
        <v>303</v>
      </c>
      <c r="I59" s="23" t="s">
        <v>164</v>
      </c>
      <c r="J59" s="23" t="s">
        <v>37</v>
      </c>
      <c r="K59" s="24" t="s">
        <v>241</v>
      </c>
      <c r="L59" s="23" t="s">
        <v>206</v>
      </c>
      <c r="M59" s="19">
        <v>45341</v>
      </c>
      <c r="N59" s="25" t="s">
        <v>342</v>
      </c>
      <c r="O59" s="26">
        <f>Tabla6[[#This Row],[ FECHA ]]-Tabla6[[#This Row],[FECHA DE ENTREGA DE LA CORRESPONDENCIA]]</f>
        <v>3</v>
      </c>
      <c r="P59" s="19">
        <v>45341</v>
      </c>
      <c r="Q59" s="24" t="s">
        <v>51</v>
      </c>
    </row>
    <row r="60" spans="1:17" ht="22.5" x14ac:dyDescent="0.25">
      <c r="A60" s="30">
        <v>58</v>
      </c>
      <c r="B60" s="20">
        <v>45338</v>
      </c>
      <c r="C60" s="18" t="s">
        <v>13</v>
      </c>
      <c r="D60" s="21" t="s">
        <v>213</v>
      </c>
      <c r="E60" s="18" t="s">
        <v>19</v>
      </c>
      <c r="F60" s="18">
        <v>1</v>
      </c>
      <c r="G60" s="31">
        <v>24028035693</v>
      </c>
      <c r="H60" s="22" t="s">
        <v>304</v>
      </c>
      <c r="I60" s="23" t="s">
        <v>249</v>
      </c>
      <c r="J60" s="23" t="s">
        <v>99</v>
      </c>
      <c r="K60" s="24" t="s">
        <v>100</v>
      </c>
      <c r="L60" s="23" t="s">
        <v>343</v>
      </c>
      <c r="M60" s="19">
        <v>45341</v>
      </c>
      <c r="N60" s="25" t="s">
        <v>344</v>
      </c>
      <c r="O60" s="26">
        <f>Tabla6[[#This Row],[ FECHA ]]-Tabla6[[#This Row],[FECHA DE ENTREGA DE LA CORRESPONDENCIA]]</f>
        <v>3</v>
      </c>
      <c r="P60" s="19">
        <v>45341</v>
      </c>
      <c r="Q60" s="24" t="s">
        <v>101</v>
      </c>
    </row>
    <row r="61" spans="1:17" ht="22.5" x14ac:dyDescent="0.25">
      <c r="A61" s="30">
        <v>59</v>
      </c>
      <c r="B61" s="20">
        <v>45338</v>
      </c>
      <c r="C61" s="18" t="s">
        <v>13</v>
      </c>
      <c r="D61" s="21" t="s">
        <v>213</v>
      </c>
      <c r="E61" s="18" t="s">
        <v>19</v>
      </c>
      <c r="F61" s="18">
        <v>1</v>
      </c>
      <c r="G61" s="31">
        <v>24028035694</v>
      </c>
      <c r="H61" s="22" t="s">
        <v>305</v>
      </c>
      <c r="I61" s="23" t="s">
        <v>306</v>
      </c>
      <c r="J61" s="23" t="s">
        <v>307</v>
      </c>
      <c r="K61" s="24" t="s">
        <v>308</v>
      </c>
      <c r="L61" s="23" t="s">
        <v>345</v>
      </c>
      <c r="M61" s="19">
        <v>45342</v>
      </c>
      <c r="N61" s="25" t="s">
        <v>346</v>
      </c>
      <c r="O61" s="26">
        <f>Tabla6[[#This Row],[ FECHA ]]-Tabla6[[#This Row],[FECHA DE ENTREGA DE LA CORRESPONDENCIA]]</f>
        <v>4</v>
      </c>
      <c r="P61" s="19">
        <v>45342</v>
      </c>
      <c r="Q61" s="24" t="s">
        <v>309</v>
      </c>
    </row>
    <row r="62" spans="1:17" ht="56.25" x14ac:dyDescent="0.25">
      <c r="A62" s="30">
        <v>60</v>
      </c>
      <c r="B62" s="20">
        <v>45338</v>
      </c>
      <c r="C62" s="18" t="s">
        <v>13</v>
      </c>
      <c r="D62" s="21" t="s">
        <v>64</v>
      </c>
      <c r="E62" s="18" t="s">
        <v>21</v>
      </c>
      <c r="F62" s="18">
        <v>1</v>
      </c>
      <c r="G62" s="31" t="s">
        <v>313</v>
      </c>
      <c r="H62" s="22" t="s">
        <v>311</v>
      </c>
      <c r="I62" s="23" t="s">
        <v>312</v>
      </c>
      <c r="J62" s="23" t="s">
        <v>37</v>
      </c>
      <c r="K62" s="24" t="s">
        <v>241</v>
      </c>
      <c r="L62" s="23" t="s">
        <v>347</v>
      </c>
      <c r="M62" s="19">
        <v>45341</v>
      </c>
      <c r="N62" s="25">
        <v>0.45833333333333331</v>
      </c>
      <c r="O62" s="26">
        <f>Tabla6[[#This Row],[ FECHA ]]-Tabla6[[#This Row],[FECHA DE ENTREGA DE LA CORRESPONDENCIA]]</f>
        <v>3</v>
      </c>
      <c r="P62" s="19">
        <v>45341</v>
      </c>
      <c r="Q62" s="24" t="s">
        <v>51</v>
      </c>
    </row>
    <row r="63" spans="1:17" ht="33.75" x14ac:dyDescent="0.25">
      <c r="A63" s="30">
        <v>61</v>
      </c>
      <c r="B63" s="20">
        <v>45343</v>
      </c>
      <c r="C63" s="18" t="s">
        <v>13</v>
      </c>
      <c r="D63" s="21" t="s">
        <v>266</v>
      </c>
      <c r="E63" s="18" t="s">
        <v>19</v>
      </c>
      <c r="F63" s="18">
        <v>1</v>
      </c>
      <c r="G63" s="31" t="s">
        <v>315</v>
      </c>
      <c r="H63" s="22" t="s">
        <v>314</v>
      </c>
      <c r="I63" s="23" t="s">
        <v>261</v>
      </c>
      <c r="J63" s="23" t="s">
        <v>9</v>
      </c>
      <c r="K63" s="24" t="s">
        <v>66</v>
      </c>
      <c r="L63" s="23" t="s">
        <v>348</v>
      </c>
      <c r="M63" s="19">
        <v>45343</v>
      </c>
      <c r="N63" s="25">
        <v>0.5625</v>
      </c>
      <c r="O63" s="26">
        <f>Tabla6[[#This Row],[ FECHA ]]-Tabla6[[#This Row],[FECHA DE ENTREGA DE LA CORRESPONDENCIA]]</f>
        <v>0</v>
      </c>
      <c r="P63" s="19">
        <v>45343</v>
      </c>
      <c r="Q63" s="24" t="s">
        <v>36</v>
      </c>
    </row>
    <row r="64" spans="1:17" ht="33.75" x14ac:dyDescent="0.25">
      <c r="A64" s="30">
        <v>62</v>
      </c>
      <c r="B64" s="20">
        <v>45342</v>
      </c>
      <c r="C64" s="18" t="s">
        <v>13</v>
      </c>
      <c r="D64" s="21" t="s">
        <v>64</v>
      </c>
      <c r="E64" s="18" t="s">
        <v>19</v>
      </c>
      <c r="F64" s="18">
        <v>1</v>
      </c>
      <c r="G64" s="31" t="s">
        <v>317</v>
      </c>
      <c r="H64" s="22" t="s">
        <v>316</v>
      </c>
      <c r="I64" s="23" t="s">
        <v>92</v>
      </c>
      <c r="J64" s="23" t="s">
        <v>89</v>
      </c>
      <c r="K64" s="24" t="s">
        <v>90</v>
      </c>
      <c r="L64" s="23" t="s">
        <v>126</v>
      </c>
      <c r="M64" s="19">
        <v>45344</v>
      </c>
      <c r="N64" s="25" t="s">
        <v>349</v>
      </c>
      <c r="O64" s="26">
        <f>Tabla6[[#This Row],[ FECHA ]]-Tabla6[[#This Row],[FECHA DE ENTREGA DE LA CORRESPONDENCIA]]</f>
        <v>2</v>
      </c>
      <c r="P64" s="19">
        <v>45344</v>
      </c>
      <c r="Q64" s="24" t="s">
        <v>91</v>
      </c>
    </row>
    <row r="65" spans="1:17" ht="29.25" customHeight="1" x14ac:dyDescent="0.25">
      <c r="A65" s="30">
        <v>63</v>
      </c>
      <c r="B65" s="20">
        <v>45342</v>
      </c>
      <c r="C65" s="18" t="s">
        <v>13</v>
      </c>
      <c r="D65" s="21" t="s">
        <v>64</v>
      </c>
      <c r="E65" s="18" t="s">
        <v>19</v>
      </c>
      <c r="F65" s="18">
        <v>1</v>
      </c>
      <c r="G65" s="31" t="s">
        <v>319</v>
      </c>
      <c r="H65" s="22" t="s">
        <v>318</v>
      </c>
      <c r="I65" s="23" t="s">
        <v>235</v>
      </c>
      <c r="J65" s="23" t="s">
        <v>99</v>
      </c>
      <c r="K65" s="24" t="s">
        <v>100</v>
      </c>
      <c r="L65" s="23" t="s">
        <v>350</v>
      </c>
      <c r="M65" s="19">
        <v>45343</v>
      </c>
      <c r="N65" s="25" t="s">
        <v>335</v>
      </c>
      <c r="O65" s="26">
        <f>Tabla6[[#This Row],[ FECHA ]]-Tabla6[[#This Row],[FECHA DE ENTREGA DE LA CORRESPONDENCIA]]</f>
        <v>1</v>
      </c>
      <c r="P65" s="19">
        <v>45343</v>
      </c>
      <c r="Q65" s="24" t="s">
        <v>101</v>
      </c>
    </row>
    <row r="66" spans="1:17" ht="22.5" x14ac:dyDescent="0.25">
      <c r="A66" s="30">
        <v>64</v>
      </c>
      <c r="B66" s="20">
        <v>45344</v>
      </c>
      <c r="C66" s="18" t="s">
        <v>13</v>
      </c>
      <c r="D66" s="21" t="s">
        <v>323</v>
      </c>
      <c r="E66" s="18" t="s">
        <v>19</v>
      </c>
      <c r="F66" s="18">
        <v>1</v>
      </c>
      <c r="G66" s="22">
        <v>24028035806</v>
      </c>
      <c r="H66" s="22" t="s">
        <v>320</v>
      </c>
      <c r="I66" s="23" t="s">
        <v>321</v>
      </c>
      <c r="J66" s="23" t="s">
        <v>9</v>
      </c>
      <c r="K66" s="24" t="s">
        <v>322</v>
      </c>
      <c r="L66" s="23" t="s">
        <v>351</v>
      </c>
      <c r="M66" s="19">
        <v>45348</v>
      </c>
      <c r="N66" s="25">
        <v>0.375</v>
      </c>
      <c r="O66" s="26">
        <f>Tabla6[[#This Row],[ FECHA ]]-Tabla6[[#This Row],[FECHA DE ENTREGA DE LA CORRESPONDENCIA]]</f>
        <v>4</v>
      </c>
      <c r="P66" s="19">
        <v>45348</v>
      </c>
      <c r="Q66" s="24" t="s">
        <v>36</v>
      </c>
    </row>
    <row r="67" spans="1:17" ht="22.5" x14ac:dyDescent="0.25">
      <c r="A67" s="30">
        <v>65</v>
      </c>
      <c r="B67" s="20">
        <v>45345</v>
      </c>
      <c r="C67" s="18" t="s">
        <v>13</v>
      </c>
      <c r="D67" s="21" t="s">
        <v>213</v>
      </c>
      <c r="E67" s="18" t="s">
        <v>19</v>
      </c>
      <c r="F67" s="18">
        <v>1</v>
      </c>
      <c r="G67" s="22">
        <v>24028035837</v>
      </c>
      <c r="H67" s="22" t="s">
        <v>324</v>
      </c>
      <c r="I67" s="23" t="s">
        <v>325</v>
      </c>
      <c r="J67" s="23" t="s">
        <v>160</v>
      </c>
      <c r="K67" s="24" t="s">
        <v>326</v>
      </c>
      <c r="L67" s="23" t="s">
        <v>353</v>
      </c>
      <c r="M67" s="19">
        <v>45349</v>
      </c>
      <c r="N67" s="25">
        <v>0.52430555555555558</v>
      </c>
      <c r="O67" s="13">
        <f>Tabla6[[#This Row],[ FECHA ]]-Tabla6[[#This Row],[FECHA DE ENTREGA DE LA CORRESPONDENCIA]]</f>
        <v>4</v>
      </c>
      <c r="P67" s="19">
        <v>45349</v>
      </c>
      <c r="Q67" s="24" t="s">
        <v>161</v>
      </c>
    </row>
    <row r="68" spans="1:17" ht="22.5" x14ac:dyDescent="0.25">
      <c r="A68" s="30">
        <v>66</v>
      </c>
      <c r="B68" s="20">
        <v>45345</v>
      </c>
      <c r="C68" s="18" t="s">
        <v>13</v>
      </c>
      <c r="D68" s="21" t="s">
        <v>213</v>
      </c>
      <c r="E68" s="18" t="s">
        <v>19</v>
      </c>
      <c r="F68" s="18">
        <v>1</v>
      </c>
      <c r="G68" s="31">
        <v>24028035838</v>
      </c>
      <c r="H68" s="22" t="s">
        <v>327</v>
      </c>
      <c r="I68" s="23" t="s">
        <v>261</v>
      </c>
      <c r="J68" s="23" t="s">
        <v>9</v>
      </c>
      <c r="K68" s="24" t="s">
        <v>66</v>
      </c>
      <c r="L68" s="23" t="s">
        <v>354</v>
      </c>
      <c r="M68" s="19">
        <v>45348</v>
      </c>
      <c r="N68" s="25" t="s">
        <v>355</v>
      </c>
      <c r="O68" s="26">
        <f>Tabla6[[#This Row],[ FECHA ]]-Tabla6[[#This Row],[FECHA DE ENTREGA DE LA CORRESPONDENCIA]]</f>
        <v>3</v>
      </c>
      <c r="P68" s="19">
        <v>45348</v>
      </c>
      <c r="Q68" s="24" t="s">
        <v>36</v>
      </c>
    </row>
    <row r="69" spans="1:17" ht="22.5" x14ac:dyDescent="0.25">
      <c r="A69" s="30">
        <v>67</v>
      </c>
      <c r="B69" s="20">
        <v>45345</v>
      </c>
      <c r="C69" s="18" t="s">
        <v>13</v>
      </c>
      <c r="D69" s="21" t="s">
        <v>213</v>
      </c>
      <c r="E69" s="18" t="s">
        <v>19</v>
      </c>
      <c r="F69" s="18">
        <v>1</v>
      </c>
      <c r="G69" s="31">
        <v>24028035839</v>
      </c>
      <c r="H69" s="22" t="s">
        <v>328</v>
      </c>
      <c r="I69" s="23" t="s">
        <v>164</v>
      </c>
      <c r="J69" s="23" t="s">
        <v>37</v>
      </c>
      <c r="K69" s="24" t="s">
        <v>241</v>
      </c>
      <c r="L69" s="23" t="s">
        <v>289</v>
      </c>
      <c r="M69" s="19">
        <v>45348</v>
      </c>
      <c r="N69" s="25">
        <v>0.45833333333333331</v>
      </c>
      <c r="O69" s="26">
        <f>Tabla6[[#This Row],[ FECHA ]]-Tabla6[[#This Row],[FECHA DE ENTREGA DE LA CORRESPONDENCIA]]</f>
        <v>3</v>
      </c>
      <c r="P69" s="19">
        <v>45348</v>
      </c>
      <c r="Q69" s="24" t="s">
        <v>51</v>
      </c>
    </row>
    <row r="70" spans="1:17" ht="22.5" x14ac:dyDescent="0.25">
      <c r="A70" s="30">
        <v>68</v>
      </c>
      <c r="B70" s="20">
        <v>45349</v>
      </c>
      <c r="C70" s="18" t="s">
        <v>13</v>
      </c>
      <c r="D70" s="21" t="s">
        <v>193</v>
      </c>
      <c r="E70" s="18" t="s">
        <v>19</v>
      </c>
      <c r="F70" s="18">
        <v>1</v>
      </c>
      <c r="G70" s="31">
        <v>24028035870</v>
      </c>
      <c r="H70" s="22" t="s">
        <v>329</v>
      </c>
      <c r="I70" s="23" t="s">
        <v>330</v>
      </c>
      <c r="J70" s="23" t="s">
        <v>37</v>
      </c>
      <c r="K70" s="24" t="s">
        <v>241</v>
      </c>
      <c r="L70" s="23" t="s">
        <v>356</v>
      </c>
      <c r="M70" s="19">
        <v>45350</v>
      </c>
      <c r="N70" s="25">
        <v>0.45833333333333331</v>
      </c>
      <c r="O70" s="26">
        <f>Tabla6[[#This Row],[ FECHA ]]-Tabla6[[#This Row],[FECHA DE ENTREGA DE LA CORRESPONDENCIA]]</f>
        <v>1</v>
      </c>
      <c r="P70" s="19">
        <v>45350</v>
      </c>
      <c r="Q70" s="24" t="s">
        <v>51</v>
      </c>
    </row>
    <row r="71" spans="1:17" ht="29.25" customHeight="1" x14ac:dyDescent="0.25">
      <c r="A71" s="30">
        <v>69</v>
      </c>
      <c r="B71" s="20">
        <v>45349</v>
      </c>
      <c r="C71" s="18" t="s">
        <v>13</v>
      </c>
      <c r="D71" s="21" t="s">
        <v>149</v>
      </c>
      <c r="E71" s="18" t="s">
        <v>19</v>
      </c>
      <c r="F71" s="18">
        <v>1</v>
      </c>
      <c r="G71" s="31" t="s">
        <v>333</v>
      </c>
      <c r="H71" s="22" t="s">
        <v>331</v>
      </c>
      <c r="I71" s="23" t="s">
        <v>332</v>
      </c>
      <c r="J71" s="23" t="s">
        <v>99</v>
      </c>
      <c r="K71" s="24" t="s">
        <v>100</v>
      </c>
      <c r="L71" s="23" t="s">
        <v>352</v>
      </c>
      <c r="M71" s="19">
        <v>45351</v>
      </c>
      <c r="N71" s="25" t="s">
        <v>335</v>
      </c>
      <c r="O71" s="26">
        <f>Tabla6[[#This Row],[ FECHA ]]-Tabla6[[#This Row],[FECHA DE ENTREGA DE LA CORRESPONDENCIA]]</f>
        <v>2</v>
      </c>
      <c r="P71" s="19">
        <v>45351</v>
      </c>
      <c r="Q71" s="24" t="s">
        <v>101</v>
      </c>
    </row>
    <row r="72" spans="1:17" ht="86.25" customHeight="1" x14ac:dyDescent="0.25">
      <c r="A72" s="30">
        <v>70</v>
      </c>
      <c r="B72" s="20">
        <v>45352</v>
      </c>
      <c r="C72" s="18" t="s">
        <v>13</v>
      </c>
      <c r="D72" s="21" t="s">
        <v>213</v>
      </c>
      <c r="E72" s="18" t="s">
        <v>19</v>
      </c>
      <c r="F72" s="18">
        <v>1</v>
      </c>
      <c r="G72" s="31">
        <v>24028035928</v>
      </c>
      <c r="H72" s="22" t="s">
        <v>357</v>
      </c>
      <c r="I72" s="23" t="s">
        <v>358</v>
      </c>
      <c r="J72" s="4" t="s">
        <v>83</v>
      </c>
      <c r="K72" s="24" t="s">
        <v>84</v>
      </c>
      <c r="L72" s="4" t="s">
        <v>377</v>
      </c>
      <c r="M72" s="6">
        <v>45356</v>
      </c>
      <c r="N72" s="8" t="s">
        <v>378</v>
      </c>
      <c r="O72" s="13">
        <f>Tabla6[[#This Row],[ FECHA ]]-Tabla6[[#This Row],[FECHA DE ENTREGA DE LA CORRESPONDENCIA]]</f>
        <v>4</v>
      </c>
      <c r="P72" s="6">
        <v>45356</v>
      </c>
      <c r="Q72" s="24" t="s">
        <v>85</v>
      </c>
    </row>
    <row r="73" spans="1:17" ht="86.25" customHeight="1" x14ac:dyDescent="0.25">
      <c r="A73" s="30">
        <v>71</v>
      </c>
      <c r="B73" s="20">
        <v>45352</v>
      </c>
      <c r="C73" s="18" t="s">
        <v>13</v>
      </c>
      <c r="D73" s="21" t="s">
        <v>213</v>
      </c>
      <c r="E73" s="18" t="s">
        <v>19</v>
      </c>
      <c r="F73" s="18">
        <v>1</v>
      </c>
      <c r="G73" s="4">
        <v>24028035929</v>
      </c>
      <c r="H73" s="5" t="s">
        <v>359</v>
      </c>
      <c r="I73" s="23" t="s">
        <v>155</v>
      </c>
      <c r="J73" s="4" t="s">
        <v>156</v>
      </c>
      <c r="K73" s="10" t="s">
        <v>157</v>
      </c>
      <c r="L73" s="4" t="s">
        <v>379</v>
      </c>
      <c r="M73" s="6">
        <v>45356</v>
      </c>
      <c r="N73" s="8" t="s">
        <v>380</v>
      </c>
      <c r="O73" s="13">
        <f>Tabla6[[#This Row],[ FECHA ]]-Tabla6[[#This Row],[FECHA DE ENTREGA DE LA CORRESPONDENCIA]]</f>
        <v>4</v>
      </c>
      <c r="P73" s="6">
        <v>45356</v>
      </c>
      <c r="Q73" s="24" t="s">
        <v>273</v>
      </c>
    </row>
    <row r="74" spans="1:17" ht="86.25" customHeight="1" x14ac:dyDescent="0.25">
      <c r="A74" s="30">
        <v>72</v>
      </c>
      <c r="B74" s="20">
        <v>45352</v>
      </c>
      <c r="C74" s="18" t="s">
        <v>13</v>
      </c>
      <c r="D74" s="21" t="s">
        <v>213</v>
      </c>
      <c r="E74" s="18" t="s">
        <v>19</v>
      </c>
      <c r="F74" s="18">
        <v>1</v>
      </c>
      <c r="G74" s="4">
        <v>24028035930</v>
      </c>
      <c r="H74" s="5" t="s">
        <v>361</v>
      </c>
      <c r="I74" s="23" t="s">
        <v>360</v>
      </c>
      <c r="J74" s="23" t="s">
        <v>135</v>
      </c>
      <c r="K74" s="24" t="s">
        <v>136</v>
      </c>
      <c r="L74" s="4" t="s">
        <v>381</v>
      </c>
      <c r="M74" s="6">
        <v>45357</v>
      </c>
      <c r="N74" s="8" t="s">
        <v>382</v>
      </c>
      <c r="O74" s="13">
        <f>Tabla6[[#This Row],[ FECHA ]]-Tabla6[[#This Row],[FECHA DE ENTREGA DE LA CORRESPONDENCIA]]</f>
        <v>5</v>
      </c>
      <c r="P74" s="6">
        <v>45357</v>
      </c>
      <c r="Q74" s="12" t="s">
        <v>137</v>
      </c>
    </row>
    <row r="75" spans="1:17" ht="86.25" customHeight="1" x14ac:dyDescent="0.25">
      <c r="A75" s="30">
        <v>73</v>
      </c>
      <c r="B75" s="20">
        <v>45352</v>
      </c>
      <c r="C75" s="18" t="s">
        <v>13</v>
      </c>
      <c r="D75" s="21" t="s">
        <v>213</v>
      </c>
      <c r="E75" s="18" t="s">
        <v>19</v>
      </c>
      <c r="F75" s="18">
        <v>1</v>
      </c>
      <c r="G75" s="4">
        <v>24028035931</v>
      </c>
      <c r="H75" s="5" t="s">
        <v>362</v>
      </c>
      <c r="I75" s="23" t="s">
        <v>261</v>
      </c>
      <c r="J75" s="23" t="s">
        <v>9</v>
      </c>
      <c r="K75" s="24" t="s">
        <v>66</v>
      </c>
      <c r="L75" s="4" t="s">
        <v>383</v>
      </c>
      <c r="M75" s="6">
        <v>45356</v>
      </c>
      <c r="N75" s="34">
        <v>0.83263888888888893</v>
      </c>
      <c r="O75" s="13">
        <f>Tabla6[[#This Row],[ FECHA ]]-Tabla6[[#This Row],[FECHA DE ENTREGA DE LA CORRESPONDENCIA]]</f>
        <v>4</v>
      </c>
      <c r="P75" s="6">
        <v>45356</v>
      </c>
      <c r="Q75" s="24" t="s">
        <v>36</v>
      </c>
    </row>
    <row r="76" spans="1:17" ht="86.25" customHeight="1" x14ac:dyDescent="0.25">
      <c r="A76" s="30">
        <v>74</v>
      </c>
      <c r="B76" s="20">
        <v>45352</v>
      </c>
      <c r="C76" s="18" t="s">
        <v>13</v>
      </c>
      <c r="D76" s="21" t="s">
        <v>363</v>
      </c>
      <c r="E76" s="18" t="s">
        <v>19</v>
      </c>
      <c r="F76" s="18">
        <v>1</v>
      </c>
      <c r="G76" s="4">
        <v>24028035932</v>
      </c>
      <c r="H76" s="40" t="s">
        <v>364</v>
      </c>
      <c r="I76" s="4" t="s">
        <v>365</v>
      </c>
      <c r="J76" s="23" t="s">
        <v>37</v>
      </c>
      <c r="K76" s="24" t="s">
        <v>241</v>
      </c>
      <c r="L76" s="4" t="s">
        <v>384</v>
      </c>
      <c r="M76" s="6">
        <v>45357</v>
      </c>
      <c r="N76" s="34">
        <v>0.45833333333333331</v>
      </c>
      <c r="O76" s="13">
        <f>Tabla6[[#This Row],[ FECHA ]]-Tabla6[[#This Row],[FECHA DE ENTREGA DE LA CORRESPONDENCIA]]</f>
        <v>5</v>
      </c>
      <c r="P76" s="6">
        <v>45357</v>
      </c>
      <c r="Q76" s="24" t="s">
        <v>51</v>
      </c>
    </row>
    <row r="77" spans="1:17" ht="86.25" customHeight="1" x14ac:dyDescent="0.25">
      <c r="A77" s="30">
        <v>75</v>
      </c>
      <c r="B77" s="20">
        <v>45356</v>
      </c>
      <c r="C77" s="18" t="s">
        <v>13</v>
      </c>
      <c r="D77" s="21" t="s">
        <v>64</v>
      </c>
      <c r="E77" s="18" t="s">
        <v>19</v>
      </c>
      <c r="F77" s="18">
        <v>1</v>
      </c>
      <c r="G77" s="4">
        <v>24028035962</v>
      </c>
      <c r="H77" s="24" t="s">
        <v>366</v>
      </c>
      <c r="I77" s="23" t="s">
        <v>50</v>
      </c>
      <c r="J77" s="23" t="s">
        <v>37</v>
      </c>
      <c r="K77" s="24" t="s">
        <v>38</v>
      </c>
      <c r="L77" s="23" t="s">
        <v>170</v>
      </c>
      <c r="M77" s="19">
        <v>45357</v>
      </c>
      <c r="N77" s="25" t="s">
        <v>281</v>
      </c>
      <c r="O77" s="13">
        <f>Tabla6[[#This Row],[ FECHA ]]-Tabla6[[#This Row],[FECHA DE ENTREGA DE LA CORRESPONDENCIA]]</f>
        <v>1</v>
      </c>
      <c r="P77" s="19">
        <v>45357</v>
      </c>
      <c r="Q77" s="24" t="s">
        <v>51</v>
      </c>
    </row>
    <row r="78" spans="1:17" ht="86.25" customHeight="1" x14ac:dyDescent="0.25">
      <c r="A78" s="30">
        <v>76</v>
      </c>
      <c r="B78" s="20">
        <v>45356</v>
      </c>
      <c r="C78" s="18" t="s">
        <v>13</v>
      </c>
      <c r="D78" s="21" t="s">
        <v>231</v>
      </c>
      <c r="E78" s="18" t="s">
        <v>19</v>
      </c>
      <c r="F78" s="18">
        <v>1</v>
      </c>
      <c r="G78" s="4">
        <v>24028035963</v>
      </c>
      <c r="H78" s="22" t="s">
        <v>228</v>
      </c>
      <c r="I78" s="23" t="s">
        <v>229</v>
      </c>
      <c r="J78" s="23" t="s">
        <v>9</v>
      </c>
      <c r="K78" s="24" t="s">
        <v>230</v>
      </c>
      <c r="L78" s="23" t="s">
        <v>383</v>
      </c>
      <c r="M78" s="35">
        <v>45357</v>
      </c>
      <c r="N78" s="25">
        <v>0.89861111111111114</v>
      </c>
      <c r="O78" s="36">
        <f>Tabla6[[#This Row],[ FECHA ]]-Tabla6[[#This Row],[FECHA DE ENTREGA DE LA CORRESPONDENCIA]]</f>
        <v>1</v>
      </c>
      <c r="P78" s="35">
        <v>45357</v>
      </c>
      <c r="Q78" s="24" t="s">
        <v>36</v>
      </c>
    </row>
    <row r="79" spans="1:17" ht="86.25" customHeight="1" x14ac:dyDescent="0.25">
      <c r="A79" s="30">
        <v>77</v>
      </c>
      <c r="B79" s="20">
        <v>45356</v>
      </c>
      <c r="C79" s="18" t="s">
        <v>13</v>
      </c>
      <c r="D79" s="21" t="s">
        <v>256</v>
      </c>
      <c r="E79" s="18" t="s">
        <v>19</v>
      </c>
      <c r="F79" s="18">
        <v>1</v>
      </c>
      <c r="G79" s="31" t="s">
        <v>369</v>
      </c>
      <c r="H79" s="22" t="s">
        <v>367</v>
      </c>
      <c r="I79" s="23" t="s">
        <v>368</v>
      </c>
      <c r="J79" s="23" t="s">
        <v>156</v>
      </c>
      <c r="K79" s="24" t="s">
        <v>157</v>
      </c>
      <c r="L79" s="23" t="s">
        <v>203</v>
      </c>
      <c r="M79" s="19">
        <v>45320</v>
      </c>
      <c r="N79" s="25" t="s">
        <v>204</v>
      </c>
      <c r="O79" s="26">
        <f>Tabla6[[#This Row],[ FECHA ]]-Tabla6[[#This Row],[FECHA DE ENTREGA DE LA CORRESPONDENCIA]]</f>
        <v>-36</v>
      </c>
      <c r="P79" s="19">
        <v>45320</v>
      </c>
      <c r="Q79" s="24" t="s">
        <v>158</v>
      </c>
    </row>
    <row r="80" spans="1:17" ht="86.25" customHeight="1" x14ac:dyDescent="0.25">
      <c r="A80" s="30">
        <v>78</v>
      </c>
      <c r="B80" s="20">
        <v>45357</v>
      </c>
      <c r="C80" s="18" t="s">
        <v>13</v>
      </c>
      <c r="D80" s="21" t="s">
        <v>256</v>
      </c>
      <c r="E80" s="18" t="s">
        <v>19</v>
      </c>
      <c r="F80" s="18">
        <v>1</v>
      </c>
      <c r="G80" s="4">
        <v>24028035982</v>
      </c>
      <c r="H80" s="22" t="s">
        <v>370</v>
      </c>
      <c r="I80" s="23" t="s">
        <v>253</v>
      </c>
      <c r="J80" s="23" t="s">
        <v>254</v>
      </c>
      <c r="K80" s="24" t="s">
        <v>255</v>
      </c>
      <c r="L80" s="33" t="s">
        <v>385</v>
      </c>
      <c r="M80" s="6">
        <v>45357</v>
      </c>
      <c r="N80" s="34">
        <v>0.89861111111111114</v>
      </c>
      <c r="O80" s="13">
        <f>Tabla6[[#This Row],[ FECHA ]]-Tabla6[[#This Row],[FECHA DE ENTREGA DE LA CORRESPONDENCIA]]</f>
        <v>0</v>
      </c>
      <c r="P80" s="6">
        <v>45357</v>
      </c>
      <c r="Q80" s="24" t="s">
        <v>36</v>
      </c>
    </row>
    <row r="81" spans="1:17" ht="86.25" customHeight="1" x14ac:dyDescent="0.25">
      <c r="A81" s="30">
        <v>79</v>
      </c>
      <c r="B81" s="20">
        <v>45358</v>
      </c>
      <c r="C81" s="4" t="s">
        <v>13</v>
      </c>
      <c r="D81" s="4" t="s">
        <v>373</v>
      </c>
      <c r="E81" s="18" t="s">
        <v>19</v>
      </c>
      <c r="F81" s="18">
        <v>1</v>
      </c>
      <c r="G81" s="4" t="s">
        <v>374</v>
      </c>
      <c r="H81" s="5" t="s">
        <v>371</v>
      </c>
      <c r="I81" s="4" t="s">
        <v>372</v>
      </c>
      <c r="J81" s="23" t="s">
        <v>156</v>
      </c>
      <c r="K81" s="24" t="s">
        <v>157</v>
      </c>
      <c r="L81" s="4" t="s">
        <v>386</v>
      </c>
      <c r="M81" s="35">
        <v>45358</v>
      </c>
      <c r="N81" s="37">
        <v>0.71388888888888891</v>
      </c>
      <c r="O81" s="13">
        <f>Tabla6[[#This Row],[ FECHA ]]-Tabla6[[#This Row],[FECHA DE ENTREGA DE LA CORRESPONDENCIA]]</f>
        <v>0</v>
      </c>
      <c r="P81" s="35">
        <v>45358</v>
      </c>
      <c r="Q81" s="24" t="s">
        <v>158</v>
      </c>
    </row>
    <row r="82" spans="1:17" ht="86.25" customHeight="1" x14ac:dyDescent="0.25">
      <c r="A82" s="30">
        <v>80</v>
      </c>
      <c r="B82" s="20">
        <v>45358</v>
      </c>
      <c r="C82" s="4" t="s">
        <v>13</v>
      </c>
      <c r="D82" s="4" t="s">
        <v>376</v>
      </c>
      <c r="E82" s="18" t="s">
        <v>19</v>
      </c>
      <c r="F82" s="18">
        <v>1</v>
      </c>
      <c r="G82" s="38" t="s">
        <v>393</v>
      </c>
      <c r="H82" s="5" t="s">
        <v>375</v>
      </c>
      <c r="I82" s="4" t="s">
        <v>301</v>
      </c>
      <c r="J82" s="23" t="s">
        <v>37</v>
      </c>
      <c r="K82" s="24" t="s">
        <v>241</v>
      </c>
      <c r="L82" s="4" t="s">
        <v>387</v>
      </c>
      <c r="M82" s="6">
        <v>45358</v>
      </c>
      <c r="N82" s="8" t="s">
        <v>388</v>
      </c>
      <c r="O82" s="13">
        <f>Tabla6[[#This Row],[ FECHA ]]-Tabla6[[#This Row],[FECHA DE ENTREGA DE LA CORRESPONDENCIA]]</f>
        <v>0</v>
      </c>
      <c r="P82" s="6">
        <v>45358</v>
      </c>
      <c r="Q82" s="24" t="s">
        <v>51</v>
      </c>
    </row>
    <row r="83" spans="1:17" ht="86.25" customHeight="1" x14ac:dyDescent="0.25">
      <c r="A83" s="30">
        <v>81</v>
      </c>
      <c r="B83" s="20">
        <v>45359</v>
      </c>
      <c r="C83" s="4" t="s">
        <v>13</v>
      </c>
      <c r="D83" s="21" t="s">
        <v>213</v>
      </c>
      <c r="E83" s="18" t="s">
        <v>19</v>
      </c>
      <c r="F83" s="18">
        <v>1</v>
      </c>
      <c r="G83" s="38" t="s">
        <v>392</v>
      </c>
      <c r="H83" s="5" t="s">
        <v>389</v>
      </c>
      <c r="I83" s="23" t="s">
        <v>155</v>
      </c>
      <c r="J83" s="4" t="s">
        <v>156</v>
      </c>
      <c r="K83" s="10" t="s">
        <v>157</v>
      </c>
      <c r="L83" s="4" t="s">
        <v>422</v>
      </c>
      <c r="M83" s="6">
        <v>45362</v>
      </c>
      <c r="N83" s="34">
        <v>0.52083333333333337</v>
      </c>
      <c r="O83" s="13">
        <f>Tabla6[[#This Row],[ FECHA ]]-Tabla6[[#This Row],[FECHA DE ENTREGA DE LA CORRESPONDENCIA]]</f>
        <v>3</v>
      </c>
      <c r="P83" s="6">
        <v>45362</v>
      </c>
      <c r="Q83" s="24" t="s">
        <v>273</v>
      </c>
    </row>
    <row r="84" spans="1:17" ht="86.25" customHeight="1" x14ac:dyDescent="0.25">
      <c r="A84" s="30">
        <v>82</v>
      </c>
      <c r="B84" s="20">
        <v>45359</v>
      </c>
      <c r="C84" s="4" t="s">
        <v>13</v>
      </c>
      <c r="D84" s="21" t="s">
        <v>213</v>
      </c>
      <c r="E84" s="18" t="s">
        <v>19</v>
      </c>
      <c r="F84" s="18">
        <v>1</v>
      </c>
      <c r="G84" s="38" t="s">
        <v>391</v>
      </c>
      <c r="H84" s="5" t="s">
        <v>390</v>
      </c>
      <c r="I84" s="23" t="s">
        <v>164</v>
      </c>
      <c r="J84" s="23" t="s">
        <v>37</v>
      </c>
      <c r="K84" s="24" t="s">
        <v>38</v>
      </c>
      <c r="L84" s="4" t="s">
        <v>206</v>
      </c>
      <c r="M84" s="6">
        <v>45362</v>
      </c>
      <c r="N84" s="8" t="s">
        <v>423</v>
      </c>
      <c r="O84" s="13">
        <f>Tabla6[[#This Row],[ FECHA ]]-Tabla6[[#This Row],[FECHA DE ENTREGA DE LA CORRESPONDENCIA]]</f>
        <v>3</v>
      </c>
      <c r="P84" s="6">
        <v>45362</v>
      </c>
      <c r="Q84" s="24" t="s">
        <v>51</v>
      </c>
    </row>
    <row r="85" spans="1:17" ht="86.25" customHeight="1" x14ac:dyDescent="0.25">
      <c r="A85" s="30">
        <v>83</v>
      </c>
      <c r="B85" s="20">
        <v>45359</v>
      </c>
      <c r="C85" s="4" t="s">
        <v>13</v>
      </c>
      <c r="D85" s="21" t="s">
        <v>213</v>
      </c>
      <c r="E85" s="18" t="s">
        <v>19</v>
      </c>
      <c r="F85" s="18">
        <v>1</v>
      </c>
      <c r="G85" s="38" t="s">
        <v>395</v>
      </c>
      <c r="H85" s="5" t="s">
        <v>394</v>
      </c>
      <c r="I85" s="23" t="s">
        <v>261</v>
      </c>
      <c r="J85" s="23" t="s">
        <v>9</v>
      </c>
      <c r="K85" s="24" t="s">
        <v>66</v>
      </c>
      <c r="L85" s="4" t="s">
        <v>424</v>
      </c>
      <c r="M85" s="6">
        <v>45362</v>
      </c>
      <c r="N85" s="8" t="s">
        <v>342</v>
      </c>
      <c r="O85" s="13">
        <f>Tabla6[[#This Row],[ FECHA ]]-Tabla6[[#This Row],[FECHA DE ENTREGA DE LA CORRESPONDENCIA]]</f>
        <v>3</v>
      </c>
      <c r="P85" s="6">
        <v>45362</v>
      </c>
      <c r="Q85" s="24" t="s">
        <v>36</v>
      </c>
    </row>
    <row r="86" spans="1:17" ht="86.25" customHeight="1" x14ac:dyDescent="0.25">
      <c r="A86" s="30">
        <v>84</v>
      </c>
      <c r="B86" s="20">
        <v>45359</v>
      </c>
      <c r="C86" s="4" t="s">
        <v>13</v>
      </c>
      <c r="D86" s="21" t="s">
        <v>59</v>
      </c>
      <c r="E86" s="18" t="s">
        <v>19</v>
      </c>
      <c r="F86" s="18">
        <v>1</v>
      </c>
      <c r="G86" s="38" t="s">
        <v>396</v>
      </c>
      <c r="H86" s="5" t="s">
        <v>220</v>
      </c>
      <c r="I86" s="4" t="s">
        <v>397</v>
      </c>
      <c r="J86" s="4" t="s">
        <v>245</v>
      </c>
      <c r="K86" s="4" t="s">
        <v>398</v>
      </c>
      <c r="L86" s="4" t="s">
        <v>425</v>
      </c>
      <c r="M86" s="6">
        <v>45362</v>
      </c>
      <c r="N86" s="8" t="s">
        <v>426</v>
      </c>
      <c r="O86" s="13">
        <f>Tabla6[[#This Row],[ FECHA ]]-Tabla6[[#This Row],[FECHA DE ENTREGA DE LA CORRESPONDENCIA]]</f>
        <v>3</v>
      </c>
      <c r="P86" s="6">
        <v>45362</v>
      </c>
      <c r="Q86" s="12" t="s">
        <v>399</v>
      </c>
    </row>
    <row r="87" spans="1:17" ht="86.25" customHeight="1" x14ac:dyDescent="0.25">
      <c r="A87" s="30">
        <v>85</v>
      </c>
      <c r="B87" s="20">
        <v>45362</v>
      </c>
      <c r="C87" s="4" t="s">
        <v>13</v>
      </c>
      <c r="D87" s="4" t="s">
        <v>64</v>
      </c>
      <c r="E87" s="18" t="s">
        <v>19</v>
      </c>
      <c r="F87" s="18">
        <v>1</v>
      </c>
      <c r="G87" s="38" t="s">
        <v>401</v>
      </c>
      <c r="H87" s="5" t="s">
        <v>400</v>
      </c>
      <c r="I87" s="23" t="s">
        <v>239</v>
      </c>
      <c r="J87" s="23" t="s">
        <v>37</v>
      </c>
      <c r="K87" s="24" t="s">
        <v>241</v>
      </c>
      <c r="L87" s="23" t="s">
        <v>287</v>
      </c>
      <c r="M87" s="19">
        <v>45363</v>
      </c>
      <c r="N87" s="25" t="s">
        <v>427</v>
      </c>
      <c r="O87" s="26">
        <f>Tabla6[[#This Row],[ FECHA ]]-Tabla6[[#This Row],[FECHA DE ENTREGA DE LA CORRESPONDENCIA]]</f>
        <v>1</v>
      </c>
      <c r="P87" s="19">
        <v>45363</v>
      </c>
      <c r="Q87" s="24" t="s">
        <v>51</v>
      </c>
    </row>
    <row r="88" spans="1:17" ht="86.25" customHeight="1" x14ac:dyDescent="0.25">
      <c r="A88" s="30">
        <v>86</v>
      </c>
      <c r="B88" s="20">
        <v>45363</v>
      </c>
      <c r="C88" s="4" t="s">
        <v>13</v>
      </c>
      <c r="D88" s="4" t="s">
        <v>402</v>
      </c>
      <c r="E88" s="4" t="s">
        <v>21</v>
      </c>
      <c r="F88" s="4">
        <v>1</v>
      </c>
      <c r="G88" s="38" t="s">
        <v>403</v>
      </c>
      <c r="H88" s="5" t="s">
        <v>404</v>
      </c>
      <c r="I88" s="4" t="s">
        <v>261</v>
      </c>
      <c r="J88" s="4" t="s">
        <v>9</v>
      </c>
      <c r="K88" s="24" t="s">
        <v>66</v>
      </c>
      <c r="L88" s="4" t="s">
        <v>428</v>
      </c>
      <c r="M88" s="19">
        <v>45364</v>
      </c>
      <c r="N88" s="25" t="s">
        <v>380</v>
      </c>
      <c r="O88" s="13">
        <f>Tabla6[[#This Row],[ FECHA ]]-Tabla6[[#This Row],[FECHA DE ENTREGA DE LA CORRESPONDENCIA]]</f>
        <v>1</v>
      </c>
      <c r="P88" s="19">
        <v>45364</v>
      </c>
      <c r="Q88" s="24" t="s">
        <v>36</v>
      </c>
    </row>
    <row r="89" spans="1:17" ht="86.25" customHeight="1" x14ac:dyDescent="0.25">
      <c r="A89" s="30">
        <v>87</v>
      </c>
      <c r="B89" s="20">
        <v>45363</v>
      </c>
      <c r="C89" s="4" t="s">
        <v>13</v>
      </c>
      <c r="D89" s="4" t="s">
        <v>405</v>
      </c>
      <c r="E89" s="4" t="s">
        <v>19</v>
      </c>
      <c r="F89" s="4">
        <v>1</v>
      </c>
      <c r="G89" s="38" t="s">
        <v>406</v>
      </c>
      <c r="H89" s="5" t="s">
        <v>407</v>
      </c>
      <c r="I89" s="23" t="s">
        <v>50</v>
      </c>
      <c r="J89" s="4" t="s">
        <v>37</v>
      </c>
      <c r="K89" s="24" t="s">
        <v>241</v>
      </c>
      <c r="L89" s="4" t="s">
        <v>384</v>
      </c>
      <c r="M89" s="6">
        <v>45364</v>
      </c>
      <c r="N89" s="34">
        <v>0.45833333333333331</v>
      </c>
      <c r="O89" s="13">
        <f>Tabla6[[#This Row],[ FECHA ]]-Tabla6[[#This Row],[FECHA DE ENTREGA DE LA CORRESPONDENCIA]]</f>
        <v>1</v>
      </c>
      <c r="P89" s="6">
        <v>45364</v>
      </c>
      <c r="Q89" s="24" t="s">
        <v>51</v>
      </c>
    </row>
    <row r="90" spans="1:17" ht="86.25" customHeight="1" x14ac:dyDescent="0.25">
      <c r="A90" s="30">
        <v>88</v>
      </c>
      <c r="B90" s="20">
        <v>45363</v>
      </c>
      <c r="C90" s="4" t="s">
        <v>13</v>
      </c>
      <c r="D90" s="4" t="s">
        <v>402</v>
      </c>
      <c r="E90" s="4" t="s">
        <v>19</v>
      </c>
      <c r="F90" s="4">
        <v>1</v>
      </c>
      <c r="G90" s="38" t="s">
        <v>409</v>
      </c>
      <c r="H90" s="5" t="s">
        <v>410</v>
      </c>
      <c r="I90" s="23" t="s">
        <v>408</v>
      </c>
      <c r="J90" s="4" t="s">
        <v>89</v>
      </c>
      <c r="K90" s="24" t="s">
        <v>90</v>
      </c>
      <c r="L90" s="4" t="s">
        <v>429</v>
      </c>
      <c r="M90" s="6">
        <v>45364</v>
      </c>
      <c r="N90" s="34">
        <v>0.5</v>
      </c>
      <c r="O90" s="13">
        <f>Tabla6[[#This Row],[ FECHA ]]-Tabla6[[#This Row],[FECHA DE ENTREGA DE LA CORRESPONDENCIA]]</f>
        <v>1</v>
      </c>
      <c r="P90" s="6">
        <v>45364</v>
      </c>
      <c r="Q90" s="24" t="s">
        <v>91</v>
      </c>
    </row>
    <row r="91" spans="1:17" ht="86.25" customHeight="1" x14ac:dyDescent="0.25">
      <c r="A91" s="30">
        <v>89</v>
      </c>
      <c r="B91" s="3">
        <v>45364</v>
      </c>
      <c r="C91" s="18" t="s">
        <v>13</v>
      </c>
      <c r="D91" s="21" t="s">
        <v>64</v>
      </c>
      <c r="E91" s="18" t="s">
        <v>19</v>
      </c>
      <c r="F91" s="18">
        <v>1</v>
      </c>
      <c r="G91" s="31" t="s">
        <v>413</v>
      </c>
      <c r="H91" s="24" t="s">
        <v>411</v>
      </c>
      <c r="I91" s="23" t="s">
        <v>412</v>
      </c>
      <c r="J91" s="23" t="s">
        <v>37</v>
      </c>
      <c r="K91" s="24" t="s">
        <v>38</v>
      </c>
      <c r="L91" s="23" t="s">
        <v>430</v>
      </c>
      <c r="M91" s="6">
        <v>45365</v>
      </c>
      <c r="N91" s="34">
        <v>0.45833333333333331</v>
      </c>
      <c r="O91" s="26">
        <f>Tabla6[[#This Row],[ FECHA ]]-Tabla6[[#This Row],[FECHA DE ENTREGA DE LA CORRESPONDENCIA]]</f>
        <v>1</v>
      </c>
      <c r="P91" s="6">
        <v>45365</v>
      </c>
      <c r="Q91" s="24" t="s">
        <v>51</v>
      </c>
    </row>
    <row r="92" spans="1:17" ht="86.25" customHeight="1" x14ac:dyDescent="0.25">
      <c r="A92" s="30">
        <v>90</v>
      </c>
      <c r="B92" s="3">
        <v>45366</v>
      </c>
      <c r="C92" s="4" t="s">
        <v>13</v>
      </c>
      <c r="D92" s="21" t="s">
        <v>213</v>
      </c>
      <c r="E92" s="18" t="s">
        <v>19</v>
      </c>
      <c r="F92" s="18">
        <v>1</v>
      </c>
      <c r="G92" s="38" t="s">
        <v>415</v>
      </c>
      <c r="H92" s="22" t="s">
        <v>414</v>
      </c>
      <c r="I92" s="23" t="s">
        <v>155</v>
      </c>
      <c r="J92" s="23" t="s">
        <v>156</v>
      </c>
      <c r="K92" s="24" t="s">
        <v>157</v>
      </c>
      <c r="L92" s="4" t="s">
        <v>379</v>
      </c>
      <c r="M92" s="6">
        <v>45369</v>
      </c>
      <c r="N92" s="8" t="s">
        <v>204</v>
      </c>
      <c r="O92" s="13">
        <f>Tabla6[[#This Row],[ FECHA ]]-Tabla6[[#This Row],[FECHA DE ENTREGA DE LA CORRESPONDENCIA]]</f>
        <v>3</v>
      </c>
      <c r="P92" s="6">
        <v>45369</v>
      </c>
      <c r="Q92" s="24" t="s">
        <v>273</v>
      </c>
    </row>
    <row r="93" spans="1:17" ht="86.25" customHeight="1" x14ac:dyDescent="0.25">
      <c r="A93" s="30">
        <v>91</v>
      </c>
      <c r="B93" s="3">
        <v>45366</v>
      </c>
      <c r="C93" s="4" t="s">
        <v>13</v>
      </c>
      <c r="D93" s="21" t="s">
        <v>213</v>
      </c>
      <c r="E93" s="18" t="s">
        <v>19</v>
      </c>
      <c r="F93" s="18">
        <v>1</v>
      </c>
      <c r="G93" s="38" t="s">
        <v>417</v>
      </c>
      <c r="H93" s="22" t="s">
        <v>416</v>
      </c>
      <c r="I93" s="23" t="s">
        <v>358</v>
      </c>
      <c r="J93" s="4" t="s">
        <v>83</v>
      </c>
      <c r="K93" s="24" t="s">
        <v>84</v>
      </c>
      <c r="L93" s="4" t="s">
        <v>441</v>
      </c>
      <c r="M93" s="6">
        <v>45369</v>
      </c>
      <c r="N93" s="34">
        <v>0.49652777777777773</v>
      </c>
      <c r="O93" s="13">
        <f>Tabla6[[#This Row],[ FECHA ]]-Tabla6[[#This Row],[FECHA DE ENTREGA DE LA CORRESPONDENCIA]]</f>
        <v>3</v>
      </c>
      <c r="P93" s="6">
        <v>45369</v>
      </c>
      <c r="Q93" s="24" t="s">
        <v>85</v>
      </c>
    </row>
    <row r="94" spans="1:17" ht="86.25" customHeight="1" x14ac:dyDescent="0.25">
      <c r="A94" s="30">
        <v>92</v>
      </c>
      <c r="B94" s="3">
        <v>45366</v>
      </c>
      <c r="C94" s="4" t="s">
        <v>13</v>
      </c>
      <c r="D94" s="21" t="s">
        <v>213</v>
      </c>
      <c r="E94" s="18" t="s">
        <v>19</v>
      </c>
      <c r="F94" s="18">
        <v>1</v>
      </c>
      <c r="G94" s="38" t="s">
        <v>419</v>
      </c>
      <c r="H94" s="22" t="s">
        <v>418</v>
      </c>
      <c r="I94" s="23" t="s">
        <v>261</v>
      </c>
      <c r="J94" s="23" t="s">
        <v>9</v>
      </c>
      <c r="K94" s="24" t="s">
        <v>66</v>
      </c>
      <c r="L94" s="4" t="s">
        <v>442</v>
      </c>
      <c r="M94" s="6">
        <v>45369</v>
      </c>
      <c r="N94" s="8" t="s">
        <v>443</v>
      </c>
      <c r="O94" s="13">
        <f>Tabla6[[#This Row],[ FECHA ]]-Tabla6[[#This Row],[FECHA DE ENTREGA DE LA CORRESPONDENCIA]]</f>
        <v>3</v>
      </c>
      <c r="P94" s="6">
        <v>45369</v>
      </c>
      <c r="Q94" s="24" t="s">
        <v>36</v>
      </c>
    </row>
    <row r="95" spans="1:17" ht="86.25" customHeight="1" x14ac:dyDescent="0.25">
      <c r="A95" s="30">
        <v>93</v>
      </c>
      <c r="B95" s="3">
        <v>45366</v>
      </c>
      <c r="C95" s="4" t="s">
        <v>13</v>
      </c>
      <c r="D95" s="21" t="s">
        <v>213</v>
      </c>
      <c r="E95" s="18" t="s">
        <v>19</v>
      </c>
      <c r="F95" s="18">
        <v>1</v>
      </c>
      <c r="G95" s="38" t="s">
        <v>421</v>
      </c>
      <c r="H95" s="22" t="s">
        <v>420</v>
      </c>
      <c r="I95" s="23" t="s">
        <v>249</v>
      </c>
      <c r="J95" s="23" t="s">
        <v>99</v>
      </c>
      <c r="K95" s="24" t="s">
        <v>100</v>
      </c>
      <c r="L95" s="4" t="s">
        <v>444</v>
      </c>
      <c r="M95" s="6">
        <v>45366</v>
      </c>
      <c r="N95" s="37">
        <v>0.71250000000000002</v>
      </c>
      <c r="O95" s="13">
        <f>Tabla6[[#This Row],[ FECHA ]]-Tabla6[[#This Row],[FECHA DE ENTREGA DE LA CORRESPONDENCIA]]</f>
        <v>0</v>
      </c>
      <c r="P95" s="6">
        <v>45366</v>
      </c>
      <c r="Q95" s="24" t="s">
        <v>101</v>
      </c>
    </row>
    <row r="96" spans="1:17" ht="86.25" customHeight="1" x14ac:dyDescent="0.25">
      <c r="A96" s="30">
        <v>94</v>
      </c>
      <c r="B96" s="3">
        <v>45369</v>
      </c>
      <c r="C96" s="4" t="s">
        <v>13</v>
      </c>
      <c r="D96" s="4" t="s">
        <v>434</v>
      </c>
      <c r="E96" s="18" t="s">
        <v>19</v>
      </c>
      <c r="F96" s="18">
        <v>1</v>
      </c>
      <c r="G96" s="38" t="s">
        <v>433</v>
      </c>
      <c r="H96" s="5" t="s">
        <v>431</v>
      </c>
      <c r="I96" s="4" t="s">
        <v>432</v>
      </c>
      <c r="J96" s="23" t="s">
        <v>9</v>
      </c>
      <c r="K96" s="4" t="s">
        <v>435</v>
      </c>
      <c r="L96" s="4" t="s">
        <v>166</v>
      </c>
      <c r="M96" s="6">
        <v>45370</v>
      </c>
      <c r="N96" s="34">
        <v>0.80902777777777779</v>
      </c>
      <c r="O96" s="13">
        <f>Tabla6[[#This Row],[ FECHA ]]-Tabla6[[#This Row],[FECHA DE ENTREGA DE LA CORRESPONDENCIA]]</f>
        <v>1</v>
      </c>
      <c r="P96" s="6">
        <v>45370</v>
      </c>
      <c r="Q96" s="24" t="s">
        <v>36</v>
      </c>
    </row>
    <row r="97" spans="1:17" ht="86.25" customHeight="1" x14ac:dyDescent="0.25">
      <c r="A97" s="30">
        <v>95</v>
      </c>
      <c r="B97" s="3">
        <v>45372</v>
      </c>
      <c r="C97" s="4" t="s">
        <v>13</v>
      </c>
      <c r="D97" s="4" t="s">
        <v>64</v>
      </c>
      <c r="E97" s="4" t="s">
        <v>22</v>
      </c>
      <c r="F97" s="4">
        <v>1</v>
      </c>
      <c r="G97" s="38" t="s">
        <v>437</v>
      </c>
      <c r="H97" s="22" t="s">
        <v>436</v>
      </c>
      <c r="I97" s="23" t="s">
        <v>50</v>
      </c>
      <c r="J97" s="23" t="s">
        <v>37</v>
      </c>
      <c r="K97" s="24" t="s">
        <v>38</v>
      </c>
      <c r="L97" s="23" t="s">
        <v>445</v>
      </c>
      <c r="M97" s="19">
        <v>45372</v>
      </c>
      <c r="N97" s="25">
        <v>0.6958333333333333</v>
      </c>
      <c r="O97" s="13">
        <f>Tabla6[[#This Row],[ FECHA ]]-Tabla6[[#This Row],[FECHA DE ENTREGA DE LA CORRESPONDENCIA]]</f>
        <v>0</v>
      </c>
      <c r="P97" s="19">
        <v>45372</v>
      </c>
      <c r="Q97" s="24" t="s">
        <v>51</v>
      </c>
    </row>
    <row r="98" spans="1:17" ht="86.25" customHeight="1" x14ac:dyDescent="0.25">
      <c r="A98" s="30">
        <v>96</v>
      </c>
      <c r="B98" s="3">
        <v>45373</v>
      </c>
      <c r="C98" s="4" t="s">
        <v>13</v>
      </c>
      <c r="D98" s="4" t="s">
        <v>438</v>
      </c>
      <c r="E98" s="18" t="s">
        <v>19</v>
      </c>
      <c r="F98" s="4">
        <v>1</v>
      </c>
      <c r="G98" s="38" t="s">
        <v>440</v>
      </c>
      <c r="H98" s="5" t="s">
        <v>460</v>
      </c>
      <c r="I98" s="4" t="s">
        <v>439</v>
      </c>
      <c r="J98" s="23" t="s">
        <v>99</v>
      </c>
      <c r="K98" s="24" t="s">
        <v>100</v>
      </c>
      <c r="L98" s="4" t="s">
        <v>465</v>
      </c>
      <c r="M98" s="6">
        <v>45373</v>
      </c>
      <c r="N98" s="34">
        <v>0.89236111111111116</v>
      </c>
      <c r="O98" s="13">
        <f>Tabla6[[#This Row],[ FECHA ]]-Tabla6[[#This Row],[FECHA DE ENTREGA DE LA CORRESPONDENCIA]]</f>
        <v>0</v>
      </c>
      <c r="P98" s="6">
        <v>45373</v>
      </c>
      <c r="Q98" s="24" t="s">
        <v>101</v>
      </c>
    </row>
    <row r="99" spans="1:17" ht="86.25" customHeight="1" x14ac:dyDescent="0.25">
      <c r="A99" s="30">
        <v>97</v>
      </c>
      <c r="B99" s="3">
        <v>45373</v>
      </c>
      <c r="C99" s="4" t="s">
        <v>13</v>
      </c>
      <c r="D99" s="21" t="s">
        <v>213</v>
      </c>
      <c r="E99" s="18" t="s">
        <v>19</v>
      </c>
      <c r="F99" s="18">
        <v>1</v>
      </c>
      <c r="G99" s="38" t="s">
        <v>447</v>
      </c>
      <c r="H99" s="5" t="s">
        <v>446</v>
      </c>
      <c r="I99" s="23" t="s">
        <v>164</v>
      </c>
      <c r="J99" s="23" t="s">
        <v>37</v>
      </c>
      <c r="K99" s="24" t="s">
        <v>38</v>
      </c>
      <c r="L99" s="4" t="s">
        <v>206</v>
      </c>
      <c r="M99" s="6">
        <v>45376</v>
      </c>
      <c r="N99" s="37">
        <v>0.54166666666666663</v>
      </c>
      <c r="O99" s="13">
        <f>Tabla6[[#This Row],[ FECHA ]]-Tabla6[[#This Row],[FECHA DE ENTREGA DE LA CORRESPONDENCIA]]</f>
        <v>3</v>
      </c>
      <c r="P99" s="39">
        <v>45376</v>
      </c>
      <c r="Q99" s="24" t="s">
        <v>51</v>
      </c>
    </row>
    <row r="100" spans="1:17" ht="86.25" customHeight="1" x14ac:dyDescent="0.25">
      <c r="A100" s="30">
        <v>98</v>
      </c>
      <c r="B100" s="3">
        <v>45373</v>
      </c>
      <c r="C100" s="4" t="s">
        <v>13</v>
      </c>
      <c r="D100" s="21" t="s">
        <v>213</v>
      </c>
      <c r="E100" s="18" t="s">
        <v>19</v>
      </c>
      <c r="F100" s="4">
        <v>1</v>
      </c>
      <c r="G100" s="38" t="s">
        <v>450</v>
      </c>
      <c r="H100" s="5" t="s">
        <v>448</v>
      </c>
      <c r="I100" s="4" t="s">
        <v>449</v>
      </c>
      <c r="J100" s="23" t="s">
        <v>160</v>
      </c>
      <c r="K100" s="24" t="s">
        <v>326</v>
      </c>
      <c r="L100" s="4" t="s">
        <v>466</v>
      </c>
      <c r="M100" s="6">
        <v>45377</v>
      </c>
      <c r="N100" s="37">
        <v>0.5</v>
      </c>
      <c r="O100" s="13">
        <f>Tabla6[[#This Row],[ FECHA ]]-Tabla6[[#This Row],[FECHA DE ENTREGA DE LA CORRESPONDENCIA]]</f>
        <v>4</v>
      </c>
      <c r="P100" s="39">
        <v>45377</v>
      </c>
      <c r="Q100" s="24" t="s">
        <v>161</v>
      </c>
    </row>
    <row r="101" spans="1:17" ht="86.25" customHeight="1" x14ac:dyDescent="0.25">
      <c r="A101" s="30">
        <v>99</v>
      </c>
      <c r="B101" s="3">
        <v>45373</v>
      </c>
      <c r="C101" s="4" t="s">
        <v>13</v>
      </c>
      <c r="D101" s="21" t="s">
        <v>213</v>
      </c>
      <c r="E101" s="18" t="s">
        <v>19</v>
      </c>
      <c r="F101" s="4">
        <v>1</v>
      </c>
      <c r="G101" s="38" t="s">
        <v>453</v>
      </c>
      <c r="H101" s="5" t="s">
        <v>451</v>
      </c>
      <c r="I101" s="23" t="s">
        <v>261</v>
      </c>
      <c r="J101" s="23" t="s">
        <v>9</v>
      </c>
      <c r="K101" s="24" t="s">
        <v>66</v>
      </c>
      <c r="L101" s="4" t="s">
        <v>354</v>
      </c>
      <c r="M101" s="6">
        <v>45376</v>
      </c>
      <c r="N101" s="6" t="s">
        <v>467</v>
      </c>
      <c r="O101" s="13">
        <f>Tabla6[[#This Row],[ FECHA ]]-Tabla6[[#This Row],[FECHA DE ENTREGA DE LA CORRESPONDENCIA]]</f>
        <v>3</v>
      </c>
      <c r="P101" s="39">
        <v>45376</v>
      </c>
      <c r="Q101" s="24" t="s">
        <v>36</v>
      </c>
    </row>
    <row r="102" spans="1:17" ht="86.25" customHeight="1" x14ac:dyDescent="0.25">
      <c r="A102" s="30">
        <v>100</v>
      </c>
      <c r="B102" s="3">
        <v>45373</v>
      </c>
      <c r="C102" s="4" t="s">
        <v>13</v>
      </c>
      <c r="D102" s="21" t="s">
        <v>213</v>
      </c>
      <c r="E102" s="18" t="s">
        <v>19</v>
      </c>
      <c r="F102" s="18">
        <v>1</v>
      </c>
      <c r="G102" s="38" t="s">
        <v>454</v>
      </c>
      <c r="H102" s="5" t="s">
        <v>452</v>
      </c>
      <c r="I102" s="23" t="s">
        <v>155</v>
      </c>
      <c r="J102" s="23" t="s">
        <v>156</v>
      </c>
      <c r="K102" s="24" t="s">
        <v>157</v>
      </c>
      <c r="L102" s="4" t="s">
        <v>379</v>
      </c>
      <c r="M102" s="35">
        <v>45376</v>
      </c>
      <c r="N102" s="6" t="s">
        <v>468</v>
      </c>
      <c r="O102" s="36">
        <f>Tabla6[[#This Row],[ FECHA ]]-Tabla6[[#This Row],[FECHA DE ENTREGA DE LA CORRESPONDENCIA]]</f>
        <v>3</v>
      </c>
      <c r="P102" s="39">
        <v>45376</v>
      </c>
      <c r="Q102" s="24" t="s">
        <v>273</v>
      </c>
    </row>
    <row r="103" spans="1:17" ht="86.25" customHeight="1" x14ac:dyDescent="0.25">
      <c r="A103" s="30">
        <v>101</v>
      </c>
      <c r="B103" s="3">
        <v>45374</v>
      </c>
      <c r="C103" s="4" t="s">
        <v>13</v>
      </c>
      <c r="D103" s="4" t="s">
        <v>64</v>
      </c>
      <c r="E103" s="18" t="s">
        <v>19</v>
      </c>
      <c r="F103" s="18">
        <v>1</v>
      </c>
      <c r="G103" s="38" t="s">
        <v>459</v>
      </c>
      <c r="H103" s="5" t="s">
        <v>455</v>
      </c>
      <c r="I103" s="4" t="s">
        <v>456</v>
      </c>
      <c r="J103" s="4" t="s">
        <v>457</v>
      </c>
      <c r="K103" s="4" t="s">
        <v>458</v>
      </c>
      <c r="L103" s="4" t="s">
        <v>469</v>
      </c>
      <c r="M103" s="6">
        <v>45377</v>
      </c>
      <c r="N103" s="37">
        <v>0.33333333333333331</v>
      </c>
      <c r="O103" s="36">
        <f>Tabla6[[#This Row],[ FECHA ]]-Tabla6[[#This Row],[FECHA DE ENTREGA DE LA CORRESPONDENCIA]]</f>
        <v>3</v>
      </c>
      <c r="P103" s="6">
        <v>45377</v>
      </c>
      <c r="Q103" s="4" t="s">
        <v>458</v>
      </c>
    </row>
    <row r="104" spans="1:17" ht="86.25" customHeight="1" x14ac:dyDescent="0.25">
      <c r="A104" s="30">
        <v>102</v>
      </c>
      <c r="B104" s="3">
        <v>45378</v>
      </c>
      <c r="C104" s="4" t="s">
        <v>13</v>
      </c>
      <c r="D104" s="4" t="s">
        <v>461</v>
      </c>
      <c r="E104" s="18" t="s">
        <v>19</v>
      </c>
      <c r="F104" s="18">
        <v>1</v>
      </c>
      <c r="G104" s="38" t="s">
        <v>464</v>
      </c>
      <c r="H104" s="5" t="s">
        <v>463</v>
      </c>
      <c r="I104" s="23" t="s">
        <v>462</v>
      </c>
      <c r="J104" s="23" t="s">
        <v>254</v>
      </c>
      <c r="K104" s="24" t="s">
        <v>255</v>
      </c>
      <c r="L104" s="4" t="s">
        <v>383</v>
      </c>
      <c r="M104" s="6">
        <v>45379</v>
      </c>
      <c r="N104" s="8" t="s">
        <v>476</v>
      </c>
      <c r="O104" s="13">
        <f>Tabla6[[#This Row],[ FECHA ]]-Tabla6[[#This Row],[FECHA DE ENTREGA DE LA CORRESPONDENCIA]]</f>
        <v>1</v>
      </c>
      <c r="P104" s="6">
        <v>45379</v>
      </c>
      <c r="Q104" s="24" t="s">
        <v>36</v>
      </c>
    </row>
    <row r="105" spans="1:17" ht="86.25" customHeight="1" x14ac:dyDescent="0.25">
      <c r="A105" s="30">
        <v>103</v>
      </c>
      <c r="B105" s="3">
        <v>45379</v>
      </c>
      <c r="C105" s="4" t="s">
        <v>13</v>
      </c>
      <c r="D105" s="21" t="s">
        <v>213</v>
      </c>
      <c r="E105" s="18" t="s">
        <v>19</v>
      </c>
      <c r="F105" s="18">
        <v>1</v>
      </c>
      <c r="G105" s="38" t="s">
        <v>471</v>
      </c>
      <c r="H105" s="5" t="s">
        <v>470</v>
      </c>
      <c r="I105" s="23" t="s">
        <v>164</v>
      </c>
      <c r="J105" s="23" t="s">
        <v>37</v>
      </c>
      <c r="K105" s="24" t="s">
        <v>38</v>
      </c>
      <c r="L105" s="4" t="s">
        <v>206</v>
      </c>
      <c r="M105" s="6">
        <v>45383</v>
      </c>
      <c r="N105" s="8" t="s">
        <v>281</v>
      </c>
      <c r="O105" s="13">
        <f>Tabla6[[#This Row],[ FECHA ]]-Tabla6[[#This Row],[FECHA DE ENTREGA DE LA CORRESPONDENCIA]]</f>
        <v>4</v>
      </c>
      <c r="P105" s="6">
        <v>45383</v>
      </c>
      <c r="Q105" s="24" t="s">
        <v>38</v>
      </c>
    </row>
    <row r="106" spans="1:17" ht="86.25" customHeight="1" x14ac:dyDescent="0.25">
      <c r="A106" s="30">
        <v>104</v>
      </c>
      <c r="B106" s="3">
        <v>45379</v>
      </c>
      <c r="C106" s="4" t="s">
        <v>13</v>
      </c>
      <c r="D106" s="21" t="s">
        <v>213</v>
      </c>
      <c r="E106" s="18" t="s">
        <v>19</v>
      </c>
      <c r="F106" s="18">
        <v>1</v>
      </c>
      <c r="G106" s="38" t="s">
        <v>473</v>
      </c>
      <c r="H106" s="5" t="s">
        <v>472</v>
      </c>
      <c r="I106" s="23" t="s">
        <v>155</v>
      </c>
      <c r="J106" s="23" t="s">
        <v>156</v>
      </c>
      <c r="K106" s="24" t="s">
        <v>157</v>
      </c>
      <c r="L106" s="4" t="s">
        <v>477</v>
      </c>
      <c r="M106" s="6">
        <v>45300</v>
      </c>
      <c r="N106" s="8" t="s">
        <v>426</v>
      </c>
      <c r="O106" s="13">
        <v>3</v>
      </c>
      <c r="P106" s="6">
        <v>45300</v>
      </c>
      <c r="Q106" s="24" t="s">
        <v>273</v>
      </c>
    </row>
    <row r="107" spans="1:17" ht="86.25" customHeight="1" x14ac:dyDescent="0.25">
      <c r="A107" s="30">
        <v>105</v>
      </c>
      <c r="B107" s="3">
        <v>45379</v>
      </c>
      <c r="C107" s="4" t="s">
        <v>13</v>
      </c>
      <c r="D107" s="21" t="s">
        <v>213</v>
      </c>
      <c r="E107" s="18" t="s">
        <v>19</v>
      </c>
      <c r="F107" s="18">
        <v>1</v>
      </c>
      <c r="G107" s="38" t="s">
        <v>475</v>
      </c>
      <c r="H107" s="5" t="s">
        <v>474</v>
      </c>
      <c r="I107" s="23" t="s">
        <v>261</v>
      </c>
      <c r="J107" s="23" t="s">
        <v>9</v>
      </c>
      <c r="K107" s="24" t="s">
        <v>66</v>
      </c>
      <c r="L107" s="4" t="s">
        <v>478</v>
      </c>
      <c r="M107" s="6" t="s">
        <v>479</v>
      </c>
      <c r="N107" s="8" t="s">
        <v>480</v>
      </c>
      <c r="O107" s="13">
        <v>3</v>
      </c>
      <c r="P107" s="6" t="s">
        <v>479</v>
      </c>
      <c r="Q107" s="24" t="s">
        <v>36</v>
      </c>
    </row>
    <row r="108" spans="1:17" ht="86.25" customHeight="1" x14ac:dyDescent="0.25">
      <c r="A108" s="30">
        <v>106</v>
      </c>
      <c r="B108" s="3">
        <v>45385</v>
      </c>
      <c r="C108" s="4" t="s">
        <v>13</v>
      </c>
      <c r="D108" s="4" t="s">
        <v>481</v>
      </c>
      <c r="E108" s="18" t="s">
        <v>19</v>
      </c>
      <c r="F108" s="18">
        <v>1</v>
      </c>
      <c r="G108" s="38" t="s">
        <v>488</v>
      </c>
      <c r="H108" s="5" t="s">
        <v>482</v>
      </c>
      <c r="I108" s="23" t="s">
        <v>261</v>
      </c>
      <c r="J108" s="23" t="s">
        <v>9</v>
      </c>
      <c r="K108" s="24" t="s">
        <v>66</v>
      </c>
      <c r="L108" s="4" t="s">
        <v>478</v>
      </c>
      <c r="M108" s="6">
        <v>44655</v>
      </c>
      <c r="N108" s="8" t="s">
        <v>509</v>
      </c>
      <c r="O108" s="13">
        <f>Tabla6[[#This Row],[ FECHA ]]-Tabla6[[#This Row],[FECHA DE ENTREGA DE LA CORRESPONDENCIA]]</f>
        <v>-730</v>
      </c>
      <c r="P108" s="6">
        <v>44655</v>
      </c>
      <c r="Q108" s="24" t="s">
        <v>36</v>
      </c>
    </row>
    <row r="109" spans="1:17" ht="86.25" customHeight="1" x14ac:dyDescent="0.25">
      <c r="A109" s="30">
        <v>107</v>
      </c>
      <c r="B109" s="3">
        <v>45385</v>
      </c>
      <c r="C109" s="4" t="s">
        <v>13</v>
      </c>
      <c r="D109" s="21" t="s">
        <v>485</v>
      </c>
      <c r="E109" s="18" t="s">
        <v>19</v>
      </c>
      <c r="F109" s="18">
        <v>1</v>
      </c>
      <c r="G109" s="38" t="s">
        <v>489</v>
      </c>
      <c r="H109" s="5" t="s">
        <v>483</v>
      </c>
      <c r="I109" s="23" t="s">
        <v>261</v>
      </c>
      <c r="J109" s="23" t="s">
        <v>9</v>
      </c>
      <c r="K109" s="24" t="s">
        <v>66</v>
      </c>
      <c r="L109" s="4" t="s">
        <v>478</v>
      </c>
      <c r="M109" s="6">
        <v>45390</v>
      </c>
      <c r="N109" s="8" t="s">
        <v>510</v>
      </c>
      <c r="O109" s="13">
        <f>Tabla6[[#This Row],[ FECHA ]]-Tabla6[[#This Row],[FECHA DE ENTREGA DE LA CORRESPONDENCIA]]</f>
        <v>5</v>
      </c>
      <c r="P109" s="6">
        <v>45390</v>
      </c>
      <c r="Q109" s="24" t="s">
        <v>36</v>
      </c>
    </row>
    <row r="110" spans="1:17" ht="86.25" customHeight="1" x14ac:dyDescent="0.25">
      <c r="A110" s="30">
        <v>108</v>
      </c>
      <c r="B110" s="3">
        <v>45385</v>
      </c>
      <c r="C110" s="4" t="s">
        <v>13</v>
      </c>
      <c r="D110" s="4" t="s">
        <v>486</v>
      </c>
      <c r="E110" s="18" t="s">
        <v>19</v>
      </c>
      <c r="F110" s="18">
        <v>1</v>
      </c>
      <c r="G110" s="38" t="s">
        <v>490</v>
      </c>
      <c r="H110" s="5" t="s">
        <v>484</v>
      </c>
      <c r="I110" s="23" t="s">
        <v>155</v>
      </c>
      <c r="J110" s="23" t="s">
        <v>156</v>
      </c>
      <c r="K110" s="24" t="s">
        <v>157</v>
      </c>
      <c r="L110" s="4" t="s">
        <v>511</v>
      </c>
      <c r="M110" s="6">
        <v>45390</v>
      </c>
      <c r="N110" s="8" t="s">
        <v>512</v>
      </c>
      <c r="O110" s="13">
        <f>Tabla6[[#This Row],[ FECHA ]]-Tabla6[[#This Row],[FECHA DE ENTREGA DE LA CORRESPONDENCIA]]</f>
        <v>5</v>
      </c>
      <c r="P110" s="6">
        <v>45390</v>
      </c>
      <c r="Q110" s="24" t="s">
        <v>273</v>
      </c>
    </row>
    <row r="111" spans="1:17" ht="86.25" customHeight="1" x14ac:dyDescent="0.25">
      <c r="A111" s="30">
        <v>109</v>
      </c>
      <c r="B111" s="3">
        <v>45385</v>
      </c>
      <c r="C111" s="4" t="s">
        <v>13</v>
      </c>
      <c r="D111" s="4" t="s">
        <v>486</v>
      </c>
      <c r="E111" s="18" t="s">
        <v>19</v>
      </c>
      <c r="F111" s="18">
        <v>1</v>
      </c>
      <c r="G111" s="38" t="s">
        <v>491</v>
      </c>
      <c r="H111" s="14" t="s">
        <v>484</v>
      </c>
      <c r="I111" s="23" t="s">
        <v>358</v>
      </c>
      <c r="J111" s="4" t="s">
        <v>83</v>
      </c>
      <c r="K111" s="24" t="s">
        <v>84</v>
      </c>
      <c r="L111" s="4" t="s">
        <v>513</v>
      </c>
      <c r="M111" s="6">
        <v>45390</v>
      </c>
      <c r="N111" s="16" t="s">
        <v>514</v>
      </c>
      <c r="O111" s="13">
        <f>Tabla6[[#This Row],[ FECHA ]]-Tabla6[[#This Row],[FECHA DE ENTREGA DE LA CORRESPONDENCIA]]</f>
        <v>5</v>
      </c>
      <c r="P111" s="6">
        <v>45390</v>
      </c>
      <c r="Q111" s="24" t="s">
        <v>85</v>
      </c>
    </row>
    <row r="112" spans="1:17" ht="86.25" customHeight="1" x14ac:dyDescent="0.25">
      <c r="A112" s="30">
        <v>110</v>
      </c>
      <c r="B112" s="3">
        <v>45385</v>
      </c>
      <c r="C112" s="4" t="s">
        <v>13</v>
      </c>
      <c r="D112" s="21" t="s">
        <v>213</v>
      </c>
      <c r="E112" s="18" t="s">
        <v>19</v>
      </c>
      <c r="F112" s="18">
        <v>1</v>
      </c>
      <c r="G112" s="38" t="s">
        <v>492</v>
      </c>
      <c r="H112" s="43" t="s">
        <v>487</v>
      </c>
      <c r="I112" s="23" t="s">
        <v>249</v>
      </c>
      <c r="J112" s="42" t="s">
        <v>99</v>
      </c>
      <c r="K112" s="44" t="s">
        <v>100</v>
      </c>
      <c r="L112" s="4" t="s">
        <v>515</v>
      </c>
      <c r="M112" s="6">
        <v>45390</v>
      </c>
      <c r="N112" s="46" t="s">
        <v>516</v>
      </c>
      <c r="O112" s="13">
        <f>Tabla6[[#This Row],[ FECHA ]]-Tabla6[[#This Row],[FECHA DE ENTREGA DE LA CORRESPONDENCIA]]</f>
        <v>5</v>
      </c>
      <c r="P112" s="6">
        <v>45390</v>
      </c>
      <c r="Q112" s="24" t="s">
        <v>101</v>
      </c>
    </row>
    <row r="113" spans="1:17" ht="86.25" customHeight="1" x14ac:dyDescent="0.25">
      <c r="A113" s="30">
        <v>111</v>
      </c>
      <c r="B113" s="3">
        <v>45394</v>
      </c>
      <c r="C113" s="4" t="s">
        <v>13</v>
      </c>
      <c r="D113" s="21" t="s">
        <v>213</v>
      </c>
      <c r="E113" s="18" t="s">
        <v>19</v>
      </c>
      <c r="F113" s="18">
        <v>1</v>
      </c>
      <c r="G113" s="38" t="s">
        <v>497</v>
      </c>
      <c r="H113" s="41" t="s">
        <v>494</v>
      </c>
      <c r="I113" s="23" t="s">
        <v>261</v>
      </c>
      <c r="J113" s="23" t="s">
        <v>9</v>
      </c>
      <c r="K113" s="24" t="s">
        <v>506</v>
      </c>
      <c r="L113" s="4" t="s">
        <v>517</v>
      </c>
      <c r="M113" s="6">
        <v>45397</v>
      </c>
      <c r="N113" s="8" t="s">
        <v>518</v>
      </c>
      <c r="O113" s="13">
        <f>Tabla6[[#This Row],[ FECHA ]]-Tabla6[[#This Row],[FECHA DE ENTREGA DE LA CORRESPONDENCIA]]</f>
        <v>3</v>
      </c>
      <c r="P113" s="6">
        <v>45397</v>
      </c>
      <c r="Q113" s="24" t="s">
        <v>36</v>
      </c>
    </row>
    <row r="114" spans="1:17" ht="86.25" customHeight="1" x14ac:dyDescent="0.25">
      <c r="A114" s="30">
        <v>112</v>
      </c>
      <c r="B114" s="3">
        <v>45394</v>
      </c>
      <c r="C114" s="4" t="s">
        <v>13</v>
      </c>
      <c r="D114" s="21" t="s">
        <v>266</v>
      </c>
      <c r="E114" s="18" t="s">
        <v>19</v>
      </c>
      <c r="F114" s="18">
        <v>1</v>
      </c>
      <c r="G114" s="38" t="s">
        <v>498</v>
      </c>
      <c r="H114" s="5" t="s">
        <v>571</v>
      </c>
      <c r="I114" s="23" t="s">
        <v>50</v>
      </c>
      <c r="J114" s="23" t="s">
        <v>37</v>
      </c>
      <c r="K114" s="24" t="s">
        <v>505</v>
      </c>
      <c r="L114" s="4" t="s">
        <v>519</v>
      </c>
      <c r="M114" s="6">
        <v>45397</v>
      </c>
      <c r="N114" s="34">
        <v>0.61944444444444446</v>
      </c>
      <c r="O114" s="13">
        <f>Tabla6[[#This Row],[ FECHA ]]-Tabla6[[#This Row],[FECHA DE ENTREGA DE LA CORRESPONDENCIA]]</f>
        <v>3</v>
      </c>
      <c r="P114" s="6">
        <v>45397</v>
      </c>
      <c r="Q114" s="24" t="s">
        <v>51</v>
      </c>
    </row>
    <row r="115" spans="1:17" ht="86.25" customHeight="1" x14ac:dyDescent="0.25">
      <c r="A115" s="30">
        <v>113</v>
      </c>
      <c r="B115" s="3">
        <v>45394</v>
      </c>
      <c r="C115" s="4" t="s">
        <v>13</v>
      </c>
      <c r="D115" s="21" t="s">
        <v>266</v>
      </c>
      <c r="E115" s="18" t="s">
        <v>19</v>
      </c>
      <c r="F115" s="18">
        <v>1</v>
      </c>
      <c r="G115" s="38" t="s">
        <v>499</v>
      </c>
      <c r="H115" s="41" t="s">
        <v>496</v>
      </c>
      <c r="I115" s="23" t="s">
        <v>155</v>
      </c>
      <c r="J115" s="23" t="s">
        <v>156</v>
      </c>
      <c r="K115" s="24" t="s">
        <v>157</v>
      </c>
      <c r="L115" s="4" t="s">
        <v>511</v>
      </c>
      <c r="M115" s="6">
        <v>45397</v>
      </c>
      <c r="N115" s="25">
        <v>0.60347222222222219</v>
      </c>
      <c r="O115" s="13">
        <f>Tabla6[[#This Row],[ FECHA ]]-Tabla6[[#This Row],[FECHA DE ENTREGA DE LA CORRESPONDENCIA]]</f>
        <v>3</v>
      </c>
      <c r="P115" s="6">
        <v>45397</v>
      </c>
      <c r="Q115" s="24" t="s">
        <v>158</v>
      </c>
    </row>
    <row r="116" spans="1:17" ht="86.25" customHeight="1" x14ac:dyDescent="0.25">
      <c r="A116" s="30">
        <v>114</v>
      </c>
      <c r="B116" s="3">
        <v>45394</v>
      </c>
      <c r="C116" s="4" t="s">
        <v>13</v>
      </c>
      <c r="D116" s="21" t="s">
        <v>266</v>
      </c>
      <c r="E116" s="18" t="s">
        <v>19</v>
      </c>
      <c r="F116" s="18">
        <v>1</v>
      </c>
      <c r="G116" s="38" t="s">
        <v>500</v>
      </c>
      <c r="H116" s="41" t="s">
        <v>493</v>
      </c>
      <c r="I116" s="23" t="s">
        <v>358</v>
      </c>
      <c r="J116" s="49" t="s">
        <v>83</v>
      </c>
      <c r="K116" s="24" t="s">
        <v>84</v>
      </c>
      <c r="L116" s="4" t="s">
        <v>513</v>
      </c>
      <c r="M116" s="6">
        <v>45397</v>
      </c>
      <c r="N116" s="34">
        <v>0.57638888888888895</v>
      </c>
      <c r="O116" s="13">
        <f>Tabla6[[#This Row],[ FECHA ]]-Tabla6[[#This Row],[FECHA DE ENTREGA DE LA CORRESPONDENCIA]]</f>
        <v>3</v>
      </c>
      <c r="P116" s="6">
        <v>45397</v>
      </c>
      <c r="Q116" s="24" t="s">
        <v>85</v>
      </c>
    </row>
    <row r="117" spans="1:17" ht="86.25" customHeight="1" x14ac:dyDescent="0.25">
      <c r="A117" s="47">
        <v>115</v>
      </c>
      <c r="B117" s="3">
        <v>45394</v>
      </c>
      <c r="C117" s="4" t="s">
        <v>13</v>
      </c>
      <c r="D117" s="21" t="s">
        <v>266</v>
      </c>
      <c r="E117" s="18" t="s">
        <v>19</v>
      </c>
      <c r="F117" s="18">
        <v>1</v>
      </c>
      <c r="G117" s="38" t="s">
        <v>501</v>
      </c>
      <c r="H117" s="43" t="s">
        <v>495</v>
      </c>
      <c r="I117" s="42" t="s">
        <v>68</v>
      </c>
      <c r="J117" s="50" t="s">
        <v>9</v>
      </c>
      <c r="K117" s="44" t="s">
        <v>69</v>
      </c>
      <c r="L117" s="4" t="s">
        <v>478</v>
      </c>
      <c r="M117" s="6">
        <v>45397</v>
      </c>
      <c r="N117" s="34">
        <v>0.58194444444444449</v>
      </c>
      <c r="O117" s="13">
        <f>Tabla6[[#This Row],[ FECHA ]]-Tabla6[[#This Row],[FECHA DE ENTREGA DE LA CORRESPONDENCIA]]</f>
        <v>3</v>
      </c>
      <c r="P117" s="6">
        <v>45397</v>
      </c>
      <c r="Q117" s="48" t="s">
        <v>70</v>
      </c>
    </row>
    <row r="118" spans="1:17" ht="86.25" customHeight="1" x14ac:dyDescent="0.25">
      <c r="A118" s="30">
        <v>116</v>
      </c>
      <c r="B118" s="56">
        <v>45406</v>
      </c>
      <c r="C118" s="4" t="s">
        <v>13</v>
      </c>
      <c r="D118" s="42" t="s">
        <v>64</v>
      </c>
      <c r="E118" s="42" t="s">
        <v>19</v>
      </c>
      <c r="F118" s="42">
        <v>1</v>
      </c>
      <c r="G118" s="42">
        <v>221536</v>
      </c>
      <c r="H118" s="43" t="s">
        <v>502</v>
      </c>
      <c r="I118" s="42" t="s">
        <v>520</v>
      </c>
      <c r="J118" s="42" t="s">
        <v>99</v>
      </c>
      <c r="K118" s="44" t="s">
        <v>100</v>
      </c>
      <c r="L118" s="4" t="s">
        <v>523</v>
      </c>
      <c r="M118" s="45">
        <v>45407</v>
      </c>
      <c r="N118" s="58">
        <v>0.45833333333333331</v>
      </c>
      <c r="O118" s="57">
        <f>Tabla6[[#This Row],[ FECHA ]]-Tabla6[[#This Row],[FECHA DE ENTREGA DE LA CORRESPONDENCIA]]</f>
        <v>1</v>
      </c>
      <c r="P118" s="45">
        <v>45407</v>
      </c>
      <c r="Q118" s="24" t="s">
        <v>101</v>
      </c>
    </row>
    <row r="119" spans="1:17" ht="86.25" customHeight="1" x14ac:dyDescent="0.25">
      <c r="A119" s="47">
        <v>117</v>
      </c>
      <c r="B119" s="56">
        <v>45406</v>
      </c>
      <c r="C119" s="42" t="s">
        <v>13</v>
      </c>
      <c r="D119" s="21" t="s">
        <v>504</v>
      </c>
      <c r="E119" s="18" t="s">
        <v>19</v>
      </c>
      <c r="F119" s="42">
        <v>1</v>
      </c>
      <c r="G119" s="42">
        <v>221537</v>
      </c>
      <c r="H119" s="43" t="s">
        <v>503</v>
      </c>
      <c r="I119" s="23" t="s">
        <v>358</v>
      </c>
      <c r="J119" s="49" t="s">
        <v>83</v>
      </c>
      <c r="K119" s="24" t="s">
        <v>84</v>
      </c>
      <c r="L119" s="4" t="s">
        <v>511</v>
      </c>
      <c r="M119" s="45">
        <v>45407</v>
      </c>
      <c r="N119" s="58">
        <v>0.64444444444444449</v>
      </c>
      <c r="O119" s="57">
        <f>Tabla6[[#This Row],[ FECHA ]]-Tabla6[[#This Row],[FECHA DE ENTREGA DE LA CORRESPONDENCIA]]</f>
        <v>1</v>
      </c>
      <c r="P119" s="45">
        <v>45407</v>
      </c>
      <c r="Q119" s="24" t="s">
        <v>85</v>
      </c>
    </row>
    <row r="120" spans="1:17" ht="86.25" customHeight="1" x14ac:dyDescent="0.25">
      <c r="A120" s="30">
        <v>118</v>
      </c>
      <c r="B120" s="56">
        <v>45406</v>
      </c>
      <c r="C120" s="42" t="s">
        <v>13</v>
      </c>
      <c r="D120" s="4" t="s">
        <v>486</v>
      </c>
      <c r="E120" s="42" t="s">
        <v>19</v>
      </c>
      <c r="F120" s="42">
        <v>1</v>
      </c>
      <c r="G120" s="42">
        <v>221538</v>
      </c>
      <c r="H120" s="5" t="s">
        <v>484</v>
      </c>
      <c r="I120" s="23" t="s">
        <v>155</v>
      </c>
      <c r="J120" s="23" t="s">
        <v>156</v>
      </c>
      <c r="K120" s="24" t="s">
        <v>157</v>
      </c>
      <c r="L120" s="4" t="s">
        <v>513</v>
      </c>
      <c r="M120" s="45">
        <v>45407</v>
      </c>
      <c r="N120" s="58">
        <v>0.42708333333333331</v>
      </c>
      <c r="O120" s="57">
        <f>Tabla6[[#This Row],[ FECHA ]]-Tabla6[[#This Row],[FECHA DE ENTREGA DE LA CORRESPONDENCIA]]</f>
        <v>1</v>
      </c>
      <c r="P120" s="45">
        <v>45407</v>
      </c>
      <c r="Q120" s="24" t="s">
        <v>158</v>
      </c>
    </row>
    <row r="121" spans="1:17" ht="86.25" customHeight="1" x14ac:dyDescent="0.25">
      <c r="A121" s="47">
        <v>119</v>
      </c>
      <c r="B121" s="56">
        <v>45406</v>
      </c>
      <c r="C121" s="42" t="s">
        <v>13</v>
      </c>
      <c r="D121" s="4" t="s">
        <v>508</v>
      </c>
      <c r="E121" s="18" t="s">
        <v>19</v>
      </c>
      <c r="F121" s="42">
        <v>1</v>
      </c>
      <c r="G121" s="52">
        <v>221539</v>
      </c>
      <c r="H121" s="41" t="s">
        <v>507</v>
      </c>
      <c r="I121" s="23" t="s">
        <v>261</v>
      </c>
      <c r="J121" s="23" t="s">
        <v>9</v>
      </c>
      <c r="K121" s="24" t="s">
        <v>506</v>
      </c>
      <c r="L121" s="4" t="s">
        <v>478</v>
      </c>
      <c r="M121" s="45">
        <v>45407</v>
      </c>
      <c r="N121" s="59">
        <v>0.48749999999999999</v>
      </c>
      <c r="O121" s="55">
        <f>Tabla6[[#This Row],[ FECHA ]]-Tabla6[[#This Row],[FECHA DE ENTREGA DE LA CORRESPONDENCIA]]</f>
        <v>1</v>
      </c>
      <c r="P121" s="45">
        <v>45407</v>
      </c>
      <c r="Q121" s="24" t="s">
        <v>36</v>
      </c>
    </row>
    <row r="122" spans="1:17" ht="86.25" customHeight="1" x14ac:dyDescent="0.25">
      <c r="A122" s="30">
        <v>120</v>
      </c>
      <c r="B122" s="51">
        <v>44677</v>
      </c>
      <c r="C122" s="42" t="s">
        <v>13</v>
      </c>
      <c r="D122" s="4" t="s">
        <v>486</v>
      </c>
      <c r="E122" s="42" t="s">
        <v>19</v>
      </c>
      <c r="F122" s="42">
        <v>1</v>
      </c>
      <c r="G122" s="52">
        <v>221560</v>
      </c>
      <c r="H122" s="5" t="s">
        <v>484</v>
      </c>
      <c r="I122" s="23" t="s">
        <v>155</v>
      </c>
      <c r="J122" s="23" t="s">
        <v>156</v>
      </c>
      <c r="K122" s="24" t="s">
        <v>157</v>
      </c>
      <c r="L122" s="4" t="s">
        <v>511</v>
      </c>
      <c r="M122" s="45">
        <v>45411</v>
      </c>
      <c r="N122" s="59">
        <v>0.59513888888888888</v>
      </c>
      <c r="O122" s="55">
        <v>1</v>
      </c>
      <c r="P122" s="45">
        <v>45411</v>
      </c>
      <c r="Q122" s="24" t="s">
        <v>158</v>
      </c>
    </row>
    <row r="123" spans="1:17" ht="86.25" customHeight="1" x14ac:dyDescent="0.25">
      <c r="A123" s="47">
        <v>121</v>
      </c>
      <c r="B123" s="51">
        <v>44677</v>
      </c>
      <c r="C123" s="42" t="s">
        <v>13</v>
      </c>
      <c r="D123" s="4" t="s">
        <v>522</v>
      </c>
      <c r="E123" s="42" t="s">
        <v>19</v>
      </c>
      <c r="F123" s="42">
        <v>1</v>
      </c>
      <c r="G123" s="52">
        <v>221561</v>
      </c>
      <c r="H123" s="5" t="s">
        <v>521</v>
      </c>
      <c r="I123" s="23" t="s">
        <v>261</v>
      </c>
      <c r="J123" s="23" t="s">
        <v>9</v>
      </c>
      <c r="K123" s="24" t="s">
        <v>506</v>
      </c>
      <c r="L123" s="52"/>
      <c r="M123" s="53"/>
      <c r="N123" s="54"/>
      <c r="O123" s="55">
        <v>1</v>
      </c>
      <c r="P123" s="53"/>
      <c r="Q123" s="24" t="s">
        <v>36</v>
      </c>
    </row>
    <row r="124" spans="1:17" ht="86.25" customHeight="1" x14ac:dyDescent="0.25">
      <c r="A124" s="30">
        <v>122</v>
      </c>
      <c r="B124" s="51">
        <v>45414</v>
      </c>
      <c r="C124" s="52" t="s">
        <v>13</v>
      </c>
      <c r="D124" s="4" t="s">
        <v>524</v>
      </c>
      <c r="E124" s="52" t="s">
        <v>19</v>
      </c>
      <c r="F124" s="52">
        <v>1</v>
      </c>
      <c r="G124" s="52">
        <v>221599</v>
      </c>
      <c r="H124" s="5" t="s">
        <v>529</v>
      </c>
      <c r="I124" s="22" t="s">
        <v>525</v>
      </c>
      <c r="J124" s="22" t="s">
        <v>9</v>
      </c>
      <c r="K124" s="24" t="s">
        <v>506</v>
      </c>
      <c r="L124" s="4" t="s">
        <v>532</v>
      </c>
      <c r="M124" s="53">
        <v>45414</v>
      </c>
      <c r="N124" s="59">
        <v>0.625</v>
      </c>
      <c r="O124" s="55">
        <v>1</v>
      </c>
      <c r="P124" s="53">
        <v>45418</v>
      </c>
      <c r="Q124" s="24" t="s">
        <v>36</v>
      </c>
    </row>
    <row r="125" spans="1:17" ht="86.25" customHeight="1" x14ac:dyDescent="0.25">
      <c r="A125" s="30">
        <v>123</v>
      </c>
      <c r="B125" s="51">
        <v>45414</v>
      </c>
      <c r="C125" s="4" t="s">
        <v>13</v>
      </c>
      <c r="D125" s="21" t="s">
        <v>213</v>
      </c>
      <c r="E125" s="18" t="s">
        <v>19</v>
      </c>
      <c r="F125" s="60">
        <v>1</v>
      </c>
      <c r="G125" s="60">
        <v>221600</v>
      </c>
      <c r="H125" s="14" t="s">
        <v>526</v>
      </c>
      <c r="I125" s="22" t="s">
        <v>527</v>
      </c>
      <c r="J125" s="60" t="s">
        <v>160</v>
      </c>
      <c r="K125" s="61" t="s">
        <v>326</v>
      </c>
      <c r="L125" s="60"/>
      <c r="M125" s="62"/>
      <c r="N125" s="16"/>
      <c r="O125" s="55">
        <v>1</v>
      </c>
      <c r="P125" s="62"/>
      <c r="Q125" s="24" t="s">
        <v>161</v>
      </c>
    </row>
    <row r="126" spans="1:17" ht="86.25" customHeight="1" x14ac:dyDescent="0.25">
      <c r="A126" s="47">
        <v>124</v>
      </c>
      <c r="B126" s="3">
        <v>45414</v>
      </c>
      <c r="C126" s="4" t="s">
        <v>13</v>
      </c>
      <c r="D126" s="21" t="s">
        <v>213</v>
      </c>
      <c r="E126" s="18" t="s">
        <v>19</v>
      </c>
      <c r="F126" s="60">
        <v>1</v>
      </c>
      <c r="G126" s="60">
        <v>221601</v>
      </c>
      <c r="H126" s="14" t="s">
        <v>528</v>
      </c>
      <c r="I126" s="60" t="s">
        <v>249</v>
      </c>
      <c r="J126" s="60" t="s">
        <v>99</v>
      </c>
      <c r="K126" s="61" t="s">
        <v>100</v>
      </c>
      <c r="L126" s="4" t="s">
        <v>572</v>
      </c>
      <c r="M126" s="62">
        <v>45418</v>
      </c>
      <c r="N126" s="85">
        <v>0.375</v>
      </c>
      <c r="O126" s="55">
        <v>1</v>
      </c>
      <c r="P126" s="62">
        <v>45418</v>
      </c>
      <c r="Q126" s="24" t="s">
        <v>101</v>
      </c>
    </row>
    <row r="127" spans="1:17" ht="86.25" customHeight="1" x14ac:dyDescent="0.25">
      <c r="A127" s="30">
        <v>125</v>
      </c>
      <c r="B127" s="3">
        <v>45418</v>
      </c>
      <c r="C127" s="4" t="s">
        <v>13</v>
      </c>
      <c r="D127" s="4" t="s">
        <v>266</v>
      </c>
      <c r="E127" s="4" t="s">
        <v>20</v>
      </c>
      <c r="F127" s="60">
        <v>1</v>
      </c>
      <c r="G127" s="4">
        <v>221608</v>
      </c>
      <c r="H127" s="5" t="s">
        <v>530</v>
      </c>
      <c r="I127" s="22" t="s">
        <v>525</v>
      </c>
      <c r="J127" s="23" t="s">
        <v>9</v>
      </c>
      <c r="K127" s="24" t="s">
        <v>506</v>
      </c>
      <c r="L127" s="52"/>
      <c r="M127" s="53"/>
      <c r="N127" s="54"/>
      <c r="O127" s="55">
        <v>1</v>
      </c>
      <c r="P127" s="53"/>
      <c r="Q127" s="24" t="s">
        <v>36</v>
      </c>
    </row>
    <row r="128" spans="1:17" ht="86.25" customHeight="1" x14ac:dyDescent="0.25">
      <c r="A128" s="30">
        <v>126</v>
      </c>
      <c r="B128" s="3">
        <v>45420</v>
      </c>
      <c r="C128" s="4" t="s">
        <v>13</v>
      </c>
      <c r="D128" s="4" t="s">
        <v>64</v>
      </c>
      <c r="E128" s="4" t="s">
        <v>19</v>
      </c>
      <c r="F128" s="60">
        <v>1</v>
      </c>
      <c r="G128" s="4">
        <v>221622</v>
      </c>
      <c r="H128" s="5" t="s">
        <v>531</v>
      </c>
      <c r="I128" s="23" t="s">
        <v>50</v>
      </c>
      <c r="J128" s="23" t="s">
        <v>37</v>
      </c>
      <c r="K128" s="24" t="s">
        <v>505</v>
      </c>
      <c r="L128" s="4" t="s">
        <v>573</v>
      </c>
      <c r="M128" s="6">
        <v>45421</v>
      </c>
      <c r="N128" s="34">
        <v>0.46180555555555558</v>
      </c>
      <c r="O128" s="55">
        <f>Tabla6[[#This Row],[ FECHA ]]-Tabla6[[#This Row],[FECHA DE ENTREGA DE LA CORRESPONDENCIA]]</f>
        <v>1</v>
      </c>
      <c r="P128" s="6">
        <v>45421</v>
      </c>
      <c r="Q128" s="24" t="s">
        <v>51</v>
      </c>
    </row>
    <row r="129" spans="1:20" ht="86.25" customHeight="1" x14ac:dyDescent="0.25">
      <c r="A129" s="47">
        <v>127</v>
      </c>
      <c r="B129" s="3">
        <v>45422</v>
      </c>
      <c r="C129" s="4" t="s">
        <v>13</v>
      </c>
      <c r="D129" s="4" t="s">
        <v>534</v>
      </c>
      <c r="E129" s="4" t="s">
        <v>19</v>
      </c>
      <c r="F129" s="60">
        <v>1</v>
      </c>
      <c r="G129" s="4">
        <v>221640</v>
      </c>
      <c r="H129" s="5" t="s">
        <v>535</v>
      </c>
      <c r="I129" s="4" t="s">
        <v>536</v>
      </c>
      <c r="J129" s="4" t="s">
        <v>9</v>
      </c>
      <c r="K129" s="10" t="s">
        <v>69</v>
      </c>
      <c r="L129" s="4" t="s">
        <v>574</v>
      </c>
      <c r="M129" s="6">
        <v>45425</v>
      </c>
      <c r="N129" s="34">
        <v>0.3888888888888889</v>
      </c>
      <c r="O129" s="13">
        <f>Tabla6[[#This Row],[ FECHA ]]-Tabla6[[#This Row],[FECHA DE ENTREGA DE LA CORRESPONDENCIA]]</f>
        <v>3</v>
      </c>
      <c r="P129" s="6">
        <v>45425</v>
      </c>
      <c r="Q129" s="48" t="s">
        <v>70</v>
      </c>
      <c r="T129" s="4" t="s">
        <v>533</v>
      </c>
    </row>
    <row r="130" spans="1:20" ht="86.25" customHeight="1" x14ac:dyDescent="0.25">
      <c r="A130" s="30">
        <v>128</v>
      </c>
      <c r="B130" s="3">
        <v>45422</v>
      </c>
      <c r="C130" s="4" t="s">
        <v>13</v>
      </c>
      <c r="D130" s="4" t="s">
        <v>534</v>
      </c>
      <c r="E130" s="4" t="s">
        <v>19</v>
      </c>
      <c r="F130" s="4">
        <v>1</v>
      </c>
      <c r="G130" s="4">
        <v>221641</v>
      </c>
      <c r="H130" s="5" t="s">
        <v>588</v>
      </c>
      <c r="I130" s="22" t="s">
        <v>525</v>
      </c>
      <c r="J130" s="4" t="s">
        <v>9</v>
      </c>
      <c r="K130" s="24" t="s">
        <v>506</v>
      </c>
      <c r="L130" s="4" t="s">
        <v>478</v>
      </c>
      <c r="M130" s="6">
        <v>45425</v>
      </c>
      <c r="N130" s="8" t="s">
        <v>516</v>
      </c>
      <c r="O130" s="55">
        <f>Tabla6[[#This Row],[ FECHA ]]-Tabla6[[#This Row],[FECHA DE ENTREGA DE LA CORRESPONDENCIA]]</f>
        <v>3</v>
      </c>
      <c r="P130" s="6">
        <v>45425</v>
      </c>
      <c r="Q130" s="24" t="s">
        <v>36</v>
      </c>
    </row>
    <row r="131" spans="1:20" ht="86.25" customHeight="1" x14ac:dyDescent="0.25">
      <c r="A131" s="30">
        <v>129</v>
      </c>
      <c r="B131" s="3">
        <v>45422</v>
      </c>
      <c r="C131" s="4" t="s">
        <v>13</v>
      </c>
      <c r="D131" s="4" t="s">
        <v>534</v>
      </c>
      <c r="E131" s="4" t="s">
        <v>19</v>
      </c>
      <c r="F131" s="4">
        <v>1</v>
      </c>
      <c r="G131" s="66">
        <v>221642</v>
      </c>
      <c r="H131" s="67" t="s">
        <v>537</v>
      </c>
      <c r="I131" s="66" t="s">
        <v>358</v>
      </c>
      <c r="J131" s="66" t="s">
        <v>83</v>
      </c>
      <c r="K131" s="68" t="s">
        <v>84</v>
      </c>
      <c r="L131" s="4" t="s">
        <v>513</v>
      </c>
      <c r="M131" s="6">
        <v>45425</v>
      </c>
      <c r="N131" s="86">
        <v>0.38194444444444442</v>
      </c>
      <c r="O131" s="71">
        <f>Tabla6[[#This Row],[ FECHA ]]-Tabla6[[#This Row],[FECHA DE ENTREGA DE LA CORRESPONDENCIA]]</f>
        <v>3</v>
      </c>
      <c r="P131" s="6">
        <v>45425</v>
      </c>
      <c r="Q131" s="72" t="s">
        <v>85</v>
      </c>
    </row>
    <row r="132" spans="1:20" ht="86.25" customHeight="1" x14ac:dyDescent="0.25">
      <c r="A132" s="64">
        <v>130</v>
      </c>
      <c r="B132" s="65">
        <v>45422</v>
      </c>
      <c r="C132" s="66" t="s">
        <v>13</v>
      </c>
      <c r="D132" s="66" t="s">
        <v>538</v>
      </c>
      <c r="E132" s="4" t="s">
        <v>19</v>
      </c>
      <c r="F132" s="4">
        <v>1</v>
      </c>
      <c r="G132" s="66">
        <v>221643</v>
      </c>
      <c r="H132" s="67" t="s">
        <v>539</v>
      </c>
      <c r="I132" s="23" t="s">
        <v>155</v>
      </c>
      <c r="J132" s="23" t="s">
        <v>156</v>
      </c>
      <c r="K132" s="24" t="s">
        <v>157</v>
      </c>
      <c r="L132" s="4" t="s">
        <v>511</v>
      </c>
      <c r="M132" s="45">
        <v>45427</v>
      </c>
      <c r="N132" s="59">
        <v>0.50486111111111109</v>
      </c>
      <c r="O132" s="55">
        <f>Tabla6[[#This Row],[ FECHA ]]-Tabla6[[#This Row],[FECHA DE ENTREGA DE LA CORRESPONDENCIA]]</f>
        <v>5</v>
      </c>
      <c r="P132" s="45">
        <v>45427</v>
      </c>
      <c r="Q132" s="24" t="s">
        <v>158</v>
      </c>
    </row>
    <row r="133" spans="1:20" ht="86.25" customHeight="1" x14ac:dyDescent="0.25">
      <c r="A133" s="64">
        <v>131</v>
      </c>
      <c r="B133" s="65">
        <v>45422</v>
      </c>
      <c r="C133" s="66" t="s">
        <v>13</v>
      </c>
      <c r="D133" s="66" t="s">
        <v>540</v>
      </c>
      <c r="E133" s="4" t="s">
        <v>19</v>
      </c>
      <c r="F133" s="4">
        <v>1</v>
      </c>
      <c r="G133" s="66">
        <v>221644</v>
      </c>
      <c r="H133" s="67" t="s">
        <v>367</v>
      </c>
      <c r="I133" s="66" t="s">
        <v>541</v>
      </c>
      <c r="J133" s="66" t="s">
        <v>542</v>
      </c>
      <c r="K133" s="66" t="s">
        <v>544</v>
      </c>
      <c r="L133" s="4" t="s">
        <v>575</v>
      </c>
      <c r="M133" s="69">
        <v>45426</v>
      </c>
      <c r="N133" s="86">
        <v>0.60347222222222219</v>
      </c>
      <c r="O133" s="71">
        <f>Tabla6[[#This Row],[ FECHA ]]-Tabla6[[#This Row],[FECHA DE ENTREGA DE LA CORRESPONDENCIA]]</f>
        <v>4</v>
      </c>
      <c r="P133" s="69">
        <v>45426</v>
      </c>
      <c r="Q133" s="66" t="s">
        <v>543</v>
      </c>
    </row>
    <row r="134" spans="1:20" ht="86.25" customHeight="1" x14ac:dyDescent="0.25">
      <c r="A134" s="64">
        <v>132</v>
      </c>
      <c r="B134" s="65">
        <v>45422</v>
      </c>
      <c r="C134" s="66" t="s">
        <v>13</v>
      </c>
      <c r="D134" s="66" t="s">
        <v>266</v>
      </c>
      <c r="E134" s="4" t="s">
        <v>19</v>
      </c>
      <c r="F134" s="66">
        <v>1</v>
      </c>
      <c r="G134" s="66" t="s">
        <v>546</v>
      </c>
      <c r="H134" s="14" t="s">
        <v>560</v>
      </c>
      <c r="I134" s="66" t="s">
        <v>545</v>
      </c>
      <c r="J134" s="60" t="s">
        <v>37</v>
      </c>
      <c r="K134" s="24" t="s">
        <v>505</v>
      </c>
      <c r="L134" s="60" t="s">
        <v>547</v>
      </c>
      <c r="M134" s="69">
        <v>45422</v>
      </c>
      <c r="N134" s="70"/>
      <c r="O134" s="71">
        <f>Tabla6[[#This Row],[ FECHA ]]-Tabla6[[#This Row],[FECHA DE ENTREGA DE LA CORRESPONDENCIA]]</f>
        <v>0</v>
      </c>
      <c r="P134" s="62" t="s">
        <v>548</v>
      </c>
      <c r="Q134" s="24" t="s">
        <v>51</v>
      </c>
    </row>
    <row r="135" spans="1:20" ht="86.25" customHeight="1" x14ac:dyDescent="0.25">
      <c r="A135" s="73">
        <v>133</v>
      </c>
      <c r="B135" s="74">
        <v>45426</v>
      </c>
      <c r="C135" s="60" t="s">
        <v>13</v>
      </c>
      <c r="D135" s="60" t="s">
        <v>266</v>
      </c>
      <c r="E135" s="4" t="s">
        <v>22</v>
      </c>
      <c r="F135" s="66">
        <v>1</v>
      </c>
      <c r="G135" s="60">
        <v>221658</v>
      </c>
      <c r="H135" s="14" t="s">
        <v>549</v>
      </c>
      <c r="I135" s="22" t="s">
        <v>525</v>
      </c>
      <c r="J135" s="4" t="s">
        <v>9</v>
      </c>
      <c r="K135" s="24" t="s">
        <v>506</v>
      </c>
      <c r="L135" s="4" t="s">
        <v>478</v>
      </c>
      <c r="M135" s="53">
        <v>45427</v>
      </c>
      <c r="N135" s="59">
        <v>0.49374999999999997</v>
      </c>
      <c r="O135" s="55">
        <f>Tabla6[[#This Row],[ FECHA ]]-Tabla6[[#This Row],[FECHA DE ENTREGA DE LA CORRESPONDENCIA]]</f>
        <v>1</v>
      </c>
      <c r="P135" s="53">
        <v>45427</v>
      </c>
      <c r="Q135" s="24" t="s">
        <v>36</v>
      </c>
    </row>
    <row r="136" spans="1:20" ht="86.25" customHeight="1" x14ac:dyDescent="0.25">
      <c r="A136" s="77">
        <v>134</v>
      </c>
      <c r="B136" s="74">
        <v>45426</v>
      </c>
      <c r="C136" s="60" t="s">
        <v>13</v>
      </c>
      <c r="D136" s="60" t="s">
        <v>64</v>
      </c>
      <c r="E136" s="78" t="s">
        <v>19</v>
      </c>
      <c r="F136" s="78">
        <v>1</v>
      </c>
      <c r="G136" s="78">
        <v>221659</v>
      </c>
      <c r="H136" s="14" t="s">
        <v>558</v>
      </c>
      <c r="I136" s="60" t="s">
        <v>551</v>
      </c>
      <c r="J136" s="60" t="s">
        <v>99</v>
      </c>
      <c r="K136" s="61" t="s">
        <v>100</v>
      </c>
      <c r="L136" s="4" t="s">
        <v>576</v>
      </c>
      <c r="M136" s="53">
        <v>45427</v>
      </c>
      <c r="N136" s="85">
        <v>0.46666666666666662</v>
      </c>
      <c r="O136" s="63">
        <f>Tabla6[[#This Row],[ FECHA ]]-Tabla6[[#This Row],[FECHA DE ENTREGA DE LA CORRESPONDENCIA]]</f>
        <v>1</v>
      </c>
      <c r="P136" s="53">
        <v>45427</v>
      </c>
      <c r="Q136" s="24" t="s">
        <v>101</v>
      </c>
    </row>
    <row r="137" spans="1:20" ht="86.25" customHeight="1" x14ac:dyDescent="0.25">
      <c r="A137" s="77">
        <v>135</v>
      </c>
      <c r="B137" s="74">
        <v>45426</v>
      </c>
      <c r="C137" s="4" t="s">
        <v>13</v>
      </c>
      <c r="D137" s="4" t="s">
        <v>266</v>
      </c>
      <c r="E137" s="4" t="s">
        <v>19</v>
      </c>
      <c r="F137" s="78">
        <v>1</v>
      </c>
      <c r="G137" s="78">
        <v>221660</v>
      </c>
      <c r="H137" s="5" t="s">
        <v>555</v>
      </c>
      <c r="I137" s="75" t="s">
        <v>556</v>
      </c>
      <c r="J137" s="4" t="s">
        <v>196</v>
      </c>
      <c r="K137" s="76" t="s">
        <v>557</v>
      </c>
      <c r="L137" s="60" t="s">
        <v>577</v>
      </c>
      <c r="M137" s="53">
        <v>45427</v>
      </c>
      <c r="N137" s="87">
        <v>0.5</v>
      </c>
      <c r="O137" s="63">
        <f>Tabla6[[#This Row],[ FECHA ]]-Tabla6[[#This Row],[FECHA DE ENTREGA DE LA CORRESPONDENCIA]]</f>
        <v>1</v>
      </c>
      <c r="P137" s="53">
        <v>45427</v>
      </c>
      <c r="Q137" s="76" t="s">
        <v>36</v>
      </c>
    </row>
    <row r="138" spans="1:20" ht="86.25" customHeight="1" x14ac:dyDescent="0.25">
      <c r="A138" s="2">
        <v>136</v>
      </c>
      <c r="B138" s="3">
        <v>45428</v>
      </c>
      <c r="C138" s="4" t="s">
        <v>13</v>
      </c>
      <c r="D138" s="4" t="s">
        <v>266</v>
      </c>
      <c r="E138" s="4" t="s">
        <v>19</v>
      </c>
      <c r="F138" s="4">
        <v>1</v>
      </c>
      <c r="G138" s="4">
        <v>221676</v>
      </c>
      <c r="H138" s="5" t="s">
        <v>550</v>
      </c>
      <c r="I138" s="75" t="s">
        <v>525</v>
      </c>
      <c r="J138" s="4" t="s">
        <v>9</v>
      </c>
      <c r="K138" s="76" t="s">
        <v>552</v>
      </c>
      <c r="L138" s="4" t="s">
        <v>478</v>
      </c>
      <c r="M138" s="6">
        <v>45429</v>
      </c>
      <c r="N138" s="34">
        <v>0.4513888888888889</v>
      </c>
      <c r="O138" s="13">
        <v>1</v>
      </c>
      <c r="P138" s="6">
        <v>45429</v>
      </c>
      <c r="Q138" s="76" t="s">
        <v>36</v>
      </c>
    </row>
    <row r="139" spans="1:20" ht="86.25" customHeight="1" x14ac:dyDescent="0.25">
      <c r="A139" s="2">
        <v>137</v>
      </c>
      <c r="B139" s="3">
        <v>45428</v>
      </c>
      <c r="C139" s="4" t="s">
        <v>13</v>
      </c>
      <c r="D139" s="4" t="s">
        <v>266</v>
      </c>
      <c r="E139" s="4" t="s">
        <v>19</v>
      </c>
      <c r="F139" s="4">
        <v>1</v>
      </c>
      <c r="G139" s="4">
        <v>221685</v>
      </c>
      <c r="H139" s="5" t="s">
        <v>553</v>
      </c>
      <c r="I139" s="75" t="s">
        <v>525</v>
      </c>
      <c r="J139" s="4" t="s">
        <v>9</v>
      </c>
      <c r="K139" s="76" t="s">
        <v>552</v>
      </c>
      <c r="L139" s="4" t="s">
        <v>478</v>
      </c>
      <c r="M139" s="6">
        <v>45429</v>
      </c>
      <c r="N139" s="34">
        <v>0.4513888888888889</v>
      </c>
      <c r="O139" s="13">
        <v>1</v>
      </c>
      <c r="P139" s="6">
        <v>45429</v>
      </c>
      <c r="Q139" s="76" t="s">
        <v>36</v>
      </c>
    </row>
    <row r="140" spans="1:20" ht="86.25" customHeight="1" x14ac:dyDescent="0.25">
      <c r="A140" s="2">
        <v>138</v>
      </c>
      <c r="B140" s="3">
        <v>45428</v>
      </c>
      <c r="C140" s="4" t="s">
        <v>13</v>
      </c>
      <c r="D140" s="4" t="s">
        <v>266</v>
      </c>
      <c r="E140" s="4" t="s">
        <v>19</v>
      </c>
      <c r="F140" s="4">
        <v>1</v>
      </c>
      <c r="G140" s="4">
        <v>221686</v>
      </c>
      <c r="H140" s="5" t="s">
        <v>554</v>
      </c>
      <c r="I140" s="79" t="s">
        <v>358</v>
      </c>
      <c r="J140" s="79" t="s">
        <v>83</v>
      </c>
      <c r="K140" s="79" t="s">
        <v>84</v>
      </c>
      <c r="L140" s="4" t="s">
        <v>513</v>
      </c>
      <c r="M140" s="80">
        <v>45432</v>
      </c>
      <c r="N140" s="84">
        <v>0.4201388888888889</v>
      </c>
      <c r="O140" s="13">
        <v>1</v>
      </c>
      <c r="P140" s="80">
        <v>45432</v>
      </c>
      <c r="Q140" s="82" t="s">
        <v>85</v>
      </c>
    </row>
    <row r="141" spans="1:20" ht="86.25" customHeight="1" x14ac:dyDescent="0.25">
      <c r="A141" s="2">
        <v>139</v>
      </c>
      <c r="B141" s="3">
        <v>45429</v>
      </c>
      <c r="C141" s="4" t="s">
        <v>13</v>
      </c>
      <c r="D141" s="4" t="s">
        <v>266</v>
      </c>
      <c r="E141" s="4" t="s">
        <v>19</v>
      </c>
      <c r="F141" s="4">
        <v>1</v>
      </c>
      <c r="G141" s="4" t="s">
        <v>559</v>
      </c>
      <c r="H141" s="5" t="s">
        <v>561</v>
      </c>
      <c r="I141" s="79" t="s">
        <v>547</v>
      </c>
      <c r="J141" s="79" t="s">
        <v>37</v>
      </c>
      <c r="K141" s="83" t="s">
        <v>505</v>
      </c>
      <c r="L141" s="80" t="s">
        <v>548</v>
      </c>
      <c r="M141" s="80">
        <v>45429</v>
      </c>
      <c r="N141" s="81"/>
      <c r="O141" s="13">
        <v>1</v>
      </c>
      <c r="P141" s="80" t="s">
        <v>548</v>
      </c>
      <c r="Q141" s="83" t="s">
        <v>51</v>
      </c>
    </row>
    <row r="142" spans="1:20" ht="86.25" customHeight="1" x14ac:dyDescent="0.25">
      <c r="A142" s="2">
        <v>140</v>
      </c>
      <c r="B142" s="3">
        <v>45432</v>
      </c>
      <c r="C142" s="4" t="s">
        <v>13</v>
      </c>
      <c r="D142" s="4" t="s">
        <v>563</v>
      </c>
      <c r="E142" s="4" t="s">
        <v>19</v>
      </c>
      <c r="F142" s="4">
        <v>1</v>
      </c>
      <c r="G142" s="4">
        <v>221692</v>
      </c>
      <c r="H142" s="5" t="s">
        <v>562</v>
      </c>
      <c r="I142" s="79" t="s">
        <v>564</v>
      </c>
      <c r="J142" s="79" t="s">
        <v>99</v>
      </c>
      <c r="K142" s="79" t="s">
        <v>100</v>
      </c>
      <c r="L142" s="4" t="s">
        <v>572</v>
      </c>
      <c r="M142" s="80">
        <v>45433</v>
      </c>
      <c r="N142" s="84">
        <v>0.39513888888888887</v>
      </c>
      <c r="O142" s="13">
        <v>1</v>
      </c>
      <c r="P142" s="80">
        <v>45433</v>
      </c>
      <c r="Q142" s="83" t="s">
        <v>101</v>
      </c>
    </row>
    <row r="143" spans="1:20" ht="86.25" customHeight="1" x14ac:dyDescent="0.25">
      <c r="A143" s="2">
        <v>141</v>
      </c>
      <c r="B143" s="3">
        <v>45433</v>
      </c>
      <c r="C143" s="4" t="s">
        <v>13</v>
      </c>
      <c r="D143" s="4" t="s">
        <v>565</v>
      </c>
      <c r="E143" s="4" t="s">
        <v>19</v>
      </c>
      <c r="F143" s="4">
        <v>1</v>
      </c>
      <c r="G143" s="4">
        <v>221701</v>
      </c>
      <c r="H143" s="5" t="s">
        <v>587</v>
      </c>
      <c r="I143" s="4" t="s">
        <v>566</v>
      </c>
      <c r="J143" s="4" t="s">
        <v>254</v>
      </c>
      <c r="K143" s="4" t="s">
        <v>567</v>
      </c>
      <c r="L143" s="4" t="s">
        <v>580</v>
      </c>
      <c r="M143" s="6">
        <v>45434</v>
      </c>
      <c r="N143" s="34">
        <v>0.59722222222222221</v>
      </c>
      <c r="O143" s="13">
        <v>1</v>
      </c>
      <c r="P143" s="6">
        <v>45434</v>
      </c>
      <c r="Q143" s="2" t="s">
        <v>570</v>
      </c>
    </row>
    <row r="144" spans="1:20" ht="86.25" customHeight="1" x14ac:dyDescent="0.25">
      <c r="A144" s="2">
        <v>142</v>
      </c>
      <c r="B144" s="3">
        <v>45433</v>
      </c>
      <c r="C144" s="4" t="s">
        <v>13</v>
      </c>
      <c r="D144" s="4" t="s">
        <v>266</v>
      </c>
      <c r="E144" s="4" t="s">
        <v>19</v>
      </c>
      <c r="F144" s="4">
        <v>1</v>
      </c>
      <c r="G144" s="4">
        <v>221699</v>
      </c>
      <c r="H144" s="5" t="s">
        <v>569</v>
      </c>
      <c r="I144" s="75" t="s">
        <v>525</v>
      </c>
      <c r="J144" s="4" t="s">
        <v>9</v>
      </c>
      <c r="K144" s="76" t="s">
        <v>506</v>
      </c>
      <c r="L144" s="4" t="s">
        <v>578</v>
      </c>
      <c r="M144" s="6">
        <v>45434</v>
      </c>
      <c r="N144" s="34">
        <v>0.53472222222222221</v>
      </c>
      <c r="O144" s="13">
        <v>1</v>
      </c>
      <c r="P144" s="6">
        <v>45434</v>
      </c>
      <c r="Q144" s="76" t="s">
        <v>36</v>
      </c>
    </row>
    <row r="145" spans="1:17" ht="42" customHeight="1" x14ac:dyDescent="0.25">
      <c r="A145" s="2">
        <v>143</v>
      </c>
      <c r="B145" s="3">
        <v>45433</v>
      </c>
      <c r="C145" s="4" t="s">
        <v>13</v>
      </c>
      <c r="D145" s="4" t="s">
        <v>266</v>
      </c>
      <c r="E145" s="4" t="s">
        <v>19</v>
      </c>
      <c r="F145" s="4">
        <v>1</v>
      </c>
      <c r="G145" s="4">
        <v>221700</v>
      </c>
      <c r="H145" s="5" t="s">
        <v>568</v>
      </c>
      <c r="I145" s="23" t="s">
        <v>155</v>
      </c>
      <c r="J145" s="22" t="s">
        <v>156</v>
      </c>
      <c r="K145" s="83" t="s">
        <v>157</v>
      </c>
      <c r="L145" s="4" t="s">
        <v>579</v>
      </c>
      <c r="M145" s="6">
        <v>45434</v>
      </c>
      <c r="N145" s="34">
        <v>0.6479166666666667</v>
      </c>
      <c r="O145" s="13">
        <v>1</v>
      </c>
      <c r="P145" s="6">
        <v>45434</v>
      </c>
      <c r="Q145" s="83" t="s">
        <v>158</v>
      </c>
    </row>
    <row r="146" spans="1:17" ht="59.25" customHeight="1" x14ac:dyDescent="0.25">
      <c r="A146" s="2">
        <v>144</v>
      </c>
      <c r="B146" s="3">
        <v>45435</v>
      </c>
      <c r="C146" s="4" t="s">
        <v>13</v>
      </c>
      <c r="D146" s="4" t="s">
        <v>266</v>
      </c>
      <c r="E146" s="4" t="s">
        <v>19</v>
      </c>
      <c r="F146" s="4">
        <v>1</v>
      </c>
      <c r="G146" s="4">
        <v>221722</v>
      </c>
      <c r="H146" s="5" t="s">
        <v>582</v>
      </c>
      <c r="I146" s="23" t="s">
        <v>155</v>
      </c>
      <c r="J146" s="22" t="s">
        <v>156</v>
      </c>
      <c r="K146" s="83" t="s">
        <v>157</v>
      </c>
      <c r="L146" s="4" t="s">
        <v>593</v>
      </c>
      <c r="M146" s="6">
        <v>45439</v>
      </c>
      <c r="N146" s="34">
        <v>0.59930555555555554</v>
      </c>
      <c r="O146" s="13">
        <v>1</v>
      </c>
      <c r="P146" s="6">
        <v>45439</v>
      </c>
      <c r="Q146" s="83" t="s">
        <v>158</v>
      </c>
    </row>
    <row r="147" spans="1:17" ht="58.5" customHeight="1" x14ac:dyDescent="0.25">
      <c r="A147" s="2">
        <v>145</v>
      </c>
      <c r="B147" s="3">
        <v>45435</v>
      </c>
      <c r="C147" s="4" t="s">
        <v>13</v>
      </c>
      <c r="D147" s="4" t="s">
        <v>563</v>
      </c>
      <c r="E147" s="4" t="s">
        <v>19</v>
      </c>
      <c r="F147" s="4">
        <v>1</v>
      </c>
      <c r="G147" s="79" t="s">
        <v>546</v>
      </c>
      <c r="H147" s="5" t="s">
        <v>581</v>
      </c>
      <c r="I147" s="4" t="s">
        <v>486</v>
      </c>
      <c r="J147" s="22" t="s">
        <v>37</v>
      </c>
      <c r="K147" s="83" t="s">
        <v>505</v>
      </c>
      <c r="L147" s="4" t="s">
        <v>594</v>
      </c>
      <c r="M147" s="6">
        <v>45435</v>
      </c>
      <c r="N147" s="8"/>
      <c r="O147" s="13"/>
      <c r="P147" s="6">
        <v>45435</v>
      </c>
      <c r="Q147" s="83" t="s">
        <v>101</v>
      </c>
    </row>
    <row r="148" spans="1:17" ht="77.25" customHeight="1" x14ac:dyDescent="0.25">
      <c r="A148" s="2">
        <v>146</v>
      </c>
      <c r="B148" s="3">
        <v>45435</v>
      </c>
      <c r="C148" s="4" t="s">
        <v>13</v>
      </c>
      <c r="D148" s="4" t="s">
        <v>266</v>
      </c>
      <c r="E148" s="4" t="s">
        <v>19</v>
      </c>
      <c r="F148" s="4">
        <v>1</v>
      </c>
      <c r="G148" s="4">
        <v>221720</v>
      </c>
      <c r="H148" s="5" t="s">
        <v>583</v>
      </c>
      <c r="I148" s="75" t="s">
        <v>525</v>
      </c>
      <c r="J148" s="4" t="s">
        <v>9</v>
      </c>
      <c r="K148" s="76" t="s">
        <v>506</v>
      </c>
      <c r="L148" s="4" t="s">
        <v>478</v>
      </c>
      <c r="M148" s="6">
        <v>45437</v>
      </c>
      <c r="N148" s="34">
        <v>0.38750000000000001</v>
      </c>
      <c r="O148" s="13">
        <v>1</v>
      </c>
      <c r="P148" s="6">
        <v>45437</v>
      </c>
      <c r="Q148" s="76" t="s">
        <v>36</v>
      </c>
    </row>
    <row r="149" spans="1:17" ht="38.25" x14ac:dyDescent="0.25">
      <c r="A149" s="2">
        <v>147</v>
      </c>
      <c r="B149" s="3">
        <v>45435</v>
      </c>
      <c r="C149" s="4" t="s">
        <v>13</v>
      </c>
      <c r="D149" s="89" t="s">
        <v>213</v>
      </c>
      <c r="E149" s="4" t="s">
        <v>19</v>
      </c>
      <c r="F149" s="4">
        <v>1</v>
      </c>
      <c r="G149" s="4">
        <v>221721</v>
      </c>
      <c r="H149" s="75" t="s">
        <v>584</v>
      </c>
      <c r="I149" s="88" t="s">
        <v>68</v>
      </c>
      <c r="J149" s="75" t="s">
        <v>9</v>
      </c>
      <c r="K149" s="76" t="s">
        <v>69</v>
      </c>
      <c r="L149" s="4" t="s">
        <v>595</v>
      </c>
      <c r="M149" s="6">
        <v>45437</v>
      </c>
      <c r="N149" s="34">
        <v>0.51041666666666663</v>
      </c>
      <c r="O149" s="13">
        <v>1</v>
      </c>
      <c r="P149" s="6">
        <v>45437</v>
      </c>
      <c r="Q149" s="2" t="s">
        <v>585</v>
      </c>
    </row>
    <row r="150" spans="1:17" ht="178.5" x14ac:dyDescent="0.25">
      <c r="A150" s="2">
        <v>148</v>
      </c>
      <c r="B150" s="3">
        <v>45440</v>
      </c>
      <c r="C150" s="4" t="s">
        <v>13</v>
      </c>
      <c r="D150" s="4" t="s">
        <v>266</v>
      </c>
      <c r="E150" s="4" t="s">
        <v>19</v>
      </c>
      <c r="F150" s="4">
        <v>1</v>
      </c>
      <c r="G150" s="4">
        <v>221734</v>
      </c>
      <c r="H150" s="5" t="s">
        <v>586</v>
      </c>
      <c r="I150" s="4" t="s">
        <v>486</v>
      </c>
      <c r="J150" s="79" t="s">
        <v>37</v>
      </c>
      <c r="K150" s="83" t="s">
        <v>505</v>
      </c>
      <c r="L150" s="4" t="s">
        <v>594</v>
      </c>
      <c r="M150" s="6">
        <v>45441</v>
      </c>
      <c r="N150" s="34">
        <v>0.57291666666666663</v>
      </c>
      <c r="O150" s="13">
        <v>1</v>
      </c>
      <c r="P150" s="6">
        <v>45441</v>
      </c>
      <c r="Q150" s="76" t="s">
        <v>51</v>
      </c>
    </row>
    <row r="151" spans="1:17" ht="91.5" customHeight="1" x14ac:dyDescent="0.25">
      <c r="A151" s="2">
        <v>149</v>
      </c>
      <c r="B151" s="3">
        <v>45440</v>
      </c>
      <c r="C151" s="4" t="s">
        <v>13</v>
      </c>
      <c r="D151" s="4" t="s">
        <v>266</v>
      </c>
      <c r="E151" s="4" t="s">
        <v>19</v>
      </c>
      <c r="F151" s="4">
        <v>1</v>
      </c>
      <c r="G151" s="4">
        <v>221733</v>
      </c>
      <c r="H151" s="5" t="s">
        <v>609</v>
      </c>
      <c r="I151" s="75" t="s">
        <v>525</v>
      </c>
      <c r="J151" s="4" t="s">
        <v>9</v>
      </c>
      <c r="K151" s="76" t="s">
        <v>506</v>
      </c>
      <c r="L151" s="4" t="s">
        <v>610</v>
      </c>
      <c r="M151" s="6">
        <v>45441</v>
      </c>
      <c r="N151" s="12" t="s">
        <v>611</v>
      </c>
      <c r="O151" s="13">
        <v>1</v>
      </c>
      <c r="P151" s="6">
        <v>45441</v>
      </c>
      <c r="Q151" s="76" t="s">
        <v>36</v>
      </c>
    </row>
    <row r="152" spans="1:17" ht="153" x14ac:dyDescent="0.25">
      <c r="A152" s="2">
        <v>150</v>
      </c>
      <c r="B152" s="3">
        <v>45440</v>
      </c>
      <c r="C152" s="4" t="s">
        <v>13</v>
      </c>
      <c r="D152" s="4" t="s">
        <v>565</v>
      </c>
      <c r="E152" s="4" t="s">
        <v>19</v>
      </c>
      <c r="F152" s="4">
        <v>1</v>
      </c>
      <c r="G152" s="4">
        <v>221735</v>
      </c>
      <c r="H152" s="5" t="s">
        <v>591</v>
      </c>
      <c r="I152" s="4" t="s">
        <v>590</v>
      </c>
      <c r="J152" s="4" t="s">
        <v>37</v>
      </c>
      <c r="K152" s="4" t="s">
        <v>589</v>
      </c>
      <c r="L152" s="4" t="s">
        <v>612</v>
      </c>
      <c r="M152" s="6">
        <v>45442</v>
      </c>
      <c r="N152" s="34">
        <v>0.37361111111111112</v>
      </c>
      <c r="O152" s="13">
        <v>1</v>
      </c>
      <c r="P152" s="6">
        <v>45442</v>
      </c>
      <c r="Q152" s="2" t="s">
        <v>592</v>
      </c>
    </row>
    <row r="153" spans="1:17" ht="63.75" x14ac:dyDescent="0.25">
      <c r="A153" s="2">
        <v>151</v>
      </c>
      <c r="B153" s="3">
        <v>45442</v>
      </c>
      <c r="C153" s="4" t="s">
        <v>13</v>
      </c>
      <c r="D153" s="4" t="s">
        <v>266</v>
      </c>
      <c r="E153" s="4" t="s">
        <v>19</v>
      </c>
      <c r="F153" s="4">
        <v>1</v>
      </c>
      <c r="G153" s="79" t="s">
        <v>546</v>
      </c>
      <c r="H153" s="5" t="s">
        <v>596</v>
      </c>
      <c r="I153" s="4" t="s">
        <v>486</v>
      </c>
      <c r="J153" s="79" t="s">
        <v>37</v>
      </c>
      <c r="K153" s="83" t="s">
        <v>505</v>
      </c>
      <c r="L153" s="4" t="s">
        <v>594</v>
      </c>
      <c r="M153" s="6">
        <v>45442</v>
      </c>
      <c r="N153" s="8"/>
      <c r="O153" s="13">
        <v>1</v>
      </c>
      <c r="P153" s="6">
        <v>45442</v>
      </c>
      <c r="Q153" s="83" t="s">
        <v>101</v>
      </c>
    </row>
    <row r="154" spans="1:17" ht="38.25" x14ac:dyDescent="0.25">
      <c r="A154" s="2">
        <v>152</v>
      </c>
      <c r="B154" s="3">
        <v>45442</v>
      </c>
      <c r="C154" s="4" t="s">
        <v>13</v>
      </c>
      <c r="D154" s="4" t="s">
        <v>598</v>
      </c>
      <c r="E154" s="4" t="s">
        <v>19</v>
      </c>
      <c r="F154" s="4">
        <v>1</v>
      </c>
      <c r="G154" s="4">
        <v>221753</v>
      </c>
      <c r="H154" s="5" t="s">
        <v>597</v>
      </c>
      <c r="I154" s="4" t="s">
        <v>486</v>
      </c>
      <c r="J154" s="79" t="s">
        <v>37</v>
      </c>
      <c r="K154" s="83" t="s">
        <v>505</v>
      </c>
      <c r="L154" s="4" t="s">
        <v>613</v>
      </c>
      <c r="M154" s="6">
        <v>45443</v>
      </c>
      <c r="N154" s="34">
        <v>0.68055555555555547</v>
      </c>
      <c r="O154" s="13">
        <v>1</v>
      </c>
      <c r="P154" s="6">
        <v>45443</v>
      </c>
      <c r="Q154" s="83" t="s">
        <v>101</v>
      </c>
    </row>
    <row r="155" spans="1:17" ht="27.75" customHeight="1" x14ac:dyDescent="0.25">
      <c r="A155" s="2">
        <v>153</v>
      </c>
      <c r="B155" s="3">
        <v>45442</v>
      </c>
      <c r="C155" s="4" t="s">
        <v>13</v>
      </c>
      <c r="D155" s="4" t="s">
        <v>607</v>
      </c>
      <c r="E155" s="4" t="s">
        <v>19</v>
      </c>
      <c r="F155" s="4">
        <v>1</v>
      </c>
      <c r="G155" s="4">
        <v>221754</v>
      </c>
      <c r="H155" s="5" t="s">
        <v>606</v>
      </c>
      <c r="I155" s="4" t="s">
        <v>602</v>
      </c>
      <c r="J155" s="60" t="s">
        <v>196</v>
      </c>
      <c r="K155" s="83" t="s">
        <v>601</v>
      </c>
      <c r="L155" s="4" t="s">
        <v>613</v>
      </c>
      <c r="M155" s="6">
        <v>45443</v>
      </c>
      <c r="N155" s="34">
        <v>0.62152777777777779</v>
      </c>
      <c r="O155" s="13">
        <v>1</v>
      </c>
      <c r="P155" s="6"/>
      <c r="Q155" s="83"/>
    </row>
    <row r="156" spans="1:17" ht="80.25" customHeight="1" x14ac:dyDescent="0.25">
      <c r="A156" s="2">
        <v>154</v>
      </c>
      <c r="B156" s="3">
        <v>45443</v>
      </c>
      <c r="C156" s="4" t="s">
        <v>13</v>
      </c>
      <c r="D156" s="4" t="s">
        <v>266</v>
      </c>
      <c r="E156" s="4" t="s">
        <v>19</v>
      </c>
      <c r="F156" s="4">
        <v>1</v>
      </c>
      <c r="G156" s="4">
        <v>221761</v>
      </c>
      <c r="H156" s="5" t="s">
        <v>603</v>
      </c>
      <c r="I156" s="75" t="s">
        <v>525</v>
      </c>
      <c r="J156" s="4" t="s">
        <v>9</v>
      </c>
      <c r="K156" s="76" t="s">
        <v>506</v>
      </c>
      <c r="L156" s="4" t="s">
        <v>478</v>
      </c>
      <c r="M156" s="6">
        <v>45446</v>
      </c>
      <c r="N156" s="34">
        <v>0.39513888888888887</v>
      </c>
      <c r="O156" s="13">
        <v>1</v>
      </c>
      <c r="P156" s="6">
        <v>45446</v>
      </c>
      <c r="Q156" s="76" t="s">
        <v>36</v>
      </c>
    </row>
    <row r="157" spans="1:17" ht="38.25" x14ac:dyDescent="0.25">
      <c r="A157" s="2">
        <v>155</v>
      </c>
      <c r="B157" s="3">
        <v>45443</v>
      </c>
      <c r="C157" s="4" t="s">
        <v>13</v>
      </c>
      <c r="D157" s="4" t="s">
        <v>266</v>
      </c>
      <c r="E157" s="4" t="s">
        <v>19</v>
      </c>
      <c r="F157" s="4">
        <v>1</v>
      </c>
      <c r="G157" s="4">
        <v>221762</v>
      </c>
      <c r="H157" s="75" t="s">
        <v>599</v>
      </c>
      <c r="I157" s="88" t="s">
        <v>68</v>
      </c>
      <c r="J157" s="75" t="s">
        <v>9</v>
      </c>
      <c r="K157" s="76" t="s">
        <v>69</v>
      </c>
      <c r="L157" s="4" t="s">
        <v>614</v>
      </c>
      <c r="M157" s="6">
        <v>45446</v>
      </c>
      <c r="N157" s="34">
        <v>0.39513888888888887</v>
      </c>
      <c r="O157" s="13">
        <v>1</v>
      </c>
      <c r="P157" s="6">
        <v>45446</v>
      </c>
      <c r="Q157" s="2" t="s">
        <v>585</v>
      </c>
    </row>
    <row r="158" spans="1:17" ht="38.25" x14ac:dyDescent="0.25">
      <c r="A158" s="2">
        <v>156</v>
      </c>
      <c r="B158" s="3">
        <v>45443</v>
      </c>
      <c r="C158" s="4" t="s">
        <v>13</v>
      </c>
      <c r="D158" s="4" t="s">
        <v>266</v>
      </c>
      <c r="E158" s="4" t="s">
        <v>19</v>
      </c>
      <c r="F158" s="4">
        <v>1</v>
      </c>
      <c r="G158" s="4">
        <v>221763</v>
      </c>
      <c r="H158" s="5" t="s">
        <v>604</v>
      </c>
      <c r="I158" s="23" t="s">
        <v>155</v>
      </c>
      <c r="J158" s="22" t="s">
        <v>156</v>
      </c>
      <c r="K158" s="83" t="s">
        <v>157</v>
      </c>
      <c r="L158" s="4" t="s">
        <v>615</v>
      </c>
      <c r="M158" s="6">
        <v>45446</v>
      </c>
      <c r="N158" s="34">
        <v>0.60138888888888886</v>
      </c>
      <c r="O158" s="13">
        <v>1</v>
      </c>
      <c r="P158" s="6">
        <v>45446</v>
      </c>
      <c r="Q158" s="83" t="s">
        <v>158</v>
      </c>
    </row>
    <row r="159" spans="1:17" ht="63.75" x14ac:dyDescent="0.25">
      <c r="A159" s="2">
        <v>157</v>
      </c>
      <c r="B159" s="3">
        <v>45443</v>
      </c>
      <c r="C159" s="4" t="s">
        <v>13</v>
      </c>
      <c r="D159" s="4" t="s">
        <v>266</v>
      </c>
      <c r="E159" s="4" t="s">
        <v>19</v>
      </c>
      <c r="F159" s="4">
        <v>1</v>
      </c>
      <c r="G159" s="4">
        <v>221764</v>
      </c>
      <c r="H159" s="5" t="s">
        <v>600</v>
      </c>
      <c r="I159" s="79" t="s">
        <v>249</v>
      </c>
      <c r="J159" s="79" t="s">
        <v>99</v>
      </c>
      <c r="K159" s="79" t="s">
        <v>100</v>
      </c>
      <c r="L159" s="2" t="s">
        <v>616</v>
      </c>
      <c r="M159" s="6">
        <v>45446</v>
      </c>
      <c r="N159" s="34">
        <v>0.39999999999999997</v>
      </c>
      <c r="O159" s="13">
        <v>1</v>
      </c>
      <c r="P159" s="6">
        <v>45446</v>
      </c>
      <c r="Q159" s="83" t="s">
        <v>101</v>
      </c>
    </row>
    <row r="160" spans="1:17" ht="40.5" customHeight="1" x14ac:dyDescent="0.25">
      <c r="A160" s="2">
        <v>158</v>
      </c>
      <c r="B160" s="3">
        <v>45443</v>
      </c>
      <c r="C160" s="4" t="s">
        <v>13</v>
      </c>
      <c r="D160" s="4" t="s">
        <v>213</v>
      </c>
      <c r="E160" s="4" t="s">
        <v>19</v>
      </c>
      <c r="F160" s="4">
        <v>1</v>
      </c>
      <c r="G160" s="4">
        <v>221765</v>
      </c>
      <c r="H160" s="5" t="s">
        <v>605</v>
      </c>
      <c r="I160" s="4" t="s">
        <v>486</v>
      </c>
      <c r="J160" s="79" t="s">
        <v>37</v>
      </c>
      <c r="K160" s="83" t="s">
        <v>505</v>
      </c>
      <c r="L160" s="2" t="s">
        <v>616</v>
      </c>
      <c r="M160" s="6">
        <v>45446</v>
      </c>
      <c r="N160" s="34">
        <v>0.4548611111111111</v>
      </c>
      <c r="O160" s="13">
        <v>1</v>
      </c>
      <c r="P160" s="6">
        <v>45446</v>
      </c>
      <c r="Q160" s="83" t="s">
        <v>101</v>
      </c>
    </row>
    <row r="161" spans="1:17" ht="25.5" x14ac:dyDescent="0.25">
      <c r="A161" s="2">
        <v>159</v>
      </c>
      <c r="B161" s="3">
        <v>45448</v>
      </c>
      <c r="C161" s="4" t="s">
        <v>13</v>
      </c>
      <c r="D161" s="4" t="s">
        <v>266</v>
      </c>
      <c r="E161" s="4" t="s">
        <v>19</v>
      </c>
      <c r="F161" s="4">
        <v>1</v>
      </c>
      <c r="G161" s="2">
        <v>221783</v>
      </c>
      <c r="H161" s="5" t="s">
        <v>608</v>
      </c>
      <c r="I161" s="23" t="s">
        <v>155</v>
      </c>
      <c r="J161" s="4" t="s">
        <v>156</v>
      </c>
      <c r="K161" s="83" t="s">
        <v>157</v>
      </c>
      <c r="L161" s="2" t="s">
        <v>628</v>
      </c>
      <c r="M161" s="6">
        <v>45449</v>
      </c>
      <c r="N161" s="34">
        <v>0.41666666666666669</v>
      </c>
      <c r="O161" s="13">
        <v>1</v>
      </c>
      <c r="P161" s="6">
        <v>45449</v>
      </c>
      <c r="Q161" s="83" t="s">
        <v>158</v>
      </c>
    </row>
    <row r="162" spans="1:17" ht="114.75" x14ac:dyDescent="0.25">
      <c r="A162" s="2">
        <v>160</v>
      </c>
      <c r="B162" s="3">
        <v>45448</v>
      </c>
      <c r="C162" s="4" t="s">
        <v>13</v>
      </c>
      <c r="D162" s="4" t="s">
        <v>266</v>
      </c>
      <c r="E162" s="4" t="s">
        <v>19</v>
      </c>
      <c r="F162" s="4">
        <v>1</v>
      </c>
      <c r="G162" s="4">
        <v>221782</v>
      </c>
      <c r="H162" s="5" t="s">
        <v>617</v>
      </c>
      <c r="I162" s="75" t="s">
        <v>525</v>
      </c>
      <c r="J162" s="4" t="s">
        <v>9</v>
      </c>
      <c r="K162" s="76" t="s">
        <v>506</v>
      </c>
      <c r="L162" s="4" t="s">
        <v>478</v>
      </c>
      <c r="M162" s="6">
        <v>45449</v>
      </c>
      <c r="N162" s="34">
        <v>0.47916666666666669</v>
      </c>
      <c r="O162" s="13">
        <v>1</v>
      </c>
      <c r="P162" s="6">
        <v>45449</v>
      </c>
      <c r="Q162" s="76" t="s">
        <v>36</v>
      </c>
    </row>
    <row r="163" spans="1:17" ht="100.5" customHeight="1" x14ac:dyDescent="0.25">
      <c r="A163" s="2">
        <v>161</v>
      </c>
      <c r="B163" s="3">
        <v>45450</v>
      </c>
      <c r="C163" s="4" t="s">
        <v>13</v>
      </c>
      <c r="D163" s="4" t="s">
        <v>266</v>
      </c>
      <c r="E163" s="4" t="s">
        <v>19</v>
      </c>
      <c r="F163" s="4">
        <v>1</v>
      </c>
      <c r="G163" s="4">
        <v>221801</v>
      </c>
      <c r="H163" s="5" t="s">
        <v>622</v>
      </c>
      <c r="I163" s="75" t="s">
        <v>525</v>
      </c>
      <c r="J163" s="4" t="s">
        <v>9</v>
      </c>
      <c r="K163" s="76" t="s">
        <v>506</v>
      </c>
      <c r="L163" s="4" t="s">
        <v>613</v>
      </c>
      <c r="M163" s="6">
        <v>45454</v>
      </c>
      <c r="N163" s="34">
        <v>0.42430555555555555</v>
      </c>
      <c r="O163" s="13">
        <v>1</v>
      </c>
      <c r="P163" s="6">
        <v>45454</v>
      </c>
      <c r="Q163" s="76" t="s">
        <v>36</v>
      </c>
    </row>
    <row r="164" spans="1:17" ht="51" x14ac:dyDescent="0.25">
      <c r="A164" s="2">
        <v>162</v>
      </c>
      <c r="B164" s="3">
        <v>45450</v>
      </c>
      <c r="C164" s="4" t="s">
        <v>13</v>
      </c>
      <c r="D164" s="4" t="s">
        <v>563</v>
      </c>
      <c r="E164" s="4" t="s">
        <v>19</v>
      </c>
      <c r="F164" s="4">
        <v>1</v>
      </c>
      <c r="G164" s="4">
        <v>221802</v>
      </c>
      <c r="H164" s="5" t="s">
        <v>618</v>
      </c>
      <c r="I164" s="79" t="s">
        <v>619</v>
      </c>
      <c r="J164" s="79" t="s">
        <v>99</v>
      </c>
      <c r="K164" s="79" t="s">
        <v>100</v>
      </c>
      <c r="L164" s="4" t="s">
        <v>515</v>
      </c>
      <c r="M164" s="6">
        <v>45454</v>
      </c>
      <c r="N164" s="34">
        <v>0.60833333333333328</v>
      </c>
      <c r="O164" s="13">
        <v>1</v>
      </c>
      <c r="P164" s="6">
        <v>45454</v>
      </c>
      <c r="Q164" s="83" t="s">
        <v>101</v>
      </c>
    </row>
    <row r="165" spans="1:17" ht="38.25" x14ac:dyDescent="0.25">
      <c r="A165" s="2">
        <v>163</v>
      </c>
      <c r="B165" s="3">
        <v>45450</v>
      </c>
      <c r="C165" s="4" t="s">
        <v>13</v>
      </c>
      <c r="D165" s="4" t="s">
        <v>565</v>
      </c>
      <c r="E165" s="4" t="s">
        <v>19</v>
      </c>
      <c r="F165" s="4">
        <v>1</v>
      </c>
      <c r="G165" s="4">
        <v>221803</v>
      </c>
      <c r="H165" s="5" t="s">
        <v>621</v>
      </c>
      <c r="I165" s="4" t="s">
        <v>620</v>
      </c>
      <c r="J165" s="79" t="s">
        <v>83</v>
      </c>
      <c r="K165" s="79" t="s">
        <v>84</v>
      </c>
      <c r="L165" s="4" t="s">
        <v>513</v>
      </c>
      <c r="M165" s="6">
        <v>45453</v>
      </c>
      <c r="N165" s="34">
        <v>0.3888888888888889</v>
      </c>
      <c r="O165" s="13">
        <v>1</v>
      </c>
      <c r="P165" s="6">
        <v>45453</v>
      </c>
      <c r="Q165" s="83" t="s">
        <v>85</v>
      </c>
    </row>
    <row r="166" spans="1:17" ht="25.5" x14ac:dyDescent="0.25">
      <c r="A166" s="2">
        <v>164</v>
      </c>
      <c r="B166" s="3">
        <v>45453</v>
      </c>
      <c r="C166" s="4" t="s">
        <v>13</v>
      </c>
      <c r="D166" s="4" t="s">
        <v>623</v>
      </c>
      <c r="E166" s="4" t="s">
        <v>19</v>
      </c>
      <c r="F166" s="4">
        <v>1</v>
      </c>
      <c r="G166" s="4">
        <v>221809</v>
      </c>
      <c r="H166" s="5" t="s">
        <v>624</v>
      </c>
      <c r="I166" s="4" t="s">
        <v>547</v>
      </c>
      <c r="J166" s="4" t="s">
        <v>37</v>
      </c>
      <c r="K166" s="4" t="s">
        <v>625</v>
      </c>
      <c r="L166" s="4" t="s">
        <v>645</v>
      </c>
      <c r="M166" s="6">
        <v>45454</v>
      </c>
      <c r="N166" s="34">
        <v>0.48958333333333331</v>
      </c>
      <c r="O166" s="13">
        <v>1</v>
      </c>
      <c r="P166" s="6">
        <v>45454</v>
      </c>
      <c r="Q166" s="76" t="s">
        <v>51</v>
      </c>
    </row>
    <row r="167" spans="1:17" ht="38.25" x14ac:dyDescent="0.25">
      <c r="A167" s="2">
        <v>165</v>
      </c>
      <c r="B167" s="3">
        <v>45454</v>
      </c>
      <c r="C167" s="4" t="s">
        <v>13</v>
      </c>
      <c r="D167" s="4" t="s">
        <v>213</v>
      </c>
      <c r="E167" s="4" t="s">
        <v>19</v>
      </c>
      <c r="F167" s="4">
        <v>1</v>
      </c>
      <c r="G167" s="4">
        <v>221817</v>
      </c>
      <c r="H167" s="5" t="s">
        <v>626</v>
      </c>
      <c r="I167" s="4" t="s">
        <v>627</v>
      </c>
      <c r="J167" s="4" t="s">
        <v>83</v>
      </c>
      <c r="K167" s="4" t="s">
        <v>84</v>
      </c>
      <c r="L167" s="4" t="s">
        <v>513</v>
      </c>
      <c r="M167" s="6">
        <v>45455</v>
      </c>
      <c r="N167" s="34">
        <v>0.3444444444444445</v>
      </c>
      <c r="O167" s="13">
        <v>1</v>
      </c>
      <c r="P167" s="6">
        <v>45455</v>
      </c>
      <c r="Q167" s="83" t="s">
        <v>85</v>
      </c>
    </row>
    <row r="168" spans="1:17" ht="41.25" customHeight="1" x14ac:dyDescent="0.25">
      <c r="A168" s="2">
        <v>166</v>
      </c>
      <c r="B168" s="3">
        <v>45455</v>
      </c>
      <c r="C168" s="4" t="s">
        <v>13</v>
      </c>
      <c r="D168" s="4" t="s">
        <v>266</v>
      </c>
      <c r="E168" s="4" t="s">
        <v>19</v>
      </c>
      <c r="F168" s="4">
        <v>1</v>
      </c>
      <c r="G168" s="4">
        <v>221824</v>
      </c>
      <c r="H168" s="5" t="s">
        <v>630</v>
      </c>
      <c r="I168" s="23" t="s">
        <v>155</v>
      </c>
      <c r="J168" s="4" t="s">
        <v>156</v>
      </c>
      <c r="K168" s="83" t="s">
        <v>157</v>
      </c>
      <c r="L168" s="4" t="s">
        <v>613</v>
      </c>
      <c r="M168" s="6">
        <v>45456</v>
      </c>
      <c r="N168" s="34">
        <v>0.54236111111111118</v>
      </c>
      <c r="O168" s="13">
        <v>1</v>
      </c>
      <c r="P168" s="6">
        <v>45456</v>
      </c>
      <c r="Q168" s="83" t="s">
        <v>158</v>
      </c>
    </row>
    <row r="169" spans="1:17" ht="52.5" customHeight="1" x14ac:dyDescent="0.25">
      <c r="A169" s="2">
        <v>167</v>
      </c>
      <c r="B169" s="3">
        <v>45455</v>
      </c>
      <c r="C169" s="4" t="s">
        <v>13</v>
      </c>
      <c r="D169" s="4" t="s">
        <v>266</v>
      </c>
      <c r="E169" s="4" t="s">
        <v>19</v>
      </c>
      <c r="F169" s="4">
        <v>1</v>
      </c>
      <c r="G169" s="4">
        <v>221825</v>
      </c>
      <c r="H169" s="5" t="s">
        <v>629</v>
      </c>
      <c r="I169" s="75" t="s">
        <v>525</v>
      </c>
      <c r="J169" s="4" t="s">
        <v>9</v>
      </c>
      <c r="K169" s="76" t="s">
        <v>506</v>
      </c>
      <c r="L169" s="4" t="s">
        <v>478</v>
      </c>
      <c r="M169" s="6">
        <v>45456</v>
      </c>
      <c r="N169" s="34">
        <v>0.48958333333333331</v>
      </c>
      <c r="O169" s="13">
        <v>1</v>
      </c>
      <c r="P169" s="6">
        <v>45456</v>
      </c>
      <c r="Q169" s="76" t="s">
        <v>36</v>
      </c>
    </row>
    <row r="170" spans="1:17" ht="105.75" customHeight="1" x14ac:dyDescent="0.25">
      <c r="A170" s="2">
        <v>168</v>
      </c>
      <c r="B170" s="3">
        <v>45456</v>
      </c>
      <c r="C170" s="4" t="s">
        <v>13</v>
      </c>
      <c r="D170" s="4" t="s">
        <v>607</v>
      </c>
      <c r="E170" s="4" t="s">
        <v>19</v>
      </c>
      <c r="F170" s="4">
        <v>1</v>
      </c>
      <c r="G170" s="4" t="s">
        <v>631</v>
      </c>
      <c r="H170" s="5" t="s">
        <v>644</v>
      </c>
      <c r="I170" s="4" t="s">
        <v>486</v>
      </c>
      <c r="J170" s="4" t="s">
        <v>37</v>
      </c>
      <c r="K170" s="4" t="s">
        <v>656</v>
      </c>
      <c r="L170" s="4" t="s">
        <v>646</v>
      </c>
      <c r="M170" s="3">
        <v>45456</v>
      </c>
      <c r="N170" s="8"/>
      <c r="O170" s="13">
        <v>1</v>
      </c>
      <c r="P170" s="3">
        <v>45456</v>
      </c>
      <c r="Q170" s="76" t="s">
        <v>51</v>
      </c>
    </row>
    <row r="171" spans="1:17" ht="86.25" customHeight="1" x14ac:dyDescent="0.25">
      <c r="A171" s="2">
        <v>169</v>
      </c>
      <c r="B171" s="3">
        <v>45457</v>
      </c>
      <c r="C171" s="4" t="s">
        <v>13</v>
      </c>
      <c r="D171" s="4" t="s">
        <v>266</v>
      </c>
      <c r="E171" s="4" t="s">
        <v>19</v>
      </c>
      <c r="F171" s="4">
        <v>1</v>
      </c>
      <c r="G171" s="4">
        <v>221854</v>
      </c>
      <c r="H171" s="5" t="s">
        <v>638</v>
      </c>
      <c r="I171" s="75" t="s">
        <v>525</v>
      </c>
      <c r="J171" s="4" t="s">
        <v>9</v>
      </c>
      <c r="K171" s="76" t="s">
        <v>506</v>
      </c>
      <c r="L171" s="4" t="s">
        <v>478</v>
      </c>
      <c r="M171" s="6">
        <v>45460</v>
      </c>
      <c r="N171" s="34">
        <v>0.43472222222222223</v>
      </c>
      <c r="O171" s="13">
        <v>1</v>
      </c>
      <c r="P171" s="6">
        <v>45460</v>
      </c>
      <c r="Q171" s="76" t="s">
        <v>36</v>
      </c>
    </row>
    <row r="172" spans="1:17" ht="86.25" customHeight="1" x14ac:dyDescent="0.25">
      <c r="A172" s="2">
        <v>170</v>
      </c>
      <c r="B172" s="3">
        <v>45457</v>
      </c>
      <c r="C172" s="4" t="s">
        <v>13</v>
      </c>
      <c r="D172" s="4" t="s">
        <v>213</v>
      </c>
      <c r="E172" s="4" t="s">
        <v>19</v>
      </c>
      <c r="F172" s="4">
        <v>1</v>
      </c>
      <c r="G172" s="4">
        <v>221853</v>
      </c>
      <c r="H172" s="5" t="s">
        <v>640</v>
      </c>
      <c r="I172" s="4" t="s">
        <v>642</v>
      </c>
      <c r="J172" s="79" t="s">
        <v>160</v>
      </c>
      <c r="K172" s="79" t="s">
        <v>326</v>
      </c>
      <c r="Q172" s="76" t="s">
        <v>161</v>
      </c>
    </row>
    <row r="173" spans="1:17" ht="86.25" customHeight="1" x14ac:dyDescent="0.25">
      <c r="A173" s="2">
        <v>171</v>
      </c>
      <c r="B173" s="3">
        <v>45457</v>
      </c>
      <c r="C173" s="4" t="s">
        <v>13</v>
      </c>
      <c r="D173" s="4" t="s">
        <v>266</v>
      </c>
      <c r="E173" s="4" t="s">
        <v>19</v>
      </c>
      <c r="F173" s="4">
        <v>1</v>
      </c>
      <c r="G173" s="4">
        <v>221850</v>
      </c>
      <c r="H173" s="5" t="s">
        <v>643</v>
      </c>
      <c r="I173" s="79" t="s">
        <v>637</v>
      </c>
      <c r="J173" s="79" t="s">
        <v>99</v>
      </c>
      <c r="K173" s="79" t="s">
        <v>100</v>
      </c>
      <c r="L173" s="4" t="s">
        <v>515</v>
      </c>
      <c r="M173" s="6">
        <v>45460</v>
      </c>
      <c r="N173" s="34">
        <v>0.42222222222222222</v>
      </c>
      <c r="O173" s="13">
        <v>1</v>
      </c>
      <c r="P173" s="6">
        <v>45460</v>
      </c>
      <c r="Q173" s="83" t="s">
        <v>101</v>
      </c>
    </row>
    <row r="174" spans="1:17" ht="86.25" customHeight="1" x14ac:dyDescent="0.25">
      <c r="A174" s="2">
        <v>172</v>
      </c>
      <c r="B174" s="3">
        <v>45457</v>
      </c>
      <c r="C174" s="4" t="s">
        <v>13</v>
      </c>
      <c r="D174" s="4" t="s">
        <v>641</v>
      </c>
      <c r="E174" s="4" t="s">
        <v>19</v>
      </c>
      <c r="F174" s="4">
        <v>1</v>
      </c>
      <c r="G174" s="4">
        <v>221851</v>
      </c>
      <c r="H174" s="5" t="s">
        <v>632</v>
      </c>
      <c r="I174" s="4" t="s">
        <v>633</v>
      </c>
      <c r="J174" s="4" t="s">
        <v>634</v>
      </c>
      <c r="K174" s="79" t="s">
        <v>635</v>
      </c>
      <c r="L174" s="4" t="s">
        <v>655</v>
      </c>
      <c r="M174" s="6">
        <v>45461</v>
      </c>
      <c r="N174" s="34">
        <v>0.40625</v>
      </c>
      <c r="O174" s="13">
        <v>1</v>
      </c>
      <c r="P174" s="6">
        <v>45461</v>
      </c>
      <c r="Q174" s="2" t="s">
        <v>636</v>
      </c>
    </row>
    <row r="175" spans="1:17" ht="86.25" customHeight="1" x14ac:dyDescent="0.25">
      <c r="A175" s="2">
        <v>173</v>
      </c>
      <c r="B175" s="3">
        <v>45457</v>
      </c>
      <c r="C175" s="4" t="s">
        <v>13</v>
      </c>
      <c r="D175" s="4" t="s">
        <v>213</v>
      </c>
      <c r="E175" s="4" t="s">
        <v>19</v>
      </c>
      <c r="F175" s="4">
        <v>1</v>
      </c>
      <c r="G175" s="4">
        <v>221852</v>
      </c>
      <c r="H175" s="5" t="s">
        <v>639</v>
      </c>
      <c r="I175" s="4" t="s">
        <v>486</v>
      </c>
      <c r="J175" s="79" t="s">
        <v>37</v>
      </c>
      <c r="K175" s="83" t="s">
        <v>505</v>
      </c>
      <c r="L175" s="4" t="s">
        <v>594</v>
      </c>
      <c r="M175" s="6">
        <v>45460</v>
      </c>
      <c r="N175" s="34">
        <v>0.35972222222222222</v>
      </c>
      <c r="O175" s="13">
        <v>1</v>
      </c>
      <c r="P175" s="6">
        <v>45460</v>
      </c>
      <c r="Q175" s="76" t="s">
        <v>51</v>
      </c>
    </row>
    <row r="176" spans="1:17" ht="86.25" customHeight="1" x14ac:dyDescent="0.25">
      <c r="A176" s="2">
        <v>174</v>
      </c>
      <c r="B176" s="3">
        <v>45460</v>
      </c>
      <c r="C176" s="4" t="s">
        <v>13</v>
      </c>
      <c r="D176" s="4" t="s">
        <v>266</v>
      </c>
      <c r="E176" s="4" t="s">
        <v>19</v>
      </c>
      <c r="F176" s="4">
        <v>1</v>
      </c>
      <c r="G176" s="4">
        <v>221860</v>
      </c>
      <c r="H176" s="5" t="s">
        <v>647</v>
      </c>
      <c r="I176" s="75" t="s">
        <v>525</v>
      </c>
      <c r="J176" s="4" t="s">
        <v>9</v>
      </c>
      <c r="K176" s="76" t="s">
        <v>506</v>
      </c>
      <c r="L176" s="4" t="s">
        <v>478</v>
      </c>
      <c r="M176" s="6">
        <v>45461</v>
      </c>
      <c r="N176" s="34">
        <v>0.45833333333333331</v>
      </c>
      <c r="O176" s="13">
        <v>1</v>
      </c>
      <c r="P176" s="6">
        <v>45461</v>
      </c>
      <c r="Q176" s="76" t="s">
        <v>36</v>
      </c>
    </row>
    <row r="177" spans="1:17" ht="86.25" customHeight="1" x14ac:dyDescent="0.25">
      <c r="A177" s="2">
        <v>175</v>
      </c>
      <c r="B177" s="3">
        <v>45462</v>
      </c>
      <c r="C177" s="4" t="s">
        <v>13</v>
      </c>
      <c r="D177" s="4" t="s">
        <v>648</v>
      </c>
      <c r="E177" s="4" t="s">
        <v>19</v>
      </c>
      <c r="F177" s="4">
        <v>1</v>
      </c>
      <c r="G177" s="4">
        <v>221879</v>
      </c>
      <c r="H177" s="5" t="s">
        <v>650</v>
      </c>
      <c r="I177" s="23" t="s">
        <v>155</v>
      </c>
      <c r="J177" s="4" t="s">
        <v>156</v>
      </c>
      <c r="K177" s="83" t="s">
        <v>157</v>
      </c>
      <c r="L177" s="4" t="s">
        <v>615</v>
      </c>
      <c r="M177" s="6">
        <v>45463</v>
      </c>
      <c r="N177" s="34">
        <v>0.45416666666666666</v>
      </c>
      <c r="O177" s="13">
        <v>1</v>
      </c>
      <c r="P177" s="6">
        <v>45463</v>
      </c>
      <c r="Q177" s="83" t="s">
        <v>158</v>
      </c>
    </row>
    <row r="178" spans="1:17" ht="100.5" customHeight="1" x14ac:dyDescent="0.25">
      <c r="A178" s="2">
        <v>176</v>
      </c>
      <c r="B178" s="3">
        <v>45462</v>
      </c>
      <c r="C178" s="4" t="s">
        <v>13</v>
      </c>
      <c r="D178" s="4" t="s">
        <v>266</v>
      </c>
      <c r="E178" s="4" t="s">
        <v>19</v>
      </c>
      <c r="F178" s="4">
        <v>1</v>
      </c>
      <c r="G178" s="4">
        <v>221878</v>
      </c>
      <c r="H178" s="5" t="s">
        <v>649</v>
      </c>
      <c r="I178" s="75" t="s">
        <v>525</v>
      </c>
      <c r="J178" s="4" t="s">
        <v>9</v>
      </c>
      <c r="K178" s="76" t="s">
        <v>506</v>
      </c>
      <c r="L178" s="4" t="s">
        <v>478</v>
      </c>
      <c r="M178" s="6">
        <v>45463</v>
      </c>
      <c r="N178" s="34">
        <v>0.45555555555555555</v>
      </c>
      <c r="O178" s="13">
        <v>1</v>
      </c>
      <c r="P178" s="6">
        <v>45463</v>
      </c>
      <c r="Q178" s="76" t="s">
        <v>36</v>
      </c>
    </row>
    <row r="179" spans="1:17" ht="86.25" customHeight="1" x14ac:dyDescent="0.25">
      <c r="A179" s="2">
        <v>177</v>
      </c>
      <c r="B179" s="3">
        <v>45464</v>
      </c>
      <c r="C179" s="4" t="s">
        <v>13</v>
      </c>
      <c r="D179" s="4" t="s">
        <v>266</v>
      </c>
      <c r="E179" s="4" t="s">
        <v>19</v>
      </c>
      <c r="F179" s="4">
        <v>1</v>
      </c>
      <c r="G179" s="4">
        <v>221887</v>
      </c>
      <c r="H179" s="5" t="s">
        <v>653</v>
      </c>
      <c r="I179" s="75" t="s">
        <v>525</v>
      </c>
      <c r="J179" s="4" t="s">
        <v>9</v>
      </c>
      <c r="K179" s="76" t="s">
        <v>506</v>
      </c>
      <c r="L179" s="4" t="s">
        <v>478</v>
      </c>
      <c r="M179" s="6">
        <v>45467</v>
      </c>
      <c r="N179" s="34">
        <v>0.44097222222222227</v>
      </c>
      <c r="O179" s="13">
        <v>1</v>
      </c>
      <c r="P179" s="6">
        <v>45467</v>
      </c>
      <c r="Q179" s="76" t="s">
        <v>36</v>
      </c>
    </row>
    <row r="180" spans="1:17" ht="86.25" customHeight="1" x14ac:dyDescent="0.25">
      <c r="A180" s="2">
        <v>178</v>
      </c>
      <c r="B180" s="3">
        <v>45464</v>
      </c>
      <c r="C180" s="4" t="s">
        <v>13</v>
      </c>
      <c r="D180" s="4" t="s">
        <v>266</v>
      </c>
      <c r="E180" s="4" t="s">
        <v>19</v>
      </c>
      <c r="F180" s="4">
        <v>1</v>
      </c>
      <c r="G180" s="4">
        <v>221889</v>
      </c>
      <c r="H180" s="5" t="s">
        <v>654</v>
      </c>
      <c r="I180" s="4" t="s">
        <v>486</v>
      </c>
      <c r="J180" s="79" t="s">
        <v>37</v>
      </c>
      <c r="K180" s="83" t="s">
        <v>505</v>
      </c>
      <c r="L180" s="4" t="s">
        <v>662</v>
      </c>
      <c r="M180" s="6">
        <v>45468</v>
      </c>
      <c r="N180" s="34">
        <v>0.35416666666666669</v>
      </c>
      <c r="O180" s="13">
        <v>1</v>
      </c>
      <c r="P180" s="6">
        <v>45468</v>
      </c>
      <c r="Q180" s="76" t="s">
        <v>51</v>
      </c>
    </row>
    <row r="181" spans="1:17" ht="86.25" customHeight="1" x14ac:dyDescent="0.25">
      <c r="A181" s="2">
        <v>179</v>
      </c>
      <c r="B181" s="3">
        <v>45464</v>
      </c>
      <c r="C181" s="4" t="s">
        <v>13</v>
      </c>
      <c r="D181" s="4" t="s">
        <v>563</v>
      </c>
      <c r="E181" s="4" t="s">
        <v>19</v>
      </c>
      <c r="F181" s="4">
        <v>1</v>
      </c>
      <c r="G181" s="4">
        <v>221888</v>
      </c>
      <c r="H181" s="5" t="s">
        <v>652</v>
      </c>
      <c r="I181" s="79" t="s">
        <v>651</v>
      </c>
      <c r="J181" s="79" t="s">
        <v>99</v>
      </c>
      <c r="K181" s="79" t="s">
        <v>100</v>
      </c>
      <c r="L181" s="4" t="s">
        <v>515</v>
      </c>
      <c r="M181" s="6">
        <v>45467</v>
      </c>
      <c r="N181" s="34">
        <v>0.40972222222222227</v>
      </c>
      <c r="O181" s="13">
        <v>1</v>
      </c>
      <c r="P181" s="6">
        <v>45467</v>
      </c>
      <c r="Q181" s="83" t="s">
        <v>101</v>
      </c>
    </row>
    <row r="182" spans="1:17" ht="86.25" customHeight="1" x14ac:dyDescent="0.25">
      <c r="A182" s="2">
        <v>180</v>
      </c>
      <c r="B182" s="3">
        <v>45469</v>
      </c>
      <c r="C182" s="4" t="s">
        <v>13</v>
      </c>
      <c r="D182" s="4" t="s">
        <v>266</v>
      </c>
      <c r="E182" s="4" t="s">
        <v>19</v>
      </c>
      <c r="F182" s="4">
        <v>1</v>
      </c>
      <c r="G182" s="4">
        <v>221913</v>
      </c>
      <c r="H182" s="5" t="s">
        <v>659</v>
      </c>
      <c r="I182" s="75" t="s">
        <v>525</v>
      </c>
      <c r="J182" s="4" t="s">
        <v>9</v>
      </c>
      <c r="K182" s="76" t="s">
        <v>506</v>
      </c>
      <c r="L182" s="4" t="s">
        <v>478</v>
      </c>
      <c r="M182" s="6">
        <v>45470</v>
      </c>
      <c r="N182" s="34">
        <v>0.47916666666666669</v>
      </c>
      <c r="O182" s="13">
        <v>1</v>
      </c>
      <c r="P182" s="6">
        <v>45470</v>
      </c>
      <c r="Q182" s="76" t="s">
        <v>36</v>
      </c>
    </row>
    <row r="183" spans="1:17" ht="86.25" customHeight="1" x14ac:dyDescent="0.25">
      <c r="A183" s="2">
        <v>181</v>
      </c>
      <c r="B183" s="3">
        <v>45469</v>
      </c>
      <c r="C183" s="4" t="s">
        <v>13</v>
      </c>
      <c r="D183" s="4" t="s">
        <v>658</v>
      </c>
      <c r="E183" s="4" t="s">
        <v>19</v>
      </c>
      <c r="F183" s="4">
        <v>1</v>
      </c>
      <c r="G183" s="4">
        <v>221914</v>
      </c>
      <c r="H183" s="7" t="s">
        <v>657</v>
      </c>
      <c r="I183" s="79" t="s">
        <v>358</v>
      </c>
      <c r="J183" s="79" t="s">
        <v>83</v>
      </c>
      <c r="K183" s="79" t="s">
        <v>84</v>
      </c>
      <c r="L183" s="4" t="s">
        <v>513</v>
      </c>
      <c r="M183" s="6">
        <v>45470</v>
      </c>
      <c r="N183" s="34">
        <v>0.45833333333333331</v>
      </c>
      <c r="O183" s="13">
        <v>1</v>
      </c>
      <c r="P183" s="6">
        <v>45470</v>
      </c>
      <c r="Q183" s="83" t="s">
        <v>85</v>
      </c>
    </row>
    <row r="184" spans="1:17" ht="86.25" customHeight="1" x14ac:dyDescent="0.25">
      <c r="A184" s="2">
        <v>182</v>
      </c>
      <c r="B184" s="3">
        <v>45469</v>
      </c>
      <c r="C184" s="4" t="s">
        <v>13</v>
      </c>
      <c r="D184" s="4" t="s">
        <v>648</v>
      </c>
      <c r="E184" s="4" t="s">
        <v>19</v>
      </c>
      <c r="F184" s="4">
        <v>1</v>
      </c>
      <c r="G184" s="4">
        <v>221915</v>
      </c>
      <c r="H184" s="7" t="s">
        <v>660</v>
      </c>
      <c r="I184" s="22" t="s">
        <v>155</v>
      </c>
      <c r="J184" s="22" t="s">
        <v>156</v>
      </c>
      <c r="K184" s="83" t="s">
        <v>157</v>
      </c>
      <c r="L184" s="4" t="s">
        <v>615</v>
      </c>
      <c r="M184" s="6">
        <v>45470</v>
      </c>
      <c r="N184" s="34">
        <v>0.50208333333333333</v>
      </c>
      <c r="O184" s="13">
        <v>1</v>
      </c>
      <c r="P184" s="6">
        <v>45470</v>
      </c>
      <c r="Q184" s="83" t="s">
        <v>158</v>
      </c>
    </row>
    <row r="185" spans="1:17" ht="86.25" customHeight="1" x14ac:dyDescent="0.25">
      <c r="A185" s="2">
        <v>183</v>
      </c>
      <c r="B185" s="3">
        <v>44374</v>
      </c>
      <c r="C185" s="4" t="s">
        <v>13</v>
      </c>
      <c r="D185" s="4" t="s">
        <v>565</v>
      </c>
      <c r="E185" s="4" t="s">
        <v>19</v>
      </c>
      <c r="F185" s="4">
        <v>1</v>
      </c>
      <c r="G185" s="4">
        <v>221930</v>
      </c>
      <c r="H185" s="5" t="s">
        <v>661</v>
      </c>
      <c r="I185" s="79" t="s">
        <v>358</v>
      </c>
      <c r="J185" s="79" t="s">
        <v>83</v>
      </c>
      <c r="K185" s="79" t="s">
        <v>84</v>
      </c>
      <c r="L185" s="4" t="s">
        <v>513</v>
      </c>
      <c r="M185" s="6">
        <v>45471</v>
      </c>
      <c r="N185" s="34">
        <v>0.41666666666666669</v>
      </c>
      <c r="O185" s="13">
        <v>1</v>
      </c>
      <c r="P185" s="6">
        <v>45471</v>
      </c>
      <c r="Q185" s="83" t="s">
        <v>85</v>
      </c>
    </row>
    <row r="186" spans="1:17" ht="86.25" customHeight="1" x14ac:dyDescent="0.25">
      <c r="A186" s="2">
        <v>184</v>
      </c>
      <c r="B186" s="3">
        <v>45471</v>
      </c>
      <c r="C186" s="4" t="s">
        <v>13</v>
      </c>
      <c r="D186" s="4" t="s">
        <v>266</v>
      </c>
      <c r="E186" s="4" t="s">
        <v>19</v>
      </c>
      <c r="F186" s="4">
        <v>1</v>
      </c>
      <c r="G186" s="4">
        <v>221935</v>
      </c>
      <c r="H186" s="5" t="s">
        <v>663</v>
      </c>
      <c r="I186" s="75" t="s">
        <v>525</v>
      </c>
      <c r="J186" s="4" t="s">
        <v>9</v>
      </c>
      <c r="K186" s="76" t="s">
        <v>506</v>
      </c>
      <c r="L186" s="4" t="s">
        <v>478</v>
      </c>
      <c r="M186" s="6">
        <v>45474</v>
      </c>
      <c r="N186" s="34">
        <v>0.4375</v>
      </c>
      <c r="O186" s="13">
        <v>1</v>
      </c>
      <c r="P186" s="6">
        <v>45474</v>
      </c>
      <c r="Q186" s="76" t="s">
        <v>36</v>
      </c>
    </row>
    <row r="187" spans="1:17" ht="86.25" customHeight="1" x14ac:dyDescent="0.25">
      <c r="A187" s="2">
        <v>185</v>
      </c>
      <c r="B187" s="3">
        <v>45471</v>
      </c>
      <c r="C187" s="4" t="s">
        <v>13</v>
      </c>
      <c r="D187" s="4" t="s">
        <v>486</v>
      </c>
      <c r="E187" s="4" t="s">
        <v>19</v>
      </c>
      <c r="F187" s="4">
        <v>1</v>
      </c>
      <c r="G187" s="4">
        <v>221936</v>
      </c>
      <c r="H187" s="5" t="s">
        <v>652</v>
      </c>
      <c r="I187" s="22" t="s">
        <v>155</v>
      </c>
      <c r="J187" s="22" t="s">
        <v>156</v>
      </c>
      <c r="K187" s="83" t="s">
        <v>157</v>
      </c>
      <c r="L187" s="4" t="s">
        <v>615</v>
      </c>
      <c r="M187" s="6">
        <v>45474</v>
      </c>
      <c r="N187" s="34">
        <v>0.52777777777777779</v>
      </c>
      <c r="O187" s="13">
        <v>1</v>
      </c>
      <c r="P187" s="6">
        <v>45474</v>
      </c>
      <c r="Q187" s="83" t="s">
        <v>158</v>
      </c>
    </row>
    <row r="188" spans="1:17" ht="86.25" customHeight="1" x14ac:dyDescent="0.25">
      <c r="A188" s="2">
        <v>186</v>
      </c>
      <c r="B188" s="3">
        <v>45471</v>
      </c>
      <c r="C188" s="4" t="s">
        <v>13</v>
      </c>
      <c r="D188" s="4" t="s">
        <v>598</v>
      </c>
      <c r="E188" s="4" t="s">
        <v>19</v>
      </c>
      <c r="F188" s="4">
        <v>1</v>
      </c>
      <c r="G188" s="4">
        <v>221937</v>
      </c>
      <c r="H188" s="5" t="s">
        <v>664</v>
      </c>
      <c r="I188" s="4" t="s">
        <v>486</v>
      </c>
      <c r="J188" s="79" t="s">
        <v>37</v>
      </c>
      <c r="K188" s="83" t="s">
        <v>505</v>
      </c>
      <c r="L188" s="4" t="s">
        <v>662</v>
      </c>
      <c r="M188" s="6">
        <v>45474</v>
      </c>
      <c r="N188" s="34">
        <v>0.63958333333333328</v>
      </c>
      <c r="O188" s="13">
        <v>1</v>
      </c>
      <c r="P188" s="6">
        <v>45474</v>
      </c>
      <c r="Q188" s="76" t="s">
        <v>51</v>
      </c>
    </row>
    <row r="189" spans="1:17" ht="86.25" customHeight="1" x14ac:dyDescent="0.25">
      <c r="A189" s="2">
        <v>187</v>
      </c>
      <c r="B189" s="3">
        <v>45471</v>
      </c>
      <c r="C189" s="4" t="s">
        <v>13</v>
      </c>
      <c r="D189" s="4" t="s">
        <v>213</v>
      </c>
      <c r="E189" s="4" t="s">
        <v>19</v>
      </c>
      <c r="F189" s="4">
        <v>1</v>
      </c>
      <c r="G189" s="4">
        <v>222001</v>
      </c>
      <c r="H189" s="5" t="s">
        <v>665</v>
      </c>
      <c r="I189" s="4" t="s">
        <v>666</v>
      </c>
      <c r="J189" s="4" t="s">
        <v>89</v>
      </c>
      <c r="K189" s="83" t="s">
        <v>667</v>
      </c>
      <c r="L189" s="90"/>
      <c r="M189" s="6"/>
      <c r="N189" s="8"/>
      <c r="O189" s="13">
        <v>1</v>
      </c>
      <c r="P189" s="6"/>
      <c r="Q189" s="2" t="s">
        <v>137</v>
      </c>
    </row>
    <row r="190" spans="1:17" ht="86.25" customHeight="1" x14ac:dyDescent="0.25">
      <c r="A190" s="2">
        <v>188</v>
      </c>
      <c r="B190" s="3">
        <v>45477</v>
      </c>
      <c r="C190" s="4" t="s">
        <v>13</v>
      </c>
      <c r="D190" s="4" t="s">
        <v>266</v>
      </c>
      <c r="E190" s="4" t="s">
        <v>19</v>
      </c>
      <c r="F190" s="4">
        <v>1</v>
      </c>
      <c r="G190" s="4">
        <v>221966</v>
      </c>
      <c r="H190" s="5" t="s">
        <v>685</v>
      </c>
      <c r="I190" s="4" t="s">
        <v>486</v>
      </c>
      <c r="J190" s="4" t="s">
        <v>37</v>
      </c>
      <c r="K190" s="83" t="s">
        <v>668</v>
      </c>
      <c r="L190" s="4" t="s">
        <v>662</v>
      </c>
      <c r="M190" s="6">
        <v>45478</v>
      </c>
      <c r="N190" s="34">
        <v>0.63472222222222219</v>
      </c>
      <c r="O190" s="13">
        <v>1</v>
      </c>
      <c r="P190" s="6">
        <v>45478</v>
      </c>
      <c r="Q190" s="76" t="s">
        <v>51</v>
      </c>
    </row>
    <row r="191" spans="1:17" ht="86.25" customHeight="1" x14ac:dyDescent="0.25">
      <c r="A191" s="2">
        <v>189</v>
      </c>
      <c r="B191" s="3">
        <v>45477</v>
      </c>
      <c r="C191" s="4" t="s">
        <v>13</v>
      </c>
      <c r="D191" s="4" t="s">
        <v>266</v>
      </c>
      <c r="E191" s="4" t="s">
        <v>19</v>
      </c>
      <c r="F191" s="4">
        <v>1</v>
      </c>
      <c r="G191" s="4">
        <v>221964</v>
      </c>
      <c r="H191" s="5" t="s">
        <v>669</v>
      </c>
      <c r="I191" s="75" t="s">
        <v>525</v>
      </c>
      <c r="J191" s="4" t="s">
        <v>9</v>
      </c>
      <c r="K191" s="76" t="s">
        <v>506</v>
      </c>
      <c r="L191" s="4" t="s">
        <v>613</v>
      </c>
      <c r="M191" s="6">
        <v>45478</v>
      </c>
      <c r="N191" s="34">
        <v>0.39444444444444443</v>
      </c>
      <c r="O191" s="13">
        <v>1</v>
      </c>
      <c r="P191" s="6">
        <v>45478</v>
      </c>
      <c r="Q191" s="76" t="s">
        <v>36</v>
      </c>
    </row>
    <row r="192" spans="1:17" ht="86.25" customHeight="1" x14ac:dyDescent="0.25">
      <c r="A192" s="2">
        <v>190</v>
      </c>
      <c r="B192" s="3">
        <v>45477</v>
      </c>
      <c r="C192" s="4" t="s">
        <v>13</v>
      </c>
      <c r="D192" s="4" t="s">
        <v>670</v>
      </c>
      <c r="E192" s="4" t="s">
        <v>19</v>
      </c>
      <c r="F192" s="4">
        <v>1</v>
      </c>
      <c r="G192" s="4">
        <v>221965</v>
      </c>
      <c r="H192" s="5" t="s">
        <v>675</v>
      </c>
      <c r="I192" s="22" t="s">
        <v>155</v>
      </c>
      <c r="J192" s="22" t="s">
        <v>156</v>
      </c>
      <c r="K192" s="83" t="s">
        <v>157</v>
      </c>
      <c r="L192" s="4" t="s">
        <v>615</v>
      </c>
      <c r="M192" s="6">
        <v>45478</v>
      </c>
      <c r="N192" s="34">
        <v>0.63541666666666663</v>
      </c>
      <c r="O192" s="13">
        <v>1</v>
      </c>
      <c r="P192" s="6">
        <v>45478</v>
      </c>
      <c r="Q192" s="83" t="s">
        <v>158</v>
      </c>
    </row>
    <row r="193" spans="1:17" ht="86.25" customHeight="1" x14ac:dyDescent="0.25">
      <c r="A193" s="2">
        <v>191</v>
      </c>
      <c r="B193" s="3">
        <v>45477</v>
      </c>
      <c r="C193" s="4" t="s">
        <v>13</v>
      </c>
      <c r="D193" s="4" t="s">
        <v>266</v>
      </c>
      <c r="E193" s="4" t="s">
        <v>19</v>
      </c>
      <c r="F193" s="4">
        <v>1</v>
      </c>
      <c r="G193" s="4">
        <v>221967</v>
      </c>
      <c r="H193" s="5" t="s">
        <v>671</v>
      </c>
      <c r="I193" s="4" t="s">
        <v>672</v>
      </c>
      <c r="J193" s="4" t="s">
        <v>37</v>
      </c>
      <c r="K193" s="4" t="s">
        <v>673</v>
      </c>
      <c r="L193" s="4" t="s">
        <v>662</v>
      </c>
      <c r="M193" s="6">
        <v>45478</v>
      </c>
      <c r="N193" s="34">
        <v>0.62361111111111112</v>
      </c>
      <c r="O193" s="13">
        <v>1</v>
      </c>
      <c r="P193" s="6">
        <v>45478</v>
      </c>
      <c r="Q193" s="2" t="s">
        <v>674</v>
      </c>
    </row>
    <row r="194" spans="1:17" ht="86.25" customHeight="1" x14ac:dyDescent="0.25">
      <c r="A194" s="2">
        <v>192</v>
      </c>
      <c r="B194" s="3" t="s">
        <v>676</v>
      </c>
      <c r="C194" s="4" t="s">
        <v>13</v>
      </c>
      <c r="D194" s="4" t="s">
        <v>266</v>
      </c>
      <c r="E194" s="4" t="s">
        <v>19</v>
      </c>
      <c r="F194" s="4">
        <v>1</v>
      </c>
      <c r="G194" s="4">
        <v>221971</v>
      </c>
      <c r="H194" s="5" t="s">
        <v>677</v>
      </c>
      <c r="I194" s="75" t="s">
        <v>525</v>
      </c>
      <c r="J194" s="4" t="s">
        <v>9</v>
      </c>
      <c r="K194" s="76" t="s">
        <v>506</v>
      </c>
      <c r="L194" s="4" t="s">
        <v>478</v>
      </c>
      <c r="M194" s="6">
        <v>45478</v>
      </c>
      <c r="N194" s="8" t="s">
        <v>691</v>
      </c>
      <c r="O194" s="13">
        <v>1</v>
      </c>
      <c r="P194" s="6">
        <v>45478</v>
      </c>
      <c r="Q194" s="76" t="s">
        <v>36</v>
      </c>
    </row>
    <row r="195" spans="1:17" ht="86.25" customHeight="1" x14ac:dyDescent="0.25">
      <c r="A195" s="2">
        <v>193</v>
      </c>
      <c r="B195" s="3">
        <v>45478</v>
      </c>
      <c r="C195" s="4" t="s">
        <v>13</v>
      </c>
      <c r="D195" s="4" t="s">
        <v>266</v>
      </c>
      <c r="E195" s="4" t="s">
        <v>19</v>
      </c>
      <c r="F195" s="4">
        <v>1</v>
      </c>
      <c r="G195" s="4">
        <v>221972</v>
      </c>
      <c r="H195" s="5" t="s">
        <v>678</v>
      </c>
      <c r="I195" s="4" t="s">
        <v>486</v>
      </c>
      <c r="J195" s="79" t="s">
        <v>37</v>
      </c>
      <c r="K195" s="83" t="s">
        <v>505</v>
      </c>
      <c r="L195" s="4" t="s">
        <v>662</v>
      </c>
      <c r="M195" s="6">
        <v>45481</v>
      </c>
      <c r="N195" s="34">
        <v>0.3611111111111111</v>
      </c>
      <c r="O195" s="13">
        <v>1</v>
      </c>
      <c r="P195" s="6">
        <v>45481</v>
      </c>
      <c r="Q195" s="76" t="s">
        <v>51</v>
      </c>
    </row>
    <row r="196" spans="1:17" ht="86.25" customHeight="1" x14ac:dyDescent="0.25">
      <c r="A196" s="2">
        <v>194</v>
      </c>
      <c r="B196" s="3" t="s">
        <v>679</v>
      </c>
      <c r="C196" s="4" t="s">
        <v>13</v>
      </c>
      <c r="D196" s="4" t="s">
        <v>213</v>
      </c>
      <c r="E196" s="4" t="s">
        <v>19</v>
      </c>
      <c r="F196" s="4">
        <v>1</v>
      </c>
      <c r="G196" s="4">
        <v>221974</v>
      </c>
      <c r="H196" s="5" t="s">
        <v>680</v>
      </c>
      <c r="I196" s="4" t="s">
        <v>637</v>
      </c>
      <c r="J196" s="79" t="s">
        <v>99</v>
      </c>
      <c r="K196" s="79" t="s">
        <v>100</v>
      </c>
      <c r="L196" s="4" t="s">
        <v>515</v>
      </c>
      <c r="M196" s="6">
        <v>45481</v>
      </c>
      <c r="N196" s="34">
        <v>0.4375</v>
      </c>
      <c r="O196" s="13">
        <v>1</v>
      </c>
      <c r="P196" s="6">
        <v>45481</v>
      </c>
      <c r="Q196" s="83" t="s">
        <v>101</v>
      </c>
    </row>
    <row r="197" spans="1:17" ht="86.25" customHeight="1" x14ac:dyDescent="0.25">
      <c r="A197" s="2">
        <v>195</v>
      </c>
      <c r="B197" s="3">
        <v>45479</v>
      </c>
      <c r="C197" s="4" t="s">
        <v>13</v>
      </c>
      <c r="D197" s="4" t="s">
        <v>213</v>
      </c>
      <c r="E197" s="4" t="s">
        <v>19</v>
      </c>
      <c r="F197" s="4">
        <v>1</v>
      </c>
      <c r="G197" s="4">
        <v>221973</v>
      </c>
      <c r="H197" s="5" t="s">
        <v>681</v>
      </c>
      <c r="I197" s="4" t="s">
        <v>683</v>
      </c>
      <c r="J197" s="79" t="s">
        <v>160</v>
      </c>
      <c r="K197" s="79" t="s">
        <v>326</v>
      </c>
      <c r="L197" s="91"/>
      <c r="Q197" s="76" t="s">
        <v>161</v>
      </c>
    </row>
    <row r="198" spans="1:17" ht="86.25" customHeight="1" x14ac:dyDescent="0.25">
      <c r="A198" s="2">
        <v>196</v>
      </c>
      <c r="B198" s="3">
        <v>45481</v>
      </c>
      <c r="C198" s="4" t="s">
        <v>13</v>
      </c>
      <c r="D198" s="4" t="s">
        <v>266</v>
      </c>
      <c r="E198" s="4" t="s">
        <v>21</v>
      </c>
      <c r="F198" s="4">
        <v>1</v>
      </c>
      <c r="G198" s="4">
        <v>221979</v>
      </c>
      <c r="H198" s="5" t="s">
        <v>684</v>
      </c>
      <c r="I198" s="75" t="s">
        <v>525</v>
      </c>
      <c r="J198" s="4" t="s">
        <v>9</v>
      </c>
      <c r="K198" s="76" t="s">
        <v>506</v>
      </c>
      <c r="L198" s="4" t="s">
        <v>478</v>
      </c>
      <c r="M198" s="6">
        <v>45481</v>
      </c>
      <c r="N198" s="34">
        <v>0.4548611111111111</v>
      </c>
      <c r="O198" s="13">
        <v>1</v>
      </c>
      <c r="P198" s="6">
        <v>45481</v>
      </c>
      <c r="Q198" s="76" t="s">
        <v>36</v>
      </c>
    </row>
    <row r="199" spans="1:17" ht="86.25" customHeight="1" x14ac:dyDescent="0.25">
      <c r="A199" s="2">
        <v>197</v>
      </c>
      <c r="B199" s="3">
        <v>45481</v>
      </c>
      <c r="C199" s="4" t="s">
        <v>13</v>
      </c>
      <c r="D199" s="4" t="s">
        <v>682</v>
      </c>
      <c r="E199" s="4" t="s">
        <v>19</v>
      </c>
      <c r="F199" s="4">
        <v>1</v>
      </c>
      <c r="G199" s="4">
        <v>221980</v>
      </c>
      <c r="H199" s="5" t="s">
        <v>652</v>
      </c>
      <c r="I199" s="22" t="s">
        <v>155</v>
      </c>
      <c r="J199" s="22" t="s">
        <v>156</v>
      </c>
      <c r="K199" s="83" t="s">
        <v>157</v>
      </c>
      <c r="L199" s="4" t="s">
        <v>615</v>
      </c>
      <c r="M199" s="6">
        <v>45482</v>
      </c>
      <c r="N199" s="34">
        <v>0.54166666666666663</v>
      </c>
      <c r="O199" s="13">
        <v>1</v>
      </c>
      <c r="P199" s="6">
        <v>45482</v>
      </c>
      <c r="Q199" s="83" t="s">
        <v>158</v>
      </c>
    </row>
    <row r="200" spans="1:17" ht="86.25" customHeight="1" x14ac:dyDescent="0.25">
      <c r="A200" s="2">
        <v>198</v>
      </c>
      <c r="B200" s="3">
        <v>45483</v>
      </c>
      <c r="C200" s="4" t="s">
        <v>13</v>
      </c>
      <c r="D200" s="4" t="s">
        <v>213</v>
      </c>
      <c r="E200" s="4" t="s">
        <v>19</v>
      </c>
      <c r="F200" s="4">
        <v>1</v>
      </c>
      <c r="G200" s="4">
        <v>221988</v>
      </c>
      <c r="H200" s="5" t="s">
        <v>687</v>
      </c>
      <c r="I200" s="75" t="s">
        <v>525</v>
      </c>
      <c r="J200" s="4" t="s">
        <v>9</v>
      </c>
      <c r="K200" s="76" t="s">
        <v>506</v>
      </c>
      <c r="L200" s="4" t="s">
        <v>478</v>
      </c>
      <c r="M200" s="6">
        <v>45484</v>
      </c>
      <c r="N200" s="34">
        <v>0.4909722222222222</v>
      </c>
      <c r="O200" s="13">
        <v>1</v>
      </c>
      <c r="P200" s="6">
        <v>45484</v>
      </c>
      <c r="Q200" s="76" t="s">
        <v>36</v>
      </c>
    </row>
    <row r="201" spans="1:17" ht="86.25" customHeight="1" x14ac:dyDescent="0.25">
      <c r="A201" s="2">
        <v>199</v>
      </c>
      <c r="B201" s="3">
        <v>45483</v>
      </c>
      <c r="C201" s="4" t="s">
        <v>13</v>
      </c>
      <c r="D201" s="4" t="s">
        <v>213</v>
      </c>
      <c r="E201" s="4" t="s">
        <v>19</v>
      </c>
      <c r="F201" s="4">
        <v>1</v>
      </c>
      <c r="G201" s="4">
        <v>221989</v>
      </c>
      <c r="H201" s="5" t="s">
        <v>688</v>
      </c>
      <c r="I201" s="4" t="s">
        <v>690</v>
      </c>
      <c r="J201" s="2" t="s">
        <v>686</v>
      </c>
      <c r="K201" s="83" t="s">
        <v>136</v>
      </c>
      <c r="L201" s="4" t="s">
        <v>727</v>
      </c>
      <c r="M201" s="6">
        <v>45488</v>
      </c>
      <c r="N201" s="34">
        <v>0.4548611111111111</v>
      </c>
      <c r="O201" s="13">
        <v>1</v>
      </c>
      <c r="P201" s="6">
        <v>45488</v>
      </c>
      <c r="Q201" s="2" t="s">
        <v>689</v>
      </c>
    </row>
    <row r="202" spans="1:17" ht="86.25" customHeight="1" x14ac:dyDescent="0.25">
      <c r="A202" s="2">
        <v>200</v>
      </c>
      <c r="B202" s="3">
        <v>45485</v>
      </c>
      <c r="C202" s="4" t="s">
        <v>13</v>
      </c>
      <c r="D202" s="4" t="s">
        <v>213</v>
      </c>
      <c r="E202" s="4" t="s">
        <v>19</v>
      </c>
      <c r="F202" s="4">
        <v>1</v>
      </c>
      <c r="G202" s="4">
        <v>222000</v>
      </c>
      <c r="H202" s="5" t="s">
        <v>693</v>
      </c>
      <c r="I202" s="75" t="s">
        <v>525</v>
      </c>
      <c r="J202" s="4" t="s">
        <v>9</v>
      </c>
      <c r="K202" s="76" t="s">
        <v>506</v>
      </c>
      <c r="L202" s="4" t="s">
        <v>478</v>
      </c>
      <c r="M202" s="6">
        <v>45492</v>
      </c>
      <c r="N202" s="8" t="s">
        <v>728</v>
      </c>
      <c r="O202" s="13">
        <v>1</v>
      </c>
      <c r="P202" s="6">
        <v>45492</v>
      </c>
      <c r="Q202" s="76" t="s">
        <v>36</v>
      </c>
    </row>
    <row r="203" spans="1:17" ht="86.25" customHeight="1" x14ac:dyDescent="0.25">
      <c r="A203" s="2">
        <v>201</v>
      </c>
      <c r="B203" s="3">
        <v>45485</v>
      </c>
      <c r="C203" s="4" t="s">
        <v>13</v>
      </c>
      <c r="D203" s="4" t="s">
        <v>213</v>
      </c>
      <c r="E203" s="4" t="s">
        <v>19</v>
      </c>
      <c r="F203" s="4">
        <v>1</v>
      </c>
      <c r="G203" s="4">
        <v>221999</v>
      </c>
      <c r="H203" s="5" t="s">
        <v>692</v>
      </c>
      <c r="I203" s="22" t="s">
        <v>155</v>
      </c>
      <c r="J203" s="22" t="s">
        <v>156</v>
      </c>
      <c r="K203" s="83" t="s">
        <v>157</v>
      </c>
      <c r="L203" s="4" t="s">
        <v>615</v>
      </c>
      <c r="M203" s="6">
        <v>45488</v>
      </c>
      <c r="N203" s="34">
        <v>0.37708333333333338</v>
      </c>
      <c r="O203" s="13">
        <v>1</v>
      </c>
      <c r="P203" s="6">
        <v>45488</v>
      </c>
      <c r="Q203" s="83" t="s">
        <v>158</v>
      </c>
    </row>
    <row r="204" spans="1:17" ht="109.5" customHeight="1" x14ac:dyDescent="0.25">
      <c r="A204" s="2">
        <v>202</v>
      </c>
      <c r="B204" s="3">
        <v>45485</v>
      </c>
      <c r="C204" s="4" t="s">
        <v>13</v>
      </c>
      <c r="D204" s="4" t="s">
        <v>694</v>
      </c>
      <c r="E204" s="4" t="s">
        <v>19</v>
      </c>
      <c r="F204" s="4">
        <v>1</v>
      </c>
      <c r="G204" s="4">
        <v>221998</v>
      </c>
      <c r="H204" s="5" t="s">
        <v>695</v>
      </c>
      <c r="I204" s="4" t="s">
        <v>486</v>
      </c>
      <c r="J204" s="2" t="s">
        <v>37</v>
      </c>
      <c r="K204" s="79" t="s">
        <v>37</v>
      </c>
      <c r="L204" s="4" t="s">
        <v>729</v>
      </c>
      <c r="M204" s="6">
        <v>45488</v>
      </c>
      <c r="N204" s="8" t="s">
        <v>730</v>
      </c>
      <c r="O204" s="13">
        <v>1</v>
      </c>
      <c r="P204" s="6">
        <v>45488</v>
      </c>
      <c r="Q204" s="76" t="s">
        <v>51</v>
      </c>
    </row>
    <row r="205" spans="1:17" ht="86.25" customHeight="1" x14ac:dyDescent="0.25">
      <c r="A205" s="2">
        <v>203</v>
      </c>
      <c r="B205" s="3">
        <v>45489</v>
      </c>
      <c r="C205" s="4" t="s">
        <v>13</v>
      </c>
      <c r="D205" s="4" t="s">
        <v>266</v>
      </c>
      <c r="E205" s="4" t="s">
        <v>19</v>
      </c>
      <c r="F205" s="4">
        <v>1</v>
      </c>
      <c r="G205" s="4">
        <v>222014</v>
      </c>
      <c r="H205" s="5" t="s">
        <v>696</v>
      </c>
      <c r="I205" s="75" t="s">
        <v>525</v>
      </c>
      <c r="J205" s="4" t="s">
        <v>9</v>
      </c>
      <c r="K205" s="76" t="s">
        <v>506</v>
      </c>
      <c r="L205" s="4" t="s">
        <v>731</v>
      </c>
      <c r="M205" s="6">
        <v>45490</v>
      </c>
      <c r="N205" s="34">
        <v>0.4375</v>
      </c>
      <c r="O205" s="13">
        <v>1</v>
      </c>
      <c r="P205" s="6">
        <v>45490</v>
      </c>
      <c r="Q205" s="76" t="s">
        <v>36</v>
      </c>
    </row>
    <row r="206" spans="1:17" ht="86.25" customHeight="1" x14ac:dyDescent="0.25">
      <c r="A206" s="2">
        <v>204</v>
      </c>
      <c r="B206" s="3">
        <v>45489</v>
      </c>
      <c r="C206" s="4" t="s">
        <v>13</v>
      </c>
      <c r="D206" s="4" t="s">
        <v>697</v>
      </c>
      <c r="E206" s="4" t="s">
        <v>19</v>
      </c>
      <c r="F206" s="4">
        <v>1</v>
      </c>
      <c r="G206" s="4">
        <v>222015</v>
      </c>
      <c r="H206" s="5" t="s">
        <v>698</v>
      </c>
      <c r="I206" s="22" t="s">
        <v>155</v>
      </c>
      <c r="J206" s="22" t="s">
        <v>156</v>
      </c>
      <c r="K206" s="83" t="s">
        <v>157</v>
      </c>
      <c r="L206" s="4" t="s">
        <v>615</v>
      </c>
      <c r="M206" s="6">
        <v>45492</v>
      </c>
      <c r="N206" s="34">
        <v>0.625</v>
      </c>
      <c r="O206" s="13">
        <v>1</v>
      </c>
      <c r="P206" s="6">
        <v>45492</v>
      </c>
      <c r="Q206" s="83" t="s">
        <v>158</v>
      </c>
    </row>
    <row r="207" spans="1:17" ht="86.25" customHeight="1" x14ac:dyDescent="0.25">
      <c r="A207" s="2">
        <v>205</v>
      </c>
      <c r="B207" s="3">
        <v>45492</v>
      </c>
      <c r="C207" s="4" t="s">
        <v>13</v>
      </c>
      <c r="D207" s="4" t="s">
        <v>213</v>
      </c>
      <c r="E207" s="4" t="s">
        <v>19</v>
      </c>
      <c r="F207" s="4">
        <v>1</v>
      </c>
      <c r="G207" s="4">
        <v>222032</v>
      </c>
      <c r="H207" s="5" t="s">
        <v>704</v>
      </c>
      <c r="I207" s="75" t="s">
        <v>525</v>
      </c>
      <c r="J207" s="4" t="s">
        <v>9</v>
      </c>
      <c r="K207" s="76" t="s">
        <v>506</v>
      </c>
      <c r="L207" s="4" t="s">
        <v>478</v>
      </c>
      <c r="M207" s="6">
        <v>45495</v>
      </c>
      <c r="N207" s="34">
        <v>0.35416666666666669</v>
      </c>
      <c r="O207" s="13">
        <v>1</v>
      </c>
      <c r="P207" s="6">
        <v>45495</v>
      </c>
      <c r="Q207" s="76" t="s">
        <v>36</v>
      </c>
    </row>
    <row r="208" spans="1:17" ht="86.25" customHeight="1" x14ac:dyDescent="0.25">
      <c r="A208" s="2">
        <v>206</v>
      </c>
      <c r="B208" s="3">
        <v>45492</v>
      </c>
      <c r="C208" s="4" t="s">
        <v>13</v>
      </c>
      <c r="D208" s="4" t="s">
        <v>213</v>
      </c>
      <c r="E208" s="4" t="s">
        <v>19</v>
      </c>
      <c r="F208" s="4">
        <v>1</v>
      </c>
      <c r="G208" s="4">
        <v>222033</v>
      </c>
      <c r="H208" s="5" t="s">
        <v>699</v>
      </c>
      <c r="I208" s="79" t="s">
        <v>700</v>
      </c>
      <c r="J208" s="79" t="s">
        <v>99</v>
      </c>
      <c r="K208" s="79" t="s">
        <v>100</v>
      </c>
      <c r="L208" s="4" t="s">
        <v>758</v>
      </c>
      <c r="M208" s="6">
        <v>45500</v>
      </c>
      <c r="N208" s="34"/>
      <c r="O208" s="13">
        <v>1</v>
      </c>
      <c r="P208" s="13">
        <v>0.43541666666666662</v>
      </c>
      <c r="Q208" s="83" t="s">
        <v>101</v>
      </c>
    </row>
    <row r="209" spans="1:17" ht="86.25" customHeight="1" x14ac:dyDescent="0.25">
      <c r="A209" s="2">
        <v>207</v>
      </c>
      <c r="B209" s="3">
        <v>45492</v>
      </c>
      <c r="C209" s="4" t="s">
        <v>13</v>
      </c>
      <c r="D209" s="4" t="s">
        <v>266</v>
      </c>
      <c r="E209" s="4" t="s">
        <v>19</v>
      </c>
      <c r="F209" s="4">
        <v>1</v>
      </c>
      <c r="G209" s="4">
        <v>222034</v>
      </c>
      <c r="H209" s="5" t="s">
        <v>701</v>
      </c>
      <c r="I209" s="4" t="s">
        <v>486</v>
      </c>
      <c r="J209" s="2" t="s">
        <v>37</v>
      </c>
      <c r="K209" s="79" t="s">
        <v>241</v>
      </c>
      <c r="L209" s="4" t="s">
        <v>729</v>
      </c>
      <c r="M209" s="6">
        <v>45495</v>
      </c>
      <c r="N209" s="34">
        <v>0.3430555555555555</v>
      </c>
      <c r="O209" s="13">
        <v>1</v>
      </c>
      <c r="P209" s="6">
        <v>45495</v>
      </c>
      <c r="Q209" s="76" t="s">
        <v>51</v>
      </c>
    </row>
    <row r="210" spans="1:17" ht="86.25" customHeight="1" x14ac:dyDescent="0.25">
      <c r="A210" s="2">
        <v>208</v>
      </c>
      <c r="B210" s="3">
        <v>45492</v>
      </c>
      <c r="C210" s="4" t="s">
        <v>13</v>
      </c>
      <c r="D210" s="4" t="s">
        <v>213</v>
      </c>
      <c r="E210" s="4" t="s">
        <v>19</v>
      </c>
      <c r="F210" s="4">
        <v>1</v>
      </c>
      <c r="G210" s="4">
        <v>222035</v>
      </c>
      <c r="H210" s="5" t="s">
        <v>702</v>
      </c>
      <c r="I210" s="4" t="s">
        <v>666</v>
      </c>
      <c r="J210" s="4" t="s">
        <v>89</v>
      </c>
      <c r="K210" s="83" t="s">
        <v>667</v>
      </c>
      <c r="L210" s="4" t="s">
        <v>732</v>
      </c>
      <c r="M210" s="6">
        <v>45495</v>
      </c>
      <c r="N210" s="34">
        <v>0.39583333333333331</v>
      </c>
      <c r="O210" s="13">
        <v>1</v>
      </c>
      <c r="P210" s="6">
        <v>45495</v>
      </c>
      <c r="Q210" s="2" t="s">
        <v>703</v>
      </c>
    </row>
    <row r="211" spans="1:17" ht="86.25" customHeight="1" x14ac:dyDescent="0.25">
      <c r="A211" s="2">
        <v>209</v>
      </c>
      <c r="B211" s="3">
        <v>45495</v>
      </c>
      <c r="C211" s="4" t="s">
        <v>13</v>
      </c>
      <c r="D211" s="4" t="s">
        <v>607</v>
      </c>
      <c r="E211" s="4" t="s">
        <v>19</v>
      </c>
      <c r="F211" s="4">
        <v>1</v>
      </c>
      <c r="G211" s="4">
        <v>222043</v>
      </c>
      <c r="H211" s="5" t="s">
        <v>706</v>
      </c>
      <c r="I211" s="4" t="s">
        <v>707</v>
      </c>
      <c r="J211" s="2" t="s">
        <v>37</v>
      </c>
      <c r="K211" s="79" t="s">
        <v>241</v>
      </c>
      <c r="L211" s="4" t="s">
        <v>729</v>
      </c>
      <c r="M211" s="6">
        <v>45496</v>
      </c>
      <c r="N211" s="34">
        <v>0.64652777777777781</v>
      </c>
      <c r="O211" s="13">
        <v>1</v>
      </c>
      <c r="P211" s="6">
        <v>45496</v>
      </c>
      <c r="Q211" s="76" t="s">
        <v>51</v>
      </c>
    </row>
    <row r="212" spans="1:17" ht="86.25" customHeight="1" x14ac:dyDescent="0.25">
      <c r="A212" s="2">
        <v>210</v>
      </c>
      <c r="B212" s="3">
        <v>45495</v>
      </c>
      <c r="C212" s="4" t="s">
        <v>13</v>
      </c>
      <c r="D212" s="4" t="s">
        <v>641</v>
      </c>
      <c r="E212" s="4" t="s">
        <v>19</v>
      </c>
      <c r="F212" s="4">
        <v>1</v>
      </c>
      <c r="G212" s="4">
        <v>222044</v>
      </c>
      <c r="H212" s="5" t="s">
        <v>705</v>
      </c>
      <c r="I212" s="4" t="s">
        <v>708</v>
      </c>
      <c r="J212" s="4" t="s">
        <v>9</v>
      </c>
      <c r="K212" s="4" t="s">
        <v>709</v>
      </c>
      <c r="L212" s="4" t="s">
        <v>478</v>
      </c>
      <c r="M212" s="6">
        <v>45496</v>
      </c>
      <c r="N212" s="34">
        <v>0.45833333333333331</v>
      </c>
      <c r="O212" s="13">
        <v>1</v>
      </c>
      <c r="P212" s="6">
        <v>45496</v>
      </c>
      <c r="Q212" s="76" t="s">
        <v>36</v>
      </c>
    </row>
    <row r="213" spans="1:17" ht="86.25" customHeight="1" x14ac:dyDescent="0.25">
      <c r="A213" s="2">
        <v>211</v>
      </c>
      <c r="B213" s="3">
        <v>45496</v>
      </c>
      <c r="C213" s="4" t="s">
        <v>13</v>
      </c>
      <c r="D213" s="4" t="s">
        <v>266</v>
      </c>
      <c r="E213" s="4" t="s">
        <v>19</v>
      </c>
      <c r="F213" s="4">
        <v>1</v>
      </c>
      <c r="G213" s="4">
        <v>222051</v>
      </c>
      <c r="H213" s="5" t="s">
        <v>713</v>
      </c>
      <c r="I213" s="4" t="s">
        <v>710</v>
      </c>
      <c r="J213" s="4" t="s">
        <v>711</v>
      </c>
      <c r="K213" s="4" t="s">
        <v>710</v>
      </c>
      <c r="L213" s="4" t="s">
        <v>735</v>
      </c>
      <c r="M213" s="6">
        <v>45497</v>
      </c>
      <c r="N213" s="8" t="s">
        <v>736</v>
      </c>
      <c r="O213" s="13">
        <v>1</v>
      </c>
      <c r="P213" s="6">
        <v>45497</v>
      </c>
      <c r="Q213" s="2" t="s">
        <v>712</v>
      </c>
    </row>
    <row r="214" spans="1:17" ht="86.25" customHeight="1" x14ac:dyDescent="0.25">
      <c r="A214" s="2">
        <v>212</v>
      </c>
      <c r="B214" s="3">
        <v>45496</v>
      </c>
      <c r="C214" s="4" t="s">
        <v>13</v>
      </c>
      <c r="D214" s="4" t="s">
        <v>266</v>
      </c>
      <c r="E214" s="4" t="s">
        <v>19</v>
      </c>
      <c r="F214" s="4">
        <v>1</v>
      </c>
      <c r="G214" s="4">
        <v>222050</v>
      </c>
      <c r="H214" s="5" t="s">
        <v>714</v>
      </c>
      <c r="I214" s="75" t="s">
        <v>525</v>
      </c>
      <c r="J214" s="4" t="s">
        <v>9</v>
      </c>
      <c r="K214" s="76" t="s">
        <v>506</v>
      </c>
      <c r="L214" s="4" t="s">
        <v>478</v>
      </c>
      <c r="M214" s="6">
        <v>45497</v>
      </c>
      <c r="N214" s="34">
        <v>0.4201388888888889</v>
      </c>
      <c r="O214" s="13">
        <v>1</v>
      </c>
      <c r="P214" s="6">
        <v>45497</v>
      </c>
      <c r="Q214" s="76" t="s">
        <v>36</v>
      </c>
    </row>
    <row r="215" spans="1:17" ht="86.25" customHeight="1" x14ac:dyDescent="0.25">
      <c r="A215" s="2">
        <v>213</v>
      </c>
      <c r="B215" s="3">
        <v>45496</v>
      </c>
      <c r="C215" s="4" t="s">
        <v>13</v>
      </c>
      <c r="D215" s="4" t="s">
        <v>715</v>
      </c>
      <c r="E215" s="4" t="s">
        <v>19</v>
      </c>
      <c r="F215" s="4">
        <v>1</v>
      </c>
      <c r="G215" s="4">
        <v>222055</v>
      </c>
      <c r="H215" s="5" t="s">
        <v>716</v>
      </c>
      <c r="I215" s="75" t="s">
        <v>717</v>
      </c>
      <c r="J215" s="4" t="s">
        <v>9</v>
      </c>
      <c r="K215" s="76" t="s">
        <v>718</v>
      </c>
      <c r="L215" s="4" t="s">
        <v>478</v>
      </c>
      <c r="M215" s="6">
        <v>45498</v>
      </c>
      <c r="N215" s="34">
        <v>0.51180555555555551</v>
      </c>
      <c r="O215" s="13">
        <v>1</v>
      </c>
      <c r="P215" s="6">
        <v>45498</v>
      </c>
      <c r="Q215" s="76" t="s">
        <v>36</v>
      </c>
    </row>
    <row r="216" spans="1:17" ht="86.25" customHeight="1" x14ac:dyDescent="0.25">
      <c r="A216" s="2">
        <v>214</v>
      </c>
      <c r="B216" s="3">
        <v>45498</v>
      </c>
      <c r="C216" s="4" t="s">
        <v>13</v>
      </c>
      <c r="D216" s="4" t="s">
        <v>607</v>
      </c>
      <c r="E216" s="4" t="s">
        <v>19</v>
      </c>
      <c r="F216" s="4">
        <v>1</v>
      </c>
      <c r="G216" s="4">
        <v>222062</v>
      </c>
      <c r="H216" s="5" t="s">
        <v>720</v>
      </c>
      <c r="I216" s="4" t="s">
        <v>719</v>
      </c>
      <c r="J216" s="4" t="s">
        <v>89</v>
      </c>
      <c r="K216" s="83" t="s">
        <v>667</v>
      </c>
      <c r="L216" s="4" t="s">
        <v>737</v>
      </c>
      <c r="M216" s="6">
        <v>45502</v>
      </c>
      <c r="N216" s="34">
        <v>0.5</v>
      </c>
      <c r="O216" s="13">
        <v>1</v>
      </c>
      <c r="P216" s="6">
        <v>45502</v>
      </c>
      <c r="Q216" s="2" t="s">
        <v>703</v>
      </c>
    </row>
    <row r="217" spans="1:17" ht="86.25" customHeight="1" x14ac:dyDescent="0.25">
      <c r="A217" s="2">
        <v>215</v>
      </c>
      <c r="B217" s="3">
        <v>45498</v>
      </c>
      <c r="C217" s="4" t="s">
        <v>13</v>
      </c>
      <c r="D217" s="4" t="s">
        <v>266</v>
      </c>
      <c r="E217" s="4" t="s">
        <v>19</v>
      </c>
      <c r="F217" s="4">
        <v>1</v>
      </c>
      <c r="G217" s="4">
        <v>222063</v>
      </c>
      <c r="H217" s="5" t="s">
        <v>723</v>
      </c>
      <c r="I217" s="4" t="s">
        <v>486</v>
      </c>
      <c r="J217" s="2" t="s">
        <v>37</v>
      </c>
      <c r="K217" s="79" t="s">
        <v>241</v>
      </c>
      <c r="L217" s="4" t="s">
        <v>729</v>
      </c>
      <c r="M217" s="6">
        <v>45499</v>
      </c>
      <c r="N217" s="34">
        <v>0.68402777777777779</v>
      </c>
      <c r="O217" s="13">
        <v>1</v>
      </c>
      <c r="P217" s="6">
        <v>45499</v>
      </c>
      <c r="Q217" s="76" t="s">
        <v>51</v>
      </c>
    </row>
    <row r="218" spans="1:17" ht="86.25" customHeight="1" x14ac:dyDescent="0.25">
      <c r="A218" s="2">
        <v>216</v>
      </c>
      <c r="B218" s="3">
        <v>45498</v>
      </c>
      <c r="C218" s="4" t="s">
        <v>13</v>
      </c>
      <c r="D218" s="4" t="s">
        <v>266</v>
      </c>
      <c r="E218" s="4" t="s">
        <v>19</v>
      </c>
      <c r="F218" s="4">
        <v>1</v>
      </c>
      <c r="G218" s="4">
        <v>222064</v>
      </c>
      <c r="H218" s="5" t="s">
        <v>721</v>
      </c>
      <c r="I218" s="75" t="s">
        <v>525</v>
      </c>
      <c r="J218" s="4" t="s">
        <v>9</v>
      </c>
      <c r="K218" s="76" t="s">
        <v>506</v>
      </c>
      <c r="L218" s="4" t="s">
        <v>478</v>
      </c>
      <c r="M218" s="6">
        <v>45499</v>
      </c>
      <c r="N218" s="34">
        <v>0.47569444444444442</v>
      </c>
      <c r="O218" s="13">
        <v>1</v>
      </c>
      <c r="P218" s="6">
        <v>45499</v>
      </c>
      <c r="Q218" s="76" t="s">
        <v>36</v>
      </c>
    </row>
    <row r="219" spans="1:17" ht="86.25" customHeight="1" x14ac:dyDescent="0.25">
      <c r="A219" s="2">
        <v>217</v>
      </c>
      <c r="B219" s="3">
        <v>45498</v>
      </c>
      <c r="C219" s="4" t="s">
        <v>13</v>
      </c>
      <c r="D219" s="4" t="s">
        <v>266</v>
      </c>
      <c r="E219" s="4" t="s">
        <v>19</v>
      </c>
      <c r="F219" s="4">
        <v>1</v>
      </c>
      <c r="G219" s="4">
        <v>222065</v>
      </c>
      <c r="H219" s="5" t="s">
        <v>722</v>
      </c>
      <c r="I219" s="22" t="s">
        <v>155</v>
      </c>
      <c r="J219" s="22" t="s">
        <v>156</v>
      </c>
      <c r="K219" s="83" t="s">
        <v>157</v>
      </c>
      <c r="L219" s="4" t="s">
        <v>738</v>
      </c>
      <c r="M219" s="6">
        <v>45500</v>
      </c>
      <c r="N219" s="34">
        <v>0.62847222222222221</v>
      </c>
      <c r="O219" s="13">
        <v>1</v>
      </c>
      <c r="P219" s="6">
        <v>45500</v>
      </c>
      <c r="Q219" s="83" t="s">
        <v>158</v>
      </c>
    </row>
    <row r="220" spans="1:17" ht="86.25" customHeight="1" x14ac:dyDescent="0.25">
      <c r="A220" s="2">
        <v>218</v>
      </c>
      <c r="B220" s="3">
        <v>45498</v>
      </c>
      <c r="C220" s="4" t="s">
        <v>13</v>
      </c>
      <c r="D220" s="4" t="s">
        <v>266</v>
      </c>
      <c r="E220" s="4" t="s">
        <v>19</v>
      </c>
      <c r="F220" s="4">
        <v>1</v>
      </c>
      <c r="G220" s="4">
        <v>222067</v>
      </c>
      <c r="H220" s="5" t="s">
        <v>724</v>
      </c>
      <c r="I220" s="75" t="s">
        <v>525</v>
      </c>
      <c r="J220" s="4" t="s">
        <v>9</v>
      </c>
      <c r="K220" s="76" t="s">
        <v>506</v>
      </c>
      <c r="L220" s="4" t="s">
        <v>478</v>
      </c>
      <c r="M220" s="6">
        <v>45500</v>
      </c>
      <c r="N220" s="34">
        <v>0.45555555555555555</v>
      </c>
      <c r="O220" s="13">
        <v>1</v>
      </c>
      <c r="P220" s="6">
        <v>45500</v>
      </c>
      <c r="Q220" s="76" t="s">
        <v>36</v>
      </c>
    </row>
    <row r="221" spans="1:17" ht="86.25" customHeight="1" x14ac:dyDescent="0.25">
      <c r="A221" s="2">
        <v>219</v>
      </c>
      <c r="B221" s="3">
        <v>45504</v>
      </c>
      <c r="C221" s="4" t="s">
        <v>13</v>
      </c>
      <c r="D221" s="4" t="s">
        <v>266</v>
      </c>
      <c r="E221" s="4" t="s">
        <v>19</v>
      </c>
      <c r="F221" s="4">
        <v>1</v>
      </c>
      <c r="G221" s="4">
        <v>222080</v>
      </c>
      <c r="H221" s="5" t="s">
        <v>725</v>
      </c>
      <c r="I221" s="75" t="s">
        <v>525</v>
      </c>
      <c r="J221" s="4" t="s">
        <v>9</v>
      </c>
      <c r="K221" s="76" t="s">
        <v>506</v>
      </c>
      <c r="L221" s="4" t="s">
        <v>478</v>
      </c>
      <c r="M221" s="6">
        <v>45505</v>
      </c>
      <c r="N221" s="34">
        <v>0.45902777777777781</v>
      </c>
      <c r="O221" s="13">
        <v>0.45902777777777781</v>
      </c>
      <c r="P221" s="6">
        <v>45505</v>
      </c>
      <c r="Q221" s="76" t="s">
        <v>36</v>
      </c>
    </row>
    <row r="222" spans="1:17" ht="86.25" customHeight="1" x14ac:dyDescent="0.25">
      <c r="A222" s="2">
        <v>220</v>
      </c>
      <c r="B222" s="3">
        <v>45504</v>
      </c>
      <c r="C222" s="4" t="s">
        <v>13</v>
      </c>
      <c r="D222" s="4" t="s">
        <v>213</v>
      </c>
      <c r="E222" s="4" t="s">
        <v>19</v>
      </c>
      <c r="F222" s="4">
        <v>1</v>
      </c>
      <c r="G222" s="4">
        <v>222081</v>
      </c>
      <c r="H222" s="5" t="s">
        <v>726</v>
      </c>
      <c r="I222" s="22" t="s">
        <v>155</v>
      </c>
      <c r="J222" s="22" t="s">
        <v>156</v>
      </c>
      <c r="K222" s="83" t="s">
        <v>157</v>
      </c>
      <c r="L222" s="4" t="s">
        <v>615</v>
      </c>
      <c r="M222" s="6">
        <v>45509</v>
      </c>
      <c r="N222" s="92">
        <v>0.52361111111111114</v>
      </c>
      <c r="O222" s="13">
        <v>1</v>
      </c>
      <c r="P222" s="6">
        <v>45509</v>
      </c>
      <c r="Q222" s="83" t="s">
        <v>158</v>
      </c>
    </row>
    <row r="223" spans="1:17" ht="86.25" customHeight="1" x14ac:dyDescent="0.25">
      <c r="A223" s="2">
        <v>221</v>
      </c>
      <c r="B223" s="3">
        <v>45506</v>
      </c>
      <c r="C223" s="4" t="s">
        <v>13</v>
      </c>
      <c r="D223" s="4" t="s">
        <v>266</v>
      </c>
      <c r="E223" s="4" t="s">
        <v>19</v>
      </c>
      <c r="F223" s="4">
        <v>1</v>
      </c>
      <c r="G223" s="4">
        <v>222094</v>
      </c>
      <c r="H223" s="5" t="s">
        <v>734</v>
      </c>
      <c r="I223" s="75" t="s">
        <v>525</v>
      </c>
      <c r="J223" s="4" t="s">
        <v>9</v>
      </c>
      <c r="K223" s="76" t="s">
        <v>506</v>
      </c>
      <c r="L223" s="4" t="s">
        <v>754</v>
      </c>
      <c r="M223" s="6">
        <v>45509</v>
      </c>
      <c r="N223" s="34">
        <v>0.46527777777777773</v>
      </c>
      <c r="O223" s="12">
        <v>1</v>
      </c>
      <c r="Q223" s="76" t="s">
        <v>36</v>
      </c>
    </row>
    <row r="224" spans="1:17" ht="86.25" customHeight="1" x14ac:dyDescent="0.25">
      <c r="A224" s="2">
        <v>222</v>
      </c>
      <c r="B224" s="3">
        <v>45506</v>
      </c>
      <c r="C224" s="4" t="s">
        <v>13</v>
      </c>
      <c r="D224" s="4" t="s">
        <v>266</v>
      </c>
      <c r="E224" s="4" t="s">
        <v>19</v>
      </c>
      <c r="F224" s="4">
        <v>1</v>
      </c>
      <c r="G224" s="4">
        <v>222093</v>
      </c>
      <c r="H224" s="5" t="s">
        <v>733</v>
      </c>
      <c r="I224" s="4" t="s">
        <v>486</v>
      </c>
      <c r="J224" s="2" t="s">
        <v>37</v>
      </c>
      <c r="K224" s="79" t="s">
        <v>241</v>
      </c>
      <c r="L224" s="4" t="s">
        <v>729</v>
      </c>
      <c r="M224" s="6">
        <v>45509</v>
      </c>
      <c r="N224" s="34">
        <v>0.36319444444444443</v>
      </c>
      <c r="O224" s="13">
        <v>1</v>
      </c>
      <c r="P224" s="6">
        <v>45509</v>
      </c>
      <c r="Q224" s="76" t="s">
        <v>51</v>
      </c>
    </row>
    <row r="225" spans="1:17" ht="86.25" customHeight="1" x14ac:dyDescent="0.25">
      <c r="A225" s="2">
        <v>223</v>
      </c>
      <c r="B225" s="3">
        <v>45510</v>
      </c>
      <c r="C225" s="4" t="s">
        <v>13</v>
      </c>
      <c r="D225" s="4" t="s">
        <v>739</v>
      </c>
      <c r="E225" s="4" t="s">
        <v>19</v>
      </c>
      <c r="F225" s="4">
        <v>1</v>
      </c>
      <c r="G225" s="4">
        <v>222104</v>
      </c>
      <c r="H225" s="5" t="s">
        <v>741</v>
      </c>
      <c r="I225" s="4" t="s">
        <v>740</v>
      </c>
      <c r="J225" s="4" t="s">
        <v>254</v>
      </c>
      <c r="K225" s="76" t="s">
        <v>506</v>
      </c>
      <c r="L225" s="4" t="s">
        <v>754</v>
      </c>
      <c r="M225" s="6">
        <v>45511</v>
      </c>
      <c r="N225" s="34">
        <v>0.49305555555555558</v>
      </c>
      <c r="O225" s="13">
        <v>1</v>
      </c>
      <c r="P225" s="6">
        <v>45511</v>
      </c>
      <c r="Q225" s="76" t="s">
        <v>36</v>
      </c>
    </row>
    <row r="226" spans="1:17" ht="86.25" customHeight="1" x14ac:dyDescent="0.25">
      <c r="A226" s="2">
        <v>224</v>
      </c>
      <c r="B226" s="3">
        <v>45512</v>
      </c>
      <c r="C226" s="4" t="s">
        <v>13</v>
      </c>
      <c r="D226" s="4" t="s">
        <v>739</v>
      </c>
      <c r="E226" s="4" t="s">
        <v>19</v>
      </c>
      <c r="F226" s="4">
        <v>1</v>
      </c>
      <c r="G226" s="4">
        <v>222119</v>
      </c>
      <c r="H226" s="5" t="s">
        <v>742</v>
      </c>
      <c r="I226" s="75" t="s">
        <v>525</v>
      </c>
      <c r="J226" s="4" t="s">
        <v>9</v>
      </c>
      <c r="K226" s="76" t="s">
        <v>506</v>
      </c>
      <c r="L226" s="4" t="s">
        <v>755</v>
      </c>
      <c r="M226" s="6">
        <v>45516</v>
      </c>
      <c r="N226" s="34">
        <v>0.41041666666666665</v>
      </c>
      <c r="O226" s="13">
        <v>1</v>
      </c>
      <c r="P226" s="6">
        <v>45516</v>
      </c>
      <c r="Q226" s="76" t="s">
        <v>36</v>
      </c>
    </row>
    <row r="227" spans="1:17" ht="86.25" customHeight="1" x14ac:dyDescent="0.25">
      <c r="A227" s="2">
        <v>225</v>
      </c>
      <c r="B227" s="3">
        <v>45512</v>
      </c>
      <c r="C227" s="4" t="s">
        <v>13</v>
      </c>
      <c r="D227" s="4" t="s">
        <v>739</v>
      </c>
      <c r="E227" s="4" t="s">
        <v>19</v>
      </c>
      <c r="F227" s="4">
        <v>1</v>
      </c>
      <c r="G227" s="4">
        <v>222118</v>
      </c>
      <c r="H227" s="5" t="s">
        <v>744</v>
      </c>
      <c r="I227" s="4" t="s">
        <v>486</v>
      </c>
      <c r="J227" s="2" t="s">
        <v>37</v>
      </c>
      <c r="K227" s="79" t="s">
        <v>241</v>
      </c>
      <c r="L227" s="4" t="s">
        <v>613</v>
      </c>
      <c r="M227" s="6">
        <v>45516</v>
      </c>
      <c r="N227" s="34">
        <v>0.64930555555555558</v>
      </c>
      <c r="O227" s="13">
        <v>1</v>
      </c>
      <c r="P227" s="6">
        <v>45516</v>
      </c>
      <c r="Q227" s="76" t="s">
        <v>51</v>
      </c>
    </row>
    <row r="228" spans="1:17" ht="86.25" customHeight="1" x14ac:dyDescent="0.25">
      <c r="A228" s="2">
        <v>226</v>
      </c>
      <c r="B228" s="3">
        <v>45517</v>
      </c>
      <c r="C228" s="4" t="s">
        <v>13</v>
      </c>
      <c r="D228" s="4" t="s">
        <v>266</v>
      </c>
      <c r="E228" s="4" t="s">
        <v>19</v>
      </c>
      <c r="F228" s="4">
        <v>1</v>
      </c>
      <c r="G228" s="4">
        <v>222138</v>
      </c>
      <c r="H228" s="5" t="s">
        <v>743</v>
      </c>
      <c r="I228" s="75" t="s">
        <v>525</v>
      </c>
      <c r="J228" s="4" t="s">
        <v>9</v>
      </c>
      <c r="K228" s="76" t="s">
        <v>506</v>
      </c>
      <c r="L228" s="4" t="s">
        <v>578</v>
      </c>
      <c r="M228" s="6">
        <v>45518</v>
      </c>
      <c r="N228" s="34">
        <v>0.49305555555555558</v>
      </c>
      <c r="O228" s="13">
        <v>1</v>
      </c>
      <c r="P228" s="6">
        <v>45518</v>
      </c>
      <c r="Q228" s="76" t="s">
        <v>36</v>
      </c>
    </row>
    <row r="229" spans="1:17" ht="86.25" customHeight="1" x14ac:dyDescent="0.25">
      <c r="A229" s="2">
        <v>227</v>
      </c>
      <c r="B229" s="3">
        <v>45519</v>
      </c>
      <c r="C229" s="4" t="s">
        <v>13</v>
      </c>
      <c r="D229" s="4" t="s">
        <v>266</v>
      </c>
      <c r="E229" s="4" t="s">
        <v>19</v>
      </c>
      <c r="F229" s="4">
        <v>1</v>
      </c>
      <c r="G229" s="4">
        <v>222153</v>
      </c>
      <c r="H229" s="5" t="s">
        <v>745</v>
      </c>
      <c r="I229" s="75" t="s">
        <v>525</v>
      </c>
      <c r="J229" s="4" t="s">
        <v>9</v>
      </c>
      <c r="K229" s="76" t="s">
        <v>506</v>
      </c>
      <c r="L229" s="4" t="s">
        <v>578</v>
      </c>
      <c r="M229" s="6">
        <v>45523</v>
      </c>
      <c r="N229" s="34">
        <v>0.40625</v>
      </c>
      <c r="O229" s="13">
        <v>1</v>
      </c>
      <c r="P229" s="6">
        <v>45523</v>
      </c>
      <c r="Q229" s="76" t="s">
        <v>36</v>
      </c>
    </row>
    <row r="230" spans="1:17" ht="86.25" customHeight="1" x14ac:dyDescent="0.25">
      <c r="A230" s="2">
        <v>228</v>
      </c>
      <c r="B230" s="3">
        <v>45519</v>
      </c>
      <c r="C230" s="4" t="s">
        <v>13</v>
      </c>
      <c r="D230" s="4" t="s">
        <v>746</v>
      </c>
      <c r="E230" s="4" t="s">
        <v>19</v>
      </c>
      <c r="F230" s="4">
        <v>1</v>
      </c>
      <c r="G230" s="4">
        <v>222154</v>
      </c>
      <c r="H230" s="7" t="s">
        <v>747</v>
      </c>
      <c r="I230" s="4" t="s">
        <v>486</v>
      </c>
      <c r="J230" s="2" t="s">
        <v>37</v>
      </c>
      <c r="K230" s="79" t="s">
        <v>241</v>
      </c>
      <c r="L230" s="4" t="s">
        <v>756</v>
      </c>
      <c r="M230" s="6">
        <v>45520</v>
      </c>
      <c r="N230" s="34">
        <v>0.6645833333333333</v>
      </c>
      <c r="O230" s="13">
        <v>1</v>
      </c>
      <c r="P230" s="6">
        <v>45520</v>
      </c>
      <c r="Q230" s="76" t="s">
        <v>51</v>
      </c>
    </row>
    <row r="231" spans="1:17" ht="86.25" customHeight="1" x14ac:dyDescent="0.25">
      <c r="A231" s="2">
        <v>229</v>
      </c>
      <c r="B231" s="3">
        <v>45519</v>
      </c>
      <c r="C231" s="4" t="s">
        <v>13</v>
      </c>
      <c r="D231" s="4" t="s">
        <v>746</v>
      </c>
      <c r="E231" s="4" t="s">
        <v>19</v>
      </c>
      <c r="F231" s="4">
        <v>1</v>
      </c>
      <c r="G231" s="4">
        <v>222152</v>
      </c>
      <c r="H231" s="5" t="s">
        <v>748</v>
      </c>
      <c r="I231" s="22" t="s">
        <v>155</v>
      </c>
      <c r="J231" s="22" t="s">
        <v>156</v>
      </c>
      <c r="K231" s="83" t="s">
        <v>157</v>
      </c>
      <c r="L231" s="4" t="s">
        <v>613</v>
      </c>
      <c r="M231" s="6">
        <v>45523</v>
      </c>
      <c r="N231" s="34">
        <v>0.60416666666666663</v>
      </c>
      <c r="O231" s="13">
        <v>1</v>
      </c>
      <c r="P231" s="6">
        <v>45523</v>
      </c>
      <c r="Q231" s="83" t="s">
        <v>158</v>
      </c>
    </row>
    <row r="232" spans="1:17" ht="86.25" customHeight="1" x14ac:dyDescent="0.25">
      <c r="A232" s="2">
        <v>230</v>
      </c>
      <c r="B232" s="3">
        <v>45519</v>
      </c>
      <c r="C232" s="4" t="s">
        <v>13</v>
      </c>
      <c r="D232" s="4" t="s">
        <v>746</v>
      </c>
      <c r="E232" s="4" t="s">
        <v>19</v>
      </c>
      <c r="F232" s="4">
        <v>1</v>
      </c>
      <c r="G232" s="4">
        <v>222155</v>
      </c>
      <c r="H232" s="5" t="s">
        <v>749</v>
      </c>
      <c r="I232" s="79" t="s">
        <v>358</v>
      </c>
      <c r="J232" s="79" t="s">
        <v>83</v>
      </c>
      <c r="K232" s="79" t="s">
        <v>84</v>
      </c>
      <c r="L232" s="4" t="s">
        <v>513</v>
      </c>
      <c r="M232" s="6">
        <v>45520</v>
      </c>
      <c r="N232" s="34">
        <v>0.41041666666666665</v>
      </c>
      <c r="O232" s="13">
        <v>1</v>
      </c>
      <c r="P232" s="6">
        <v>45520</v>
      </c>
      <c r="Q232" s="83" t="s">
        <v>85</v>
      </c>
    </row>
    <row r="233" spans="1:17" ht="86.25" customHeight="1" x14ac:dyDescent="0.25">
      <c r="A233" s="2">
        <v>231</v>
      </c>
      <c r="B233" s="3">
        <v>45519</v>
      </c>
      <c r="C233" s="4" t="s">
        <v>13</v>
      </c>
      <c r="D233" s="4" t="s">
        <v>563</v>
      </c>
      <c r="E233" s="4" t="s">
        <v>19</v>
      </c>
      <c r="F233" s="4">
        <v>1</v>
      </c>
      <c r="G233" s="4">
        <v>222151</v>
      </c>
      <c r="H233" s="5" t="s">
        <v>751</v>
      </c>
      <c r="I233" s="4" t="s">
        <v>752</v>
      </c>
      <c r="J233" s="4" t="s">
        <v>89</v>
      </c>
      <c r="K233" s="83" t="s">
        <v>667</v>
      </c>
      <c r="L233" s="4" t="s">
        <v>732</v>
      </c>
      <c r="M233" s="6">
        <v>45520</v>
      </c>
      <c r="N233" s="8" t="s">
        <v>757</v>
      </c>
      <c r="O233" s="13">
        <v>1</v>
      </c>
      <c r="P233" s="6">
        <v>45520</v>
      </c>
      <c r="Q233" s="2" t="s">
        <v>750</v>
      </c>
    </row>
    <row r="234" spans="1:17" ht="86.25" customHeight="1" x14ac:dyDescent="0.25">
      <c r="A234" s="2">
        <v>232</v>
      </c>
      <c r="B234" s="3">
        <v>45523</v>
      </c>
      <c r="C234" s="4" t="s">
        <v>13</v>
      </c>
      <c r="D234" s="4" t="s">
        <v>746</v>
      </c>
      <c r="E234" s="4" t="s">
        <v>19</v>
      </c>
      <c r="F234" s="4">
        <v>1</v>
      </c>
      <c r="G234" s="4">
        <v>222168</v>
      </c>
      <c r="H234" s="5" t="s">
        <v>753</v>
      </c>
      <c r="I234" s="4" t="s">
        <v>525</v>
      </c>
      <c r="J234" s="4" t="s">
        <v>9</v>
      </c>
      <c r="K234" s="83" t="s">
        <v>506</v>
      </c>
      <c r="L234" s="4" t="s">
        <v>578</v>
      </c>
      <c r="M234" s="6">
        <v>45524</v>
      </c>
      <c r="N234" s="34">
        <v>0.4916666666666667</v>
      </c>
      <c r="O234" s="13">
        <v>1</v>
      </c>
      <c r="P234" s="6">
        <v>45524</v>
      </c>
      <c r="Q234" s="76" t="s">
        <v>36</v>
      </c>
    </row>
    <row r="235" spans="1:17" ht="86.25" customHeight="1" x14ac:dyDescent="0.25">
      <c r="A235" s="2">
        <v>233</v>
      </c>
      <c r="B235" s="3">
        <v>45526</v>
      </c>
      <c r="C235" s="4" t="s">
        <v>13</v>
      </c>
      <c r="D235" s="4" t="s">
        <v>746</v>
      </c>
      <c r="E235" s="4" t="s">
        <v>19</v>
      </c>
      <c r="F235" s="4">
        <v>1</v>
      </c>
      <c r="G235" s="4">
        <v>222184</v>
      </c>
      <c r="H235" s="5" t="s">
        <v>759</v>
      </c>
      <c r="I235" s="4" t="s">
        <v>525</v>
      </c>
      <c r="J235" s="4" t="s">
        <v>9</v>
      </c>
      <c r="K235" s="83" t="s">
        <v>506</v>
      </c>
      <c r="L235" s="4" t="s">
        <v>578</v>
      </c>
      <c r="M235" s="6">
        <v>45524</v>
      </c>
      <c r="N235" s="34">
        <v>0.4916666666666667</v>
      </c>
      <c r="O235" s="13">
        <v>1</v>
      </c>
      <c r="P235" s="6">
        <v>45526</v>
      </c>
      <c r="Q235" s="76" t="s">
        <v>36</v>
      </c>
    </row>
    <row r="236" spans="1:17" ht="86.25" customHeight="1" x14ac:dyDescent="0.25">
      <c r="A236" s="2">
        <v>234</v>
      </c>
      <c r="B236" s="3">
        <v>45527</v>
      </c>
      <c r="C236" s="4" t="s">
        <v>13</v>
      </c>
      <c r="D236" s="4" t="s">
        <v>746</v>
      </c>
      <c r="E236" s="4" t="s">
        <v>19</v>
      </c>
      <c r="F236" s="4">
        <v>1</v>
      </c>
      <c r="G236" s="4">
        <v>222189</v>
      </c>
      <c r="H236" s="5" t="s">
        <v>493</v>
      </c>
      <c r="I236" s="4" t="s">
        <v>358</v>
      </c>
      <c r="J236" s="4" t="s">
        <v>83</v>
      </c>
      <c r="K236" s="83" t="s">
        <v>84</v>
      </c>
      <c r="L236" s="4" t="s">
        <v>377</v>
      </c>
      <c r="M236" s="6">
        <v>45527</v>
      </c>
      <c r="N236" s="8" t="s">
        <v>378</v>
      </c>
      <c r="O236" s="13">
        <v>1</v>
      </c>
      <c r="P236" s="6">
        <v>45527</v>
      </c>
      <c r="Q236" s="83" t="s">
        <v>85</v>
      </c>
    </row>
    <row r="237" spans="1:17" ht="86.25" customHeight="1" x14ac:dyDescent="0.25">
      <c r="A237" s="2">
        <v>235</v>
      </c>
      <c r="B237" s="3">
        <v>45527</v>
      </c>
      <c r="C237" s="4" t="s">
        <v>13</v>
      </c>
      <c r="D237" s="4" t="s">
        <v>746</v>
      </c>
      <c r="E237" s="4" t="s">
        <v>19</v>
      </c>
      <c r="F237" s="4">
        <v>1</v>
      </c>
      <c r="G237" s="4">
        <v>222190</v>
      </c>
      <c r="H237" s="5" t="s">
        <v>764</v>
      </c>
      <c r="I237" s="4" t="s">
        <v>486</v>
      </c>
      <c r="J237" s="2" t="s">
        <v>37</v>
      </c>
      <c r="K237" s="79" t="s">
        <v>241</v>
      </c>
      <c r="L237" s="4" t="s">
        <v>756</v>
      </c>
      <c r="M237" s="6">
        <v>45527</v>
      </c>
      <c r="N237" s="34">
        <v>0.6645833333333333</v>
      </c>
      <c r="O237" s="13">
        <v>1</v>
      </c>
      <c r="P237" s="6">
        <v>45527</v>
      </c>
      <c r="Q237" s="76" t="s">
        <v>51</v>
      </c>
    </row>
    <row r="238" spans="1:17" ht="86.25" customHeight="1" x14ac:dyDescent="0.25">
      <c r="A238" s="2">
        <v>236</v>
      </c>
      <c r="B238" s="3">
        <v>45530</v>
      </c>
      <c r="C238" s="4" t="s">
        <v>13</v>
      </c>
      <c r="D238" s="4" t="s">
        <v>266</v>
      </c>
      <c r="E238" s="4" t="s">
        <v>19</v>
      </c>
      <c r="F238" s="4">
        <v>1</v>
      </c>
      <c r="G238" s="4">
        <v>222201</v>
      </c>
      <c r="H238" s="5" t="s">
        <v>763</v>
      </c>
      <c r="I238" s="4" t="s">
        <v>525</v>
      </c>
      <c r="J238" s="4" t="s">
        <v>9</v>
      </c>
      <c r="K238" s="83" t="s">
        <v>506</v>
      </c>
      <c r="L238" s="4" t="s">
        <v>779</v>
      </c>
      <c r="M238" s="6">
        <v>45531</v>
      </c>
      <c r="N238" s="34">
        <v>0.49652777777777773</v>
      </c>
      <c r="O238" s="13">
        <v>1</v>
      </c>
      <c r="P238" s="6">
        <v>45531</v>
      </c>
      <c r="Q238" s="76" t="s">
        <v>36</v>
      </c>
    </row>
    <row r="239" spans="1:17" ht="86.25" customHeight="1" x14ac:dyDescent="0.25">
      <c r="A239" s="2">
        <v>237</v>
      </c>
      <c r="B239" s="3">
        <v>45530</v>
      </c>
      <c r="C239" s="4" t="s">
        <v>13</v>
      </c>
      <c r="D239" s="4" t="s">
        <v>266</v>
      </c>
      <c r="E239" s="4" t="s">
        <v>19</v>
      </c>
      <c r="F239" s="4">
        <v>1</v>
      </c>
      <c r="G239" s="4">
        <v>222200</v>
      </c>
      <c r="H239" s="5" t="s">
        <v>762</v>
      </c>
      <c r="I239" s="22" t="s">
        <v>155</v>
      </c>
      <c r="J239" s="22" t="s">
        <v>156</v>
      </c>
      <c r="K239" s="83" t="s">
        <v>157</v>
      </c>
      <c r="L239" s="4" t="s">
        <v>615</v>
      </c>
      <c r="M239" s="6">
        <v>45533</v>
      </c>
      <c r="N239" s="34">
        <v>0.53819444444444442</v>
      </c>
      <c r="O239" s="13">
        <v>1</v>
      </c>
      <c r="P239" s="6">
        <v>45533</v>
      </c>
      <c r="Q239" s="83" t="s">
        <v>158</v>
      </c>
    </row>
    <row r="240" spans="1:17" ht="86.25" customHeight="1" x14ac:dyDescent="0.25">
      <c r="A240" s="2">
        <v>238</v>
      </c>
      <c r="B240" s="3">
        <v>45530</v>
      </c>
      <c r="C240" s="4" t="s">
        <v>13</v>
      </c>
      <c r="D240" s="4" t="s">
        <v>266</v>
      </c>
      <c r="E240" s="4" t="s">
        <v>19</v>
      </c>
      <c r="F240" s="4">
        <v>1</v>
      </c>
      <c r="G240" s="4">
        <v>222199</v>
      </c>
      <c r="H240" s="5" t="s">
        <v>761</v>
      </c>
      <c r="I240" s="4" t="s">
        <v>358</v>
      </c>
      <c r="J240" s="4" t="s">
        <v>83</v>
      </c>
      <c r="K240" s="83" t="s">
        <v>84</v>
      </c>
      <c r="L240" s="4" t="s">
        <v>806</v>
      </c>
      <c r="M240" s="6">
        <v>45533</v>
      </c>
      <c r="N240" s="34">
        <v>0.64583333333333337</v>
      </c>
      <c r="O240" s="13">
        <v>1</v>
      </c>
      <c r="P240" s="6">
        <v>45533</v>
      </c>
      <c r="Q240" s="83" t="s">
        <v>85</v>
      </c>
    </row>
    <row r="241" spans="1:17" ht="86.25" customHeight="1" x14ac:dyDescent="0.25">
      <c r="A241" s="2">
        <v>239</v>
      </c>
      <c r="B241" s="3">
        <v>45530</v>
      </c>
      <c r="C241" s="4" t="s">
        <v>13</v>
      </c>
      <c r="D241" s="4" t="s">
        <v>266</v>
      </c>
      <c r="E241" s="4" t="s">
        <v>19</v>
      </c>
      <c r="F241" s="4">
        <v>1</v>
      </c>
      <c r="G241" s="4">
        <v>222202</v>
      </c>
      <c r="H241" s="5" t="s">
        <v>760</v>
      </c>
      <c r="I241" s="88" t="s">
        <v>68</v>
      </c>
      <c r="J241" s="75" t="s">
        <v>9</v>
      </c>
      <c r="K241" s="76" t="s">
        <v>69</v>
      </c>
      <c r="L241" s="4" t="s">
        <v>578</v>
      </c>
      <c r="M241" s="19">
        <v>45531</v>
      </c>
      <c r="N241" s="25">
        <v>0.49791666666666662</v>
      </c>
      <c r="O241" s="13">
        <v>1</v>
      </c>
      <c r="P241" s="19">
        <v>45531</v>
      </c>
      <c r="Q241" s="76" t="s">
        <v>70</v>
      </c>
    </row>
    <row r="242" spans="1:17" ht="86.25" customHeight="1" x14ac:dyDescent="0.25">
      <c r="A242" s="2">
        <v>240</v>
      </c>
      <c r="B242" s="3">
        <v>45531</v>
      </c>
      <c r="C242" s="4" t="s">
        <v>13</v>
      </c>
      <c r="D242" s="4" t="s">
        <v>766</v>
      </c>
      <c r="E242" s="4" t="s">
        <v>19</v>
      </c>
      <c r="F242" s="4">
        <v>1</v>
      </c>
      <c r="G242" s="4">
        <v>222206</v>
      </c>
      <c r="H242" s="5" t="s">
        <v>765</v>
      </c>
      <c r="I242" s="4" t="s">
        <v>717</v>
      </c>
      <c r="J242" s="4" t="s">
        <v>254</v>
      </c>
      <c r="K242" s="4" t="s">
        <v>767</v>
      </c>
      <c r="L242" s="4" t="s">
        <v>578</v>
      </c>
      <c r="M242" s="19" t="s">
        <v>780</v>
      </c>
      <c r="N242" s="25">
        <v>0.57986111111111105</v>
      </c>
      <c r="O242" s="13">
        <v>1</v>
      </c>
      <c r="P242" s="19" t="s">
        <v>780</v>
      </c>
      <c r="Q242" s="76" t="s">
        <v>36</v>
      </c>
    </row>
    <row r="243" spans="1:17" ht="86.25" customHeight="1" x14ac:dyDescent="0.25">
      <c r="A243" s="2">
        <v>241</v>
      </c>
      <c r="B243" s="3">
        <v>44436</v>
      </c>
      <c r="C243" s="4" t="s">
        <v>13</v>
      </c>
      <c r="D243" s="4" t="s">
        <v>739</v>
      </c>
      <c r="E243" s="4" t="s">
        <v>19</v>
      </c>
      <c r="F243" s="4">
        <v>1</v>
      </c>
      <c r="G243" s="4">
        <v>222210</v>
      </c>
      <c r="H243" s="5" t="s">
        <v>769</v>
      </c>
      <c r="I243" s="4" t="s">
        <v>486</v>
      </c>
      <c r="J243" s="4" t="s">
        <v>37</v>
      </c>
      <c r="K243" s="4" t="s">
        <v>768</v>
      </c>
      <c r="L243" s="4" t="s">
        <v>756</v>
      </c>
      <c r="M243" s="6">
        <v>45533</v>
      </c>
      <c r="N243" s="34">
        <v>0.6645833333333333</v>
      </c>
      <c r="O243" s="13">
        <v>1</v>
      </c>
      <c r="P243" s="6">
        <v>45533</v>
      </c>
      <c r="Q243" s="76" t="s">
        <v>51</v>
      </c>
    </row>
    <row r="244" spans="1:17" ht="86.25" customHeight="1" x14ac:dyDescent="0.25">
      <c r="A244" s="2">
        <v>242</v>
      </c>
      <c r="B244" s="3">
        <v>45533</v>
      </c>
      <c r="C244" s="4" t="s">
        <v>13</v>
      </c>
      <c r="D244" s="4" t="s">
        <v>739</v>
      </c>
      <c r="E244" s="4" t="s">
        <v>19</v>
      </c>
      <c r="F244" s="4">
        <v>1</v>
      </c>
      <c r="G244" s="4">
        <v>222224</v>
      </c>
      <c r="H244" s="5" t="s">
        <v>773</v>
      </c>
      <c r="I244" s="75" t="s">
        <v>525</v>
      </c>
      <c r="J244" s="4" t="s">
        <v>9</v>
      </c>
      <c r="K244" s="76" t="s">
        <v>506</v>
      </c>
      <c r="L244" s="4" t="s">
        <v>578</v>
      </c>
      <c r="M244" s="19">
        <v>45534</v>
      </c>
      <c r="N244" s="25">
        <v>0.52222222222222225</v>
      </c>
      <c r="O244" s="13">
        <v>1</v>
      </c>
      <c r="P244" s="19">
        <v>45534</v>
      </c>
      <c r="Q244" s="76" t="s">
        <v>36</v>
      </c>
    </row>
    <row r="245" spans="1:17" ht="86.25" customHeight="1" x14ac:dyDescent="0.25">
      <c r="A245" s="2">
        <v>243</v>
      </c>
      <c r="B245" s="3">
        <v>45533</v>
      </c>
      <c r="C245" s="4" t="s">
        <v>13</v>
      </c>
      <c r="D245" s="4" t="s">
        <v>739</v>
      </c>
      <c r="E245" s="4" t="s">
        <v>19</v>
      </c>
      <c r="F245" s="4">
        <v>1</v>
      </c>
      <c r="G245" s="4">
        <v>222223</v>
      </c>
      <c r="H245" s="5" t="s">
        <v>770</v>
      </c>
      <c r="I245" s="22" t="s">
        <v>155</v>
      </c>
      <c r="J245" s="22" t="s">
        <v>156</v>
      </c>
      <c r="K245" s="83" t="s">
        <v>157</v>
      </c>
      <c r="L245" s="4" t="s">
        <v>615</v>
      </c>
      <c r="M245" s="19">
        <v>45534</v>
      </c>
      <c r="N245" s="34">
        <v>0.54791666666666672</v>
      </c>
      <c r="O245" s="13">
        <v>1</v>
      </c>
      <c r="P245" s="19">
        <v>45534</v>
      </c>
      <c r="Q245" s="83" t="s">
        <v>158</v>
      </c>
    </row>
    <row r="246" spans="1:17" ht="86.25" customHeight="1" x14ac:dyDescent="0.25">
      <c r="A246" s="2">
        <v>244</v>
      </c>
      <c r="B246" s="3">
        <v>45533</v>
      </c>
      <c r="C246" s="4" t="s">
        <v>13</v>
      </c>
      <c r="D246" s="4" t="s">
        <v>772</v>
      </c>
      <c r="E246" s="4" t="s">
        <v>19</v>
      </c>
      <c r="F246" s="4">
        <v>1</v>
      </c>
      <c r="G246" s="4">
        <v>222225</v>
      </c>
      <c r="H246" s="5" t="s">
        <v>771</v>
      </c>
      <c r="I246" s="4" t="s">
        <v>358</v>
      </c>
      <c r="J246" s="4" t="s">
        <v>83</v>
      </c>
      <c r="K246" s="83" t="s">
        <v>84</v>
      </c>
      <c r="L246" s="4" t="s">
        <v>781</v>
      </c>
      <c r="M246" s="19">
        <v>45534</v>
      </c>
      <c r="N246" s="34">
        <v>0.41666666666666669</v>
      </c>
      <c r="O246" s="13">
        <v>1</v>
      </c>
      <c r="P246" s="19">
        <v>45534</v>
      </c>
      <c r="Q246" s="83" t="s">
        <v>85</v>
      </c>
    </row>
    <row r="247" spans="1:17" ht="86.25" customHeight="1" x14ac:dyDescent="0.25">
      <c r="A247" s="2">
        <v>245</v>
      </c>
      <c r="B247" s="3" t="s">
        <v>775</v>
      </c>
      <c r="C247" s="4" t="s">
        <v>13</v>
      </c>
      <c r="D247" s="4" t="s">
        <v>266</v>
      </c>
      <c r="E247" s="4" t="s">
        <v>19</v>
      </c>
      <c r="F247" s="4">
        <v>1</v>
      </c>
      <c r="G247" s="4">
        <v>222230</v>
      </c>
      <c r="H247" s="5" t="s">
        <v>774</v>
      </c>
      <c r="I247" s="75" t="s">
        <v>525</v>
      </c>
      <c r="J247" s="4" t="s">
        <v>9</v>
      </c>
      <c r="K247" s="76" t="s">
        <v>506</v>
      </c>
      <c r="L247" s="4" t="s">
        <v>578</v>
      </c>
      <c r="M247" s="6">
        <v>45537</v>
      </c>
      <c r="N247" s="34">
        <v>0.45833333333333331</v>
      </c>
      <c r="O247" s="13">
        <v>1</v>
      </c>
      <c r="P247" s="6">
        <v>45537</v>
      </c>
      <c r="Q247" s="76" t="s">
        <v>36</v>
      </c>
    </row>
    <row r="248" spans="1:17" ht="86.25" customHeight="1" x14ac:dyDescent="0.25">
      <c r="A248" s="2">
        <v>246</v>
      </c>
      <c r="B248" s="3">
        <v>45538</v>
      </c>
      <c r="C248" s="4" t="s">
        <v>13</v>
      </c>
      <c r="D248" s="4" t="s">
        <v>266</v>
      </c>
      <c r="E248" s="4" t="s">
        <v>19</v>
      </c>
      <c r="F248" s="4">
        <v>1</v>
      </c>
      <c r="G248" s="4">
        <v>222244</v>
      </c>
      <c r="H248" s="5" t="s">
        <v>778</v>
      </c>
      <c r="I248" s="75" t="s">
        <v>525</v>
      </c>
      <c r="J248" s="4" t="s">
        <v>9</v>
      </c>
      <c r="K248" s="76" t="s">
        <v>506</v>
      </c>
      <c r="L248" s="4" t="s">
        <v>578</v>
      </c>
      <c r="M248" s="19">
        <v>45534</v>
      </c>
      <c r="N248" s="92">
        <v>0.52222222222222225</v>
      </c>
      <c r="O248" s="13">
        <v>1</v>
      </c>
      <c r="P248" s="19">
        <v>45534</v>
      </c>
      <c r="Q248" s="76" t="s">
        <v>36</v>
      </c>
    </row>
    <row r="249" spans="1:17" ht="86.25" customHeight="1" x14ac:dyDescent="0.25">
      <c r="A249" s="2">
        <v>247</v>
      </c>
      <c r="B249" s="3">
        <v>45538</v>
      </c>
      <c r="C249" s="4" t="s">
        <v>13</v>
      </c>
      <c r="D249" s="4" t="s">
        <v>777</v>
      </c>
      <c r="E249" s="4" t="s">
        <v>19</v>
      </c>
      <c r="F249" s="4">
        <v>1</v>
      </c>
      <c r="G249" s="4">
        <v>222243</v>
      </c>
      <c r="H249" s="5" t="s">
        <v>652</v>
      </c>
      <c r="I249" s="4" t="s">
        <v>776</v>
      </c>
      <c r="J249" s="4" t="s">
        <v>37</v>
      </c>
      <c r="K249" s="4" t="s">
        <v>768</v>
      </c>
      <c r="L249" s="4" t="s">
        <v>756</v>
      </c>
      <c r="M249" s="6">
        <v>45539</v>
      </c>
      <c r="N249" s="34">
        <v>0.66666666666666663</v>
      </c>
      <c r="O249" s="13">
        <v>1</v>
      </c>
      <c r="P249" s="6">
        <v>45539</v>
      </c>
      <c r="Q249" s="76" t="s">
        <v>51</v>
      </c>
    </row>
    <row r="250" spans="1:17" ht="86.25" customHeight="1" x14ac:dyDescent="0.25">
      <c r="A250" s="2">
        <v>248</v>
      </c>
      <c r="B250" s="3">
        <v>45539</v>
      </c>
      <c r="C250" s="4" t="s">
        <v>12</v>
      </c>
      <c r="D250" s="4" t="s">
        <v>782</v>
      </c>
      <c r="E250" s="4" t="s">
        <v>19</v>
      </c>
      <c r="F250" s="4">
        <v>1</v>
      </c>
      <c r="G250" s="4">
        <v>222248</v>
      </c>
      <c r="H250" s="5" t="s">
        <v>787</v>
      </c>
      <c r="I250" s="4" t="s">
        <v>783</v>
      </c>
      <c r="J250" s="4" t="s">
        <v>784</v>
      </c>
      <c r="K250" s="4" t="s">
        <v>785</v>
      </c>
      <c r="L250" s="4" t="s">
        <v>815</v>
      </c>
      <c r="M250" s="6">
        <v>45540</v>
      </c>
      <c r="N250" s="34">
        <v>0.40069444444444446</v>
      </c>
      <c r="O250" s="13">
        <v>1</v>
      </c>
      <c r="P250" s="6">
        <v>45540</v>
      </c>
      <c r="Q250" s="2" t="s">
        <v>786</v>
      </c>
    </row>
    <row r="251" spans="1:17" ht="86.25" customHeight="1" x14ac:dyDescent="0.25">
      <c r="A251" s="2">
        <v>249</v>
      </c>
      <c r="B251" s="3">
        <v>45539</v>
      </c>
      <c r="C251" s="4" t="s">
        <v>13</v>
      </c>
      <c r="D251" s="4" t="s">
        <v>739</v>
      </c>
      <c r="E251" s="4" t="s">
        <v>19</v>
      </c>
      <c r="F251" s="4">
        <v>1</v>
      </c>
      <c r="G251" s="4">
        <v>222249</v>
      </c>
      <c r="H251" s="5" t="s">
        <v>788</v>
      </c>
      <c r="I251" s="75" t="s">
        <v>525</v>
      </c>
      <c r="J251" s="4" t="s">
        <v>9</v>
      </c>
      <c r="K251" s="76" t="s">
        <v>506</v>
      </c>
      <c r="L251" s="4" t="s">
        <v>578</v>
      </c>
      <c r="M251" s="6">
        <v>45540</v>
      </c>
      <c r="N251" s="92">
        <v>0.49791666666666662</v>
      </c>
      <c r="O251" s="13">
        <v>1</v>
      </c>
      <c r="P251" s="6">
        <v>45540</v>
      </c>
      <c r="Q251" s="76" t="s">
        <v>36</v>
      </c>
    </row>
    <row r="252" spans="1:17" ht="86.25" customHeight="1" x14ac:dyDescent="0.25">
      <c r="A252" s="2">
        <v>250</v>
      </c>
      <c r="B252" s="3">
        <v>45539</v>
      </c>
      <c r="C252" s="4" t="s">
        <v>13</v>
      </c>
      <c r="D252" s="4" t="s">
        <v>772</v>
      </c>
      <c r="E252" s="4" t="s">
        <v>19</v>
      </c>
      <c r="F252" s="4">
        <v>1</v>
      </c>
      <c r="G252" s="4">
        <v>222250</v>
      </c>
      <c r="H252" s="5" t="s">
        <v>789</v>
      </c>
      <c r="I252" s="88" t="s">
        <v>68</v>
      </c>
      <c r="J252" s="75" t="s">
        <v>9</v>
      </c>
      <c r="K252" s="76" t="s">
        <v>69</v>
      </c>
      <c r="L252" s="4" t="s">
        <v>816</v>
      </c>
      <c r="M252" s="6">
        <v>45541</v>
      </c>
      <c r="N252" s="25">
        <v>0.50763888888888886</v>
      </c>
      <c r="O252" s="13">
        <v>1</v>
      </c>
      <c r="P252" s="6">
        <v>45541</v>
      </c>
      <c r="Q252" s="76" t="s">
        <v>70</v>
      </c>
    </row>
    <row r="253" spans="1:17" ht="86.25" customHeight="1" x14ac:dyDescent="0.25">
      <c r="A253" s="2">
        <v>251</v>
      </c>
      <c r="B253" s="3">
        <v>45541</v>
      </c>
      <c r="C253" s="4" t="s">
        <v>13</v>
      </c>
      <c r="D253" s="4" t="s">
        <v>739</v>
      </c>
      <c r="E253" s="4" t="s">
        <v>19</v>
      </c>
      <c r="F253" s="4">
        <v>1</v>
      </c>
      <c r="G253" s="4">
        <v>222274</v>
      </c>
      <c r="H253" s="5" t="s">
        <v>800</v>
      </c>
      <c r="I253" s="4" t="s">
        <v>790</v>
      </c>
      <c r="J253" s="4" t="s">
        <v>254</v>
      </c>
      <c r="K253" s="76" t="s">
        <v>506</v>
      </c>
      <c r="L253" s="4" t="s">
        <v>578</v>
      </c>
      <c r="M253" s="6">
        <v>45544</v>
      </c>
      <c r="N253" s="92">
        <v>0.54166666666666663</v>
      </c>
      <c r="O253" s="13">
        <v>1</v>
      </c>
      <c r="P253" s="6">
        <v>45544</v>
      </c>
      <c r="Q253" s="76" t="s">
        <v>36</v>
      </c>
    </row>
    <row r="254" spans="1:17" ht="86.25" customHeight="1" x14ac:dyDescent="0.25">
      <c r="A254" s="2">
        <v>252</v>
      </c>
      <c r="B254" s="3">
        <v>45541</v>
      </c>
      <c r="C254" s="4" t="s">
        <v>13</v>
      </c>
      <c r="D254" s="4" t="s">
        <v>623</v>
      </c>
      <c r="E254" s="4" t="s">
        <v>19</v>
      </c>
      <c r="F254" s="4">
        <v>1</v>
      </c>
      <c r="G254" s="4">
        <v>222273</v>
      </c>
      <c r="H254" s="5" t="s">
        <v>799</v>
      </c>
      <c r="I254" s="4" t="s">
        <v>486</v>
      </c>
      <c r="J254" s="4" t="s">
        <v>37</v>
      </c>
      <c r="K254" s="4" t="s">
        <v>768</v>
      </c>
      <c r="L254" s="4" t="s">
        <v>756</v>
      </c>
      <c r="M254" s="6">
        <v>45544</v>
      </c>
      <c r="N254" s="34">
        <v>0.39583333333333331</v>
      </c>
      <c r="O254" s="13">
        <v>1</v>
      </c>
      <c r="P254" s="6">
        <v>45544</v>
      </c>
      <c r="Q254" s="76" t="s">
        <v>51</v>
      </c>
    </row>
    <row r="255" spans="1:17" ht="86.25" customHeight="1" x14ac:dyDescent="0.25">
      <c r="A255" s="2">
        <v>253</v>
      </c>
      <c r="B255" s="3">
        <v>45541</v>
      </c>
      <c r="C255" s="4" t="s">
        <v>13</v>
      </c>
      <c r="D255" s="4" t="s">
        <v>795</v>
      </c>
      <c r="E255" s="4" t="s">
        <v>19</v>
      </c>
      <c r="F255" s="4">
        <v>1</v>
      </c>
      <c r="G255" s="4">
        <v>222275</v>
      </c>
      <c r="H255" s="5" t="s">
        <v>796</v>
      </c>
      <c r="I255" s="4" t="s">
        <v>791</v>
      </c>
      <c r="J255" s="4" t="s">
        <v>792</v>
      </c>
      <c r="K255" s="4" t="s">
        <v>793</v>
      </c>
      <c r="L255" s="4" t="s">
        <v>815</v>
      </c>
      <c r="M255" s="6">
        <v>45544</v>
      </c>
      <c r="N255" s="34">
        <v>0.4861111111111111</v>
      </c>
      <c r="O255" s="13">
        <v>1</v>
      </c>
      <c r="P255" s="6">
        <v>45544</v>
      </c>
      <c r="Q255" s="2" t="s">
        <v>794</v>
      </c>
    </row>
    <row r="256" spans="1:17" ht="86.25" customHeight="1" x14ac:dyDescent="0.25">
      <c r="A256" s="2">
        <v>254</v>
      </c>
      <c r="B256" s="3">
        <v>45541</v>
      </c>
      <c r="C256" s="4" t="s">
        <v>13</v>
      </c>
      <c r="D256" s="4" t="s">
        <v>772</v>
      </c>
      <c r="E256" s="4" t="s">
        <v>19</v>
      </c>
      <c r="F256" s="4">
        <v>1</v>
      </c>
      <c r="G256" s="4">
        <v>222272</v>
      </c>
      <c r="H256" s="5" t="s">
        <v>798</v>
      </c>
      <c r="I256" s="22" t="s">
        <v>155</v>
      </c>
      <c r="J256" s="22" t="s">
        <v>156</v>
      </c>
      <c r="K256" s="83" t="s">
        <v>157</v>
      </c>
      <c r="L256" s="4" t="s">
        <v>615</v>
      </c>
      <c r="M256" s="6">
        <v>45545</v>
      </c>
      <c r="N256" s="34">
        <v>0.54166666666666663</v>
      </c>
      <c r="O256" s="13">
        <v>1</v>
      </c>
      <c r="P256" s="6">
        <v>45545</v>
      </c>
      <c r="Q256" s="83" t="s">
        <v>158</v>
      </c>
    </row>
    <row r="257" spans="1:17" ht="86.25" customHeight="1" x14ac:dyDescent="0.25">
      <c r="A257" s="2">
        <v>255</v>
      </c>
      <c r="B257" s="3">
        <v>45541</v>
      </c>
      <c r="C257" s="4" t="s">
        <v>13</v>
      </c>
      <c r="D257" s="4" t="s">
        <v>772</v>
      </c>
      <c r="E257" s="4" t="s">
        <v>19</v>
      </c>
      <c r="F257" s="4">
        <v>1</v>
      </c>
      <c r="G257" s="4">
        <v>222276</v>
      </c>
      <c r="H257" s="5" t="s">
        <v>797</v>
      </c>
      <c r="I257" s="4" t="s">
        <v>683</v>
      </c>
      <c r="J257" s="79" t="s">
        <v>160</v>
      </c>
      <c r="K257" s="79" t="s">
        <v>326</v>
      </c>
      <c r="L257" s="4" t="s">
        <v>817</v>
      </c>
      <c r="M257" s="6">
        <v>45545</v>
      </c>
      <c r="N257" s="34">
        <v>0.51041666666666663</v>
      </c>
      <c r="O257" s="12">
        <v>1</v>
      </c>
      <c r="P257" s="6">
        <v>45545</v>
      </c>
      <c r="Q257" s="76" t="s">
        <v>161</v>
      </c>
    </row>
    <row r="258" spans="1:17" ht="86.25" customHeight="1" x14ac:dyDescent="0.25">
      <c r="A258" s="2">
        <v>256</v>
      </c>
      <c r="B258" s="3">
        <v>45544</v>
      </c>
      <c r="C258" s="4" t="s">
        <v>13</v>
      </c>
      <c r="D258" s="4" t="s">
        <v>766</v>
      </c>
      <c r="E258" s="4" t="s">
        <v>19</v>
      </c>
      <c r="F258" s="4">
        <v>1</v>
      </c>
      <c r="G258" s="4">
        <v>222286</v>
      </c>
      <c r="H258" s="5" t="s">
        <v>801</v>
      </c>
      <c r="I258" s="4" t="s">
        <v>802</v>
      </c>
      <c r="J258" s="4" t="s">
        <v>254</v>
      </c>
      <c r="K258" s="76" t="s">
        <v>803</v>
      </c>
      <c r="L258" s="4" t="s">
        <v>578</v>
      </c>
      <c r="M258" s="6">
        <v>45545</v>
      </c>
      <c r="N258" s="8" t="s">
        <v>818</v>
      </c>
      <c r="O258" s="13">
        <v>1</v>
      </c>
      <c r="P258" s="6">
        <v>45545</v>
      </c>
      <c r="Q258" s="76" t="s">
        <v>36</v>
      </c>
    </row>
    <row r="259" spans="1:17" ht="86.25" customHeight="1" x14ac:dyDescent="0.25">
      <c r="A259" s="2">
        <v>257</v>
      </c>
      <c r="B259" s="3">
        <v>45544</v>
      </c>
      <c r="C259" s="4" t="s">
        <v>13</v>
      </c>
      <c r="D259" s="4" t="s">
        <v>804</v>
      </c>
      <c r="E259" s="4" t="s">
        <v>19</v>
      </c>
      <c r="F259" s="4">
        <v>1</v>
      </c>
      <c r="G259" s="4">
        <v>222285</v>
      </c>
      <c r="H259" s="5" t="s">
        <v>805</v>
      </c>
      <c r="I259" s="4" t="s">
        <v>637</v>
      </c>
      <c r="J259" s="79" t="s">
        <v>99</v>
      </c>
      <c r="K259" s="79" t="s">
        <v>100</v>
      </c>
      <c r="L259" s="4" t="s">
        <v>819</v>
      </c>
      <c r="M259" s="6">
        <v>45545</v>
      </c>
      <c r="N259" s="34">
        <v>0.4381944444444445</v>
      </c>
      <c r="O259" s="13">
        <v>1</v>
      </c>
      <c r="P259" s="6">
        <v>45545</v>
      </c>
      <c r="Q259" s="83" t="s">
        <v>101</v>
      </c>
    </row>
    <row r="260" spans="1:17" ht="86.25" customHeight="1" x14ac:dyDescent="0.25">
      <c r="A260" s="2">
        <v>258</v>
      </c>
      <c r="B260" s="3">
        <v>45545</v>
      </c>
      <c r="C260" s="4" t="s">
        <v>13</v>
      </c>
      <c r="D260" s="4" t="s">
        <v>807</v>
      </c>
      <c r="E260" s="4" t="s">
        <v>19</v>
      </c>
      <c r="F260" s="4">
        <v>1</v>
      </c>
      <c r="G260" s="4">
        <v>2222293</v>
      </c>
      <c r="H260" s="5" t="s">
        <v>808</v>
      </c>
      <c r="I260" s="4" t="s">
        <v>637</v>
      </c>
      <c r="J260" s="79" t="s">
        <v>99</v>
      </c>
      <c r="K260" s="79" t="s">
        <v>100</v>
      </c>
      <c r="L260" s="4" t="s">
        <v>819</v>
      </c>
      <c r="M260" s="6">
        <v>45546</v>
      </c>
      <c r="N260" s="34">
        <v>0.41666666666666669</v>
      </c>
      <c r="O260" s="13">
        <v>1</v>
      </c>
      <c r="P260" s="6">
        <v>45546</v>
      </c>
      <c r="Q260" s="83" t="s">
        <v>101</v>
      </c>
    </row>
    <row r="261" spans="1:17" ht="86.25" customHeight="1" x14ac:dyDescent="0.25">
      <c r="A261" s="2">
        <v>259</v>
      </c>
      <c r="B261" s="3">
        <v>45545</v>
      </c>
      <c r="C261" s="4" t="s">
        <v>13</v>
      </c>
      <c r="D261" s="4" t="s">
        <v>739</v>
      </c>
      <c r="E261" s="4" t="s">
        <v>20</v>
      </c>
      <c r="F261" s="4">
        <v>1</v>
      </c>
      <c r="G261" s="4">
        <v>222292</v>
      </c>
      <c r="H261" s="5" t="s">
        <v>809</v>
      </c>
      <c r="I261" s="4" t="s">
        <v>486</v>
      </c>
      <c r="J261" s="4" t="s">
        <v>37</v>
      </c>
      <c r="K261" s="4" t="s">
        <v>768</v>
      </c>
      <c r="L261" s="4" t="s">
        <v>756</v>
      </c>
      <c r="M261" s="6">
        <v>45546</v>
      </c>
      <c r="N261" s="34">
        <v>0.52986111111111112</v>
      </c>
      <c r="O261" s="13">
        <v>1</v>
      </c>
      <c r="P261" s="6">
        <v>45546</v>
      </c>
      <c r="Q261" s="76" t="s">
        <v>51</v>
      </c>
    </row>
    <row r="262" spans="1:17" ht="86.25" customHeight="1" x14ac:dyDescent="0.25">
      <c r="A262" s="2">
        <v>260</v>
      </c>
      <c r="B262" s="3">
        <v>45546</v>
      </c>
      <c r="C262" s="4" t="s">
        <v>13</v>
      </c>
      <c r="D262" s="4" t="s">
        <v>739</v>
      </c>
      <c r="E262" s="4" t="s">
        <v>19</v>
      </c>
      <c r="F262" s="4">
        <v>1</v>
      </c>
      <c r="G262" s="4">
        <v>222297</v>
      </c>
      <c r="H262" s="5" t="s">
        <v>813</v>
      </c>
      <c r="I262" s="4" t="s">
        <v>790</v>
      </c>
      <c r="J262" s="4" t="s">
        <v>254</v>
      </c>
      <c r="K262" s="76" t="s">
        <v>506</v>
      </c>
      <c r="L262" s="4" t="s">
        <v>578</v>
      </c>
      <c r="M262" s="6">
        <v>45547</v>
      </c>
      <c r="N262" s="34">
        <v>0.47986111111111113</v>
      </c>
      <c r="O262" s="13">
        <v>1</v>
      </c>
      <c r="P262" s="6">
        <v>45547</v>
      </c>
      <c r="Q262" s="76" t="s">
        <v>36</v>
      </c>
    </row>
    <row r="263" spans="1:17" ht="86.25" customHeight="1" x14ac:dyDescent="0.25">
      <c r="A263" s="2">
        <v>261</v>
      </c>
      <c r="B263" s="3">
        <v>45546</v>
      </c>
      <c r="C263" s="4" t="s">
        <v>13</v>
      </c>
      <c r="D263" s="4" t="s">
        <v>804</v>
      </c>
      <c r="E263" s="4" t="s">
        <v>19</v>
      </c>
      <c r="F263" s="4">
        <v>1</v>
      </c>
      <c r="G263" s="4">
        <v>222298</v>
      </c>
      <c r="H263" s="5" t="s">
        <v>811</v>
      </c>
      <c r="I263" s="4" t="s">
        <v>810</v>
      </c>
      <c r="J263" s="4" t="s">
        <v>37</v>
      </c>
      <c r="K263" s="4" t="s">
        <v>768</v>
      </c>
      <c r="L263" s="4" t="s">
        <v>862</v>
      </c>
      <c r="M263" s="6">
        <v>45547</v>
      </c>
      <c r="N263" s="34">
        <v>0.66319444444444442</v>
      </c>
      <c r="O263" s="13">
        <v>1</v>
      </c>
      <c r="P263" s="6">
        <v>45547</v>
      </c>
      <c r="Q263" s="76" t="s">
        <v>51</v>
      </c>
    </row>
    <row r="264" spans="1:17" ht="86.25" customHeight="1" x14ac:dyDescent="0.25">
      <c r="A264" s="2">
        <v>262</v>
      </c>
      <c r="B264" s="3">
        <v>45546</v>
      </c>
      <c r="C264" s="4" t="s">
        <v>13</v>
      </c>
      <c r="D264" s="4" t="s">
        <v>812</v>
      </c>
      <c r="E264" s="4" t="s">
        <v>19</v>
      </c>
      <c r="F264" s="4">
        <v>1</v>
      </c>
      <c r="G264" s="4">
        <v>222296</v>
      </c>
      <c r="H264" s="5" t="s">
        <v>814</v>
      </c>
      <c r="I264" s="22" t="s">
        <v>155</v>
      </c>
      <c r="J264" s="22" t="s">
        <v>156</v>
      </c>
      <c r="K264" s="83" t="s">
        <v>157</v>
      </c>
      <c r="L264" s="4" t="s">
        <v>869</v>
      </c>
      <c r="M264" s="6">
        <v>45548</v>
      </c>
      <c r="N264" s="34">
        <v>0.5625</v>
      </c>
      <c r="O264" s="13">
        <v>1</v>
      </c>
      <c r="P264" s="6">
        <v>45548</v>
      </c>
      <c r="Q264" s="83" t="s">
        <v>158</v>
      </c>
    </row>
    <row r="265" spans="1:17" ht="86.25" customHeight="1" x14ac:dyDescent="0.25">
      <c r="A265" s="2">
        <v>263</v>
      </c>
      <c r="B265" s="3">
        <v>45547</v>
      </c>
      <c r="C265" s="4" t="s">
        <v>13</v>
      </c>
      <c r="D265" s="4" t="s">
        <v>812</v>
      </c>
      <c r="E265" s="4" t="s">
        <v>19</v>
      </c>
      <c r="F265" s="4">
        <v>1</v>
      </c>
      <c r="G265" s="4">
        <v>222308</v>
      </c>
      <c r="H265" s="5" t="s">
        <v>820</v>
      </c>
      <c r="I265" s="4" t="s">
        <v>790</v>
      </c>
      <c r="J265" s="4" t="s">
        <v>254</v>
      </c>
      <c r="K265" s="76" t="s">
        <v>506</v>
      </c>
      <c r="L265" s="4" t="s">
        <v>859</v>
      </c>
      <c r="M265" s="6">
        <v>45548</v>
      </c>
      <c r="N265" s="34">
        <v>0.50486111111111109</v>
      </c>
      <c r="O265" s="13">
        <v>1</v>
      </c>
      <c r="P265" s="6">
        <v>45548</v>
      </c>
      <c r="Q265" s="76" t="s">
        <v>36</v>
      </c>
    </row>
    <row r="266" spans="1:17" ht="86.25" customHeight="1" x14ac:dyDescent="0.25">
      <c r="A266" s="2">
        <v>264</v>
      </c>
      <c r="B266" s="3">
        <v>45547</v>
      </c>
      <c r="C266" s="4" t="s">
        <v>13</v>
      </c>
      <c r="D266" s="4" t="s">
        <v>812</v>
      </c>
      <c r="E266" s="4" t="s">
        <v>19</v>
      </c>
      <c r="F266" s="4">
        <v>1</v>
      </c>
      <c r="G266" s="4">
        <v>222310</v>
      </c>
      <c r="H266" s="5" t="s">
        <v>821</v>
      </c>
      <c r="I266" s="22" t="s">
        <v>155</v>
      </c>
      <c r="J266" s="22" t="s">
        <v>156</v>
      </c>
      <c r="K266" s="83" t="s">
        <v>157</v>
      </c>
      <c r="L266" s="4" t="s">
        <v>869</v>
      </c>
      <c r="M266" s="6">
        <v>45548</v>
      </c>
      <c r="N266" s="34">
        <v>0.5625</v>
      </c>
      <c r="O266" s="13">
        <v>1</v>
      </c>
      <c r="P266" s="6">
        <v>45548</v>
      </c>
      <c r="Q266" s="83" t="s">
        <v>158</v>
      </c>
    </row>
    <row r="267" spans="1:17" ht="86.25" customHeight="1" x14ac:dyDescent="0.25">
      <c r="A267" s="2">
        <v>265</v>
      </c>
      <c r="B267" s="3">
        <v>45547</v>
      </c>
      <c r="C267" s="4" t="s">
        <v>13</v>
      </c>
      <c r="D267" s="4" t="s">
        <v>804</v>
      </c>
      <c r="E267" s="4" t="s">
        <v>19</v>
      </c>
      <c r="F267" s="4">
        <v>1</v>
      </c>
      <c r="G267" s="4">
        <v>222309</v>
      </c>
      <c r="H267" s="5" t="s">
        <v>822</v>
      </c>
      <c r="I267" s="4" t="s">
        <v>810</v>
      </c>
      <c r="J267" s="4" t="s">
        <v>37</v>
      </c>
      <c r="K267" s="4" t="s">
        <v>768</v>
      </c>
      <c r="L267" s="4" t="s">
        <v>862</v>
      </c>
      <c r="M267" s="6">
        <v>45548</v>
      </c>
      <c r="N267" s="34">
        <v>0.42291666666666666</v>
      </c>
      <c r="O267" s="13">
        <v>1</v>
      </c>
      <c r="P267" s="6">
        <v>45548</v>
      </c>
      <c r="Q267" s="76" t="s">
        <v>51</v>
      </c>
    </row>
    <row r="268" spans="1:17" ht="86.25" customHeight="1" x14ac:dyDescent="0.25">
      <c r="A268" s="2">
        <v>266</v>
      </c>
      <c r="B268" s="3">
        <v>45548</v>
      </c>
      <c r="C268" s="4" t="s">
        <v>13</v>
      </c>
      <c r="D268" s="4"/>
      <c r="E268" s="4" t="s">
        <v>19</v>
      </c>
      <c r="F268" s="4">
        <v>1</v>
      </c>
      <c r="G268" s="4">
        <v>222311</v>
      </c>
      <c r="H268" s="5" t="s">
        <v>826</v>
      </c>
      <c r="I268" s="4" t="s">
        <v>790</v>
      </c>
      <c r="J268" s="4" t="s">
        <v>254</v>
      </c>
      <c r="K268" s="76" t="s">
        <v>506</v>
      </c>
      <c r="L268" s="4" t="s">
        <v>868</v>
      </c>
      <c r="M268" s="6">
        <v>45551</v>
      </c>
      <c r="N268" s="34">
        <v>0.6791666666666667</v>
      </c>
      <c r="O268" s="13">
        <v>1</v>
      </c>
      <c r="P268" s="6">
        <v>45551</v>
      </c>
      <c r="Q268" s="76" t="s">
        <v>36</v>
      </c>
    </row>
    <row r="269" spans="1:17" ht="86.25" customHeight="1" x14ac:dyDescent="0.25">
      <c r="A269" s="2">
        <v>267</v>
      </c>
      <c r="B269" s="3">
        <v>45548</v>
      </c>
      <c r="C269" s="4" t="s">
        <v>13</v>
      </c>
      <c r="D269" s="4" t="s">
        <v>772</v>
      </c>
      <c r="E269" s="4" t="s">
        <v>19</v>
      </c>
      <c r="F269" s="4">
        <v>1</v>
      </c>
      <c r="G269" s="4">
        <v>222313</v>
      </c>
      <c r="H269" s="5" t="s">
        <v>823</v>
      </c>
      <c r="I269" s="22" t="s">
        <v>155</v>
      </c>
      <c r="J269" s="22" t="s">
        <v>156</v>
      </c>
      <c r="K269" s="83" t="s">
        <v>157</v>
      </c>
      <c r="L269" s="4" t="s">
        <v>858</v>
      </c>
      <c r="M269" s="6">
        <v>45552</v>
      </c>
      <c r="N269" s="34">
        <v>0.60555555555555551</v>
      </c>
      <c r="O269" s="13">
        <v>1</v>
      </c>
      <c r="P269" s="6">
        <v>45552</v>
      </c>
      <c r="Q269" s="83" t="s">
        <v>158</v>
      </c>
    </row>
    <row r="270" spans="1:17" ht="86.25" customHeight="1" x14ac:dyDescent="0.25">
      <c r="A270" s="2">
        <v>268</v>
      </c>
      <c r="B270" s="3">
        <v>45548</v>
      </c>
      <c r="C270" s="4" t="s">
        <v>13</v>
      </c>
      <c r="D270" s="4" t="s">
        <v>772</v>
      </c>
      <c r="E270" s="4" t="s">
        <v>19</v>
      </c>
      <c r="F270" s="4">
        <v>1</v>
      </c>
      <c r="G270" s="4">
        <v>222312</v>
      </c>
      <c r="H270" s="5" t="s">
        <v>824</v>
      </c>
      <c r="I270" s="4" t="s">
        <v>358</v>
      </c>
      <c r="J270" s="4" t="s">
        <v>83</v>
      </c>
      <c r="K270" s="83" t="s">
        <v>84</v>
      </c>
      <c r="L270" s="4" t="s">
        <v>857</v>
      </c>
      <c r="M270" s="19">
        <v>45551</v>
      </c>
      <c r="N270" s="34">
        <v>0.44513888888888892</v>
      </c>
      <c r="O270" s="13">
        <v>1</v>
      </c>
      <c r="P270" s="19">
        <v>45551</v>
      </c>
      <c r="Q270" s="83" t="s">
        <v>85</v>
      </c>
    </row>
    <row r="271" spans="1:17" ht="86.25" customHeight="1" x14ac:dyDescent="0.25">
      <c r="A271" s="2">
        <v>269</v>
      </c>
      <c r="B271" s="3">
        <v>45548</v>
      </c>
      <c r="C271" s="4" t="s">
        <v>13</v>
      </c>
      <c r="D271" s="4" t="s">
        <v>772</v>
      </c>
      <c r="E271" s="4" t="s">
        <v>19</v>
      </c>
      <c r="F271" s="4">
        <v>1</v>
      </c>
      <c r="G271" s="4">
        <v>222314</v>
      </c>
      <c r="H271" s="5" t="s">
        <v>825</v>
      </c>
      <c r="I271" s="4" t="s">
        <v>486</v>
      </c>
      <c r="J271" s="4" t="s">
        <v>37</v>
      </c>
      <c r="K271" s="4" t="s">
        <v>768</v>
      </c>
      <c r="L271" s="4" t="s">
        <v>862</v>
      </c>
      <c r="M271" s="6">
        <v>45551</v>
      </c>
      <c r="N271" s="34">
        <v>0.65833333333333333</v>
      </c>
      <c r="O271" s="13">
        <v>1</v>
      </c>
      <c r="P271" s="6">
        <v>45551</v>
      </c>
      <c r="Q271" s="76" t="s">
        <v>51</v>
      </c>
    </row>
    <row r="272" spans="1:17" ht="86.25" customHeight="1" x14ac:dyDescent="0.25">
      <c r="A272" s="2">
        <v>270</v>
      </c>
      <c r="B272" s="3">
        <v>45551</v>
      </c>
      <c r="C272" s="4" t="s">
        <v>13</v>
      </c>
      <c r="D272" s="4" t="s">
        <v>266</v>
      </c>
      <c r="E272" s="4" t="s">
        <v>19</v>
      </c>
      <c r="F272" s="4">
        <v>1</v>
      </c>
      <c r="G272" s="4">
        <v>222321</v>
      </c>
      <c r="H272" s="5" t="s">
        <v>827</v>
      </c>
      <c r="I272" s="4" t="s">
        <v>790</v>
      </c>
      <c r="J272" s="4" t="s">
        <v>254</v>
      </c>
      <c r="K272" s="76" t="s">
        <v>506</v>
      </c>
      <c r="L272" s="4" t="s">
        <v>859</v>
      </c>
      <c r="M272" s="6">
        <v>45552</v>
      </c>
      <c r="N272" s="34">
        <v>0.56041666666666667</v>
      </c>
      <c r="O272" s="13">
        <v>1</v>
      </c>
      <c r="P272" s="6">
        <v>45552</v>
      </c>
      <c r="Q272" s="76" t="s">
        <v>36</v>
      </c>
    </row>
    <row r="273" spans="1:17" ht="86.25" customHeight="1" x14ac:dyDescent="0.25">
      <c r="A273" s="2">
        <v>271</v>
      </c>
      <c r="B273" s="3">
        <v>45551</v>
      </c>
      <c r="C273" s="4" t="s">
        <v>13</v>
      </c>
      <c r="D273" s="4" t="s">
        <v>266</v>
      </c>
      <c r="E273" s="4" t="s">
        <v>19</v>
      </c>
      <c r="F273" s="4">
        <v>1</v>
      </c>
      <c r="G273" s="4">
        <v>222322</v>
      </c>
      <c r="H273" s="5" t="s">
        <v>828</v>
      </c>
      <c r="I273" s="4" t="s">
        <v>358</v>
      </c>
      <c r="J273" s="4" t="s">
        <v>83</v>
      </c>
      <c r="K273" s="83" t="s">
        <v>84</v>
      </c>
      <c r="L273" s="4" t="s">
        <v>860</v>
      </c>
      <c r="M273" s="19">
        <v>45552</v>
      </c>
      <c r="N273" s="34">
        <v>0.6333333333333333</v>
      </c>
      <c r="O273" s="13">
        <v>1</v>
      </c>
      <c r="P273" s="19">
        <v>45552</v>
      </c>
      <c r="Q273" s="83" t="s">
        <v>85</v>
      </c>
    </row>
    <row r="274" spans="1:17" ht="86.25" customHeight="1" x14ac:dyDescent="0.25">
      <c r="A274" s="2">
        <v>272</v>
      </c>
      <c r="B274" s="3">
        <v>45551</v>
      </c>
      <c r="C274" s="4" t="s">
        <v>13</v>
      </c>
      <c r="D274" s="4" t="s">
        <v>266</v>
      </c>
      <c r="E274" s="4" t="s">
        <v>19</v>
      </c>
      <c r="F274" s="4">
        <v>1</v>
      </c>
      <c r="G274" s="4">
        <v>222323</v>
      </c>
      <c r="H274" s="5" t="s">
        <v>829</v>
      </c>
      <c r="I274" s="22" t="s">
        <v>155</v>
      </c>
      <c r="J274" s="22" t="s">
        <v>156</v>
      </c>
      <c r="K274" s="83" t="s">
        <v>157</v>
      </c>
      <c r="L274" s="4" t="s">
        <v>861</v>
      </c>
      <c r="M274" s="6">
        <v>45552</v>
      </c>
      <c r="N274" s="34">
        <v>0.4375</v>
      </c>
      <c r="O274" s="13">
        <v>1</v>
      </c>
      <c r="P274" s="6">
        <v>45552</v>
      </c>
      <c r="Q274" s="83" t="s">
        <v>830</v>
      </c>
    </row>
    <row r="275" spans="1:17" ht="86.25" customHeight="1" x14ac:dyDescent="0.25">
      <c r="A275" s="2">
        <v>273</v>
      </c>
      <c r="B275" s="3">
        <v>45554</v>
      </c>
      <c r="C275" s="4" t="s">
        <v>13</v>
      </c>
      <c r="D275" s="4" t="s">
        <v>831</v>
      </c>
      <c r="E275" s="4" t="s">
        <v>19</v>
      </c>
      <c r="F275" s="4">
        <v>1</v>
      </c>
      <c r="G275" s="4">
        <v>222348</v>
      </c>
      <c r="H275" s="5" t="s">
        <v>835</v>
      </c>
      <c r="I275" s="4" t="s">
        <v>832</v>
      </c>
      <c r="J275" s="4" t="s">
        <v>833</v>
      </c>
      <c r="K275" s="4" t="s">
        <v>834</v>
      </c>
      <c r="L275" s="4" t="s">
        <v>871</v>
      </c>
      <c r="M275" s="6">
        <v>45558</v>
      </c>
      <c r="N275" s="34">
        <v>0.52083333333333337</v>
      </c>
      <c r="O275" s="13">
        <v>1</v>
      </c>
      <c r="P275" s="6">
        <v>45558</v>
      </c>
      <c r="Q275" s="2" t="s">
        <v>836</v>
      </c>
    </row>
    <row r="276" spans="1:17" ht="114" customHeight="1" x14ac:dyDescent="0.25">
      <c r="A276" s="2">
        <v>274</v>
      </c>
      <c r="B276" s="3">
        <v>45555</v>
      </c>
      <c r="C276" s="4" t="s">
        <v>13</v>
      </c>
      <c r="D276" s="4" t="s">
        <v>266</v>
      </c>
      <c r="E276" s="4" t="s">
        <v>19</v>
      </c>
      <c r="F276" s="4">
        <v>1</v>
      </c>
      <c r="G276" s="4">
        <v>222355</v>
      </c>
      <c r="H276" s="5" t="s">
        <v>837</v>
      </c>
      <c r="I276" s="4" t="s">
        <v>486</v>
      </c>
      <c r="J276" s="4" t="s">
        <v>37</v>
      </c>
      <c r="K276" s="4" t="s">
        <v>768</v>
      </c>
      <c r="L276" s="4" t="s">
        <v>862</v>
      </c>
      <c r="M276" s="6">
        <v>45558</v>
      </c>
      <c r="N276" s="34">
        <v>0.67222222222222217</v>
      </c>
      <c r="O276" s="13">
        <v>1</v>
      </c>
      <c r="P276" s="6">
        <v>45558</v>
      </c>
      <c r="Q276" s="76" t="s">
        <v>51</v>
      </c>
    </row>
    <row r="277" spans="1:17" ht="86.25" customHeight="1" x14ac:dyDescent="0.25">
      <c r="A277" s="2">
        <v>275</v>
      </c>
      <c r="B277" s="3">
        <v>45555</v>
      </c>
      <c r="C277" s="4" t="s">
        <v>13</v>
      </c>
      <c r="D277" s="4" t="s">
        <v>266</v>
      </c>
      <c r="E277" s="4" t="s">
        <v>19</v>
      </c>
      <c r="F277" s="4">
        <v>1</v>
      </c>
      <c r="G277" s="2">
        <v>222353</v>
      </c>
      <c r="H277" s="2" t="s">
        <v>838</v>
      </c>
      <c r="I277" s="22" t="s">
        <v>155</v>
      </c>
      <c r="J277" s="22" t="s">
        <v>156</v>
      </c>
      <c r="K277" s="83" t="s">
        <v>157</v>
      </c>
      <c r="L277" s="4" t="s">
        <v>863</v>
      </c>
      <c r="M277" s="6">
        <v>45558</v>
      </c>
      <c r="N277" s="34">
        <v>0.64027777777777783</v>
      </c>
      <c r="O277" s="13">
        <v>1</v>
      </c>
      <c r="P277" s="6">
        <v>45558</v>
      </c>
      <c r="Q277" s="83" t="s">
        <v>830</v>
      </c>
    </row>
    <row r="278" spans="1:17" ht="86.25" customHeight="1" x14ac:dyDescent="0.25">
      <c r="A278" s="2">
        <v>276</v>
      </c>
      <c r="B278" s="3">
        <v>45555</v>
      </c>
      <c r="C278" s="4" t="s">
        <v>13</v>
      </c>
      <c r="D278" s="4" t="s">
        <v>266</v>
      </c>
      <c r="E278" s="4" t="s">
        <v>19</v>
      </c>
      <c r="F278" s="4">
        <v>1</v>
      </c>
      <c r="G278" s="2">
        <v>222352</v>
      </c>
      <c r="H278" s="2" t="s">
        <v>839</v>
      </c>
      <c r="I278" s="4" t="s">
        <v>790</v>
      </c>
      <c r="J278" s="4" t="s">
        <v>254</v>
      </c>
      <c r="K278" s="76" t="s">
        <v>506</v>
      </c>
      <c r="L278" s="4" t="s">
        <v>863</v>
      </c>
      <c r="M278" s="6">
        <v>45558</v>
      </c>
      <c r="N278" s="34">
        <v>0.44722222222222219</v>
      </c>
      <c r="O278" s="13">
        <v>1</v>
      </c>
      <c r="P278" s="6">
        <v>45558</v>
      </c>
      <c r="Q278" s="76" t="s">
        <v>36</v>
      </c>
    </row>
    <row r="279" spans="1:17" ht="86.25" customHeight="1" x14ac:dyDescent="0.25">
      <c r="A279" s="2">
        <v>277</v>
      </c>
      <c r="B279" s="3">
        <v>45555</v>
      </c>
      <c r="C279" s="4" t="s">
        <v>13</v>
      </c>
      <c r="D279" s="4" t="s">
        <v>739</v>
      </c>
      <c r="E279" s="4" t="s">
        <v>19</v>
      </c>
      <c r="F279" s="4">
        <v>1</v>
      </c>
      <c r="G279" s="2">
        <v>222354</v>
      </c>
      <c r="H279" s="2" t="s">
        <v>840</v>
      </c>
      <c r="I279" s="4" t="s">
        <v>637</v>
      </c>
      <c r="J279" s="79" t="s">
        <v>99</v>
      </c>
      <c r="K279" s="79" t="s">
        <v>100</v>
      </c>
      <c r="L279" s="4" t="s">
        <v>867</v>
      </c>
      <c r="M279" s="6">
        <v>45558</v>
      </c>
      <c r="N279" s="34">
        <v>0.48680555555555555</v>
      </c>
      <c r="O279" s="13">
        <v>1</v>
      </c>
      <c r="P279" s="6">
        <v>45558</v>
      </c>
      <c r="Q279" s="83" t="s">
        <v>101</v>
      </c>
    </row>
    <row r="280" spans="1:17" ht="86.25" customHeight="1" x14ac:dyDescent="0.25">
      <c r="A280" s="2">
        <v>278</v>
      </c>
      <c r="B280" s="3">
        <v>45558</v>
      </c>
      <c r="C280" s="4" t="s">
        <v>13</v>
      </c>
      <c r="D280" s="4" t="s">
        <v>266</v>
      </c>
      <c r="E280" s="4" t="s">
        <v>19</v>
      </c>
      <c r="F280" s="4">
        <v>1</v>
      </c>
      <c r="G280" s="2">
        <v>222358</v>
      </c>
      <c r="H280" s="2" t="s">
        <v>841</v>
      </c>
      <c r="I280" s="4" t="s">
        <v>790</v>
      </c>
      <c r="J280" s="4" t="s">
        <v>254</v>
      </c>
      <c r="K280" s="76" t="s">
        <v>506</v>
      </c>
      <c r="L280" s="4" t="s">
        <v>865</v>
      </c>
      <c r="M280" s="6">
        <v>45559</v>
      </c>
      <c r="N280" s="34">
        <v>0.4284722222222222</v>
      </c>
      <c r="O280" s="13">
        <v>1</v>
      </c>
      <c r="P280" s="6">
        <v>45559</v>
      </c>
      <c r="Q280" s="76" t="s">
        <v>36</v>
      </c>
    </row>
    <row r="281" spans="1:17" ht="86.25" customHeight="1" x14ac:dyDescent="0.25">
      <c r="A281" s="2">
        <v>279</v>
      </c>
      <c r="B281" s="3">
        <v>45558</v>
      </c>
      <c r="C281" s="4" t="s">
        <v>13</v>
      </c>
      <c r="D281" s="4" t="s">
        <v>266</v>
      </c>
      <c r="E281" s="4" t="s">
        <v>19</v>
      </c>
      <c r="F281" s="4">
        <v>1</v>
      </c>
      <c r="G281" s="2">
        <v>222359</v>
      </c>
      <c r="H281" s="2" t="s">
        <v>842</v>
      </c>
      <c r="I281" s="4" t="s">
        <v>776</v>
      </c>
      <c r="J281" s="4" t="s">
        <v>37</v>
      </c>
      <c r="K281" s="4" t="s">
        <v>768</v>
      </c>
      <c r="L281" s="4" t="s">
        <v>862</v>
      </c>
      <c r="M281" s="6">
        <v>45559</v>
      </c>
      <c r="N281" s="34">
        <v>0.44097222222222227</v>
      </c>
      <c r="O281" s="13">
        <v>1</v>
      </c>
      <c r="P281" s="6">
        <v>45559</v>
      </c>
      <c r="Q281" s="76" t="s">
        <v>51</v>
      </c>
    </row>
    <row r="282" spans="1:17" ht="86.25" customHeight="1" x14ac:dyDescent="0.25">
      <c r="A282" s="2">
        <v>280</v>
      </c>
      <c r="B282" s="3">
        <v>45558</v>
      </c>
      <c r="C282" s="4" t="s">
        <v>13</v>
      </c>
      <c r="D282" s="4" t="s">
        <v>266</v>
      </c>
      <c r="E282" s="4" t="s">
        <v>19</v>
      </c>
      <c r="F282" s="4">
        <v>1</v>
      </c>
      <c r="G282" s="2">
        <v>222360</v>
      </c>
      <c r="H282" s="2" t="s">
        <v>843</v>
      </c>
      <c r="I282" s="4" t="s">
        <v>844</v>
      </c>
      <c r="J282" s="4" t="s">
        <v>89</v>
      </c>
      <c r="K282" s="83" t="s">
        <v>667</v>
      </c>
      <c r="L282" s="4" t="s">
        <v>864</v>
      </c>
      <c r="M282" s="6">
        <v>45560</v>
      </c>
      <c r="N282" s="34">
        <v>0.33333333333333331</v>
      </c>
      <c r="O282" s="13">
        <v>1</v>
      </c>
      <c r="P282" s="6">
        <v>45560</v>
      </c>
      <c r="Q282" s="2" t="s">
        <v>703</v>
      </c>
    </row>
    <row r="283" spans="1:17" ht="86.25" customHeight="1" x14ac:dyDescent="0.25">
      <c r="A283" s="2">
        <v>281</v>
      </c>
      <c r="B283" s="3">
        <v>45558</v>
      </c>
      <c r="C283" s="4" t="s">
        <v>13</v>
      </c>
      <c r="D283" s="4" t="s">
        <v>266</v>
      </c>
      <c r="E283" s="4" t="s">
        <v>19</v>
      </c>
      <c r="F283" s="4">
        <v>1</v>
      </c>
      <c r="G283" s="2">
        <v>222361</v>
      </c>
      <c r="H283" s="2" t="s">
        <v>846</v>
      </c>
      <c r="I283" s="2" t="s">
        <v>845</v>
      </c>
      <c r="J283" s="79" t="s">
        <v>99</v>
      </c>
      <c r="K283" s="79" t="s">
        <v>100</v>
      </c>
      <c r="L283" s="4" t="s">
        <v>866</v>
      </c>
      <c r="M283" s="6">
        <v>45559</v>
      </c>
      <c r="N283" s="34">
        <v>0.35902777777777778</v>
      </c>
      <c r="O283" s="13">
        <v>1</v>
      </c>
      <c r="P283" s="6">
        <v>45559</v>
      </c>
      <c r="Q283" s="83" t="s">
        <v>101</v>
      </c>
    </row>
    <row r="284" spans="1:17" ht="86.25" customHeight="1" x14ac:dyDescent="0.25">
      <c r="A284" s="2">
        <v>282</v>
      </c>
      <c r="B284" s="3">
        <v>45562</v>
      </c>
      <c r="C284" s="4" t="s">
        <v>13</v>
      </c>
      <c r="D284" s="4" t="s">
        <v>266</v>
      </c>
      <c r="E284" s="4" t="s">
        <v>19</v>
      </c>
      <c r="F284" s="4">
        <v>1</v>
      </c>
      <c r="G284" s="2">
        <v>222380</v>
      </c>
      <c r="H284" s="2" t="s">
        <v>847</v>
      </c>
      <c r="I284" s="4" t="s">
        <v>790</v>
      </c>
      <c r="J284" s="4" t="s">
        <v>254</v>
      </c>
      <c r="K284" s="76" t="s">
        <v>506</v>
      </c>
      <c r="L284" s="4" t="s">
        <v>870</v>
      </c>
      <c r="M284" s="6">
        <v>45565</v>
      </c>
      <c r="N284" s="34">
        <v>0.4375</v>
      </c>
      <c r="O284" s="13">
        <v>1</v>
      </c>
      <c r="P284" s="6">
        <v>45565</v>
      </c>
      <c r="Q284" s="76" t="s">
        <v>36</v>
      </c>
    </row>
    <row r="285" spans="1:17" ht="86.25" customHeight="1" x14ac:dyDescent="0.25">
      <c r="A285" s="2">
        <v>283</v>
      </c>
      <c r="B285" s="3">
        <v>45562</v>
      </c>
      <c r="C285" s="4" t="s">
        <v>13</v>
      </c>
      <c r="D285" s="4" t="s">
        <v>266</v>
      </c>
      <c r="E285" s="4" t="s">
        <v>19</v>
      </c>
      <c r="F285" s="4">
        <v>1</v>
      </c>
      <c r="G285" s="2">
        <v>222381</v>
      </c>
      <c r="H285" s="2" t="s">
        <v>848</v>
      </c>
      <c r="I285" s="4" t="s">
        <v>358</v>
      </c>
      <c r="J285" s="4" t="s">
        <v>83</v>
      </c>
      <c r="K285" s="83" t="s">
        <v>84</v>
      </c>
      <c r="L285" s="4" t="s">
        <v>860</v>
      </c>
      <c r="M285" s="19">
        <v>45565</v>
      </c>
      <c r="N285" s="34">
        <v>0.46180555555555558</v>
      </c>
      <c r="O285" s="13">
        <v>1</v>
      </c>
      <c r="P285" s="19">
        <v>45565</v>
      </c>
      <c r="Q285" s="83" t="s">
        <v>85</v>
      </c>
    </row>
    <row r="286" spans="1:17" ht="86.25" customHeight="1" x14ac:dyDescent="0.25">
      <c r="A286" s="2">
        <v>284</v>
      </c>
      <c r="B286" s="3">
        <v>45562</v>
      </c>
      <c r="C286" s="4" t="s">
        <v>13</v>
      </c>
      <c r="D286" s="4" t="s">
        <v>739</v>
      </c>
      <c r="E286" s="2" t="s">
        <v>19</v>
      </c>
      <c r="F286" s="2">
        <v>1</v>
      </c>
      <c r="G286" s="2">
        <v>222382</v>
      </c>
      <c r="H286" s="2" t="s">
        <v>849</v>
      </c>
      <c r="I286" s="4" t="s">
        <v>486</v>
      </c>
      <c r="J286" s="4" t="s">
        <v>37</v>
      </c>
      <c r="K286" s="4" t="s">
        <v>768</v>
      </c>
      <c r="L286" s="4" t="s">
        <v>862</v>
      </c>
      <c r="M286" s="6">
        <v>45565</v>
      </c>
      <c r="N286" s="34">
        <v>0.40347222222222223</v>
      </c>
      <c r="O286" s="13">
        <v>1</v>
      </c>
      <c r="P286" s="6">
        <v>45565</v>
      </c>
      <c r="Q286" s="76" t="s">
        <v>51</v>
      </c>
    </row>
    <row r="287" spans="1:17" ht="86.25" customHeight="1" x14ac:dyDescent="0.25">
      <c r="A287" s="2">
        <v>285</v>
      </c>
      <c r="B287" s="3">
        <v>45565</v>
      </c>
      <c r="C287" s="4" t="s">
        <v>13</v>
      </c>
      <c r="D287" s="4" t="s">
        <v>739</v>
      </c>
      <c r="E287" s="2" t="s">
        <v>19</v>
      </c>
      <c r="F287" s="2">
        <v>1</v>
      </c>
      <c r="G287" s="2">
        <v>222399</v>
      </c>
      <c r="H287" s="2" t="s">
        <v>850</v>
      </c>
      <c r="I287" s="2" t="s">
        <v>851</v>
      </c>
      <c r="J287" s="2" t="s">
        <v>852</v>
      </c>
      <c r="K287" s="4" t="s">
        <v>853</v>
      </c>
      <c r="L287" s="2" t="s">
        <v>864</v>
      </c>
      <c r="M287" s="6">
        <v>45567</v>
      </c>
      <c r="N287" s="34">
        <v>0.33333333333333331</v>
      </c>
      <c r="O287" s="13">
        <v>1</v>
      </c>
      <c r="P287" s="6">
        <v>45567</v>
      </c>
      <c r="Q287" s="2" t="s">
        <v>750</v>
      </c>
    </row>
    <row r="288" spans="1:17" ht="86.25" customHeight="1" x14ac:dyDescent="0.25">
      <c r="A288" s="2">
        <v>286</v>
      </c>
      <c r="B288" s="3">
        <v>45565</v>
      </c>
      <c r="C288" s="4" t="s">
        <v>13</v>
      </c>
      <c r="D288" s="4" t="s">
        <v>854</v>
      </c>
      <c r="E288" s="2" t="s">
        <v>19</v>
      </c>
      <c r="F288" s="2">
        <v>1</v>
      </c>
      <c r="G288" s="2">
        <v>222398</v>
      </c>
      <c r="H288" s="2" t="s">
        <v>855</v>
      </c>
      <c r="I288" s="4" t="s">
        <v>790</v>
      </c>
      <c r="J288" s="4" t="s">
        <v>254</v>
      </c>
      <c r="K288" s="76" t="s">
        <v>506</v>
      </c>
      <c r="L288" s="4" t="s">
        <v>865</v>
      </c>
      <c r="M288" s="6">
        <v>45566</v>
      </c>
      <c r="N288" s="34">
        <v>0.51736111111111105</v>
      </c>
      <c r="O288" s="13">
        <v>1</v>
      </c>
      <c r="P288" s="6">
        <v>45566</v>
      </c>
      <c r="Q288" s="76" t="s">
        <v>36</v>
      </c>
    </row>
    <row r="289" spans="1:17" ht="86.25" customHeight="1" x14ac:dyDescent="0.25">
      <c r="A289" s="2">
        <v>287</v>
      </c>
      <c r="B289" s="3">
        <v>45566</v>
      </c>
      <c r="C289" s="4" t="s">
        <v>13</v>
      </c>
      <c r="D289" s="4" t="s">
        <v>623</v>
      </c>
      <c r="E289" s="2" t="s">
        <v>19</v>
      </c>
      <c r="F289" s="2">
        <v>1</v>
      </c>
      <c r="G289" s="2">
        <v>222406</v>
      </c>
      <c r="H289" s="2" t="s">
        <v>856</v>
      </c>
      <c r="I289" s="2" t="s">
        <v>547</v>
      </c>
      <c r="J289" s="4" t="s">
        <v>37</v>
      </c>
      <c r="K289" s="4" t="s">
        <v>768</v>
      </c>
      <c r="L289" s="4" t="s">
        <v>898</v>
      </c>
      <c r="M289" s="6">
        <v>45567</v>
      </c>
      <c r="N289" s="34">
        <v>0.43402777777777773</v>
      </c>
      <c r="O289" s="13">
        <v>1</v>
      </c>
      <c r="P289" s="6">
        <v>45567</v>
      </c>
      <c r="Q289" s="76" t="s">
        <v>51</v>
      </c>
    </row>
    <row r="290" spans="1:17" ht="86.25" customHeight="1" x14ac:dyDescent="0.25">
      <c r="A290" s="2">
        <v>288</v>
      </c>
      <c r="B290" s="3">
        <v>45568</v>
      </c>
      <c r="C290" s="4" t="s">
        <v>13</v>
      </c>
      <c r="D290" s="4" t="s">
        <v>872</v>
      </c>
      <c r="E290" s="2" t="s">
        <v>19</v>
      </c>
      <c r="F290" s="2">
        <v>1</v>
      </c>
      <c r="G290" s="2">
        <v>222416</v>
      </c>
      <c r="H290" s="2" t="s">
        <v>873</v>
      </c>
      <c r="I290" s="2" t="s">
        <v>874</v>
      </c>
      <c r="J290" s="2" t="s">
        <v>254</v>
      </c>
      <c r="K290" s="2" t="s">
        <v>875</v>
      </c>
      <c r="L290" s="4" t="s">
        <v>861</v>
      </c>
      <c r="M290" s="6">
        <v>45569</v>
      </c>
      <c r="N290" s="34">
        <v>0.49583333333333335</v>
      </c>
      <c r="O290" s="13">
        <v>1</v>
      </c>
      <c r="P290" s="6">
        <v>45569</v>
      </c>
      <c r="Q290" s="76" t="s">
        <v>36</v>
      </c>
    </row>
    <row r="291" spans="1:17" ht="86.25" customHeight="1" x14ac:dyDescent="0.25">
      <c r="A291" s="2">
        <v>289</v>
      </c>
      <c r="B291" s="3">
        <v>45569</v>
      </c>
      <c r="C291" s="4" t="s">
        <v>13</v>
      </c>
      <c r="D291" s="4" t="s">
        <v>739</v>
      </c>
      <c r="E291" s="2" t="s">
        <v>19</v>
      </c>
      <c r="F291" s="2">
        <v>1</v>
      </c>
      <c r="G291" s="2">
        <v>222419</v>
      </c>
      <c r="H291" s="2" t="s">
        <v>878</v>
      </c>
      <c r="I291" s="4" t="s">
        <v>790</v>
      </c>
      <c r="J291" s="4" t="s">
        <v>254</v>
      </c>
      <c r="K291" s="76" t="s">
        <v>506</v>
      </c>
      <c r="L291" s="4" t="s">
        <v>899</v>
      </c>
      <c r="M291" s="6">
        <v>45572</v>
      </c>
      <c r="N291" s="34">
        <v>0.39166666666666666</v>
      </c>
      <c r="O291" s="13">
        <v>1</v>
      </c>
      <c r="P291" s="6">
        <v>45572</v>
      </c>
      <c r="Q291" s="76" t="s">
        <v>36</v>
      </c>
    </row>
    <row r="292" spans="1:17" ht="86.25" customHeight="1" x14ac:dyDescent="0.25">
      <c r="A292" s="2">
        <v>290</v>
      </c>
      <c r="B292" s="3">
        <v>45569</v>
      </c>
      <c r="C292" s="4" t="s">
        <v>13</v>
      </c>
      <c r="D292" s="4" t="s">
        <v>637</v>
      </c>
      <c r="E292" s="2" t="s">
        <v>19</v>
      </c>
      <c r="F292" s="2">
        <v>1</v>
      </c>
      <c r="G292" s="2">
        <v>222420</v>
      </c>
      <c r="H292" s="2" t="s">
        <v>876</v>
      </c>
      <c r="I292" s="4" t="s">
        <v>358</v>
      </c>
      <c r="J292" s="4" t="s">
        <v>83</v>
      </c>
      <c r="K292" s="83" t="s">
        <v>84</v>
      </c>
      <c r="L292" s="4" t="s">
        <v>860</v>
      </c>
      <c r="M292" s="6">
        <v>45572</v>
      </c>
      <c r="N292" s="34">
        <v>0.35416666666666669</v>
      </c>
      <c r="O292" s="13">
        <v>1</v>
      </c>
      <c r="P292" s="6">
        <v>45572</v>
      </c>
      <c r="Q292" s="83" t="s">
        <v>85</v>
      </c>
    </row>
    <row r="293" spans="1:17" ht="86.25" customHeight="1" x14ac:dyDescent="0.25">
      <c r="A293" s="2">
        <v>291</v>
      </c>
      <c r="B293" s="3">
        <v>45569</v>
      </c>
      <c r="C293" s="4" t="s">
        <v>13</v>
      </c>
      <c r="D293" s="4" t="s">
        <v>812</v>
      </c>
      <c r="E293" s="2" t="s">
        <v>19</v>
      </c>
      <c r="F293" s="2">
        <v>1</v>
      </c>
      <c r="G293" s="2">
        <v>222421</v>
      </c>
      <c r="H293" s="2" t="s">
        <v>877</v>
      </c>
      <c r="I293" s="22" t="s">
        <v>155</v>
      </c>
      <c r="J293" s="22" t="s">
        <v>156</v>
      </c>
      <c r="K293" s="83" t="s">
        <v>157</v>
      </c>
      <c r="L293" s="4" t="s">
        <v>869</v>
      </c>
      <c r="M293" s="6">
        <v>45573</v>
      </c>
      <c r="N293" s="34">
        <v>0.53888888888888886</v>
      </c>
      <c r="O293" s="13">
        <v>1</v>
      </c>
      <c r="P293" s="6">
        <v>45573</v>
      </c>
      <c r="Q293" s="83" t="s">
        <v>830</v>
      </c>
    </row>
    <row r="294" spans="1:17" ht="86.25" customHeight="1" x14ac:dyDescent="0.25">
      <c r="A294" s="2">
        <v>292</v>
      </c>
      <c r="B294" s="3">
        <v>45569</v>
      </c>
      <c r="C294" s="4" t="s">
        <v>13</v>
      </c>
      <c r="D294" s="4" t="s">
        <v>772</v>
      </c>
      <c r="E294" s="2" t="s">
        <v>19</v>
      </c>
      <c r="F294" s="2">
        <v>1</v>
      </c>
      <c r="G294" s="2">
        <v>222422</v>
      </c>
      <c r="H294" s="2" t="s">
        <v>879</v>
      </c>
      <c r="I294" s="88" t="s">
        <v>68</v>
      </c>
      <c r="J294" s="75" t="s">
        <v>9</v>
      </c>
      <c r="K294" s="76" t="s">
        <v>69</v>
      </c>
      <c r="L294" s="4" t="s">
        <v>861</v>
      </c>
      <c r="M294" s="6">
        <v>45572</v>
      </c>
      <c r="N294" s="25">
        <v>0.46527777777777773</v>
      </c>
      <c r="O294" s="13">
        <v>1</v>
      </c>
      <c r="P294" s="6">
        <v>45572</v>
      </c>
      <c r="Q294" s="76" t="s">
        <v>70</v>
      </c>
    </row>
    <row r="295" spans="1:17" ht="86.25" customHeight="1" x14ac:dyDescent="0.25">
      <c r="A295" s="2">
        <v>293</v>
      </c>
      <c r="B295" s="3">
        <v>45569</v>
      </c>
      <c r="C295" s="4" t="s">
        <v>13</v>
      </c>
      <c r="D295" s="4" t="s">
        <v>772</v>
      </c>
      <c r="E295" s="2" t="s">
        <v>19</v>
      </c>
      <c r="F295" s="2">
        <v>1</v>
      </c>
      <c r="G295" s="2">
        <v>222423</v>
      </c>
      <c r="H295" s="2" t="s">
        <v>880</v>
      </c>
      <c r="I295" s="4" t="s">
        <v>486</v>
      </c>
      <c r="J295" s="4" t="s">
        <v>37</v>
      </c>
      <c r="K295" s="4" t="s">
        <v>768</v>
      </c>
      <c r="L295" s="4" t="s">
        <v>862</v>
      </c>
      <c r="M295" s="6">
        <v>45572</v>
      </c>
      <c r="N295" s="34">
        <v>0.3840277777777778</v>
      </c>
      <c r="O295" s="13">
        <v>1</v>
      </c>
      <c r="P295" s="6">
        <v>45572</v>
      </c>
      <c r="Q295" s="76" t="s">
        <v>51</v>
      </c>
    </row>
    <row r="296" spans="1:17" ht="86.25" customHeight="1" x14ac:dyDescent="0.25">
      <c r="A296" s="2">
        <v>294</v>
      </c>
      <c r="B296" s="3">
        <v>45572</v>
      </c>
      <c r="C296" s="4" t="s">
        <v>13</v>
      </c>
      <c r="D296" s="4" t="s">
        <v>881</v>
      </c>
      <c r="E296" s="2" t="s">
        <v>19</v>
      </c>
      <c r="F296" s="2">
        <v>1</v>
      </c>
      <c r="G296" s="2">
        <v>222429</v>
      </c>
      <c r="H296" s="2" t="s">
        <v>882</v>
      </c>
      <c r="I296" s="2" t="s">
        <v>883</v>
      </c>
      <c r="J296" s="2" t="s">
        <v>254</v>
      </c>
      <c r="K296" s="2" t="s">
        <v>884</v>
      </c>
      <c r="L296" s="4" t="s">
        <v>861</v>
      </c>
      <c r="M296" s="6">
        <v>45573</v>
      </c>
      <c r="N296" s="34">
        <v>0.4236111111111111</v>
      </c>
      <c r="O296" s="13">
        <v>1</v>
      </c>
      <c r="P296" s="6">
        <v>45573</v>
      </c>
      <c r="Q296" s="76" t="s">
        <v>70</v>
      </c>
    </row>
    <row r="297" spans="1:17" ht="86.25" customHeight="1" x14ac:dyDescent="0.25">
      <c r="A297" s="2">
        <v>295</v>
      </c>
      <c r="B297" s="3">
        <v>45572</v>
      </c>
      <c r="C297" s="4" t="s">
        <v>13</v>
      </c>
      <c r="D297" s="4" t="s">
        <v>607</v>
      </c>
      <c r="E297" s="2" t="s">
        <v>19</v>
      </c>
      <c r="F297" s="2">
        <v>1</v>
      </c>
      <c r="G297" s="2">
        <v>222430</v>
      </c>
      <c r="H297" s="2" t="s">
        <v>886</v>
      </c>
      <c r="I297" s="2" t="s">
        <v>885</v>
      </c>
      <c r="J297" s="4" t="s">
        <v>37</v>
      </c>
      <c r="K297" s="4" t="s">
        <v>768</v>
      </c>
      <c r="L297" s="4" t="s">
        <v>861</v>
      </c>
      <c r="M297" s="6">
        <v>45573</v>
      </c>
      <c r="N297" s="34">
        <v>0.52083333333333337</v>
      </c>
      <c r="O297" s="13">
        <v>1</v>
      </c>
      <c r="P297" s="6">
        <v>45573</v>
      </c>
      <c r="Q297" s="76" t="s">
        <v>51</v>
      </c>
    </row>
    <row r="298" spans="1:17" ht="86.25" customHeight="1" x14ac:dyDescent="0.25">
      <c r="A298" s="2">
        <v>296</v>
      </c>
      <c r="B298" s="3">
        <v>45573</v>
      </c>
      <c r="C298" s="4" t="s">
        <v>13</v>
      </c>
      <c r="D298" s="4" t="s">
        <v>739</v>
      </c>
      <c r="E298" s="2" t="s">
        <v>19</v>
      </c>
      <c r="F298" s="2">
        <v>1</v>
      </c>
      <c r="G298" s="2">
        <v>222437</v>
      </c>
      <c r="H298" s="2" t="s">
        <v>887</v>
      </c>
      <c r="I298" s="4" t="s">
        <v>790</v>
      </c>
      <c r="J298" s="4" t="s">
        <v>254</v>
      </c>
      <c r="K298" s="76" t="s">
        <v>506</v>
      </c>
      <c r="L298" s="4" t="s">
        <v>859</v>
      </c>
      <c r="M298" s="6">
        <v>45574</v>
      </c>
      <c r="N298" s="34">
        <v>0.45</v>
      </c>
      <c r="O298" s="13">
        <v>1</v>
      </c>
      <c r="P298" s="6">
        <v>45574</v>
      </c>
      <c r="Q298" s="76" t="s">
        <v>36</v>
      </c>
    </row>
    <row r="299" spans="1:17" ht="86.25" customHeight="1" x14ac:dyDescent="0.25">
      <c r="A299" s="2">
        <v>297</v>
      </c>
      <c r="B299" s="3">
        <v>45573</v>
      </c>
      <c r="C299" s="4" t="s">
        <v>13</v>
      </c>
      <c r="D299" s="4" t="s">
        <v>623</v>
      </c>
      <c r="E299" s="2" t="s">
        <v>19</v>
      </c>
      <c r="F299" s="2">
        <v>1</v>
      </c>
      <c r="G299" s="2">
        <v>222439</v>
      </c>
      <c r="H299" s="2" t="s">
        <v>888</v>
      </c>
      <c r="I299" s="4" t="s">
        <v>486</v>
      </c>
      <c r="J299" s="4" t="s">
        <v>37</v>
      </c>
      <c r="K299" s="4" t="s">
        <v>768</v>
      </c>
      <c r="L299" s="4" t="s">
        <v>862</v>
      </c>
      <c r="M299" s="6">
        <v>45574</v>
      </c>
      <c r="N299" s="34">
        <v>0.40277777777777773</v>
      </c>
      <c r="O299" s="13">
        <v>1</v>
      </c>
      <c r="P299" s="6">
        <v>45574</v>
      </c>
      <c r="Q299" s="76" t="s">
        <v>51</v>
      </c>
    </row>
    <row r="300" spans="1:17" ht="86.25" customHeight="1" x14ac:dyDescent="0.25">
      <c r="A300" s="2">
        <v>298</v>
      </c>
      <c r="B300" s="3">
        <v>45573</v>
      </c>
      <c r="C300" s="4" t="s">
        <v>13</v>
      </c>
      <c r="D300" s="4" t="s">
        <v>772</v>
      </c>
      <c r="E300" s="2" t="s">
        <v>19</v>
      </c>
      <c r="F300" s="2">
        <v>1</v>
      </c>
      <c r="G300" s="2">
        <v>222438</v>
      </c>
      <c r="H300" s="2" t="s">
        <v>889</v>
      </c>
      <c r="I300" s="22" t="s">
        <v>155</v>
      </c>
      <c r="J300" s="22" t="s">
        <v>156</v>
      </c>
      <c r="K300" s="83" t="s">
        <v>157</v>
      </c>
      <c r="L300" s="4" t="s">
        <v>861</v>
      </c>
      <c r="M300" s="6">
        <v>45575</v>
      </c>
      <c r="N300" s="34">
        <v>0.54583333333333328</v>
      </c>
      <c r="O300" s="13">
        <v>1</v>
      </c>
      <c r="P300" s="6">
        <v>45575</v>
      </c>
      <c r="Q300" s="83" t="s">
        <v>830</v>
      </c>
    </row>
    <row r="301" spans="1:17" ht="86.25" customHeight="1" x14ac:dyDescent="0.25">
      <c r="A301" s="2">
        <v>299</v>
      </c>
      <c r="B301" s="3">
        <v>45573</v>
      </c>
      <c r="C301" s="4" t="s">
        <v>13</v>
      </c>
      <c r="D301" s="4" t="s">
        <v>772</v>
      </c>
      <c r="E301" s="2" t="s">
        <v>19</v>
      </c>
      <c r="F301" s="2">
        <v>1</v>
      </c>
      <c r="G301" s="2">
        <v>222436</v>
      </c>
      <c r="H301" s="2" t="s">
        <v>891</v>
      </c>
      <c r="I301" s="2" t="s">
        <v>851</v>
      </c>
      <c r="J301" s="2" t="s">
        <v>852</v>
      </c>
      <c r="K301" s="4" t="s">
        <v>853</v>
      </c>
      <c r="L301" s="4" t="s">
        <v>918</v>
      </c>
      <c r="M301" s="6">
        <v>45575</v>
      </c>
      <c r="N301" s="34">
        <v>0.33333333333333331</v>
      </c>
      <c r="O301" s="13">
        <v>1</v>
      </c>
      <c r="P301" s="6">
        <v>45575</v>
      </c>
      <c r="Q301" s="2" t="s">
        <v>750</v>
      </c>
    </row>
    <row r="302" spans="1:17" ht="86.25" customHeight="1" x14ac:dyDescent="0.25">
      <c r="A302" s="2">
        <v>300</v>
      </c>
      <c r="B302" s="3">
        <v>45573</v>
      </c>
      <c r="C302" s="4" t="s">
        <v>13</v>
      </c>
      <c r="D302" s="4" t="s">
        <v>772</v>
      </c>
      <c r="E302" s="2" t="s">
        <v>19</v>
      </c>
      <c r="F302" s="2">
        <v>1</v>
      </c>
      <c r="G302" s="2">
        <v>222435</v>
      </c>
      <c r="H302" s="2" t="s">
        <v>890</v>
      </c>
      <c r="I302" s="23" t="s">
        <v>249</v>
      </c>
      <c r="J302" s="79" t="s">
        <v>99</v>
      </c>
      <c r="K302" s="79" t="s">
        <v>100</v>
      </c>
      <c r="L302" s="4" t="s">
        <v>919</v>
      </c>
      <c r="M302" s="6">
        <v>45574</v>
      </c>
      <c r="N302" s="84">
        <v>0.43333333333333335</v>
      </c>
      <c r="O302" s="13">
        <v>1</v>
      </c>
      <c r="P302" s="6">
        <v>45574</v>
      </c>
      <c r="Q302" s="83" t="s">
        <v>101</v>
      </c>
    </row>
    <row r="303" spans="1:17" ht="86.25" customHeight="1" x14ac:dyDescent="0.25">
      <c r="A303" s="2">
        <v>301</v>
      </c>
      <c r="B303" s="3">
        <v>45574</v>
      </c>
      <c r="C303" s="4" t="s">
        <v>13</v>
      </c>
      <c r="D303" s="4" t="s">
        <v>607</v>
      </c>
      <c r="E303" s="2" t="s">
        <v>19</v>
      </c>
      <c r="F303" s="2">
        <v>1</v>
      </c>
      <c r="G303" s="2">
        <v>222447</v>
      </c>
      <c r="H303" s="2" t="s">
        <v>892</v>
      </c>
      <c r="I303" s="2" t="s">
        <v>719</v>
      </c>
      <c r="J303" s="2" t="s">
        <v>852</v>
      </c>
      <c r="K303" s="4" t="s">
        <v>853</v>
      </c>
      <c r="L303" s="4" t="s">
        <v>918</v>
      </c>
      <c r="M303" s="6">
        <v>45579</v>
      </c>
      <c r="N303" s="34">
        <v>0.33333333333333331</v>
      </c>
      <c r="O303" s="13">
        <v>1</v>
      </c>
      <c r="P303" s="6">
        <v>45579</v>
      </c>
      <c r="Q303" s="2" t="s">
        <v>750</v>
      </c>
    </row>
    <row r="304" spans="1:17" ht="86.25" customHeight="1" x14ac:dyDescent="0.25">
      <c r="A304" s="2">
        <v>302</v>
      </c>
      <c r="B304" s="3">
        <v>45574</v>
      </c>
      <c r="C304" s="4" t="s">
        <v>13</v>
      </c>
      <c r="D304" s="4" t="s">
        <v>607</v>
      </c>
      <c r="E304" s="2" t="s">
        <v>19</v>
      </c>
      <c r="F304" s="2">
        <v>1</v>
      </c>
      <c r="G304" s="2">
        <v>222448</v>
      </c>
      <c r="H304" s="2" t="s">
        <v>893</v>
      </c>
      <c r="I304" s="4" t="s">
        <v>486</v>
      </c>
      <c r="J304" s="4" t="s">
        <v>37</v>
      </c>
      <c r="K304" s="4" t="s">
        <v>768</v>
      </c>
      <c r="L304" s="4" t="s">
        <v>862</v>
      </c>
      <c r="M304" s="6">
        <v>45575</v>
      </c>
      <c r="N304" s="34" t="s">
        <v>920</v>
      </c>
      <c r="O304" s="13">
        <v>1</v>
      </c>
      <c r="P304" s="6">
        <v>45575</v>
      </c>
      <c r="Q304" s="76" t="s">
        <v>51</v>
      </c>
    </row>
    <row r="305" spans="1:17" ht="86.25" customHeight="1" x14ac:dyDescent="0.25">
      <c r="A305" s="2">
        <v>303</v>
      </c>
      <c r="B305" s="3">
        <v>45574</v>
      </c>
      <c r="C305" s="4" t="s">
        <v>13</v>
      </c>
      <c r="D305" s="4" t="s">
        <v>772</v>
      </c>
      <c r="E305" s="2" t="s">
        <v>19</v>
      </c>
      <c r="F305" s="2">
        <v>1</v>
      </c>
      <c r="G305" s="2">
        <v>222449</v>
      </c>
      <c r="H305" s="2" t="s">
        <v>894</v>
      </c>
      <c r="I305" s="4" t="s">
        <v>790</v>
      </c>
      <c r="J305" s="4" t="s">
        <v>254</v>
      </c>
      <c r="K305" s="76" t="s">
        <v>506</v>
      </c>
      <c r="L305" s="4" t="s">
        <v>921</v>
      </c>
      <c r="M305" s="6">
        <v>45575</v>
      </c>
      <c r="N305" s="34">
        <v>0.6777777777777777</v>
      </c>
      <c r="O305" s="13">
        <v>1</v>
      </c>
      <c r="P305" s="6">
        <v>45575</v>
      </c>
      <c r="Q305" s="76" t="s">
        <v>36</v>
      </c>
    </row>
    <row r="306" spans="1:17" ht="86.25" customHeight="1" x14ac:dyDescent="0.25">
      <c r="A306" s="2">
        <v>304</v>
      </c>
      <c r="B306" s="3">
        <v>45575</v>
      </c>
      <c r="C306" s="4" t="s">
        <v>13</v>
      </c>
      <c r="D306" s="4" t="s">
        <v>895</v>
      </c>
      <c r="E306" s="2" t="s">
        <v>19</v>
      </c>
      <c r="F306" s="2">
        <v>1</v>
      </c>
      <c r="G306" s="2">
        <v>222452</v>
      </c>
      <c r="H306" s="2" t="s">
        <v>896</v>
      </c>
      <c r="I306" s="4" t="s">
        <v>358</v>
      </c>
      <c r="J306" s="4" t="s">
        <v>83</v>
      </c>
      <c r="K306" s="83" t="s">
        <v>84</v>
      </c>
      <c r="L306" s="4" t="s">
        <v>922</v>
      </c>
      <c r="M306" s="6">
        <v>45579</v>
      </c>
      <c r="N306" s="34">
        <v>0.34722222222222227</v>
      </c>
      <c r="O306" s="13">
        <v>1</v>
      </c>
      <c r="P306" s="6">
        <v>45579</v>
      </c>
      <c r="Q306" s="83" t="s">
        <v>85</v>
      </c>
    </row>
    <row r="307" spans="1:17" ht="86.25" customHeight="1" x14ac:dyDescent="0.25">
      <c r="A307" s="2">
        <v>305</v>
      </c>
      <c r="B307" s="3">
        <v>45575</v>
      </c>
      <c r="C307" s="4" t="s">
        <v>13</v>
      </c>
      <c r="D307" s="4" t="s">
        <v>895</v>
      </c>
      <c r="E307" s="2" t="s">
        <v>19</v>
      </c>
      <c r="F307" s="2">
        <v>1</v>
      </c>
      <c r="G307" s="2">
        <v>222453</v>
      </c>
      <c r="H307" s="2" t="s">
        <v>897</v>
      </c>
      <c r="I307" s="4" t="s">
        <v>790</v>
      </c>
      <c r="J307" s="4" t="s">
        <v>254</v>
      </c>
      <c r="K307" s="76" t="s">
        <v>506</v>
      </c>
      <c r="L307" s="4" t="s">
        <v>921</v>
      </c>
      <c r="M307" s="6">
        <v>45579</v>
      </c>
      <c r="N307" s="8" t="s">
        <v>923</v>
      </c>
      <c r="O307" s="13">
        <v>1</v>
      </c>
      <c r="P307" s="6">
        <v>45579</v>
      </c>
      <c r="Q307" s="76" t="s">
        <v>36</v>
      </c>
    </row>
    <row r="308" spans="1:17" ht="86.25" customHeight="1" x14ac:dyDescent="0.25">
      <c r="A308" s="2">
        <v>306</v>
      </c>
      <c r="B308" s="3">
        <v>45579</v>
      </c>
      <c r="C308" s="4" t="s">
        <v>13</v>
      </c>
      <c r="D308" s="4" t="s">
        <v>739</v>
      </c>
      <c r="E308" s="2" t="s">
        <v>19</v>
      </c>
      <c r="F308" s="2">
        <v>1</v>
      </c>
      <c r="G308" s="2">
        <v>222469</v>
      </c>
      <c r="H308" s="2" t="s">
        <v>900</v>
      </c>
      <c r="I308" s="4" t="s">
        <v>486</v>
      </c>
      <c r="J308" s="2" t="s">
        <v>37</v>
      </c>
      <c r="K308" s="4" t="s">
        <v>768</v>
      </c>
      <c r="L308" s="4" t="s">
        <v>862</v>
      </c>
      <c r="M308" s="6">
        <v>45580</v>
      </c>
      <c r="N308" s="34">
        <v>0.67499999999999993</v>
      </c>
      <c r="O308" s="13">
        <v>1</v>
      </c>
      <c r="P308" s="6">
        <v>45580</v>
      </c>
      <c r="Q308" s="76" t="s">
        <v>51</v>
      </c>
    </row>
    <row r="309" spans="1:17" ht="86.25" customHeight="1" x14ac:dyDescent="0.25">
      <c r="A309" s="2">
        <v>307</v>
      </c>
      <c r="B309" s="3">
        <v>45579</v>
      </c>
      <c r="C309" s="4" t="s">
        <v>13</v>
      </c>
      <c r="D309" s="4" t="s">
        <v>772</v>
      </c>
      <c r="E309" s="2" t="s">
        <v>19</v>
      </c>
      <c r="F309" s="2">
        <v>1</v>
      </c>
      <c r="G309" s="2">
        <v>222468</v>
      </c>
      <c r="H309" s="2" t="s">
        <v>901</v>
      </c>
      <c r="I309" s="23" t="s">
        <v>249</v>
      </c>
      <c r="J309" s="79" t="s">
        <v>99</v>
      </c>
      <c r="K309" s="79" t="s">
        <v>100</v>
      </c>
      <c r="L309" s="4" t="s">
        <v>867</v>
      </c>
      <c r="M309" s="6">
        <v>45580</v>
      </c>
      <c r="N309" s="81" t="s">
        <v>924</v>
      </c>
      <c r="O309" s="13">
        <v>1</v>
      </c>
      <c r="P309" s="6">
        <v>45580</v>
      </c>
      <c r="Q309" s="83" t="s">
        <v>101</v>
      </c>
    </row>
    <row r="310" spans="1:17" ht="86.25" customHeight="1" x14ac:dyDescent="0.25">
      <c r="A310" s="2">
        <v>308</v>
      </c>
      <c r="B310" s="3">
        <v>45579</v>
      </c>
      <c r="C310" s="4" t="s">
        <v>13</v>
      </c>
      <c r="D310" s="4" t="s">
        <v>772</v>
      </c>
      <c r="E310" s="2" t="s">
        <v>19</v>
      </c>
      <c r="F310" s="2">
        <v>1</v>
      </c>
      <c r="G310" s="2">
        <v>222467</v>
      </c>
      <c r="H310" s="2" t="s">
        <v>902</v>
      </c>
      <c r="I310" s="4" t="s">
        <v>844</v>
      </c>
      <c r="J310" s="2" t="s">
        <v>852</v>
      </c>
      <c r="K310" s="4" t="s">
        <v>853</v>
      </c>
      <c r="L310" s="4" t="s">
        <v>918</v>
      </c>
      <c r="M310" s="6">
        <v>45581</v>
      </c>
      <c r="N310" s="34">
        <v>0.66666666666666663</v>
      </c>
      <c r="O310" s="13">
        <v>1</v>
      </c>
      <c r="P310" s="6">
        <v>45581</v>
      </c>
      <c r="Q310" s="2" t="s">
        <v>750</v>
      </c>
    </row>
    <row r="311" spans="1:17" ht="86.25" customHeight="1" x14ac:dyDescent="0.25">
      <c r="A311" s="2">
        <v>309</v>
      </c>
      <c r="B311" s="3">
        <v>45580</v>
      </c>
      <c r="C311" s="4" t="s">
        <v>13</v>
      </c>
      <c r="D311" s="4" t="s">
        <v>739</v>
      </c>
      <c r="E311" s="2" t="s">
        <v>19</v>
      </c>
      <c r="F311" s="2">
        <v>1</v>
      </c>
      <c r="G311" s="2">
        <v>222479</v>
      </c>
      <c r="H311" s="2" t="s">
        <v>903</v>
      </c>
      <c r="I311" s="4" t="s">
        <v>790</v>
      </c>
      <c r="J311" s="4" t="s">
        <v>254</v>
      </c>
      <c r="K311" s="76" t="s">
        <v>506</v>
      </c>
      <c r="L311" s="4" t="s">
        <v>921</v>
      </c>
      <c r="M311" s="6">
        <v>45581</v>
      </c>
      <c r="N311" s="34">
        <v>0.47361111111111115</v>
      </c>
      <c r="O311" s="13">
        <v>1</v>
      </c>
      <c r="P311" s="6">
        <v>45581</v>
      </c>
      <c r="Q311" s="76" t="s">
        <v>36</v>
      </c>
    </row>
    <row r="312" spans="1:17" ht="86.25" customHeight="1" x14ac:dyDescent="0.25">
      <c r="A312" s="2">
        <v>310</v>
      </c>
      <c r="B312" s="3">
        <v>45581</v>
      </c>
      <c r="C312" s="4" t="s">
        <v>13</v>
      </c>
      <c r="D312" s="4" t="s">
        <v>607</v>
      </c>
      <c r="E312" s="2" t="s">
        <v>19</v>
      </c>
      <c r="F312" s="2">
        <v>1</v>
      </c>
      <c r="G312" s="2">
        <v>222480</v>
      </c>
      <c r="H312" s="2" t="s">
        <v>904</v>
      </c>
      <c r="I312" s="2" t="s">
        <v>905</v>
      </c>
      <c r="J312" s="2" t="s">
        <v>37</v>
      </c>
      <c r="K312" s="4" t="s">
        <v>768</v>
      </c>
      <c r="L312" s="4" t="s">
        <v>862</v>
      </c>
      <c r="M312" s="6">
        <v>45581</v>
      </c>
      <c r="N312" s="34">
        <v>0.67361111111111116</v>
      </c>
      <c r="O312" s="13">
        <v>1</v>
      </c>
      <c r="P312" s="6">
        <v>45581</v>
      </c>
      <c r="Q312" s="76" t="s">
        <v>51</v>
      </c>
    </row>
    <row r="313" spans="1:17" ht="86.25" customHeight="1" x14ac:dyDescent="0.25">
      <c r="A313" s="2">
        <v>311</v>
      </c>
      <c r="B313" s="3">
        <v>45581</v>
      </c>
      <c r="C313" s="4" t="s">
        <v>13</v>
      </c>
      <c r="D313" s="4" t="s">
        <v>906</v>
      </c>
      <c r="E313" s="2" t="s">
        <v>19</v>
      </c>
      <c r="F313" s="2">
        <v>1</v>
      </c>
      <c r="G313" s="2">
        <v>222490</v>
      </c>
      <c r="H313" s="2" t="s">
        <v>907</v>
      </c>
      <c r="I313" s="2" t="s">
        <v>908</v>
      </c>
      <c r="J313" s="2" t="s">
        <v>254</v>
      </c>
      <c r="K313" s="2" t="s">
        <v>909</v>
      </c>
      <c r="L313" s="4" t="s">
        <v>921</v>
      </c>
      <c r="M313" s="6">
        <v>45582</v>
      </c>
      <c r="N313" s="34">
        <v>0.45</v>
      </c>
      <c r="O313" s="13">
        <v>1</v>
      </c>
      <c r="P313" s="6">
        <v>45582</v>
      </c>
      <c r="Q313" s="76" t="s">
        <v>36</v>
      </c>
    </row>
    <row r="314" spans="1:17" ht="86.25" customHeight="1" x14ac:dyDescent="0.25">
      <c r="A314" s="2">
        <v>312</v>
      </c>
      <c r="B314" s="3">
        <v>45582</v>
      </c>
      <c r="C314" s="4" t="s">
        <v>13</v>
      </c>
      <c r="D314" s="4" t="s">
        <v>266</v>
      </c>
      <c r="E314" s="2" t="s">
        <v>19</v>
      </c>
      <c r="F314" s="2">
        <v>1</v>
      </c>
      <c r="G314" s="2">
        <v>222506</v>
      </c>
      <c r="H314" s="2" t="s">
        <v>910</v>
      </c>
      <c r="I314" s="22" t="s">
        <v>155</v>
      </c>
      <c r="J314" s="22" t="s">
        <v>156</v>
      </c>
      <c r="K314" s="83" t="s">
        <v>157</v>
      </c>
      <c r="L314" s="4" t="s">
        <v>869</v>
      </c>
      <c r="M314" s="6">
        <v>45582</v>
      </c>
      <c r="N314" s="34">
        <v>0.55555555555555558</v>
      </c>
      <c r="O314" s="13">
        <v>1</v>
      </c>
      <c r="P314" s="6">
        <v>45582</v>
      </c>
      <c r="Q314" s="83" t="s">
        <v>830</v>
      </c>
    </row>
    <row r="315" spans="1:17" ht="86.25" customHeight="1" x14ac:dyDescent="0.25">
      <c r="A315" s="2">
        <v>313</v>
      </c>
      <c r="B315" s="3">
        <v>45583</v>
      </c>
      <c r="C315" s="4" t="s">
        <v>13</v>
      </c>
      <c r="D315" s="4" t="s">
        <v>804</v>
      </c>
      <c r="E315" s="2" t="s">
        <v>19</v>
      </c>
      <c r="F315" s="2">
        <v>1</v>
      </c>
      <c r="G315" s="2">
        <v>222509</v>
      </c>
      <c r="H315" s="2" t="s">
        <v>913</v>
      </c>
      <c r="I315" s="2" t="s">
        <v>911</v>
      </c>
      <c r="J315" s="79" t="s">
        <v>99</v>
      </c>
      <c r="K315" s="79" t="s">
        <v>100</v>
      </c>
      <c r="L315" s="4" t="s">
        <v>964</v>
      </c>
      <c r="M315" s="6">
        <v>45594</v>
      </c>
      <c r="N315" s="84">
        <v>0.375</v>
      </c>
      <c r="O315" s="13">
        <v>1</v>
      </c>
      <c r="P315" s="6">
        <v>45594</v>
      </c>
      <c r="Q315" s="83" t="s">
        <v>101</v>
      </c>
    </row>
    <row r="316" spans="1:17" ht="86.25" customHeight="1" x14ac:dyDescent="0.25">
      <c r="A316" s="2">
        <v>314</v>
      </c>
      <c r="B316" s="3">
        <v>45583</v>
      </c>
      <c r="C316" s="4" t="s">
        <v>13</v>
      </c>
      <c r="D316" s="4" t="s">
        <v>772</v>
      </c>
      <c r="E316" s="2" t="s">
        <v>19</v>
      </c>
      <c r="F316" s="2">
        <v>1</v>
      </c>
      <c r="G316" s="2">
        <v>222510</v>
      </c>
      <c r="H316" s="2" t="s">
        <v>912</v>
      </c>
      <c r="I316" s="4" t="s">
        <v>790</v>
      </c>
      <c r="J316" s="4" t="s">
        <v>254</v>
      </c>
      <c r="K316" s="76" t="s">
        <v>506</v>
      </c>
      <c r="L316" s="4" t="s">
        <v>921</v>
      </c>
      <c r="M316" s="6">
        <v>45586</v>
      </c>
      <c r="N316" s="34">
        <v>0.39097222222222222</v>
      </c>
      <c r="O316" s="13">
        <v>1</v>
      </c>
      <c r="P316" s="6">
        <v>45586</v>
      </c>
      <c r="Q316" s="76" t="s">
        <v>36</v>
      </c>
    </row>
    <row r="317" spans="1:17" ht="86.25" customHeight="1" x14ac:dyDescent="0.25">
      <c r="A317" s="2">
        <v>315</v>
      </c>
      <c r="B317" s="3">
        <v>45583</v>
      </c>
      <c r="C317" s="4" t="s">
        <v>13</v>
      </c>
      <c r="D317" s="4" t="s">
        <v>772</v>
      </c>
      <c r="E317" s="2" t="s">
        <v>19</v>
      </c>
      <c r="F317" s="2">
        <v>1</v>
      </c>
      <c r="G317" s="2">
        <v>222511</v>
      </c>
      <c r="H317" s="2" t="s">
        <v>914</v>
      </c>
      <c r="I317" s="4" t="s">
        <v>844</v>
      </c>
      <c r="J317" s="4" t="s">
        <v>89</v>
      </c>
      <c r="K317" s="83" t="s">
        <v>667</v>
      </c>
      <c r="L317" s="4" t="s">
        <v>961</v>
      </c>
      <c r="M317" s="6">
        <v>45587</v>
      </c>
      <c r="N317" s="34">
        <v>0.33333333333333331</v>
      </c>
      <c r="O317" s="13">
        <v>1</v>
      </c>
      <c r="P317" s="6">
        <v>45587</v>
      </c>
      <c r="Q317" s="2" t="s">
        <v>703</v>
      </c>
    </row>
    <row r="318" spans="1:17" ht="86.25" customHeight="1" x14ac:dyDescent="0.25">
      <c r="A318" s="2">
        <v>316</v>
      </c>
      <c r="B318" s="3">
        <v>45583</v>
      </c>
      <c r="C318" s="4" t="s">
        <v>13</v>
      </c>
      <c r="D318" s="4" t="s">
        <v>772</v>
      </c>
      <c r="E318" s="2" t="s">
        <v>19</v>
      </c>
      <c r="F318" s="2">
        <v>1</v>
      </c>
      <c r="G318" s="2">
        <v>222512</v>
      </c>
      <c r="H318" s="2" t="s">
        <v>915</v>
      </c>
      <c r="I318" s="4" t="s">
        <v>486</v>
      </c>
      <c r="J318" s="2" t="s">
        <v>37</v>
      </c>
      <c r="K318" s="4" t="s">
        <v>768</v>
      </c>
      <c r="L318" s="4" t="s">
        <v>862</v>
      </c>
      <c r="M318" s="6">
        <v>45586</v>
      </c>
      <c r="N318" s="34">
        <v>0.36458333333333331</v>
      </c>
      <c r="O318" s="13">
        <v>1</v>
      </c>
      <c r="P318" s="6">
        <v>45586</v>
      </c>
      <c r="Q318" s="76" t="s">
        <v>51</v>
      </c>
    </row>
    <row r="319" spans="1:17" ht="86.25" customHeight="1" x14ac:dyDescent="0.25">
      <c r="A319" s="2">
        <v>317</v>
      </c>
      <c r="B319" s="3">
        <v>45586</v>
      </c>
      <c r="C319" s="4" t="s">
        <v>13</v>
      </c>
      <c r="D319" s="4" t="s">
        <v>782</v>
      </c>
      <c r="E319" s="2" t="s">
        <v>19</v>
      </c>
      <c r="F319" s="2">
        <v>1</v>
      </c>
      <c r="G319" s="2">
        <v>222524</v>
      </c>
      <c r="H319" s="2" t="s">
        <v>917</v>
      </c>
      <c r="I319" s="4" t="s">
        <v>790</v>
      </c>
      <c r="J319" s="4" t="s">
        <v>254</v>
      </c>
      <c r="K319" s="76" t="s">
        <v>506</v>
      </c>
      <c r="L319" s="4" t="s">
        <v>921</v>
      </c>
      <c r="M319" s="6">
        <v>45587</v>
      </c>
      <c r="N319" s="34">
        <v>0.4916666666666667</v>
      </c>
      <c r="O319" s="13">
        <v>1</v>
      </c>
      <c r="P319" s="6">
        <v>45587</v>
      </c>
      <c r="Q319" s="76" t="s">
        <v>36</v>
      </c>
    </row>
    <row r="320" spans="1:17" ht="86.25" customHeight="1" x14ac:dyDescent="0.25">
      <c r="A320" s="2">
        <v>318</v>
      </c>
      <c r="B320" s="3">
        <v>45586</v>
      </c>
      <c r="C320" s="4" t="s">
        <v>13</v>
      </c>
      <c r="D320" s="4" t="s">
        <v>782</v>
      </c>
      <c r="E320" s="2" t="s">
        <v>19</v>
      </c>
      <c r="F320" s="2">
        <v>1</v>
      </c>
      <c r="G320" s="2">
        <v>222525</v>
      </c>
      <c r="H320" s="2" t="s">
        <v>916</v>
      </c>
      <c r="I320" s="88" t="s">
        <v>68</v>
      </c>
      <c r="J320" s="75" t="s">
        <v>9</v>
      </c>
      <c r="K320" s="76" t="s">
        <v>69</v>
      </c>
      <c r="L320" s="4" t="s">
        <v>996</v>
      </c>
      <c r="M320" s="6">
        <v>45595</v>
      </c>
      <c r="N320" s="25">
        <v>0.33333333333333331</v>
      </c>
      <c r="O320" s="13">
        <v>1</v>
      </c>
      <c r="P320" s="6">
        <v>45595</v>
      </c>
      <c r="Q320" s="76" t="s">
        <v>70</v>
      </c>
    </row>
    <row r="321" spans="1:17" ht="86.25" customHeight="1" x14ac:dyDescent="0.25">
      <c r="A321" s="2">
        <v>319</v>
      </c>
      <c r="B321" s="3">
        <v>45586</v>
      </c>
      <c r="C321" s="4" t="s">
        <v>13</v>
      </c>
      <c r="D321" s="4" t="s">
        <v>739</v>
      </c>
      <c r="E321" s="2" t="s">
        <v>19</v>
      </c>
      <c r="F321" s="2">
        <v>1</v>
      </c>
      <c r="G321" s="2">
        <v>222526</v>
      </c>
      <c r="H321" s="2" t="s">
        <v>927</v>
      </c>
      <c r="I321" s="4" t="s">
        <v>486</v>
      </c>
      <c r="J321" s="2" t="s">
        <v>37</v>
      </c>
      <c r="K321" s="4"/>
      <c r="L321" s="4" t="s">
        <v>862</v>
      </c>
      <c r="M321" s="6">
        <v>45587</v>
      </c>
      <c r="N321" s="34">
        <v>0.66736111111111107</v>
      </c>
      <c r="O321" s="13">
        <v>1</v>
      </c>
      <c r="P321" s="6">
        <v>45587</v>
      </c>
      <c r="Q321" s="76" t="s">
        <v>51</v>
      </c>
    </row>
    <row r="322" spans="1:17" ht="86.25" customHeight="1" x14ac:dyDescent="0.25">
      <c r="A322" s="2">
        <v>320</v>
      </c>
      <c r="B322" s="3">
        <v>45588</v>
      </c>
      <c r="C322" s="4" t="s">
        <v>13</v>
      </c>
      <c r="D322" s="4" t="s">
        <v>925</v>
      </c>
      <c r="E322" s="2" t="s">
        <v>19</v>
      </c>
      <c r="F322" s="2">
        <v>1</v>
      </c>
      <c r="G322" s="2">
        <v>222533</v>
      </c>
      <c r="H322" s="2" t="s">
        <v>926</v>
      </c>
      <c r="I322" s="4" t="s">
        <v>486</v>
      </c>
      <c r="J322" s="2" t="s">
        <v>37</v>
      </c>
      <c r="K322" s="4" t="s">
        <v>768</v>
      </c>
      <c r="L322" s="4" t="s">
        <v>862</v>
      </c>
      <c r="M322" s="6">
        <v>45586</v>
      </c>
      <c r="N322" s="34">
        <v>0.67361111111111116</v>
      </c>
      <c r="O322" s="13">
        <v>1</v>
      </c>
      <c r="P322" s="6">
        <v>45586</v>
      </c>
      <c r="Q322" s="76" t="s">
        <v>51</v>
      </c>
    </row>
    <row r="323" spans="1:17" ht="86.25" customHeight="1" x14ac:dyDescent="0.25">
      <c r="A323" s="2">
        <v>321</v>
      </c>
      <c r="B323" s="3">
        <v>45588</v>
      </c>
      <c r="C323" s="4" t="s">
        <v>13</v>
      </c>
      <c r="D323" s="4" t="s">
        <v>739</v>
      </c>
      <c r="E323" s="2" t="s">
        <v>19</v>
      </c>
      <c r="F323" s="2">
        <v>1</v>
      </c>
      <c r="G323" s="2">
        <v>222534</v>
      </c>
      <c r="H323" s="2" t="s">
        <v>928</v>
      </c>
      <c r="I323" s="4" t="s">
        <v>790</v>
      </c>
      <c r="J323" s="4" t="s">
        <v>254</v>
      </c>
      <c r="K323" s="76" t="s">
        <v>506</v>
      </c>
      <c r="L323" s="4" t="s">
        <v>921</v>
      </c>
      <c r="M323" s="6">
        <v>45589</v>
      </c>
      <c r="N323" s="34">
        <v>0.47916666666666669</v>
      </c>
      <c r="O323" s="6">
        <v>45589</v>
      </c>
      <c r="P323" s="6">
        <v>45589</v>
      </c>
      <c r="Q323" s="76" t="s">
        <v>36</v>
      </c>
    </row>
    <row r="324" spans="1:17" ht="86.25" customHeight="1" x14ac:dyDescent="0.25">
      <c r="A324" s="2">
        <v>322</v>
      </c>
      <c r="B324" s="3">
        <v>45588</v>
      </c>
      <c r="C324" s="4" t="s">
        <v>13</v>
      </c>
      <c r="D324" s="4" t="s">
        <v>929</v>
      </c>
      <c r="E324" s="2" t="s">
        <v>19</v>
      </c>
      <c r="F324" s="2">
        <v>1</v>
      </c>
      <c r="G324" s="2">
        <v>222535</v>
      </c>
      <c r="H324" s="2" t="s">
        <v>930</v>
      </c>
      <c r="I324" s="22" t="s">
        <v>155</v>
      </c>
      <c r="J324" s="22" t="s">
        <v>156</v>
      </c>
      <c r="K324" s="83" t="s">
        <v>157</v>
      </c>
      <c r="L324" s="4" t="s">
        <v>965</v>
      </c>
      <c r="M324" s="6">
        <v>45595</v>
      </c>
      <c r="N324" s="34">
        <v>0.55347222222222225</v>
      </c>
      <c r="O324" s="13">
        <v>1</v>
      </c>
      <c r="P324" s="6">
        <v>45595</v>
      </c>
      <c r="Q324" s="83" t="s">
        <v>830</v>
      </c>
    </row>
    <row r="325" spans="1:17" ht="86.25" customHeight="1" x14ac:dyDescent="0.25">
      <c r="A325" s="2">
        <v>323</v>
      </c>
      <c r="B325" s="3">
        <v>45588</v>
      </c>
      <c r="C325" s="4" t="s">
        <v>13</v>
      </c>
      <c r="D325" s="4" t="s">
        <v>782</v>
      </c>
      <c r="E325" s="2" t="s">
        <v>19</v>
      </c>
      <c r="F325" s="2">
        <v>1</v>
      </c>
      <c r="G325" s="2">
        <v>222536</v>
      </c>
      <c r="H325" s="2" t="s">
        <v>931</v>
      </c>
      <c r="I325" s="2" t="s">
        <v>932</v>
      </c>
      <c r="J325" s="2" t="s">
        <v>933</v>
      </c>
      <c r="K325" s="2" t="s">
        <v>934</v>
      </c>
      <c r="L325" s="4" t="s">
        <v>966</v>
      </c>
      <c r="M325" s="6">
        <v>45589</v>
      </c>
      <c r="N325" s="34">
        <v>0.4861111111111111</v>
      </c>
      <c r="O325" s="13">
        <v>1</v>
      </c>
      <c r="P325" s="6">
        <v>45589</v>
      </c>
      <c r="Q325" s="2" t="s">
        <v>933</v>
      </c>
    </row>
    <row r="326" spans="1:17" ht="86.25" customHeight="1" x14ac:dyDescent="0.25">
      <c r="A326" s="2">
        <v>324</v>
      </c>
      <c r="B326" s="3">
        <v>45589</v>
      </c>
      <c r="C326" s="4" t="s">
        <v>13</v>
      </c>
      <c r="D326" s="4" t="s">
        <v>782</v>
      </c>
      <c r="E326" s="2" t="s">
        <v>19</v>
      </c>
      <c r="F326" s="2">
        <v>1</v>
      </c>
      <c r="G326" s="2">
        <v>222543</v>
      </c>
      <c r="H326" s="2" t="s">
        <v>935</v>
      </c>
      <c r="I326" s="2" t="s">
        <v>936</v>
      </c>
      <c r="J326" s="2" t="s">
        <v>937</v>
      </c>
      <c r="K326" s="2" t="s">
        <v>938</v>
      </c>
      <c r="L326" s="4" t="s">
        <v>967</v>
      </c>
      <c r="M326" s="6">
        <v>45593</v>
      </c>
      <c r="N326" s="34">
        <v>0.34513888888888888</v>
      </c>
      <c r="O326" s="13">
        <v>1</v>
      </c>
      <c r="P326" s="6">
        <v>45593</v>
      </c>
      <c r="Q326" s="2" t="s">
        <v>939</v>
      </c>
    </row>
    <row r="327" spans="1:17" ht="86.25" customHeight="1" x14ac:dyDescent="0.25">
      <c r="A327" s="2">
        <v>325</v>
      </c>
      <c r="B327" s="3">
        <v>45593</v>
      </c>
      <c r="C327" s="4" t="s">
        <v>13</v>
      </c>
      <c r="D327" s="4" t="s">
        <v>782</v>
      </c>
      <c r="E327" s="2" t="s">
        <v>19</v>
      </c>
      <c r="F327" s="2">
        <v>1</v>
      </c>
      <c r="G327" s="2">
        <v>222550</v>
      </c>
      <c r="H327" s="2" t="s">
        <v>942</v>
      </c>
      <c r="I327" s="2" t="s">
        <v>358</v>
      </c>
      <c r="J327" s="2" t="s">
        <v>83</v>
      </c>
      <c r="K327" s="2" t="s">
        <v>940</v>
      </c>
      <c r="L327" s="2" t="s">
        <v>860</v>
      </c>
      <c r="M327" s="6">
        <v>45594</v>
      </c>
      <c r="N327" s="34">
        <v>0.375</v>
      </c>
      <c r="O327" s="13">
        <v>1</v>
      </c>
      <c r="P327" s="6">
        <v>45594</v>
      </c>
      <c r="Q327" s="2" t="s">
        <v>85</v>
      </c>
    </row>
    <row r="328" spans="1:17" ht="86.25" customHeight="1" x14ac:dyDescent="0.25">
      <c r="A328" s="2">
        <v>326</v>
      </c>
      <c r="B328" s="3">
        <v>45593</v>
      </c>
      <c r="C328" s="4" t="s">
        <v>13</v>
      </c>
      <c r="D328" s="4" t="s">
        <v>739</v>
      </c>
      <c r="E328" s="2" t="s">
        <v>19</v>
      </c>
      <c r="F328" s="2">
        <v>1</v>
      </c>
      <c r="G328" s="2">
        <v>222551</v>
      </c>
      <c r="H328" s="2" t="s">
        <v>941</v>
      </c>
      <c r="I328" s="4" t="s">
        <v>790</v>
      </c>
      <c r="J328" s="4" t="s">
        <v>254</v>
      </c>
      <c r="K328" s="76" t="s">
        <v>506</v>
      </c>
      <c r="L328" s="4" t="s">
        <v>921</v>
      </c>
      <c r="M328" s="6">
        <v>45594</v>
      </c>
      <c r="N328" s="34">
        <v>0.49722222222222223</v>
      </c>
      <c r="O328" s="13">
        <v>1</v>
      </c>
      <c r="P328" s="6">
        <v>45594</v>
      </c>
      <c r="Q328" s="76" t="s">
        <v>36</v>
      </c>
    </row>
    <row r="329" spans="1:17" ht="86.25" customHeight="1" x14ac:dyDescent="0.25">
      <c r="A329" s="2">
        <v>327</v>
      </c>
      <c r="B329" s="3">
        <v>45593</v>
      </c>
      <c r="C329" s="4" t="s">
        <v>13</v>
      </c>
      <c r="D329" s="4" t="s">
        <v>812</v>
      </c>
      <c r="E329" s="2" t="s">
        <v>19</v>
      </c>
      <c r="F329" s="2">
        <v>1</v>
      </c>
      <c r="G329" s="2">
        <v>222552</v>
      </c>
      <c r="H329" s="2" t="s">
        <v>652</v>
      </c>
      <c r="I329" s="22" t="s">
        <v>155</v>
      </c>
      <c r="J329" s="22" t="s">
        <v>156</v>
      </c>
      <c r="K329" s="83" t="s">
        <v>157</v>
      </c>
      <c r="L329" s="4" t="s">
        <v>965</v>
      </c>
      <c r="M329" s="6">
        <v>45595</v>
      </c>
      <c r="N329" s="34">
        <v>0.55277777777777781</v>
      </c>
      <c r="O329" s="13">
        <v>1</v>
      </c>
      <c r="P329" s="6">
        <v>45595</v>
      </c>
      <c r="Q329" s="83" t="s">
        <v>830</v>
      </c>
    </row>
    <row r="330" spans="1:17" ht="86.25" customHeight="1" x14ac:dyDescent="0.25">
      <c r="A330" s="2">
        <v>328</v>
      </c>
      <c r="B330" s="3">
        <v>45593</v>
      </c>
      <c r="C330" s="4" t="s">
        <v>13</v>
      </c>
      <c r="D330" s="4" t="s">
        <v>607</v>
      </c>
      <c r="E330" s="2" t="s">
        <v>19</v>
      </c>
      <c r="F330" s="2">
        <v>1</v>
      </c>
      <c r="G330" s="2">
        <v>222553</v>
      </c>
      <c r="H330" s="2" t="s">
        <v>950</v>
      </c>
      <c r="I330" s="4" t="s">
        <v>905</v>
      </c>
      <c r="J330" s="2" t="s">
        <v>37</v>
      </c>
      <c r="K330" s="4" t="s">
        <v>768</v>
      </c>
      <c r="L330" s="4" t="s">
        <v>862</v>
      </c>
      <c r="M330" s="6">
        <v>45594</v>
      </c>
      <c r="N330" s="34">
        <v>0.64444444444444449</v>
      </c>
      <c r="O330" s="13">
        <v>1</v>
      </c>
      <c r="P330" s="6">
        <v>45594</v>
      </c>
      <c r="Q330" s="76" t="s">
        <v>51</v>
      </c>
    </row>
    <row r="331" spans="1:17" ht="86.25" customHeight="1" x14ac:dyDescent="0.25">
      <c r="A331" s="2">
        <v>329</v>
      </c>
      <c r="B331" s="3">
        <v>45593</v>
      </c>
      <c r="C331" s="4" t="s">
        <v>13</v>
      </c>
      <c r="D331" s="4" t="s">
        <v>772</v>
      </c>
      <c r="E331" s="2" t="s">
        <v>19</v>
      </c>
      <c r="F331" s="2">
        <v>1</v>
      </c>
      <c r="G331" s="2">
        <v>222555</v>
      </c>
      <c r="H331" s="2" t="s">
        <v>944</v>
      </c>
      <c r="I331" s="4" t="s">
        <v>844</v>
      </c>
      <c r="J331" s="4" t="s">
        <v>89</v>
      </c>
      <c r="K331" s="83" t="s">
        <v>667</v>
      </c>
      <c r="L331" s="4" t="s">
        <v>961</v>
      </c>
      <c r="M331" s="6">
        <v>45595</v>
      </c>
      <c r="N331" s="34">
        <v>0.33333333333333331</v>
      </c>
      <c r="O331" s="13">
        <v>1</v>
      </c>
      <c r="P331" s="6">
        <v>45595</v>
      </c>
      <c r="Q331" s="2" t="s">
        <v>703</v>
      </c>
    </row>
    <row r="332" spans="1:17" ht="86.25" customHeight="1" x14ac:dyDescent="0.25">
      <c r="A332" s="2">
        <v>330</v>
      </c>
      <c r="B332" s="3">
        <v>45593</v>
      </c>
      <c r="C332" s="4" t="s">
        <v>13</v>
      </c>
      <c r="D332" s="4" t="s">
        <v>772</v>
      </c>
      <c r="E332" s="2" t="s">
        <v>19</v>
      </c>
      <c r="F332" s="2">
        <v>1</v>
      </c>
      <c r="G332" s="2">
        <v>222554</v>
      </c>
      <c r="H332" s="2" t="s">
        <v>943</v>
      </c>
      <c r="I332" s="2" t="s">
        <v>700</v>
      </c>
      <c r="J332" s="79" t="s">
        <v>99</v>
      </c>
      <c r="K332" s="79" t="s">
        <v>100</v>
      </c>
      <c r="L332" s="4" t="s">
        <v>964</v>
      </c>
      <c r="M332" s="6">
        <v>45594</v>
      </c>
      <c r="N332" s="84">
        <v>0.375</v>
      </c>
      <c r="O332" s="13">
        <v>1</v>
      </c>
      <c r="P332" s="6">
        <v>45594</v>
      </c>
      <c r="Q332" s="83" t="s">
        <v>101</v>
      </c>
    </row>
    <row r="333" spans="1:17" ht="86.25" customHeight="1" x14ac:dyDescent="0.25">
      <c r="A333" s="2">
        <v>331</v>
      </c>
      <c r="B333" s="3">
        <v>45595</v>
      </c>
      <c r="C333" s="4" t="s">
        <v>13</v>
      </c>
      <c r="D333" s="4" t="s">
        <v>739</v>
      </c>
      <c r="E333" s="2" t="s">
        <v>19</v>
      </c>
      <c r="F333" s="2">
        <v>1</v>
      </c>
      <c r="G333" s="2">
        <v>222569</v>
      </c>
      <c r="H333" s="2" t="s">
        <v>945</v>
      </c>
      <c r="I333" s="4" t="s">
        <v>790</v>
      </c>
      <c r="J333" s="4" t="s">
        <v>254</v>
      </c>
      <c r="K333" s="76" t="s">
        <v>506</v>
      </c>
      <c r="L333" s="4" t="s">
        <v>921</v>
      </c>
      <c r="M333" s="6">
        <v>45601</v>
      </c>
      <c r="N333" s="34">
        <v>0.39166666666666666</v>
      </c>
      <c r="O333" s="13">
        <v>1</v>
      </c>
      <c r="P333" s="6">
        <v>45601</v>
      </c>
      <c r="Q333" s="76" t="s">
        <v>36</v>
      </c>
    </row>
    <row r="334" spans="1:17" ht="86.25" customHeight="1" x14ac:dyDescent="0.25">
      <c r="A334" s="2">
        <v>332</v>
      </c>
      <c r="B334" s="3">
        <v>45595</v>
      </c>
      <c r="C334" s="4" t="s">
        <v>13</v>
      </c>
      <c r="D334" s="4" t="s">
        <v>772</v>
      </c>
      <c r="E334" s="2" t="s">
        <v>19</v>
      </c>
      <c r="F334" s="2">
        <v>1</v>
      </c>
      <c r="G334" s="2">
        <v>222571</v>
      </c>
      <c r="H334" s="2" t="s">
        <v>946</v>
      </c>
      <c r="I334" s="2" t="s">
        <v>700</v>
      </c>
      <c r="J334" s="79" t="s">
        <v>99</v>
      </c>
      <c r="K334" s="79" t="s">
        <v>100</v>
      </c>
      <c r="L334" s="4" t="s">
        <v>867</v>
      </c>
      <c r="M334" s="6">
        <v>45601</v>
      </c>
      <c r="N334" s="84">
        <v>0.39930555555555558</v>
      </c>
      <c r="O334" s="13">
        <v>1</v>
      </c>
      <c r="P334" s="6">
        <v>45601</v>
      </c>
      <c r="Q334" s="83" t="s">
        <v>101</v>
      </c>
    </row>
    <row r="335" spans="1:17" ht="86.25" customHeight="1" x14ac:dyDescent="0.25">
      <c r="A335" s="2">
        <v>333</v>
      </c>
      <c r="B335" s="3">
        <v>45595</v>
      </c>
      <c r="C335" s="4" t="s">
        <v>13</v>
      </c>
      <c r="D335" s="4" t="s">
        <v>772</v>
      </c>
      <c r="E335" s="2" t="s">
        <v>19</v>
      </c>
      <c r="F335" s="2">
        <v>1</v>
      </c>
      <c r="G335" s="2">
        <v>222572</v>
      </c>
      <c r="H335" s="2" t="s">
        <v>947</v>
      </c>
      <c r="I335" s="4" t="s">
        <v>844</v>
      </c>
      <c r="J335" s="4" t="s">
        <v>89</v>
      </c>
      <c r="K335" s="83" t="s">
        <v>667</v>
      </c>
      <c r="L335" s="4" t="s">
        <v>961</v>
      </c>
      <c r="M335" s="6">
        <v>45601</v>
      </c>
      <c r="N335" s="34">
        <v>0.33333333333333331</v>
      </c>
      <c r="O335" s="13">
        <v>1</v>
      </c>
      <c r="P335" s="6">
        <v>45601</v>
      </c>
      <c r="Q335" s="2" t="s">
        <v>703</v>
      </c>
    </row>
    <row r="336" spans="1:17" ht="86.25" customHeight="1" x14ac:dyDescent="0.25">
      <c r="A336" s="2">
        <v>334</v>
      </c>
      <c r="B336" s="3">
        <v>45595</v>
      </c>
      <c r="C336" s="4" t="s">
        <v>13</v>
      </c>
      <c r="D336" s="4" t="s">
        <v>772</v>
      </c>
      <c r="E336" s="2" t="s">
        <v>19</v>
      </c>
      <c r="F336" s="2">
        <v>1</v>
      </c>
      <c r="G336" s="2">
        <v>222570</v>
      </c>
      <c r="H336" s="2" t="s">
        <v>948</v>
      </c>
      <c r="I336" s="2" t="s">
        <v>486</v>
      </c>
      <c r="J336" s="2" t="s">
        <v>37</v>
      </c>
      <c r="K336" s="4" t="s">
        <v>768</v>
      </c>
      <c r="L336" s="4" t="s">
        <v>968</v>
      </c>
      <c r="M336" s="6">
        <v>45601</v>
      </c>
      <c r="N336" s="34">
        <v>0.4201388888888889</v>
      </c>
      <c r="O336" s="13">
        <v>1</v>
      </c>
      <c r="P336" s="6">
        <v>45601</v>
      </c>
      <c r="Q336" s="76" t="s">
        <v>51</v>
      </c>
    </row>
    <row r="337" spans="1:17" ht="86.25" customHeight="1" x14ac:dyDescent="0.25">
      <c r="A337" s="2">
        <v>335</v>
      </c>
      <c r="B337" s="3">
        <v>45595</v>
      </c>
      <c r="C337" s="4" t="s">
        <v>13</v>
      </c>
      <c r="D337" s="4" t="s">
        <v>772</v>
      </c>
      <c r="E337" s="2" t="s">
        <v>19</v>
      </c>
      <c r="F337" s="2">
        <v>1</v>
      </c>
      <c r="G337" s="2">
        <v>222573</v>
      </c>
      <c r="H337" s="5" t="s">
        <v>949</v>
      </c>
      <c r="I337" s="4" t="s">
        <v>683</v>
      </c>
      <c r="J337" s="79" t="s">
        <v>160</v>
      </c>
      <c r="K337" s="79" t="s">
        <v>326</v>
      </c>
      <c r="L337" s="4" t="s">
        <v>972</v>
      </c>
      <c r="M337" s="6">
        <v>45604</v>
      </c>
      <c r="N337" s="34">
        <v>0.625</v>
      </c>
      <c r="O337" s="13">
        <v>1</v>
      </c>
      <c r="P337" s="6">
        <v>45604</v>
      </c>
      <c r="Q337" s="76" t="s">
        <v>161</v>
      </c>
    </row>
    <row r="338" spans="1:17" ht="86.25" customHeight="1" x14ac:dyDescent="0.25">
      <c r="A338" s="2">
        <v>336</v>
      </c>
      <c r="B338" s="3">
        <v>45593</v>
      </c>
      <c r="C338" s="4" t="s">
        <v>13</v>
      </c>
      <c r="D338" s="4" t="s">
        <v>772</v>
      </c>
      <c r="E338" s="2" t="s">
        <v>19</v>
      </c>
      <c r="F338" s="2">
        <v>1</v>
      </c>
      <c r="G338" s="2">
        <v>222559</v>
      </c>
      <c r="H338" s="2" t="s">
        <v>951</v>
      </c>
      <c r="I338" s="2" t="s">
        <v>486</v>
      </c>
      <c r="J338" s="2" t="s">
        <v>37</v>
      </c>
      <c r="K338" s="4" t="s">
        <v>768</v>
      </c>
      <c r="L338" s="4" t="s">
        <v>862</v>
      </c>
      <c r="M338" s="6">
        <v>45594</v>
      </c>
      <c r="N338" s="34">
        <v>0.66527777777777775</v>
      </c>
      <c r="O338" s="13">
        <v>1</v>
      </c>
      <c r="P338" s="6">
        <v>45594</v>
      </c>
      <c r="Q338" s="76" t="s">
        <v>51</v>
      </c>
    </row>
    <row r="339" spans="1:17" ht="86.25" customHeight="1" x14ac:dyDescent="0.25">
      <c r="A339" s="2">
        <v>337</v>
      </c>
      <c r="B339" s="3">
        <v>45601</v>
      </c>
      <c r="C339" s="4" t="s">
        <v>13</v>
      </c>
      <c r="D339" s="4" t="s">
        <v>952</v>
      </c>
      <c r="E339" s="2" t="s">
        <v>20</v>
      </c>
      <c r="F339" s="2">
        <v>1</v>
      </c>
      <c r="G339" s="2">
        <v>222588</v>
      </c>
      <c r="H339" s="2" t="s">
        <v>953</v>
      </c>
      <c r="I339" s="2" t="s">
        <v>954</v>
      </c>
      <c r="J339" s="2" t="s">
        <v>254</v>
      </c>
      <c r="K339" s="2" t="s">
        <v>955</v>
      </c>
      <c r="L339" s="4" t="s">
        <v>1012</v>
      </c>
      <c r="M339" s="6">
        <v>45602</v>
      </c>
      <c r="N339" s="34">
        <v>0.4548611111111111</v>
      </c>
      <c r="O339" s="13">
        <v>1</v>
      </c>
      <c r="P339" s="6">
        <v>45602</v>
      </c>
      <c r="Q339" s="83" t="s">
        <v>101</v>
      </c>
    </row>
    <row r="340" spans="1:17" ht="86.25" customHeight="1" x14ac:dyDescent="0.25">
      <c r="A340" s="2">
        <v>338</v>
      </c>
      <c r="B340" s="3">
        <v>45602</v>
      </c>
      <c r="C340" s="4" t="s">
        <v>13</v>
      </c>
      <c r="D340" s="15" t="s">
        <v>812</v>
      </c>
      <c r="E340" s="8" t="s">
        <v>19</v>
      </c>
      <c r="F340" s="2">
        <v>1</v>
      </c>
      <c r="G340" s="2">
        <v>222594</v>
      </c>
      <c r="H340" s="2" t="s">
        <v>959</v>
      </c>
      <c r="I340" s="22" t="s">
        <v>155</v>
      </c>
      <c r="J340" s="22" t="s">
        <v>156</v>
      </c>
      <c r="K340" s="83" t="s">
        <v>157</v>
      </c>
      <c r="L340" s="4" t="s">
        <v>965</v>
      </c>
      <c r="M340" s="6">
        <v>45603</v>
      </c>
      <c r="N340" s="34">
        <v>0.55555555555555558</v>
      </c>
      <c r="O340" s="13">
        <v>1</v>
      </c>
      <c r="P340" s="6">
        <v>45603</v>
      </c>
      <c r="Q340" s="83" t="s">
        <v>830</v>
      </c>
    </row>
    <row r="341" spans="1:17" ht="86.25" customHeight="1" x14ac:dyDescent="0.25">
      <c r="A341" s="2">
        <v>339</v>
      </c>
      <c r="B341" s="3">
        <v>45602</v>
      </c>
      <c r="C341" s="4" t="s">
        <v>13</v>
      </c>
      <c r="D341" s="4" t="s">
        <v>739</v>
      </c>
      <c r="E341" s="8" t="s">
        <v>19</v>
      </c>
      <c r="F341" s="2">
        <v>1</v>
      </c>
      <c r="G341" s="2">
        <v>222595</v>
      </c>
      <c r="H341" s="2" t="s">
        <v>958</v>
      </c>
      <c r="I341" s="4" t="s">
        <v>790</v>
      </c>
      <c r="J341" s="4" t="s">
        <v>254</v>
      </c>
      <c r="K341" s="76" t="s">
        <v>506</v>
      </c>
      <c r="L341" s="4" t="s">
        <v>1013</v>
      </c>
      <c r="M341" s="6">
        <v>45603</v>
      </c>
      <c r="N341" s="34">
        <v>0.45069444444444445</v>
      </c>
      <c r="O341" s="13">
        <v>1</v>
      </c>
      <c r="P341" s="6">
        <v>45603</v>
      </c>
      <c r="Q341" s="76" t="s">
        <v>36</v>
      </c>
    </row>
    <row r="342" spans="1:17" ht="86.25" customHeight="1" x14ac:dyDescent="0.25">
      <c r="A342" s="2">
        <v>340</v>
      </c>
      <c r="B342" s="3">
        <v>45602</v>
      </c>
      <c r="C342" s="4" t="s">
        <v>13</v>
      </c>
      <c r="D342" s="4" t="s">
        <v>607</v>
      </c>
      <c r="E342" s="2" t="s">
        <v>19</v>
      </c>
      <c r="F342" s="2">
        <v>1</v>
      </c>
      <c r="G342" s="2">
        <v>222596</v>
      </c>
      <c r="H342" s="2" t="s">
        <v>956</v>
      </c>
      <c r="I342" s="2" t="s">
        <v>719</v>
      </c>
      <c r="J342" s="2" t="s">
        <v>89</v>
      </c>
      <c r="K342" s="4" t="s">
        <v>853</v>
      </c>
      <c r="L342" s="4" t="s">
        <v>1015</v>
      </c>
      <c r="M342" s="6" t="s">
        <v>1014</v>
      </c>
      <c r="N342" s="34">
        <v>0.3520833333333333</v>
      </c>
      <c r="O342" s="13">
        <v>1</v>
      </c>
      <c r="P342" s="6" t="s">
        <v>1014</v>
      </c>
      <c r="Q342" s="2" t="s">
        <v>703</v>
      </c>
    </row>
    <row r="343" spans="1:17" ht="101.25" customHeight="1" x14ac:dyDescent="0.25">
      <c r="A343" s="2">
        <v>341</v>
      </c>
      <c r="B343" s="3">
        <v>45602</v>
      </c>
      <c r="C343" s="4" t="s">
        <v>13</v>
      </c>
      <c r="D343" s="4" t="s">
        <v>957</v>
      </c>
      <c r="E343" s="2" t="s">
        <v>19</v>
      </c>
      <c r="F343" s="2">
        <v>1</v>
      </c>
      <c r="G343" s="2">
        <v>222597</v>
      </c>
      <c r="H343" s="2" t="s">
        <v>960</v>
      </c>
      <c r="I343" s="2" t="s">
        <v>486</v>
      </c>
      <c r="J343" s="2" t="s">
        <v>37</v>
      </c>
      <c r="K343" s="4" t="s">
        <v>768</v>
      </c>
      <c r="L343" s="4" t="s">
        <v>1016</v>
      </c>
      <c r="M343" s="6" t="s">
        <v>1014</v>
      </c>
      <c r="N343" s="34">
        <v>0.42222222222222222</v>
      </c>
      <c r="O343" s="13">
        <v>1</v>
      </c>
      <c r="P343" s="6" t="s">
        <v>1014</v>
      </c>
      <c r="Q343" s="76" t="s">
        <v>51</v>
      </c>
    </row>
    <row r="344" spans="1:17" ht="86.25" customHeight="1" x14ac:dyDescent="0.25">
      <c r="A344" s="2">
        <v>342</v>
      </c>
      <c r="B344" s="3">
        <v>45603</v>
      </c>
      <c r="C344" s="4" t="s">
        <v>13</v>
      </c>
      <c r="D344" s="4" t="s">
        <v>739</v>
      </c>
      <c r="E344" s="2" t="s">
        <v>19</v>
      </c>
      <c r="F344" s="2">
        <v>1</v>
      </c>
      <c r="G344" s="2">
        <v>222605</v>
      </c>
      <c r="H344" s="2" t="s">
        <v>962</v>
      </c>
      <c r="I344" s="2" t="s">
        <v>486</v>
      </c>
      <c r="J344" s="2" t="s">
        <v>37</v>
      </c>
      <c r="K344" s="4" t="s">
        <v>768</v>
      </c>
      <c r="L344" s="4" t="s">
        <v>1016</v>
      </c>
      <c r="M344" s="6">
        <v>45604</v>
      </c>
      <c r="N344" s="34">
        <v>0.43194444444444446</v>
      </c>
      <c r="O344" s="13">
        <v>1</v>
      </c>
      <c r="P344" s="6">
        <v>45604</v>
      </c>
      <c r="Q344" s="76" t="s">
        <v>51</v>
      </c>
    </row>
    <row r="345" spans="1:17" ht="86.25" customHeight="1" x14ac:dyDescent="0.25">
      <c r="A345" s="2">
        <v>343</v>
      </c>
      <c r="B345" s="3">
        <v>45603</v>
      </c>
      <c r="C345" s="4" t="s">
        <v>13</v>
      </c>
      <c r="D345" s="4" t="s">
        <v>739</v>
      </c>
      <c r="E345" s="2" t="s">
        <v>19</v>
      </c>
      <c r="F345" s="2">
        <v>1</v>
      </c>
      <c r="G345" s="2">
        <v>222606</v>
      </c>
      <c r="H345" s="2" t="s">
        <v>963</v>
      </c>
      <c r="I345" s="4" t="s">
        <v>790</v>
      </c>
      <c r="J345" s="4" t="s">
        <v>254</v>
      </c>
      <c r="K345" s="76" t="s">
        <v>506</v>
      </c>
      <c r="L345" s="4" t="s">
        <v>1012</v>
      </c>
      <c r="M345" s="6">
        <v>45607</v>
      </c>
      <c r="N345" s="34">
        <v>0.38819444444444445</v>
      </c>
      <c r="O345" s="13">
        <v>1</v>
      </c>
      <c r="P345" s="6">
        <v>45607</v>
      </c>
      <c r="Q345" s="76" t="s">
        <v>36</v>
      </c>
    </row>
    <row r="346" spans="1:17" ht="86.25" customHeight="1" x14ac:dyDescent="0.25">
      <c r="A346" s="2">
        <v>344</v>
      </c>
      <c r="B346" s="3">
        <v>8</v>
      </c>
      <c r="C346" s="4" t="s">
        <v>13</v>
      </c>
      <c r="D346" s="4" t="s">
        <v>739</v>
      </c>
      <c r="E346" s="2" t="s">
        <v>19</v>
      </c>
      <c r="F346" s="2">
        <v>1</v>
      </c>
      <c r="G346" s="2">
        <v>222618</v>
      </c>
      <c r="H346" s="2" t="s">
        <v>971</v>
      </c>
      <c r="I346" s="4" t="s">
        <v>790</v>
      </c>
      <c r="J346" s="4" t="s">
        <v>254</v>
      </c>
      <c r="K346" s="76" t="s">
        <v>506</v>
      </c>
      <c r="L346" s="4" t="s">
        <v>1012</v>
      </c>
      <c r="M346" s="6">
        <v>45607</v>
      </c>
      <c r="N346" s="34">
        <v>0.38819444444444445</v>
      </c>
      <c r="O346" s="13">
        <v>1</v>
      </c>
      <c r="P346" s="6">
        <v>45607</v>
      </c>
      <c r="Q346" s="76" t="s">
        <v>36</v>
      </c>
    </row>
    <row r="347" spans="1:17" ht="86.25" customHeight="1" x14ac:dyDescent="0.25">
      <c r="A347" s="2">
        <v>345</v>
      </c>
      <c r="B347" s="3">
        <v>45604</v>
      </c>
      <c r="C347" s="4" t="s">
        <v>13</v>
      </c>
      <c r="D347" s="4" t="s">
        <v>772</v>
      </c>
      <c r="E347" s="2" t="s">
        <v>19</v>
      </c>
      <c r="F347" s="2">
        <v>1</v>
      </c>
      <c r="G347" s="2">
        <v>222620</v>
      </c>
      <c r="H347" s="2" t="s">
        <v>969</v>
      </c>
      <c r="I347" s="2" t="s">
        <v>486</v>
      </c>
      <c r="J347" s="2" t="s">
        <v>37</v>
      </c>
      <c r="K347" s="4" t="s">
        <v>768</v>
      </c>
      <c r="L347" s="4" t="s">
        <v>1016</v>
      </c>
      <c r="M347" s="6">
        <v>45607</v>
      </c>
      <c r="N347" s="34">
        <v>0.40416666666666662</v>
      </c>
      <c r="O347" s="13">
        <v>1</v>
      </c>
      <c r="P347" s="6">
        <v>45607</v>
      </c>
      <c r="Q347" s="76" t="s">
        <v>51</v>
      </c>
    </row>
    <row r="348" spans="1:17" ht="86.25" customHeight="1" x14ac:dyDescent="0.25">
      <c r="A348" s="2">
        <v>346</v>
      </c>
      <c r="B348" s="3">
        <v>45604</v>
      </c>
      <c r="C348" s="4" t="s">
        <v>13</v>
      </c>
      <c r="D348" s="4" t="s">
        <v>772</v>
      </c>
      <c r="E348" s="2" t="s">
        <v>19</v>
      </c>
      <c r="F348" s="2">
        <v>1</v>
      </c>
      <c r="G348" s="2">
        <v>222619</v>
      </c>
      <c r="H348" s="2" t="s">
        <v>970</v>
      </c>
      <c r="I348" s="22" t="s">
        <v>155</v>
      </c>
      <c r="J348" s="22" t="s">
        <v>156</v>
      </c>
      <c r="K348" s="83" t="s">
        <v>157</v>
      </c>
      <c r="L348" s="4" t="s">
        <v>965</v>
      </c>
      <c r="M348" s="6">
        <v>45607</v>
      </c>
      <c r="N348" s="34">
        <v>0.41805555555555557</v>
      </c>
      <c r="O348" s="13">
        <v>1</v>
      </c>
      <c r="P348" s="6">
        <v>45607</v>
      </c>
      <c r="Q348" s="83" t="s">
        <v>830</v>
      </c>
    </row>
    <row r="349" spans="1:17" ht="86.25" customHeight="1" x14ac:dyDescent="0.25">
      <c r="A349" s="2">
        <v>347</v>
      </c>
      <c r="B349" s="3">
        <v>45609</v>
      </c>
      <c r="C349" s="4" t="s">
        <v>13</v>
      </c>
      <c r="D349" s="4" t="s">
        <v>739</v>
      </c>
      <c r="E349" s="2" t="s">
        <v>19</v>
      </c>
      <c r="F349" s="2">
        <v>1</v>
      </c>
      <c r="G349" s="2">
        <v>222640</v>
      </c>
      <c r="H349" s="2" t="s">
        <v>974</v>
      </c>
      <c r="I349" s="4" t="s">
        <v>790</v>
      </c>
      <c r="J349" s="4" t="s">
        <v>254</v>
      </c>
      <c r="K349" s="76" t="s">
        <v>506</v>
      </c>
      <c r="L349" s="4" t="s">
        <v>1012</v>
      </c>
      <c r="M349" s="6">
        <v>45610</v>
      </c>
      <c r="N349" s="34">
        <v>0.43055555555555558</v>
      </c>
      <c r="O349" s="13">
        <v>1</v>
      </c>
      <c r="P349" s="6">
        <v>45610</v>
      </c>
      <c r="Q349" s="76" t="s">
        <v>36</v>
      </c>
    </row>
    <row r="350" spans="1:17" ht="86.25" customHeight="1" x14ac:dyDescent="0.25">
      <c r="A350" s="2">
        <v>348</v>
      </c>
      <c r="B350" s="3">
        <v>45609</v>
      </c>
      <c r="C350" s="4" t="s">
        <v>13</v>
      </c>
      <c r="D350" s="4" t="s">
        <v>772</v>
      </c>
      <c r="E350" s="2" t="s">
        <v>19</v>
      </c>
      <c r="F350" s="2">
        <v>1</v>
      </c>
      <c r="G350" s="2">
        <v>222641</v>
      </c>
      <c r="H350" s="2" t="s">
        <v>973</v>
      </c>
      <c r="I350" s="22" t="s">
        <v>155</v>
      </c>
      <c r="J350" s="22" t="s">
        <v>156</v>
      </c>
      <c r="K350" s="83" t="s">
        <v>157</v>
      </c>
      <c r="L350" s="4" t="s">
        <v>1017</v>
      </c>
      <c r="M350" s="6">
        <v>45614</v>
      </c>
      <c r="N350" s="34">
        <v>0.40625</v>
      </c>
      <c r="O350" s="13">
        <v>1</v>
      </c>
      <c r="P350" s="6">
        <v>45614</v>
      </c>
      <c r="Q350" s="83" t="s">
        <v>830</v>
      </c>
    </row>
    <row r="351" spans="1:17" ht="86.25" customHeight="1" x14ac:dyDescent="0.25">
      <c r="A351" s="2">
        <v>349</v>
      </c>
      <c r="B351" s="3">
        <v>45610</v>
      </c>
      <c r="C351" s="4" t="s">
        <v>13</v>
      </c>
      <c r="D351" s="4" t="s">
        <v>976</v>
      </c>
      <c r="E351" s="2" t="s">
        <v>19</v>
      </c>
      <c r="F351" s="2">
        <v>1</v>
      </c>
      <c r="G351" s="2">
        <v>222663</v>
      </c>
      <c r="H351" s="2" t="s">
        <v>975</v>
      </c>
      <c r="I351" s="22" t="s">
        <v>155</v>
      </c>
      <c r="J351" s="22" t="s">
        <v>156</v>
      </c>
      <c r="K351" s="83" t="s">
        <v>157</v>
      </c>
      <c r="L351" s="4" t="s">
        <v>1017</v>
      </c>
      <c r="M351" s="6">
        <v>45614</v>
      </c>
      <c r="N351" s="34">
        <v>0.55277777777777781</v>
      </c>
      <c r="O351" s="13">
        <v>1</v>
      </c>
      <c r="P351" s="6">
        <v>45614</v>
      </c>
      <c r="Q351" s="83" t="s">
        <v>830</v>
      </c>
    </row>
    <row r="352" spans="1:17" ht="86.25" customHeight="1" x14ac:dyDescent="0.25">
      <c r="A352" s="2">
        <v>350</v>
      </c>
      <c r="B352" s="3">
        <v>45610</v>
      </c>
      <c r="C352" s="4" t="s">
        <v>13</v>
      </c>
      <c r="D352" s="4" t="s">
        <v>739</v>
      </c>
      <c r="E352" s="2" t="s">
        <v>19</v>
      </c>
      <c r="F352" s="2">
        <v>1</v>
      </c>
      <c r="G352" s="2">
        <v>222662</v>
      </c>
      <c r="H352" s="2" t="s">
        <v>978</v>
      </c>
      <c r="I352" s="4" t="s">
        <v>790</v>
      </c>
      <c r="J352" s="4" t="s">
        <v>254</v>
      </c>
      <c r="K352" s="76" t="s">
        <v>506</v>
      </c>
      <c r="L352" s="4" t="s">
        <v>1012</v>
      </c>
      <c r="M352" s="6">
        <v>45614</v>
      </c>
      <c r="N352" s="34">
        <v>0.37083333333333335</v>
      </c>
      <c r="O352" s="13">
        <v>1</v>
      </c>
      <c r="P352" s="6">
        <v>45614</v>
      </c>
      <c r="Q352" s="76" t="s">
        <v>36</v>
      </c>
    </row>
    <row r="353" spans="1:17" ht="86.25" customHeight="1" x14ac:dyDescent="0.25">
      <c r="A353" s="2">
        <v>351</v>
      </c>
      <c r="B353" s="3">
        <v>45610</v>
      </c>
      <c r="C353" s="4" t="s">
        <v>13</v>
      </c>
      <c r="D353" s="4" t="s">
        <v>977</v>
      </c>
      <c r="E353" s="2" t="s">
        <v>20</v>
      </c>
      <c r="F353" s="2">
        <v>4</v>
      </c>
      <c r="G353" s="2">
        <v>222661</v>
      </c>
      <c r="H353" s="2" t="s">
        <v>1111</v>
      </c>
      <c r="I353" s="4" t="s">
        <v>984</v>
      </c>
      <c r="J353" s="4" t="s">
        <v>254</v>
      </c>
      <c r="K353" s="76" t="s">
        <v>506</v>
      </c>
      <c r="L353" s="4" t="s">
        <v>1012</v>
      </c>
      <c r="M353" s="6">
        <v>45614</v>
      </c>
      <c r="N353" s="34">
        <v>0.37152777777777773</v>
      </c>
      <c r="O353" s="13">
        <v>1</v>
      </c>
      <c r="P353" s="6">
        <v>45614</v>
      </c>
      <c r="Q353" s="76" t="s">
        <v>36</v>
      </c>
    </row>
    <row r="354" spans="1:17" ht="86.25" customHeight="1" x14ac:dyDescent="0.25">
      <c r="A354" s="2">
        <v>352</v>
      </c>
      <c r="B354" s="3">
        <v>45610</v>
      </c>
      <c r="C354" s="4" t="s">
        <v>13</v>
      </c>
      <c r="D354" s="4" t="s">
        <v>881</v>
      </c>
      <c r="E354" s="2" t="s">
        <v>19</v>
      </c>
      <c r="F354" s="2">
        <v>1</v>
      </c>
      <c r="G354" s="2">
        <v>222664</v>
      </c>
      <c r="H354" s="2" t="s">
        <v>983</v>
      </c>
      <c r="I354" s="2" t="s">
        <v>980</v>
      </c>
      <c r="J354" s="2" t="s">
        <v>89</v>
      </c>
      <c r="K354" s="4" t="s">
        <v>853</v>
      </c>
      <c r="L354" s="4" t="s">
        <v>864</v>
      </c>
      <c r="M354" s="6">
        <v>45614</v>
      </c>
      <c r="N354" s="34">
        <v>0.33333333333333331</v>
      </c>
      <c r="O354" s="13">
        <v>1</v>
      </c>
      <c r="P354" s="6">
        <v>45614</v>
      </c>
    </row>
    <row r="355" spans="1:17" ht="86.25" customHeight="1" x14ac:dyDescent="0.25">
      <c r="A355" s="2">
        <v>353</v>
      </c>
      <c r="B355" s="3">
        <v>45610</v>
      </c>
      <c r="C355" s="4" t="s">
        <v>13</v>
      </c>
      <c r="D355" s="4" t="s">
        <v>772</v>
      </c>
      <c r="E355" s="2" t="s">
        <v>19</v>
      </c>
      <c r="F355" s="2">
        <v>1</v>
      </c>
      <c r="G355" s="2">
        <v>222666</v>
      </c>
      <c r="H355" s="2" t="s">
        <v>979</v>
      </c>
      <c r="I355" s="2" t="s">
        <v>486</v>
      </c>
      <c r="J355" s="2" t="s">
        <v>37</v>
      </c>
      <c r="K355" s="4" t="s">
        <v>768</v>
      </c>
      <c r="L355" s="4" t="s">
        <v>1016</v>
      </c>
      <c r="M355" s="6">
        <v>45614</v>
      </c>
      <c r="N355" s="34">
        <v>0.65347222222222223</v>
      </c>
      <c r="O355" s="13">
        <v>1</v>
      </c>
      <c r="P355" s="6">
        <v>45614</v>
      </c>
      <c r="Q355" s="76" t="s">
        <v>51</v>
      </c>
    </row>
    <row r="356" spans="1:17" ht="86.25" customHeight="1" x14ac:dyDescent="0.25">
      <c r="A356" s="2">
        <v>354</v>
      </c>
      <c r="B356" s="3">
        <v>45610</v>
      </c>
      <c r="C356" s="4" t="s">
        <v>13</v>
      </c>
      <c r="D356" s="4" t="s">
        <v>772</v>
      </c>
      <c r="E356" s="2" t="s">
        <v>19</v>
      </c>
      <c r="F356" s="2">
        <v>1</v>
      </c>
      <c r="G356" s="2">
        <v>222665</v>
      </c>
      <c r="H356" s="2" t="s">
        <v>982</v>
      </c>
      <c r="I356" s="2" t="s">
        <v>700</v>
      </c>
      <c r="J356" s="79" t="s">
        <v>99</v>
      </c>
      <c r="K356" s="79" t="s">
        <v>100</v>
      </c>
      <c r="L356" s="4" t="s">
        <v>867</v>
      </c>
      <c r="M356" s="6">
        <v>45614</v>
      </c>
      <c r="N356" s="84">
        <v>0.40625</v>
      </c>
      <c r="O356" s="13">
        <v>1</v>
      </c>
      <c r="P356" s="6">
        <v>45614</v>
      </c>
      <c r="Q356" s="83" t="s">
        <v>101</v>
      </c>
    </row>
    <row r="357" spans="1:17" ht="86.25" customHeight="1" x14ac:dyDescent="0.25">
      <c r="A357" s="2">
        <v>355</v>
      </c>
      <c r="B357" s="3">
        <v>45610</v>
      </c>
      <c r="C357" s="4" t="s">
        <v>13</v>
      </c>
      <c r="D357" s="4" t="s">
        <v>772</v>
      </c>
      <c r="E357" s="2" t="s">
        <v>19</v>
      </c>
      <c r="F357" s="2">
        <v>1</v>
      </c>
      <c r="G357" s="2">
        <v>222667</v>
      </c>
      <c r="H357" s="2" t="s">
        <v>981</v>
      </c>
      <c r="I357" s="2" t="s">
        <v>358</v>
      </c>
      <c r="J357" s="2" t="s">
        <v>83</v>
      </c>
      <c r="K357" s="2" t="s">
        <v>940</v>
      </c>
      <c r="L357" s="4" t="s">
        <v>1018</v>
      </c>
      <c r="M357" s="6">
        <v>45604</v>
      </c>
      <c r="N357" s="34">
        <v>0.375</v>
      </c>
      <c r="O357" s="13">
        <v>1</v>
      </c>
      <c r="P357" s="6">
        <v>45604</v>
      </c>
      <c r="Q357" s="2" t="s">
        <v>85</v>
      </c>
    </row>
    <row r="358" spans="1:17" ht="86.25" customHeight="1" x14ac:dyDescent="0.25">
      <c r="A358" s="2">
        <v>356</v>
      </c>
      <c r="B358" s="3">
        <v>45616</v>
      </c>
      <c r="C358" s="4" t="s">
        <v>13</v>
      </c>
      <c r="D358" s="4" t="s">
        <v>739</v>
      </c>
      <c r="E358" s="2" t="s">
        <v>19</v>
      </c>
      <c r="F358" s="2">
        <v>1</v>
      </c>
      <c r="G358" s="2">
        <v>222688</v>
      </c>
      <c r="H358" s="2" t="s">
        <v>986</v>
      </c>
      <c r="I358" s="4" t="s">
        <v>790</v>
      </c>
      <c r="J358" s="4" t="s">
        <v>254</v>
      </c>
      <c r="K358" s="76" t="s">
        <v>506</v>
      </c>
      <c r="L358" s="4" t="s">
        <v>1012</v>
      </c>
      <c r="M358" s="6">
        <v>45617</v>
      </c>
      <c r="N358" s="34">
        <v>0.48541666666666666</v>
      </c>
      <c r="O358" s="13">
        <v>1</v>
      </c>
      <c r="P358" s="6">
        <v>45617</v>
      </c>
      <c r="Q358" s="76" t="s">
        <v>36</v>
      </c>
    </row>
    <row r="359" spans="1:17" ht="86.25" customHeight="1" x14ac:dyDescent="0.25">
      <c r="A359" s="2">
        <v>357</v>
      </c>
      <c r="B359" s="3">
        <v>45616</v>
      </c>
      <c r="C359" s="4" t="s">
        <v>13</v>
      </c>
      <c r="D359" s="4" t="s">
        <v>772</v>
      </c>
      <c r="E359" s="2" t="s">
        <v>19</v>
      </c>
      <c r="F359" s="2">
        <v>1</v>
      </c>
      <c r="G359" s="2">
        <v>222690</v>
      </c>
      <c r="H359" s="2" t="s">
        <v>985</v>
      </c>
      <c r="I359" s="22">
        <f ca="1">+K393+I359:Q359+I359:S359+I359:Q359</f>
        <v>0</v>
      </c>
      <c r="J359" s="22" t="s">
        <v>156</v>
      </c>
      <c r="K359" s="83" t="s">
        <v>157</v>
      </c>
      <c r="L359" s="4" t="s">
        <v>869</v>
      </c>
      <c r="M359" s="6">
        <v>45618</v>
      </c>
      <c r="N359" s="34">
        <v>0.52361111111111114</v>
      </c>
      <c r="O359" s="13">
        <v>1</v>
      </c>
      <c r="P359" s="6">
        <v>45618</v>
      </c>
      <c r="Q359" s="83" t="s">
        <v>830</v>
      </c>
    </row>
    <row r="360" spans="1:17" ht="86.25" customHeight="1" x14ac:dyDescent="0.25">
      <c r="A360" s="2">
        <v>358</v>
      </c>
      <c r="B360" s="3">
        <v>45616</v>
      </c>
      <c r="C360" s="4" t="s">
        <v>13</v>
      </c>
      <c r="D360" s="4" t="s">
        <v>957</v>
      </c>
      <c r="E360" s="2" t="s">
        <v>19</v>
      </c>
      <c r="F360" s="2">
        <v>1</v>
      </c>
      <c r="G360" s="2">
        <v>222689</v>
      </c>
      <c r="H360" s="2" t="s">
        <v>1067</v>
      </c>
      <c r="I360" s="2" t="s">
        <v>486</v>
      </c>
      <c r="J360" s="2" t="s">
        <v>37</v>
      </c>
      <c r="K360" s="4" t="s">
        <v>768</v>
      </c>
      <c r="L360" s="4" t="s">
        <v>1019</v>
      </c>
      <c r="M360" s="6">
        <v>45617</v>
      </c>
      <c r="N360" s="34">
        <v>0.67361111111111116</v>
      </c>
      <c r="O360" s="13">
        <v>1</v>
      </c>
      <c r="P360" s="6">
        <v>45617</v>
      </c>
      <c r="Q360" s="76" t="s">
        <v>51</v>
      </c>
    </row>
    <row r="361" spans="1:17" ht="86.25" customHeight="1" x14ac:dyDescent="0.25">
      <c r="A361" s="2">
        <v>359</v>
      </c>
      <c r="B361" s="3">
        <v>45616</v>
      </c>
      <c r="C361" s="4" t="s">
        <v>13</v>
      </c>
      <c r="D361" s="4" t="s">
        <v>607</v>
      </c>
      <c r="E361" s="2" t="s">
        <v>19</v>
      </c>
      <c r="F361" s="2">
        <v>1</v>
      </c>
      <c r="G361" s="2">
        <v>222691</v>
      </c>
      <c r="H361" s="2" t="s">
        <v>987</v>
      </c>
      <c r="I361" s="4" t="s">
        <v>719</v>
      </c>
      <c r="J361" s="4" t="s">
        <v>89</v>
      </c>
      <c r="K361" s="83" t="s">
        <v>667</v>
      </c>
      <c r="L361" s="4" t="s">
        <v>1015</v>
      </c>
      <c r="M361" s="6">
        <v>45618</v>
      </c>
      <c r="N361" s="34">
        <v>0.36319444444444443</v>
      </c>
      <c r="O361" s="13">
        <v>1</v>
      </c>
      <c r="P361" s="6">
        <v>45618</v>
      </c>
      <c r="Q361" s="2" t="s">
        <v>703</v>
      </c>
    </row>
    <row r="362" spans="1:17" ht="86.25" customHeight="1" x14ac:dyDescent="0.25">
      <c r="A362" s="2">
        <v>360</v>
      </c>
      <c r="B362" s="3">
        <v>45617</v>
      </c>
      <c r="C362" s="4" t="s">
        <v>13</v>
      </c>
      <c r="D362" s="4" t="s">
        <v>739</v>
      </c>
      <c r="E362" s="2" t="s">
        <v>19</v>
      </c>
      <c r="F362" s="2">
        <v>1</v>
      </c>
      <c r="G362" s="2">
        <v>222699</v>
      </c>
      <c r="H362" s="2" t="s">
        <v>988</v>
      </c>
      <c r="I362" s="2" t="s">
        <v>790</v>
      </c>
      <c r="J362" s="2" t="s">
        <v>9</v>
      </c>
      <c r="K362" s="76" t="s">
        <v>506</v>
      </c>
      <c r="L362" s="4" t="s">
        <v>1012</v>
      </c>
      <c r="M362" s="6">
        <v>45621</v>
      </c>
      <c r="N362" s="34">
        <v>0.46458333333333335</v>
      </c>
      <c r="O362" s="13">
        <v>1</v>
      </c>
      <c r="P362" s="6">
        <v>45621</v>
      </c>
      <c r="Q362" s="76" t="s">
        <v>36</v>
      </c>
    </row>
    <row r="363" spans="1:17" ht="86.25" customHeight="1" x14ac:dyDescent="0.25">
      <c r="A363" s="2">
        <v>361</v>
      </c>
      <c r="B363" s="3">
        <v>45621</v>
      </c>
      <c r="C363" s="4" t="s">
        <v>13</v>
      </c>
      <c r="D363" s="4" t="s">
        <v>772</v>
      </c>
      <c r="E363" s="2" t="s">
        <v>19</v>
      </c>
      <c r="F363" s="2">
        <v>1</v>
      </c>
      <c r="G363" s="2">
        <v>222706</v>
      </c>
      <c r="H363" s="2" t="s">
        <v>989</v>
      </c>
      <c r="I363" s="2" t="s">
        <v>358</v>
      </c>
      <c r="J363" s="2" t="s">
        <v>83</v>
      </c>
      <c r="K363" s="2" t="s">
        <v>940</v>
      </c>
      <c r="L363" s="4" t="s">
        <v>1047</v>
      </c>
      <c r="M363" s="6">
        <v>45624</v>
      </c>
      <c r="N363" s="34">
        <v>0.4458333333333333</v>
      </c>
      <c r="O363" s="13">
        <v>1</v>
      </c>
      <c r="P363" s="6">
        <v>45624</v>
      </c>
      <c r="Q363" s="2" t="s">
        <v>85</v>
      </c>
    </row>
    <row r="364" spans="1:17" ht="86.25" customHeight="1" x14ac:dyDescent="0.25">
      <c r="A364" s="2">
        <v>362</v>
      </c>
      <c r="B364" s="3">
        <v>45621</v>
      </c>
      <c r="C364" s="4" t="s">
        <v>13</v>
      </c>
      <c r="D364" s="4" t="s">
        <v>772</v>
      </c>
      <c r="E364" s="2" t="s">
        <v>19</v>
      </c>
      <c r="F364" s="2">
        <v>1</v>
      </c>
      <c r="G364" s="2">
        <v>222708</v>
      </c>
      <c r="H364" s="2" t="s">
        <v>992</v>
      </c>
      <c r="I364" s="4" t="s">
        <v>790</v>
      </c>
      <c r="J364" s="4" t="s">
        <v>254</v>
      </c>
      <c r="K364" s="76" t="s">
        <v>506</v>
      </c>
      <c r="L364" s="4" t="s">
        <v>1012</v>
      </c>
      <c r="M364" s="6">
        <v>45622</v>
      </c>
      <c r="N364" s="34">
        <v>0.46597222222222223</v>
      </c>
      <c r="O364" s="13">
        <v>1</v>
      </c>
      <c r="P364" s="6">
        <v>45622</v>
      </c>
      <c r="Q364" s="76" t="s">
        <v>36</v>
      </c>
    </row>
    <row r="365" spans="1:17" ht="86.25" customHeight="1" x14ac:dyDescent="0.25">
      <c r="A365" s="2">
        <v>363</v>
      </c>
      <c r="B365" s="3">
        <v>45621</v>
      </c>
      <c r="C365" s="4" t="s">
        <v>13</v>
      </c>
      <c r="D365" s="4" t="s">
        <v>772</v>
      </c>
      <c r="E365" s="2" t="s">
        <v>19</v>
      </c>
      <c r="F365" s="2">
        <v>1</v>
      </c>
      <c r="G365" s="2">
        <v>222707</v>
      </c>
      <c r="H365" s="2" t="s">
        <v>990</v>
      </c>
      <c r="I365" s="22" t="s">
        <v>155</v>
      </c>
      <c r="J365" s="22" t="s">
        <v>156</v>
      </c>
      <c r="K365" s="83" t="s">
        <v>157</v>
      </c>
      <c r="L365" s="4" t="s">
        <v>1021</v>
      </c>
      <c r="M365" s="6">
        <v>45624</v>
      </c>
      <c r="N365" s="34">
        <v>0.50347222222222221</v>
      </c>
      <c r="O365" s="13">
        <v>1</v>
      </c>
      <c r="P365" s="6">
        <v>45624</v>
      </c>
      <c r="Q365" s="83" t="s">
        <v>830</v>
      </c>
    </row>
    <row r="366" spans="1:17" ht="86.25" customHeight="1" x14ac:dyDescent="0.25">
      <c r="A366" s="2">
        <v>364</v>
      </c>
      <c r="B366" s="3">
        <v>45621</v>
      </c>
      <c r="C366" s="4" t="s">
        <v>13</v>
      </c>
      <c r="D366" s="4" t="s">
        <v>772</v>
      </c>
      <c r="E366" s="2" t="s">
        <v>19</v>
      </c>
      <c r="F366" s="2">
        <v>1</v>
      </c>
      <c r="G366" s="2">
        <v>222705</v>
      </c>
      <c r="H366" s="2" t="s">
        <v>991</v>
      </c>
      <c r="I366" s="2" t="s">
        <v>700</v>
      </c>
      <c r="J366" s="79" t="s">
        <v>99</v>
      </c>
      <c r="K366" s="79" t="s">
        <v>100</v>
      </c>
      <c r="L366" s="4" t="s">
        <v>1029</v>
      </c>
      <c r="M366" s="6">
        <v>45622</v>
      </c>
      <c r="N366" s="84">
        <v>0.5805555555555556</v>
      </c>
      <c r="O366" s="13">
        <v>1</v>
      </c>
      <c r="P366" s="6">
        <v>45622</v>
      </c>
      <c r="Q366" s="83" t="s">
        <v>101</v>
      </c>
    </row>
    <row r="367" spans="1:17" ht="86.25" customHeight="1" x14ac:dyDescent="0.25">
      <c r="A367" s="2">
        <v>365</v>
      </c>
      <c r="B367" s="3">
        <v>45621</v>
      </c>
      <c r="C367" s="4" t="s">
        <v>13</v>
      </c>
      <c r="D367" s="4" t="s">
        <v>607</v>
      </c>
      <c r="E367" s="2" t="s">
        <v>19</v>
      </c>
      <c r="F367" s="2">
        <v>1</v>
      </c>
      <c r="G367" s="2">
        <v>222711</v>
      </c>
      <c r="H367" s="2" t="s">
        <v>994</v>
      </c>
      <c r="I367" s="2" t="s">
        <v>993</v>
      </c>
      <c r="J367" s="2" t="s">
        <v>37</v>
      </c>
      <c r="K367" s="4" t="s">
        <v>768</v>
      </c>
      <c r="L367" s="4" t="s">
        <v>1030</v>
      </c>
      <c r="M367" s="6">
        <v>45624</v>
      </c>
      <c r="N367" s="34">
        <v>0.34861111111111115</v>
      </c>
      <c r="O367" s="13">
        <v>1</v>
      </c>
      <c r="P367" s="6">
        <v>45622</v>
      </c>
      <c r="Q367" s="76" t="s">
        <v>51</v>
      </c>
    </row>
    <row r="368" spans="1:17" ht="86.25" customHeight="1" x14ac:dyDescent="0.25">
      <c r="A368" s="2">
        <v>366</v>
      </c>
      <c r="B368" s="3">
        <v>45621</v>
      </c>
      <c r="C368" s="4" t="s">
        <v>13</v>
      </c>
      <c r="D368" s="4" t="s">
        <v>772</v>
      </c>
      <c r="E368" s="2" t="s">
        <v>19</v>
      </c>
      <c r="F368" s="2">
        <v>1</v>
      </c>
      <c r="G368" s="2">
        <v>222719</v>
      </c>
      <c r="H368" s="2" t="s">
        <v>997</v>
      </c>
      <c r="I368" s="2" t="s">
        <v>995</v>
      </c>
      <c r="J368" s="2" t="s">
        <v>9</v>
      </c>
      <c r="K368" s="76" t="s">
        <v>69</v>
      </c>
      <c r="L368" s="4" t="s">
        <v>1048</v>
      </c>
      <c r="M368" s="6">
        <v>45624</v>
      </c>
      <c r="N368" s="25">
        <v>0.4375</v>
      </c>
      <c r="O368" s="13">
        <v>1</v>
      </c>
      <c r="P368" s="6">
        <v>45624</v>
      </c>
      <c r="Q368" s="76" t="s">
        <v>70</v>
      </c>
    </row>
    <row r="369" spans="1:17" ht="86.25" customHeight="1" x14ac:dyDescent="0.25">
      <c r="A369" s="2">
        <v>367</v>
      </c>
      <c r="B369" s="3">
        <v>45623</v>
      </c>
      <c r="C369" s="4" t="s">
        <v>13</v>
      </c>
      <c r="D369" s="4" t="s">
        <v>772</v>
      </c>
      <c r="E369" s="2" t="s">
        <v>19</v>
      </c>
      <c r="F369" s="2">
        <v>1</v>
      </c>
      <c r="G369" s="2">
        <v>222734</v>
      </c>
      <c r="H369" s="2" t="s">
        <v>998</v>
      </c>
      <c r="I369" s="2" t="s">
        <v>790</v>
      </c>
      <c r="J369" s="2" t="s">
        <v>9</v>
      </c>
      <c r="K369" s="76" t="s">
        <v>506</v>
      </c>
      <c r="L369" s="4" t="s">
        <v>1012</v>
      </c>
      <c r="M369" s="6">
        <v>45625</v>
      </c>
      <c r="N369" s="34">
        <v>0.51527777777777783</v>
      </c>
      <c r="O369" s="13">
        <v>1</v>
      </c>
      <c r="P369" s="6">
        <v>45625</v>
      </c>
      <c r="Q369" s="76" t="s">
        <v>36</v>
      </c>
    </row>
    <row r="370" spans="1:17" ht="86.25" customHeight="1" x14ac:dyDescent="0.25">
      <c r="A370" s="2">
        <v>368</v>
      </c>
      <c r="B370" s="3">
        <v>45623</v>
      </c>
      <c r="C370" s="4" t="s">
        <v>13</v>
      </c>
      <c r="D370" s="4" t="s">
        <v>1001</v>
      </c>
      <c r="E370" s="2" t="s">
        <v>19</v>
      </c>
      <c r="F370" s="2">
        <v>1</v>
      </c>
      <c r="G370" s="2">
        <v>222735</v>
      </c>
      <c r="H370" s="2" t="s">
        <v>1110</v>
      </c>
      <c r="I370" s="2" t="s">
        <v>999</v>
      </c>
      <c r="J370" s="2" t="s">
        <v>399</v>
      </c>
      <c r="K370" s="2" t="s">
        <v>1027</v>
      </c>
      <c r="L370" s="4" t="s">
        <v>1028</v>
      </c>
      <c r="M370" s="6">
        <v>45624</v>
      </c>
      <c r="N370" s="34">
        <v>0.35416666666666669</v>
      </c>
      <c r="O370" s="13">
        <v>1</v>
      </c>
      <c r="P370" s="6">
        <v>45624</v>
      </c>
      <c r="Q370" s="2" t="s">
        <v>1000</v>
      </c>
    </row>
    <row r="371" spans="1:17" ht="86.25" customHeight="1" x14ac:dyDescent="0.25">
      <c r="A371" s="2">
        <v>369</v>
      </c>
      <c r="B371" s="3">
        <v>45623</v>
      </c>
      <c r="C371" s="4" t="s">
        <v>13</v>
      </c>
      <c r="D371" s="4" t="s">
        <v>607</v>
      </c>
      <c r="E371" s="2" t="s">
        <v>20</v>
      </c>
      <c r="F371" s="2">
        <v>1</v>
      </c>
      <c r="G371" s="2">
        <v>222736</v>
      </c>
      <c r="H371" s="2" t="s">
        <v>1004</v>
      </c>
      <c r="I371" s="2" t="s">
        <v>707</v>
      </c>
      <c r="J371" s="2" t="s">
        <v>37</v>
      </c>
      <c r="K371" s="4" t="s">
        <v>768</v>
      </c>
      <c r="L371" s="4" t="s">
        <v>1030</v>
      </c>
      <c r="M371" s="6">
        <v>45624</v>
      </c>
      <c r="N371" s="34">
        <v>0.65069444444444446</v>
      </c>
      <c r="O371" s="13">
        <v>1</v>
      </c>
      <c r="P371" s="6">
        <v>45624</v>
      </c>
      <c r="Q371" s="76" t="s">
        <v>51</v>
      </c>
    </row>
    <row r="372" spans="1:17" ht="86.25" customHeight="1" x14ac:dyDescent="0.25">
      <c r="A372" s="2">
        <v>370</v>
      </c>
      <c r="B372" s="3">
        <v>45623</v>
      </c>
      <c r="C372" s="4" t="s">
        <v>13</v>
      </c>
      <c r="D372" s="4" t="s">
        <v>607</v>
      </c>
      <c r="E372" s="2" t="s">
        <v>20</v>
      </c>
      <c r="F372" s="2">
        <v>1</v>
      </c>
      <c r="G372" s="2">
        <v>222737</v>
      </c>
      <c r="H372" s="2" t="s">
        <v>1003</v>
      </c>
      <c r="I372" s="2" t="s">
        <v>1002</v>
      </c>
      <c r="J372" s="2" t="s">
        <v>37</v>
      </c>
      <c r="K372" s="4" t="s">
        <v>768</v>
      </c>
      <c r="L372" s="4" t="s">
        <v>1030</v>
      </c>
      <c r="M372" s="6">
        <v>45624</v>
      </c>
      <c r="N372" s="34">
        <v>0.65069444444444446</v>
      </c>
      <c r="O372" s="13">
        <v>1</v>
      </c>
      <c r="P372" s="6">
        <v>45624</v>
      </c>
      <c r="Q372" s="76" t="s">
        <v>51</v>
      </c>
    </row>
    <row r="373" spans="1:17" ht="86.25" customHeight="1" x14ac:dyDescent="0.25">
      <c r="A373" s="2">
        <v>371</v>
      </c>
      <c r="B373" s="3">
        <v>45623</v>
      </c>
      <c r="C373" s="4" t="s">
        <v>13</v>
      </c>
      <c r="D373" s="4" t="s">
        <v>607</v>
      </c>
      <c r="E373" s="2" t="s">
        <v>19</v>
      </c>
      <c r="F373" s="2">
        <v>1</v>
      </c>
      <c r="G373" s="2">
        <v>222738</v>
      </c>
      <c r="H373" s="2" t="s">
        <v>1006</v>
      </c>
      <c r="I373" s="2" t="s">
        <v>1005</v>
      </c>
      <c r="J373" s="2" t="s">
        <v>37</v>
      </c>
      <c r="K373" s="4" t="s">
        <v>768</v>
      </c>
      <c r="L373" s="4" t="s">
        <v>1030</v>
      </c>
      <c r="M373" s="6">
        <v>45624</v>
      </c>
      <c r="N373" s="34">
        <v>0.65069444444444446</v>
      </c>
      <c r="O373" s="13">
        <v>1</v>
      </c>
      <c r="P373" s="6">
        <v>45624</v>
      </c>
      <c r="Q373" s="76" t="s">
        <v>51</v>
      </c>
    </row>
    <row r="374" spans="1:17" ht="86.25" customHeight="1" x14ac:dyDescent="0.25">
      <c r="A374" s="2">
        <v>372</v>
      </c>
      <c r="B374" s="3">
        <v>45623</v>
      </c>
      <c r="C374" s="4" t="s">
        <v>13</v>
      </c>
      <c r="D374" s="4" t="s">
        <v>607</v>
      </c>
      <c r="E374" s="2" t="s">
        <v>19</v>
      </c>
      <c r="F374" s="2">
        <v>1</v>
      </c>
      <c r="G374" s="2">
        <v>222739</v>
      </c>
      <c r="H374" s="2" t="s">
        <v>1008</v>
      </c>
      <c r="I374" s="2" t="s">
        <v>1007</v>
      </c>
      <c r="J374" s="2" t="s">
        <v>37</v>
      </c>
      <c r="K374" s="4" t="s">
        <v>768</v>
      </c>
      <c r="L374" s="4" t="s">
        <v>1030</v>
      </c>
      <c r="M374" s="6">
        <v>45624</v>
      </c>
      <c r="N374" s="34">
        <v>0.65069444444444446</v>
      </c>
      <c r="O374" s="13">
        <v>1</v>
      </c>
      <c r="P374" s="6">
        <v>45624</v>
      </c>
      <c r="Q374" s="76" t="s">
        <v>51</v>
      </c>
    </row>
    <row r="375" spans="1:17" ht="86.25" customHeight="1" x14ac:dyDescent="0.25">
      <c r="A375" s="2">
        <v>373</v>
      </c>
      <c r="B375" s="3">
        <v>45623</v>
      </c>
      <c r="C375" s="4" t="s">
        <v>13</v>
      </c>
      <c r="D375" s="4" t="s">
        <v>607</v>
      </c>
      <c r="E375" s="2" t="s">
        <v>19</v>
      </c>
      <c r="F375" s="2">
        <v>1</v>
      </c>
      <c r="G375" s="2">
        <v>222740</v>
      </c>
      <c r="H375" s="2" t="s">
        <v>1010</v>
      </c>
      <c r="I375" s="2" t="s">
        <v>1009</v>
      </c>
      <c r="J375" s="2" t="s">
        <v>37</v>
      </c>
      <c r="K375" s="4" t="s">
        <v>768</v>
      </c>
      <c r="L375" s="4" t="s">
        <v>1030</v>
      </c>
      <c r="M375" s="6">
        <v>45624</v>
      </c>
      <c r="N375" s="34">
        <v>0.65069444444444446</v>
      </c>
      <c r="O375" s="13">
        <v>1</v>
      </c>
      <c r="P375" s="6">
        <v>45624</v>
      </c>
      <c r="Q375" s="76" t="s">
        <v>51</v>
      </c>
    </row>
    <row r="376" spans="1:17" ht="86.25" customHeight="1" x14ac:dyDescent="0.25">
      <c r="A376" s="2">
        <v>374</v>
      </c>
      <c r="B376" s="3">
        <v>45623</v>
      </c>
      <c r="C376" s="4" t="s">
        <v>13</v>
      </c>
      <c r="D376" s="4" t="s">
        <v>607</v>
      </c>
      <c r="E376" s="2" t="s">
        <v>19</v>
      </c>
      <c r="F376" s="2">
        <v>1</v>
      </c>
      <c r="G376" s="2">
        <v>222741</v>
      </c>
      <c r="H376" s="2" t="s">
        <v>1011</v>
      </c>
      <c r="I376" s="2" t="s">
        <v>993</v>
      </c>
      <c r="J376" s="2" t="s">
        <v>37</v>
      </c>
      <c r="K376" s="4" t="s">
        <v>768</v>
      </c>
      <c r="L376" s="4" t="s">
        <v>1030</v>
      </c>
      <c r="M376" s="6">
        <v>45624</v>
      </c>
      <c r="N376" s="34">
        <v>0.65069444444444446</v>
      </c>
      <c r="O376" s="13">
        <v>1</v>
      </c>
      <c r="P376" s="6">
        <v>45624</v>
      </c>
      <c r="Q376" s="76" t="s">
        <v>51</v>
      </c>
    </row>
    <row r="377" spans="1:17" ht="86.25" customHeight="1" x14ac:dyDescent="0.25">
      <c r="A377" s="2">
        <v>375</v>
      </c>
      <c r="B377" s="3">
        <v>45625</v>
      </c>
      <c r="C377" s="4" t="s">
        <v>13</v>
      </c>
      <c r="D377" s="4" t="s">
        <v>739</v>
      </c>
      <c r="E377" s="2" t="s">
        <v>19</v>
      </c>
      <c r="F377" s="2">
        <v>1</v>
      </c>
      <c r="G377" s="2">
        <v>222748</v>
      </c>
      <c r="H377" s="2" t="s">
        <v>1022</v>
      </c>
      <c r="I377" s="2" t="s">
        <v>790</v>
      </c>
      <c r="J377" s="2" t="s">
        <v>9</v>
      </c>
      <c r="K377" s="76" t="s">
        <v>506</v>
      </c>
      <c r="L377" s="2" t="s">
        <v>1101</v>
      </c>
      <c r="M377" s="6">
        <v>45628</v>
      </c>
      <c r="N377" s="34">
        <v>0.39374999999999999</v>
      </c>
      <c r="O377" s="13">
        <v>1</v>
      </c>
      <c r="P377" s="6">
        <v>45628</v>
      </c>
      <c r="Q377" s="76" t="s">
        <v>36</v>
      </c>
    </row>
    <row r="378" spans="1:17" ht="122.25" customHeight="1" x14ac:dyDescent="0.25">
      <c r="A378" s="2">
        <v>376</v>
      </c>
      <c r="B378" s="3">
        <v>45625</v>
      </c>
      <c r="C378" s="4" t="s">
        <v>13</v>
      </c>
      <c r="D378" s="4" t="s">
        <v>812</v>
      </c>
      <c r="E378" s="2" t="s">
        <v>19</v>
      </c>
      <c r="F378" s="2">
        <v>1</v>
      </c>
      <c r="G378" s="2">
        <v>222747</v>
      </c>
      <c r="H378" s="2" t="s">
        <v>1020</v>
      </c>
      <c r="I378" s="22" t="s">
        <v>155</v>
      </c>
      <c r="J378" s="22" t="s">
        <v>156</v>
      </c>
      <c r="K378" s="83" t="s">
        <v>157</v>
      </c>
      <c r="L378" s="4" t="s">
        <v>1105</v>
      </c>
      <c r="M378" s="6">
        <v>45630</v>
      </c>
      <c r="N378" s="34">
        <v>0.46597222222222223</v>
      </c>
      <c r="O378" s="13">
        <v>1</v>
      </c>
      <c r="P378" s="6">
        <v>45630</v>
      </c>
      <c r="Q378" s="83" t="s">
        <v>830</v>
      </c>
    </row>
    <row r="379" spans="1:17" ht="86.25" customHeight="1" x14ac:dyDescent="0.25">
      <c r="A379" s="2">
        <v>377</v>
      </c>
      <c r="B379" s="3">
        <v>45625</v>
      </c>
      <c r="C379" s="4" t="s">
        <v>13</v>
      </c>
      <c r="D379" s="4" t="s">
        <v>772</v>
      </c>
      <c r="E379" s="2" t="s">
        <v>19</v>
      </c>
      <c r="F379" s="2">
        <v>1</v>
      </c>
      <c r="G379" s="2">
        <v>222750</v>
      </c>
      <c r="H379" s="2" t="s">
        <v>1023</v>
      </c>
      <c r="I379" s="2" t="s">
        <v>486</v>
      </c>
      <c r="J379" s="2" t="s">
        <v>37</v>
      </c>
      <c r="K379" s="4" t="s">
        <v>768</v>
      </c>
      <c r="L379" s="4" t="s">
        <v>1106</v>
      </c>
      <c r="M379" s="6">
        <v>45628</v>
      </c>
      <c r="N379" s="34">
        <v>0.36527777777777781</v>
      </c>
      <c r="O379" s="13">
        <v>1</v>
      </c>
      <c r="P379" s="6">
        <v>45628</v>
      </c>
      <c r="Q379" s="76" t="s">
        <v>51</v>
      </c>
    </row>
    <row r="380" spans="1:17" ht="86.25" customHeight="1" x14ac:dyDescent="0.25">
      <c r="A380" s="2">
        <v>378</v>
      </c>
      <c r="B380" s="3">
        <v>45625</v>
      </c>
      <c r="C380" s="4" t="s">
        <v>13</v>
      </c>
      <c r="D380" s="4" t="s">
        <v>772</v>
      </c>
      <c r="E380" s="2" t="s">
        <v>19</v>
      </c>
      <c r="F380" s="2">
        <v>1</v>
      </c>
      <c r="G380" s="2">
        <v>222749</v>
      </c>
      <c r="H380" s="2" t="s">
        <v>1024</v>
      </c>
      <c r="I380" s="4" t="s">
        <v>844</v>
      </c>
      <c r="J380" s="4" t="s">
        <v>89</v>
      </c>
      <c r="K380" s="83" t="s">
        <v>667</v>
      </c>
      <c r="L380" s="4" t="s">
        <v>1049</v>
      </c>
      <c r="M380" s="6">
        <v>45629</v>
      </c>
      <c r="N380" s="8"/>
      <c r="O380" s="13">
        <v>1</v>
      </c>
      <c r="P380" s="6">
        <v>45629</v>
      </c>
      <c r="Q380" s="2" t="s">
        <v>703</v>
      </c>
    </row>
    <row r="381" spans="1:17" ht="86.25" customHeight="1" x14ac:dyDescent="0.25">
      <c r="A381" s="2">
        <v>379</v>
      </c>
      <c r="B381" s="3">
        <v>45628</v>
      </c>
      <c r="C381" s="4" t="s">
        <v>13</v>
      </c>
      <c r="D381" s="4" t="s">
        <v>957</v>
      </c>
      <c r="E381" s="2" t="s">
        <v>19</v>
      </c>
      <c r="F381" s="2">
        <v>1</v>
      </c>
      <c r="G381" s="2">
        <v>222759</v>
      </c>
      <c r="H381" s="2" t="s">
        <v>1025</v>
      </c>
      <c r="I381" s="2" t="s">
        <v>547</v>
      </c>
      <c r="J381" s="2" t="s">
        <v>37</v>
      </c>
      <c r="K381" s="83" t="s">
        <v>1026</v>
      </c>
      <c r="L381" s="4" t="s">
        <v>1098</v>
      </c>
      <c r="M381" s="6">
        <v>45628</v>
      </c>
      <c r="N381" s="34">
        <v>0.6479166666666667</v>
      </c>
      <c r="O381" s="13">
        <v>1</v>
      </c>
      <c r="P381" s="6">
        <v>45628</v>
      </c>
      <c r="Q381" s="76" t="s">
        <v>51</v>
      </c>
    </row>
    <row r="382" spans="1:17" ht="86.25" customHeight="1" x14ac:dyDescent="0.25">
      <c r="A382" s="2">
        <v>380</v>
      </c>
      <c r="B382" s="3">
        <v>45628</v>
      </c>
      <c r="C382" s="4" t="s">
        <v>13</v>
      </c>
      <c r="D382" s="4" t="s">
        <v>739</v>
      </c>
      <c r="E382" s="2" t="s">
        <v>19</v>
      </c>
      <c r="F382" s="2">
        <v>1</v>
      </c>
      <c r="G382" s="2">
        <v>222760</v>
      </c>
      <c r="H382" s="2" t="s">
        <v>1031</v>
      </c>
      <c r="I382" s="2" t="s">
        <v>790</v>
      </c>
      <c r="J382" s="2" t="s">
        <v>9</v>
      </c>
      <c r="K382" s="76" t="s">
        <v>506</v>
      </c>
      <c r="L382" s="4" t="s">
        <v>921</v>
      </c>
      <c r="M382" s="6">
        <v>45628</v>
      </c>
      <c r="N382" s="34">
        <v>0.50208333333333333</v>
      </c>
      <c r="P382" s="6">
        <v>45628</v>
      </c>
      <c r="Q382" s="76" t="s">
        <v>36</v>
      </c>
    </row>
    <row r="383" spans="1:17" ht="86.25" customHeight="1" x14ac:dyDescent="0.25">
      <c r="A383" s="2">
        <v>381</v>
      </c>
      <c r="B383" s="3">
        <v>45629</v>
      </c>
      <c r="C383" s="4" t="s">
        <v>13</v>
      </c>
      <c r="D383" s="4" t="s">
        <v>881</v>
      </c>
      <c r="E383" s="2" t="s">
        <v>19</v>
      </c>
      <c r="F383" s="2">
        <v>1</v>
      </c>
      <c r="G383" s="2">
        <v>222764</v>
      </c>
      <c r="H383" s="2" t="s">
        <v>652</v>
      </c>
      <c r="I383" s="2" t="s">
        <v>1032</v>
      </c>
      <c r="J383" s="2" t="s">
        <v>37</v>
      </c>
      <c r="K383" s="83" t="s">
        <v>1026</v>
      </c>
      <c r="L383" s="4" t="s">
        <v>1099</v>
      </c>
      <c r="M383" s="6">
        <v>45630</v>
      </c>
      <c r="N383" s="34">
        <v>0.66805555555555562</v>
      </c>
      <c r="O383" s="13">
        <v>1</v>
      </c>
      <c r="P383" s="6">
        <v>45630</v>
      </c>
      <c r="Q383" s="76" t="s">
        <v>51</v>
      </c>
    </row>
    <row r="384" spans="1:17" ht="86.25" customHeight="1" x14ac:dyDescent="0.25">
      <c r="A384" s="2">
        <v>382</v>
      </c>
      <c r="B384" s="3">
        <v>45629</v>
      </c>
      <c r="C384" s="4" t="s">
        <v>13</v>
      </c>
      <c r="D384" s="4" t="s">
        <v>881</v>
      </c>
      <c r="E384" s="2" t="s">
        <v>19</v>
      </c>
      <c r="F384" s="2">
        <v>1</v>
      </c>
      <c r="G384" s="2">
        <v>222763</v>
      </c>
      <c r="H384" s="2" t="s">
        <v>652</v>
      </c>
      <c r="I384" s="2" t="s">
        <v>976</v>
      </c>
      <c r="J384" s="79" t="s">
        <v>99</v>
      </c>
      <c r="K384" s="79" t="s">
        <v>100</v>
      </c>
      <c r="L384" s="4" t="s">
        <v>1107</v>
      </c>
      <c r="M384" s="6">
        <v>45630</v>
      </c>
      <c r="N384" s="84">
        <v>0.52083333333333337</v>
      </c>
      <c r="O384" s="13">
        <v>1</v>
      </c>
      <c r="P384" s="6">
        <v>45630</v>
      </c>
      <c r="Q384" s="83" t="s">
        <v>101</v>
      </c>
    </row>
    <row r="385" spans="1:17" ht="86.25" customHeight="1" x14ac:dyDescent="0.25">
      <c r="A385" s="2">
        <v>383</v>
      </c>
      <c r="B385" s="3">
        <v>45629</v>
      </c>
      <c r="C385" s="4" t="s">
        <v>13</v>
      </c>
      <c r="D385" s="4" t="s">
        <v>812</v>
      </c>
      <c r="E385" s="2" t="s">
        <v>19</v>
      </c>
      <c r="F385" s="2">
        <v>1</v>
      </c>
      <c r="G385" s="2">
        <v>222765</v>
      </c>
      <c r="H385" s="2" t="s">
        <v>1033</v>
      </c>
      <c r="I385" s="2" t="s">
        <v>790</v>
      </c>
      <c r="J385" s="2" t="s">
        <v>9</v>
      </c>
      <c r="K385" s="76" t="s">
        <v>506</v>
      </c>
      <c r="L385" s="4" t="s">
        <v>921</v>
      </c>
      <c r="M385" s="6">
        <v>45630</v>
      </c>
      <c r="N385" s="84">
        <v>0.50347222222222221</v>
      </c>
      <c r="O385" s="13">
        <v>1</v>
      </c>
      <c r="P385" s="6">
        <v>45630</v>
      </c>
      <c r="Q385" s="76" t="s">
        <v>36</v>
      </c>
    </row>
    <row r="386" spans="1:17" ht="86.25" customHeight="1" x14ac:dyDescent="0.25">
      <c r="A386" s="2">
        <v>384</v>
      </c>
      <c r="B386" s="3">
        <v>45630</v>
      </c>
      <c r="C386" s="4" t="s">
        <v>13</v>
      </c>
      <c r="D386" s="4" t="s">
        <v>739</v>
      </c>
      <c r="E386" s="2" t="s">
        <v>19</v>
      </c>
      <c r="F386" s="2">
        <v>1</v>
      </c>
      <c r="G386" s="2">
        <v>222769</v>
      </c>
      <c r="H386" s="2" t="s">
        <v>1034</v>
      </c>
      <c r="I386" s="2" t="s">
        <v>790</v>
      </c>
      <c r="J386" s="2" t="s">
        <v>9</v>
      </c>
      <c r="K386" s="76" t="s">
        <v>506</v>
      </c>
      <c r="L386" s="4" t="s">
        <v>1100</v>
      </c>
      <c r="M386" s="6">
        <v>45631</v>
      </c>
      <c r="N386" s="34">
        <v>0.54166666666666663</v>
      </c>
      <c r="O386" s="13">
        <v>1</v>
      </c>
      <c r="P386" s="6">
        <v>45631</v>
      </c>
      <c r="Q386" s="76" t="s">
        <v>36</v>
      </c>
    </row>
    <row r="387" spans="1:17" ht="86.25" customHeight="1" x14ac:dyDescent="0.25">
      <c r="A387" s="2">
        <v>385</v>
      </c>
      <c r="B387" s="3">
        <v>45631</v>
      </c>
      <c r="C387" s="4" t="s">
        <v>13</v>
      </c>
      <c r="D387" s="4" t="s">
        <v>739</v>
      </c>
      <c r="E387" s="2" t="s">
        <v>19</v>
      </c>
      <c r="F387" s="2">
        <v>1</v>
      </c>
      <c r="G387" s="2">
        <v>222776</v>
      </c>
      <c r="H387" s="2" t="s">
        <v>1046</v>
      </c>
      <c r="I387" s="2" t="s">
        <v>790</v>
      </c>
      <c r="J387" s="2" t="s">
        <v>9</v>
      </c>
      <c r="K387" s="76" t="s">
        <v>506</v>
      </c>
      <c r="L387" s="2" t="s">
        <v>1101</v>
      </c>
      <c r="M387" s="6">
        <v>45635</v>
      </c>
      <c r="N387" s="34">
        <v>0.5131944444444444</v>
      </c>
      <c r="O387" s="13">
        <v>1</v>
      </c>
      <c r="P387" s="6">
        <v>45635</v>
      </c>
      <c r="Q387" s="76" t="s">
        <v>36</v>
      </c>
    </row>
    <row r="388" spans="1:17" ht="86.25" customHeight="1" x14ac:dyDescent="0.25">
      <c r="A388" s="2">
        <v>386</v>
      </c>
      <c r="B388" s="3">
        <v>45631</v>
      </c>
      <c r="C388" s="4" t="s">
        <v>13</v>
      </c>
      <c r="D388" s="4" t="s">
        <v>1035</v>
      </c>
      <c r="E388" s="2" t="s">
        <v>19</v>
      </c>
      <c r="F388" s="2">
        <v>1</v>
      </c>
      <c r="G388" s="2">
        <v>222785</v>
      </c>
      <c r="H388" s="2" t="s">
        <v>1037</v>
      </c>
      <c r="I388" s="4" t="s">
        <v>1036</v>
      </c>
      <c r="J388" s="2" t="s">
        <v>37</v>
      </c>
      <c r="K388" s="4" t="s">
        <v>768</v>
      </c>
      <c r="L388" s="4" t="s">
        <v>1108</v>
      </c>
      <c r="M388" s="6">
        <v>45632</v>
      </c>
      <c r="N388" s="34">
        <v>0.34375</v>
      </c>
      <c r="O388" s="13">
        <v>1</v>
      </c>
      <c r="P388" s="6"/>
      <c r="Q388" s="76" t="s">
        <v>51</v>
      </c>
    </row>
    <row r="389" spans="1:17" ht="86.25" customHeight="1" x14ac:dyDescent="0.25">
      <c r="A389" s="2">
        <v>387</v>
      </c>
      <c r="B389" s="3">
        <v>45631</v>
      </c>
      <c r="C389" s="4" t="s">
        <v>13</v>
      </c>
      <c r="D389" s="4" t="s">
        <v>1035</v>
      </c>
      <c r="E389" s="2" t="s">
        <v>19</v>
      </c>
      <c r="F389" s="2">
        <v>1</v>
      </c>
      <c r="G389" s="2">
        <v>222777</v>
      </c>
      <c r="H389" s="2" t="s">
        <v>1039</v>
      </c>
      <c r="I389" s="2" t="s">
        <v>1038</v>
      </c>
      <c r="J389" s="2" t="s">
        <v>37</v>
      </c>
      <c r="K389" s="4" t="s">
        <v>768</v>
      </c>
      <c r="L389" s="4" t="s">
        <v>862</v>
      </c>
      <c r="M389" s="6">
        <v>45632</v>
      </c>
      <c r="N389" s="34">
        <v>0.63194444444444442</v>
      </c>
      <c r="O389" s="13">
        <v>1</v>
      </c>
      <c r="P389" s="6">
        <v>45632</v>
      </c>
      <c r="Q389" s="76" t="s">
        <v>51</v>
      </c>
    </row>
    <row r="390" spans="1:17" ht="86.25" customHeight="1" x14ac:dyDescent="0.25">
      <c r="A390" s="2">
        <v>388</v>
      </c>
      <c r="B390" s="3">
        <v>45631</v>
      </c>
      <c r="C390" s="4" t="s">
        <v>13</v>
      </c>
      <c r="D390" s="4" t="s">
        <v>1035</v>
      </c>
      <c r="E390" s="2" t="s">
        <v>19</v>
      </c>
      <c r="F390" s="2">
        <v>1</v>
      </c>
      <c r="G390" s="2">
        <v>222778</v>
      </c>
      <c r="H390" s="2" t="s">
        <v>1041</v>
      </c>
      <c r="I390" s="2" t="s">
        <v>1040</v>
      </c>
      <c r="J390" s="2" t="s">
        <v>37</v>
      </c>
      <c r="K390" s="4" t="s">
        <v>768</v>
      </c>
      <c r="L390" s="4" t="s">
        <v>862</v>
      </c>
      <c r="M390" s="6">
        <v>45632</v>
      </c>
      <c r="N390" s="34">
        <v>0.63194444444444442</v>
      </c>
      <c r="O390" s="13">
        <v>1</v>
      </c>
      <c r="P390" s="6">
        <v>45632</v>
      </c>
      <c r="Q390" s="76" t="s">
        <v>51</v>
      </c>
    </row>
    <row r="391" spans="1:17" ht="86.25" customHeight="1" x14ac:dyDescent="0.25">
      <c r="A391" s="2">
        <v>389</v>
      </c>
      <c r="B391" s="3">
        <v>45631</v>
      </c>
      <c r="C391" s="4" t="s">
        <v>13</v>
      </c>
      <c r="D391" s="4" t="s">
        <v>1035</v>
      </c>
      <c r="E391" s="2" t="s">
        <v>19</v>
      </c>
      <c r="F391" s="2">
        <v>1</v>
      </c>
      <c r="G391" s="2">
        <v>222781</v>
      </c>
      <c r="H391" s="2" t="s">
        <v>1050</v>
      </c>
      <c r="I391" s="2" t="s">
        <v>1042</v>
      </c>
      <c r="J391" s="2" t="s">
        <v>37</v>
      </c>
      <c r="K391" s="4" t="s">
        <v>768</v>
      </c>
      <c r="L391" s="4" t="s">
        <v>862</v>
      </c>
      <c r="M391" s="6">
        <v>45632</v>
      </c>
      <c r="N391" s="34">
        <v>0.63194444444444442</v>
      </c>
      <c r="O391" s="13">
        <v>1</v>
      </c>
      <c r="P391" s="6">
        <v>45632</v>
      </c>
      <c r="Q391" s="76" t="s">
        <v>51</v>
      </c>
    </row>
    <row r="392" spans="1:17" ht="86.25" customHeight="1" x14ac:dyDescent="0.25">
      <c r="A392" s="2">
        <v>390</v>
      </c>
      <c r="B392" s="3">
        <v>45631</v>
      </c>
      <c r="C392" s="4" t="s">
        <v>13</v>
      </c>
      <c r="D392" s="4" t="s">
        <v>772</v>
      </c>
      <c r="E392" s="2" t="s">
        <v>19</v>
      </c>
      <c r="F392" s="2">
        <v>1</v>
      </c>
      <c r="G392" s="2">
        <v>222779</v>
      </c>
      <c r="H392" s="2" t="s">
        <v>1044</v>
      </c>
      <c r="I392" s="2" t="s">
        <v>1043</v>
      </c>
      <c r="J392" s="2" t="s">
        <v>37</v>
      </c>
      <c r="K392" s="4" t="s">
        <v>768</v>
      </c>
      <c r="L392" s="4" t="s">
        <v>862</v>
      </c>
      <c r="M392" s="6">
        <v>45632</v>
      </c>
      <c r="N392" s="34">
        <v>0.63194444444444442</v>
      </c>
      <c r="O392" s="13">
        <v>1</v>
      </c>
      <c r="P392" s="6">
        <v>45632</v>
      </c>
      <c r="Q392" s="76" t="s">
        <v>51</v>
      </c>
    </row>
    <row r="393" spans="1:17" ht="86.25" customHeight="1" x14ac:dyDescent="0.25">
      <c r="A393" s="2">
        <v>391</v>
      </c>
      <c r="B393" s="3">
        <v>45631</v>
      </c>
      <c r="C393" s="4" t="s">
        <v>13</v>
      </c>
      <c r="D393" s="4" t="s">
        <v>772</v>
      </c>
      <c r="E393" s="2" t="s">
        <v>19</v>
      </c>
      <c r="F393" s="2">
        <v>1</v>
      </c>
      <c r="G393" s="2">
        <v>222780</v>
      </c>
      <c r="H393" s="2" t="s">
        <v>1045</v>
      </c>
      <c r="I393" s="22" t="s">
        <v>155</v>
      </c>
      <c r="J393" s="22" t="s">
        <v>156</v>
      </c>
      <c r="K393" s="83" t="s">
        <v>157</v>
      </c>
      <c r="L393" s="4" t="s">
        <v>1017</v>
      </c>
      <c r="M393" s="6">
        <v>45639</v>
      </c>
      <c r="N393" s="34">
        <v>0.52083333333333337</v>
      </c>
      <c r="O393" s="13">
        <v>1</v>
      </c>
      <c r="P393" s="6">
        <v>45639</v>
      </c>
      <c r="Q393" s="83" t="s">
        <v>830</v>
      </c>
    </row>
    <row r="394" spans="1:17" ht="86.25" customHeight="1" x14ac:dyDescent="0.25">
      <c r="A394" s="2">
        <v>392</v>
      </c>
      <c r="B394" s="3">
        <v>45632</v>
      </c>
      <c r="C394" s="4" t="s">
        <v>13</v>
      </c>
      <c r="D394" s="4" t="s">
        <v>607</v>
      </c>
      <c r="E394" s="2" t="s">
        <v>19</v>
      </c>
      <c r="F394" s="2">
        <v>1</v>
      </c>
      <c r="G394" s="2">
        <v>222790</v>
      </c>
      <c r="H394" s="2" t="s">
        <v>1068</v>
      </c>
      <c r="I394" s="2" t="s">
        <v>1043</v>
      </c>
      <c r="J394" s="2" t="s">
        <v>37</v>
      </c>
      <c r="K394" s="4" t="s">
        <v>768</v>
      </c>
      <c r="L394" s="4" t="s">
        <v>862</v>
      </c>
      <c r="M394" s="6">
        <v>45635</v>
      </c>
      <c r="N394" s="34">
        <v>0.3576388888888889</v>
      </c>
      <c r="O394" s="13">
        <v>1</v>
      </c>
      <c r="P394" s="6">
        <v>45635</v>
      </c>
      <c r="Q394" s="76" t="s">
        <v>51</v>
      </c>
    </row>
    <row r="395" spans="1:17" ht="86.25" customHeight="1" x14ac:dyDescent="0.25">
      <c r="A395" s="2">
        <v>393</v>
      </c>
      <c r="B395" s="3">
        <v>45632</v>
      </c>
      <c r="C395" s="4" t="s">
        <v>13</v>
      </c>
      <c r="D395" s="4" t="s">
        <v>739</v>
      </c>
      <c r="E395" s="2" t="s">
        <v>19</v>
      </c>
      <c r="F395" s="2">
        <v>1</v>
      </c>
      <c r="G395" s="2">
        <v>222789</v>
      </c>
      <c r="H395" s="2" t="s">
        <v>1051</v>
      </c>
      <c r="I395" s="2" t="s">
        <v>790</v>
      </c>
      <c r="J395" s="2" t="s">
        <v>9</v>
      </c>
      <c r="K395" s="76" t="s">
        <v>506</v>
      </c>
      <c r="L395" s="4" t="s">
        <v>921</v>
      </c>
      <c r="M395" s="6">
        <v>45635</v>
      </c>
      <c r="N395" s="34">
        <v>0.50972222222222219</v>
      </c>
      <c r="O395" s="13">
        <v>1</v>
      </c>
      <c r="P395" s="6">
        <v>45635</v>
      </c>
      <c r="Q395" s="76" t="s">
        <v>36</v>
      </c>
    </row>
    <row r="396" spans="1:17" ht="86.25" customHeight="1" x14ac:dyDescent="0.25">
      <c r="A396" s="2">
        <v>394</v>
      </c>
      <c r="B396" s="3">
        <v>45636</v>
      </c>
      <c r="C396" s="4" t="s">
        <v>13</v>
      </c>
      <c r="D396" s="4" t="s">
        <v>607</v>
      </c>
      <c r="E396" s="2" t="s">
        <v>19</v>
      </c>
      <c r="F396" s="2">
        <v>1</v>
      </c>
      <c r="G396" s="2">
        <v>222795</v>
      </c>
      <c r="H396" s="2" t="s">
        <v>1053</v>
      </c>
      <c r="I396" s="2" t="s">
        <v>1052</v>
      </c>
      <c r="J396" s="2" t="s">
        <v>37</v>
      </c>
      <c r="K396" s="4" t="s">
        <v>768</v>
      </c>
      <c r="L396" s="4" t="s">
        <v>1102</v>
      </c>
      <c r="M396" s="6">
        <v>45637</v>
      </c>
      <c r="N396" s="34">
        <v>0.57500000000000007</v>
      </c>
      <c r="O396" s="13">
        <v>1</v>
      </c>
      <c r="P396" s="6">
        <v>45637</v>
      </c>
      <c r="Q396" s="76" t="s">
        <v>51</v>
      </c>
    </row>
    <row r="397" spans="1:17" ht="86.25" customHeight="1" x14ac:dyDescent="0.25">
      <c r="A397" s="2">
        <v>395</v>
      </c>
      <c r="B397" s="3">
        <v>45636</v>
      </c>
      <c r="C397" s="4" t="s">
        <v>13</v>
      </c>
      <c r="D397" s="4" t="s">
        <v>1054</v>
      </c>
      <c r="E397" s="2" t="s">
        <v>19</v>
      </c>
      <c r="F397" s="2">
        <v>1</v>
      </c>
      <c r="G397" s="2">
        <v>222796</v>
      </c>
      <c r="H397" s="2" t="s">
        <v>1058</v>
      </c>
      <c r="I397" s="2" t="s">
        <v>1055</v>
      </c>
      <c r="J397" s="2" t="s">
        <v>117</v>
      </c>
      <c r="K397" s="2" t="s">
        <v>1056</v>
      </c>
      <c r="L397" s="2" t="s">
        <v>1103</v>
      </c>
      <c r="M397" s="6">
        <v>45637</v>
      </c>
      <c r="N397" s="34">
        <v>0.52083333333333337</v>
      </c>
      <c r="O397" s="13">
        <v>1</v>
      </c>
      <c r="P397" s="6">
        <v>45637</v>
      </c>
      <c r="Q397" s="2" t="s">
        <v>1057</v>
      </c>
    </row>
    <row r="398" spans="1:17" ht="86.25" customHeight="1" x14ac:dyDescent="0.25">
      <c r="A398" s="2">
        <v>396</v>
      </c>
      <c r="B398" s="3">
        <v>45637</v>
      </c>
      <c r="C398" s="4" t="s">
        <v>13</v>
      </c>
      <c r="D398" s="4" t="s">
        <v>1059</v>
      </c>
      <c r="E398" s="2" t="s">
        <v>19</v>
      </c>
      <c r="F398" s="2">
        <v>1</v>
      </c>
      <c r="G398" s="2">
        <v>222803</v>
      </c>
      <c r="H398" s="2" t="s">
        <v>1062</v>
      </c>
      <c r="I398" s="2" t="s">
        <v>1060</v>
      </c>
      <c r="J398" s="2" t="s">
        <v>1061</v>
      </c>
      <c r="K398" s="4" t="s">
        <v>768</v>
      </c>
      <c r="L398" s="4" t="s">
        <v>1109</v>
      </c>
      <c r="M398" s="6">
        <v>45638</v>
      </c>
      <c r="N398" s="34">
        <v>0.66111111111111109</v>
      </c>
      <c r="O398" s="13">
        <v>1</v>
      </c>
      <c r="P398" s="6">
        <v>45638</v>
      </c>
      <c r="Q398" s="76" t="s">
        <v>51</v>
      </c>
    </row>
    <row r="399" spans="1:17" ht="86.25" customHeight="1" x14ac:dyDescent="0.25">
      <c r="A399" s="2">
        <v>397</v>
      </c>
      <c r="B399" s="3">
        <v>45637</v>
      </c>
      <c r="C399" s="4" t="s">
        <v>13</v>
      </c>
      <c r="D399" s="4" t="s">
        <v>739</v>
      </c>
      <c r="E399" s="2" t="s">
        <v>19</v>
      </c>
      <c r="F399" s="2">
        <v>1</v>
      </c>
      <c r="G399" s="2">
        <v>222802</v>
      </c>
      <c r="H399" s="2" t="s">
        <v>1066</v>
      </c>
      <c r="I399" s="2" t="s">
        <v>790</v>
      </c>
      <c r="J399" s="2" t="s">
        <v>9</v>
      </c>
      <c r="K399" s="76" t="s">
        <v>506</v>
      </c>
      <c r="L399" s="4" t="s">
        <v>921</v>
      </c>
      <c r="M399" s="6">
        <v>45638</v>
      </c>
      <c r="N399" s="34">
        <v>0.71250000000000002</v>
      </c>
      <c r="O399" s="13">
        <v>1</v>
      </c>
      <c r="P399" s="6">
        <v>45638</v>
      </c>
      <c r="Q399" s="76" t="s">
        <v>36</v>
      </c>
    </row>
    <row r="400" spans="1:17" ht="86.25" customHeight="1" x14ac:dyDescent="0.25">
      <c r="A400" s="2">
        <v>398</v>
      </c>
      <c r="B400" s="3">
        <v>45637</v>
      </c>
      <c r="C400" s="4" t="s">
        <v>13</v>
      </c>
      <c r="D400" s="4" t="s">
        <v>1063</v>
      </c>
      <c r="E400" s="4" t="s">
        <v>19</v>
      </c>
      <c r="F400" s="2">
        <v>1</v>
      </c>
      <c r="G400" s="4">
        <v>222804</v>
      </c>
      <c r="H400" s="5" t="s">
        <v>1064</v>
      </c>
      <c r="I400" s="22" t="s">
        <v>1065</v>
      </c>
      <c r="J400" s="22" t="s">
        <v>156</v>
      </c>
      <c r="K400" s="83" t="s">
        <v>157</v>
      </c>
      <c r="L400" s="4" t="s">
        <v>869</v>
      </c>
      <c r="M400" s="6">
        <v>45639</v>
      </c>
      <c r="N400" s="34">
        <v>0.5625</v>
      </c>
      <c r="O400" s="13">
        <v>1</v>
      </c>
      <c r="P400" s="6">
        <v>45639</v>
      </c>
      <c r="Q400" s="83" t="s">
        <v>830</v>
      </c>
    </row>
    <row r="401" spans="1:17" ht="86.25" customHeight="1" x14ac:dyDescent="0.25">
      <c r="A401" s="2">
        <v>399</v>
      </c>
      <c r="B401" s="3">
        <v>45638</v>
      </c>
      <c r="C401" s="4" t="s">
        <v>13</v>
      </c>
      <c r="D401" s="4" t="s">
        <v>607</v>
      </c>
      <c r="E401" s="4" t="s">
        <v>19</v>
      </c>
      <c r="F401" s="2">
        <v>1</v>
      </c>
      <c r="G401" s="4">
        <v>222809</v>
      </c>
      <c r="H401" s="5" t="s">
        <v>1073</v>
      </c>
      <c r="I401" s="4" t="s">
        <v>1069</v>
      </c>
      <c r="J401" s="4" t="s">
        <v>1070</v>
      </c>
      <c r="K401" s="4" t="s">
        <v>1071</v>
      </c>
      <c r="L401" s="2" t="s">
        <v>1103</v>
      </c>
      <c r="M401" s="6">
        <v>45639</v>
      </c>
      <c r="N401" s="34">
        <v>0.52083333333333337</v>
      </c>
      <c r="O401" s="13">
        <v>1</v>
      </c>
      <c r="P401" s="6">
        <v>45639</v>
      </c>
      <c r="Q401" s="2" t="s">
        <v>1072</v>
      </c>
    </row>
    <row r="402" spans="1:17" ht="86.25" customHeight="1" x14ac:dyDescent="0.25">
      <c r="A402" s="2">
        <v>400</v>
      </c>
      <c r="B402" s="3">
        <v>45639</v>
      </c>
      <c r="C402" s="4" t="s">
        <v>13</v>
      </c>
      <c r="D402" s="4" t="s">
        <v>795</v>
      </c>
      <c r="E402" s="4" t="s">
        <v>19</v>
      </c>
      <c r="F402" s="2">
        <v>1</v>
      </c>
      <c r="G402" s="4">
        <v>222811</v>
      </c>
      <c r="H402" s="5" t="s">
        <v>1074</v>
      </c>
      <c r="I402" s="4" t="s">
        <v>790</v>
      </c>
      <c r="J402" s="2" t="s">
        <v>9</v>
      </c>
      <c r="K402" s="76" t="s">
        <v>506</v>
      </c>
      <c r="L402" s="4" t="s">
        <v>921</v>
      </c>
      <c r="M402" s="6">
        <v>45642</v>
      </c>
      <c r="N402" s="34">
        <v>0.43055555555555558</v>
      </c>
      <c r="O402" s="13">
        <v>1</v>
      </c>
      <c r="P402" s="6">
        <v>45642</v>
      </c>
      <c r="Q402" s="76" t="s">
        <v>36</v>
      </c>
    </row>
    <row r="403" spans="1:17" ht="86.25" customHeight="1" x14ac:dyDescent="0.25">
      <c r="A403" s="2">
        <v>401</v>
      </c>
      <c r="B403" s="3">
        <v>45639</v>
      </c>
      <c r="C403" s="4" t="s">
        <v>13</v>
      </c>
      <c r="D403" s="4" t="s">
        <v>795</v>
      </c>
      <c r="E403" s="4" t="s">
        <v>19</v>
      </c>
      <c r="F403" s="2">
        <v>1</v>
      </c>
      <c r="G403" s="4">
        <v>222812</v>
      </c>
      <c r="H403" s="5" t="s">
        <v>1075</v>
      </c>
      <c r="I403" s="4" t="s">
        <v>486</v>
      </c>
      <c r="J403" s="2" t="s">
        <v>1061</v>
      </c>
      <c r="K403" s="4" t="s">
        <v>768</v>
      </c>
      <c r="L403" s="4" t="s">
        <v>862</v>
      </c>
      <c r="M403" s="6">
        <v>45642</v>
      </c>
      <c r="N403" s="34">
        <v>0.3520833333333333</v>
      </c>
      <c r="O403" s="13">
        <v>1</v>
      </c>
      <c r="P403" s="6">
        <v>45642</v>
      </c>
      <c r="Q403" s="76" t="s">
        <v>51</v>
      </c>
    </row>
    <row r="404" spans="1:17" ht="86.25" customHeight="1" x14ac:dyDescent="0.25">
      <c r="A404" s="2">
        <v>402</v>
      </c>
      <c r="B404" s="3">
        <v>45639</v>
      </c>
      <c r="C404" s="4" t="s">
        <v>13</v>
      </c>
      <c r="D404" s="4" t="s">
        <v>795</v>
      </c>
      <c r="E404" s="4" t="s">
        <v>19</v>
      </c>
      <c r="F404" s="2">
        <v>1</v>
      </c>
      <c r="G404" s="4">
        <v>222813</v>
      </c>
      <c r="H404" s="5" t="s">
        <v>1076</v>
      </c>
      <c r="I404" s="22" t="s">
        <v>155</v>
      </c>
      <c r="J404" s="22" t="s">
        <v>156</v>
      </c>
      <c r="K404" s="83" t="s">
        <v>157</v>
      </c>
      <c r="L404" s="4" t="s">
        <v>869</v>
      </c>
      <c r="M404" s="6">
        <v>45643</v>
      </c>
      <c r="N404" s="34">
        <v>0.4694444444444445</v>
      </c>
      <c r="O404" s="13">
        <v>1</v>
      </c>
      <c r="P404" s="6">
        <v>45643</v>
      </c>
      <c r="Q404" s="83" t="s">
        <v>830</v>
      </c>
    </row>
    <row r="405" spans="1:17" ht="86.25" customHeight="1" x14ac:dyDescent="0.25">
      <c r="A405" s="2">
        <v>403</v>
      </c>
      <c r="B405" s="3">
        <v>45639</v>
      </c>
      <c r="C405" s="4" t="s">
        <v>13</v>
      </c>
      <c r="D405" s="4" t="s">
        <v>795</v>
      </c>
      <c r="E405" s="4" t="s">
        <v>19</v>
      </c>
      <c r="F405" s="2">
        <v>1</v>
      </c>
      <c r="G405" s="4">
        <v>222814</v>
      </c>
      <c r="H405" s="5" t="s">
        <v>1077</v>
      </c>
      <c r="I405" s="4" t="s">
        <v>844</v>
      </c>
      <c r="J405" s="4" t="s">
        <v>89</v>
      </c>
      <c r="K405" s="83" t="s">
        <v>667</v>
      </c>
      <c r="L405" s="4" t="s">
        <v>961</v>
      </c>
      <c r="M405" s="6">
        <v>45642</v>
      </c>
      <c r="N405" s="34">
        <v>0.33333333333333331</v>
      </c>
      <c r="O405" s="13">
        <v>1</v>
      </c>
      <c r="P405" s="6">
        <v>45642</v>
      </c>
      <c r="Q405" s="2" t="s">
        <v>703</v>
      </c>
    </row>
    <row r="406" spans="1:17" ht="86.25" customHeight="1" x14ac:dyDescent="0.25">
      <c r="A406" s="2">
        <v>404</v>
      </c>
      <c r="B406" s="3">
        <v>45644</v>
      </c>
      <c r="C406" s="4" t="s">
        <v>13</v>
      </c>
      <c r="D406" s="4" t="s">
        <v>804</v>
      </c>
      <c r="E406" s="4" t="s">
        <v>19</v>
      </c>
      <c r="F406" s="2">
        <v>1</v>
      </c>
      <c r="G406" s="4">
        <v>222829</v>
      </c>
      <c r="H406" s="5" t="s">
        <v>1078</v>
      </c>
      <c r="I406" s="4" t="s">
        <v>1079</v>
      </c>
      <c r="J406" s="2" t="s">
        <v>1061</v>
      </c>
      <c r="K406" s="4" t="s">
        <v>768</v>
      </c>
      <c r="L406" s="4" t="s">
        <v>862</v>
      </c>
      <c r="M406" s="6">
        <v>45645</v>
      </c>
      <c r="N406" s="34">
        <v>0.66736111111111107</v>
      </c>
      <c r="O406" s="13">
        <v>1</v>
      </c>
      <c r="P406" s="6">
        <v>45645</v>
      </c>
      <c r="Q406" s="76" t="s">
        <v>51</v>
      </c>
    </row>
    <row r="407" spans="1:17" ht="137.25" customHeight="1" x14ac:dyDescent="0.25">
      <c r="A407" s="2">
        <v>405</v>
      </c>
      <c r="B407" s="3">
        <v>45644</v>
      </c>
      <c r="C407" s="4" t="s">
        <v>13</v>
      </c>
      <c r="D407" s="4" t="s">
        <v>795</v>
      </c>
      <c r="E407" s="4" t="s">
        <v>19</v>
      </c>
      <c r="F407" s="2">
        <v>1</v>
      </c>
      <c r="G407" s="4">
        <v>222828</v>
      </c>
      <c r="H407" s="5" t="s">
        <v>1080</v>
      </c>
      <c r="I407" s="4" t="s">
        <v>790</v>
      </c>
      <c r="J407" s="2" t="s">
        <v>9</v>
      </c>
      <c r="K407" s="76" t="s">
        <v>506</v>
      </c>
      <c r="L407" s="4" t="s">
        <v>921</v>
      </c>
      <c r="M407" s="6">
        <v>45645</v>
      </c>
      <c r="N407" s="34">
        <v>0.53472222222222221</v>
      </c>
      <c r="O407" s="13">
        <v>1</v>
      </c>
      <c r="P407" s="6">
        <v>45645</v>
      </c>
      <c r="Q407" s="76" t="s">
        <v>36</v>
      </c>
    </row>
    <row r="408" spans="1:17" ht="86.25" customHeight="1" x14ac:dyDescent="0.25">
      <c r="A408" s="2">
        <v>406</v>
      </c>
      <c r="B408" s="3">
        <v>45645</v>
      </c>
      <c r="C408" s="4" t="s">
        <v>13</v>
      </c>
      <c r="D408" s="4" t="s">
        <v>795</v>
      </c>
      <c r="E408" s="4" t="s">
        <v>19</v>
      </c>
      <c r="F408" s="2">
        <v>1</v>
      </c>
      <c r="G408" s="4">
        <v>222845</v>
      </c>
      <c r="H408" s="5" t="s">
        <v>1082</v>
      </c>
      <c r="I408" s="4" t="s">
        <v>790</v>
      </c>
      <c r="J408" s="4" t="s">
        <v>9</v>
      </c>
      <c r="K408" s="76" t="s">
        <v>506</v>
      </c>
      <c r="L408" s="4" t="s">
        <v>921</v>
      </c>
      <c r="M408" s="6">
        <v>45646</v>
      </c>
      <c r="N408" s="34">
        <v>0.47222222222222227</v>
      </c>
      <c r="O408" s="13">
        <v>1</v>
      </c>
      <c r="P408" s="6">
        <v>45646</v>
      </c>
      <c r="Q408" s="76" t="s">
        <v>36</v>
      </c>
    </row>
    <row r="409" spans="1:17" ht="86.25" customHeight="1" x14ac:dyDescent="0.25">
      <c r="A409" s="2">
        <v>407</v>
      </c>
      <c r="B409" s="3">
        <v>45645</v>
      </c>
      <c r="C409" s="4" t="s">
        <v>13</v>
      </c>
      <c r="D409" s="4" t="s">
        <v>795</v>
      </c>
      <c r="E409" s="4" t="s">
        <v>19</v>
      </c>
      <c r="F409" s="2">
        <v>1</v>
      </c>
      <c r="G409" s="4">
        <v>222846</v>
      </c>
      <c r="H409" s="5" t="s">
        <v>1081</v>
      </c>
      <c r="I409" s="22" t="s">
        <v>155</v>
      </c>
      <c r="J409" s="22" t="s">
        <v>156</v>
      </c>
      <c r="K409" s="83" t="s">
        <v>157</v>
      </c>
      <c r="L409" s="4" t="s">
        <v>869</v>
      </c>
      <c r="M409" s="6">
        <v>45653</v>
      </c>
      <c r="N409" s="34">
        <v>0.51666666666666672</v>
      </c>
      <c r="O409" s="13">
        <v>1</v>
      </c>
      <c r="P409" s="6">
        <v>45653</v>
      </c>
      <c r="Q409" s="83" t="s">
        <v>830</v>
      </c>
    </row>
    <row r="410" spans="1:17" ht="86.25" customHeight="1" x14ac:dyDescent="0.25">
      <c r="A410" s="2">
        <v>408</v>
      </c>
      <c r="B410" s="3">
        <v>45646</v>
      </c>
      <c r="C410" s="4" t="s">
        <v>13</v>
      </c>
      <c r="D410" s="4" t="s">
        <v>795</v>
      </c>
      <c r="E410" s="4" t="s">
        <v>20</v>
      </c>
      <c r="F410" s="2">
        <v>1</v>
      </c>
      <c r="G410" s="4">
        <v>222851</v>
      </c>
      <c r="H410" s="5" t="s">
        <v>1083</v>
      </c>
      <c r="I410" s="4" t="s">
        <v>1084</v>
      </c>
      <c r="J410" s="4" t="s">
        <v>9</v>
      </c>
      <c r="K410" s="4" t="s">
        <v>1085</v>
      </c>
      <c r="L410" s="4" t="s">
        <v>921</v>
      </c>
      <c r="M410" s="6">
        <v>45649</v>
      </c>
      <c r="N410" s="34">
        <v>0.4375</v>
      </c>
      <c r="O410" s="13">
        <v>1</v>
      </c>
      <c r="P410" s="6">
        <v>45649</v>
      </c>
      <c r="Q410" s="76" t="s">
        <v>36</v>
      </c>
    </row>
    <row r="411" spans="1:17" ht="86.25" customHeight="1" x14ac:dyDescent="0.25">
      <c r="A411" s="2">
        <v>409</v>
      </c>
      <c r="B411" s="3">
        <v>45646</v>
      </c>
      <c r="C411" s="4" t="s">
        <v>13</v>
      </c>
      <c r="D411" s="4" t="s">
        <v>795</v>
      </c>
      <c r="E411" s="4" t="s">
        <v>19</v>
      </c>
      <c r="F411" s="2">
        <v>1</v>
      </c>
      <c r="G411" s="4">
        <v>222854</v>
      </c>
      <c r="H411" s="5" t="s">
        <v>1086</v>
      </c>
      <c r="I411" s="2" t="s">
        <v>790</v>
      </c>
      <c r="J411" s="2" t="s">
        <v>9</v>
      </c>
      <c r="K411" s="76" t="s">
        <v>506</v>
      </c>
      <c r="L411" s="4" t="s">
        <v>921</v>
      </c>
      <c r="M411" s="6">
        <v>45649</v>
      </c>
      <c r="N411" s="34">
        <v>0.44027777777777777</v>
      </c>
      <c r="O411" s="13">
        <v>1</v>
      </c>
      <c r="P411" s="6">
        <v>45649</v>
      </c>
      <c r="Q411" s="76" t="s">
        <v>36</v>
      </c>
    </row>
    <row r="412" spans="1:17" ht="86.25" customHeight="1" x14ac:dyDescent="0.25">
      <c r="A412" s="2">
        <v>410</v>
      </c>
      <c r="B412" s="3">
        <v>45646</v>
      </c>
      <c r="C412" s="4" t="s">
        <v>13</v>
      </c>
      <c r="D412" s="4" t="s">
        <v>795</v>
      </c>
      <c r="E412" s="4" t="s">
        <v>19</v>
      </c>
      <c r="F412" s="2">
        <v>1</v>
      </c>
      <c r="G412" s="4">
        <v>222852</v>
      </c>
      <c r="H412" s="5" t="s">
        <v>1087</v>
      </c>
      <c r="I412" s="4" t="s">
        <v>486</v>
      </c>
      <c r="J412" s="2" t="s">
        <v>1061</v>
      </c>
      <c r="K412" s="4" t="s">
        <v>768</v>
      </c>
      <c r="L412" s="4" t="s">
        <v>862</v>
      </c>
      <c r="M412" s="6">
        <v>45649</v>
      </c>
      <c r="N412" s="34">
        <v>0.39583333333333331</v>
      </c>
      <c r="O412" s="13">
        <v>1</v>
      </c>
      <c r="P412" s="6">
        <v>45649</v>
      </c>
      <c r="Q412" s="76" t="s">
        <v>51</v>
      </c>
    </row>
    <row r="413" spans="1:17" ht="86.25" customHeight="1" x14ac:dyDescent="0.25">
      <c r="A413" s="2">
        <v>411</v>
      </c>
      <c r="B413" s="3">
        <v>45646</v>
      </c>
      <c r="C413" s="4" t="s">
        <v>13</v>
      </c>
      <c r="D413" s="4" t="s">
        <v>795</v>
      </c>
      <c r="E413" s="4" t="s">
        <v>19</v>
      </c>
      <c r="F413" s="2">
        <v>1</v>
      </c>
      <c r="G413" s="4">
        <v>222853</v>
      </c>
      <c r="H413" s="2" t="s">
        <v>1088</v>
      </c>
      <c r="I413" s="2" t="s">
        <v>637</v>
      </c>
      <c r="J413" s="79" t="s">
        <v>99</v>
      </c>
      <c r="K413" s="79" t="s">
        <v>100</v>
      </c>
      <c r="L413" s="4" t="s">
        <v>1104</v>
      </c>
      <c r="M413" s="6">
        <v>45649</v>
      </c>
      <c r="N413" s="84">
        <v>0.4375</v>
      </c>
      <c r="O413" s="13">
        <v>1</v>
      </c>
      <c r="P413" s="6">
        <v>45649</v>
      </c>
      <c r="Q413" s="83" t="s">
        <v>101</v>
      </c>
    </row>
    <row r="414" spans="1:17" ht="86.25" customHeight="1" x14ac:dyDescent="0.25">
      <c r="A414" s="2">
        <v>412</v>
      </c>
      <c r="B414" s="3">
        <v>45650</v>
      </c>
      <c r="C414" s="4" t="s">
        <v>13</v>
      </c>
      <c r="D414" s="4" t="s">
        <v>795</v>
      </c>
      <c r="E414" s="4" t="s">
        <v>19</v>
      </c>
      <c r="F414" s="2">
        <v>1</v>
      </c>
      <c r="G414" s="4">
        <v>222862</v>
      </c>
      <c r="H414" s="5" t="s">
        <v>1089</v>
      </c>
      <c r="I414" s="2" t="s">
        <v>790</v>
      </c>
      <c r="J414" s="2" t="s">
        <v>9</v>
      </c>
      <c r="K414" s="76" t="s">
        <v>506</v>
      </c>
      <c r="L414" s="4" t="s">
        <v>921</v>
      </c>
      <c r="M414" s="6">
        <v>45652</v>
      </c>
      <c r="N414" s="34">
        <v>0.4604166666666667</v>
      </c>
      <c r="O414" s="13">
        <v>1</v>
      </c>
      <c r="P414" s="6">
        <v>45652</v>
      </c>
      <c r="Q414" s="76" t="s">
        <v>36</v>
      </c>
    </row>
    <row r="415" spans="1:17" ht="86.25" customHeight="1" x14ac:dyDescent="0.25">
      <c r="A415" s="2">
        <v>413</v>
      </c>
      <c r="B415" s="3">
        <v>45650</v>
      </c>
      <c r="C415" s="4" t="s">
        <v>13</v>
      </c>
      <c r="D415" s="4" t="s">
        <v>795</v>
      </c>
      <c r="E415" s="4" t="s">
        <v>19</v>
      </c>
      <c r="F415" s="2">
        <v>1</v>
      </c>
      <c r="G415" s="4">
        <v>222861</v>
      </c>
      <c r="H415" s="5" t="s">
        <v>1090</v>
      </c>
      <c r="I415" s="22" t="s">
        <v>1091</v>
      </c>
      <c r="J415" s="22" t="s">
        <v>156</v>
      </c>
      <c r="K415" s="83" t="s">
        <v>157</v>
      </c>
      <c r="L415" s="4" t="s">
        <v>869</v>
      </c>
      <c r="M415" s="6">
        <v>45663</v>
      </c>
      <c r="N415" s="34">
        <v>0.43402777777777773</v>
      </c>
      <c r="O415" s="13">
        <v>1</v>
      </c>
      <c r="P415" s="6">
        <v>45663</v>
      </c>
      <c r="Q415" s="83" t="s">
        <v>830</v>
      </c>
    </row>
    <row r="416" spans="1:17" ht="86.25" customHeight="1" x14ac:dyDescent="0.25">
      <c r="A416" s="2">
        <v>414</v>
      </c>
      <c r="B416" s="3">
        <v>45653</v>
      </c>
      <c r="C416" s="4" t="s">
        <v>13</v>
      </c>
      <c r="D416" s="4" t="s">
        <v>795</v>
      </c>
      <c r="E416" s="4" t="s">
        <v>19</v>
      </c>
      <c r="F416" s="2">
        <v>1</v>
      </c>
      <c r="G416" s="4">
        <v>222870</v>
      </c>
      <c r="H416" s="5" t="s">
        <v>1092</v>
      </c>
      <c r="I416" s="2" t="s">
        <v>790</v>
      </c>
      <c r="J416" s="2" t="s">
        <v>9</v>
      </c>
      <c r="K416" s="76" t="s">
        <v>506</v>
      </c>
      <c r="L416" s="4" t="s">
        <v>921</v>
      </c>
      <c r="M416" s="6">
        <v>45656</v>
      </c>
      <c r="N416" s="34">
        <v>0.45347222222222222</v>
      </c>
      <c r="O416" s="13">
        <v>1</v>
      </c>
      <c r="P416" s="6">
        <v>45656</v>
      </c>
      <c r="Q416" s="76" t="s">
        <v>36</v>
      </c>
    </row>
    <row r="417" spans="1:17" ht="86.25" customHeight="1" x14ac:dyDescent="0.25">
      <c r="A417" s="2">
        <v>415</v>
      </c>
      <c r="B417" s="3">
        <v>45653</v>
      </c>
      <c r="C417" s="4" t="s">
        <v>13</v>
      </c>
      <c r="D417" s="4" t="s">
        <v>1093</v>
      </c>
      <c r="E417" s="4" t="s">
        <v>19</v>
      </c>
      <c r="F417" s="2">
        <v>1</v>
      </c>
      <c r="G417" s="4">
        <v>222871</v>
      </c>
      <c r="H417" s="5" t="s">
        <v>1094</v>
      </c>
      <c r="I417" s="22" t="s">
        <v>1091</v>
      </c>
      <c r="J417" s="22" t="s">
        <v>156</v>
      </c>
      <c r="K417" s="83" t="s">
        <v>157</v>
      </c>
      <c r="L417" s="4" t="s">
        <v>869</v>
      </c>
      <c r="M417" s="6">
        <v>45663</v>
      </c>
      <c r="N417" s="34">
        <v>0.46180555555555558</v>
      </c>
      <c r="O417" s="13">
        <v>1</v>
      </c>
      <c r="P417" s="6">
        <v>45663</v>
      </c>
      <c r="Q417" s="83" t="s">
        <v>830</v>
      </c>
    </row>
    <row r="418" spans="1:17" ht="86.25" customHeight="1" x14ac:dyDescent="0.25">
      <c r="A418" s="2">
        <v>416</v>
      </c>
      <c r="B418" s="3">
        <v>45653</v>
      </c>
      <c r="C418" s="4" t="s">
        <v>13</v>
      </c>
      <c r="D418" s="4" t="s">
        <v>795</v>
      </c>
      <c r="E418" s="4" t="s">
        <v>19</v>
      </c>
      <c r="F418" s="4">
        <v>1</v>
      </c>
      <c r="G418" s="4">
        <v>222872</v>
      </c>
      <c r="H418" s="5" t="s">
        <v>1095</v>
      </c>
      <c r="I418" s="4" t="s">
        <v>486</v>
      </c>
      <c r="J418" s="2" t="s">
        <v>1061</v>
      </c>
      <c r="K418" s="4" t="s">
        <v>768</v>
      </c>
      <c r="L418" s="4" t="s">
        <v>862</v>
      </c>
      <c r="M418" s="6">
        <v>45656</v>
      </c>
      <c r="N418" s="34">
        <v>0.4152777777777778</v>
      </c>
      <c r="O418" s="13">
        <v>1</v>
      </c>
      <c r="P418" s="6">
        <v>45656</v>
      </c>
      <c r="Q418" s="76" t="s">
        <v>51</v>
      </c>
    </row>
    <row r="419" spans="1:17" ht="86.25" customHeight="1" x14ac:dyDescent="0.25">
      <c r="A419" s="2">
        <v>417</v>
      </c>
      <c r="B419" s="3">
        <v>45657</v>
      </c>
      <c r="C419" s="4" t="s">
        <v>13</v>
      </c>
      <c r="D419" s="4" t="s">
        <v>772</v>
      </c>
      <c r="E419" s="4" t="s">
        <v>19</v>
      </c>
      <c r="F419" s="4">
        <v>1</v>
      </c>
      <c r="G419" s="4">
        <v>222894</v>
      </c>
      <c r="H419" s="5" t="s">
        <v>1096</v>
      </c>
      <c r="I419" s="2" t="s">
        <v>790</v>
      </c>
      <c r="J419" s="2" t="s">
        <v>9</v>
      </c>
      <c r="K419" s="76" t="s">
        <v>506</v>
      </c>
      <c r="L419" s="4" t="s">
        <v>921</v>
      </c>
      <c r="M419" s="6">
        <v>45663</v>
      </c>
      <c r="N419" s="34">
        <v>0.42083333333333334</v>
      </c>
      <c r="O419" s="13">
        <v>1</v>
      </c>
      <c r="P419" s="6">
        <v>45663</v>
      </c>
    </row>
    <row r="420" spans="1:17" ht="86.25" customHeight="1" x14ac:dyDescent="0.25">
      <c r="A420" s="2">
        <v>418</v>
      </c>
      <c r="B420" s="3">
        <v>45657</v>
      </c>
      <c r="C420" s="4" t="s">
        <v>13</v>
      </c>
      <c r="D420" s="4" t="s">
        <v>772</v>
      </c>
      <c r="E420" s="4" t="s">
        <v>19</v>
      </c>
      <c r="F420" s="4">
        <v>1</v>
      </c>
      <c r="G420" s="4">
        <v>222895</v>
      </c>
      <c r="H420" s="5" t="s">
        <v>1097</v>
      </c>
      <c r="I420" s="4" t="s">
        <v>486</v>
      </c>
      <c r="J420" s="2" t="s">
        <v>1061</v>
      </c>
      <c r="K420" s="4" t="s">
        <v>768</v>
      </c>
      <c r="L420" s="4" t="s">
        <v>862</v>
      </c>
      <c r="M420" s="6">
        <v>45663</v>
      </c>
      <c r="N420" s="34">
        <v>0.35416666666666669</v>
      </c>
      <c r="O420" s="13">
        <v>1</v>
      </c>
      <c r="P420" s="6">
        <v>45663</v>
      </c>
    </row>
    <row r="421" spans="1:17" ht="86.25" customHeight="1" x14ac:dyDescent="0.25">
      <c r="B421" s="3"/>
      <c r="C421" s="4"/>
      <c r="D421" s="4"/>
      <c r="E421" s="4"/>
      <c r="F421" s="4"/>
      <c r="G421" s="4"/>
      <c r="H421" s="5"/>
      <c r="I421" s="4"/>
      <c r="J421" s="4"/>
      <c r="K421" s="4"/>
      <c r="L421" s="4"/>
      <c r="M421" s="6"/>
      <c r="N421" s="8"/>
      <c r="O421" s="13"/>
      <c r="P421" s="6"/>
    </row>
    <row r="422" spans="1:17" ht="86.25" customHeight="1" x14ac:dyDescent="0.25">
      <c r="B422" s="3"/>
      <c r="C422" s="4"/>
      <c r="D422" s="4"/>
      <c r="E422" s="4"/>
      <c r="F422" s="4"/>
      <c r="G422" s="4"/>
      <c r="H422" s="5"/>
      <c r="I422" s="4"/>
      <c r="J422" s="4"/>
      <c r="K422" s="4"/>
      <c r="L422" s="4"/>
      <c r="M422" s="6"/>
      <c r="N422" s="8"/>
      <c r="O422" s="13"/>
      <c r="P422" s="6"/>
    </row>
    <row r="423" spans="1:17" ht="86.25" customHeight="1" x14ac:dyDescent="0.25">
      <c r="B423" s="3"/>
      <c r="C423" s="4"/>
      <c r="D423" s="4"/>
      <c r="E423" s="4"/>
      <c r="F423" s="4"/>
      <c r="G423" s="4"/>
      <c r="H423" s="5"/>
      <c r="I423" s="4"/>
      <c r="J423" s="4"/>
      <c r="K423" s="4"/>
      <c r="L423" s="4"/>
      <c r="M423" s="6"/>
      <c r="N423" s="8"/>
      <c r="O423" s="13"/>
      <c r="P423" s="6"/>
    </row>
    <row r="424" spans="1:17" ht="86.25" customHeight="1" x14ac:dyDescent="0.25">
      <c r="B424" s="3"/>
      <c r="C424" s="4"/>
      <c r="D424" s="4"/>
      <c r="E424" s="4"/>
      <c r="F424" s="4"/>
      <c r="G424" s="4"/>
      <c r="H424" s="5"/>
      <c r="I424" s="4"/>
      <c r="J424" s="4"/>
      <c r="K424" s="4"/>
      <c r="L424" s="4"/>
      <c r="M424" s="6"/>
      <c r="N424" s="8"/>
      <c r="O424" s="13"/>
      <c r="P424" s="6"/>
    </row>
    <row r="425" spans="1:17" ht="86.25" customHeight="1" x14ac:dyDescent="0.25">
      <c r="B425" s="3"/>
      <c r="C425" s="4"/>
      <c r="D425" s="4"/>
      <c r="E425" s="4"/>
      <c r="F425" s="4"/>
      <c r="G425" s="4"/>
      <c r="H425" s="5"/>
      <c r="I425" s="4"/>
      <c r="J425" s="4"/>
      <c r="K425" s="4"/>
      <c r="L425" s="4"/>
      <c r="M425" s="6"/>
      <c r="N425" s="8"/>
      <c r="O425" s="13"/>
      <c r="P425" s="6"/>
    </row>
    <row r="426" spans="1:17" ht="86.25" customHeight="1" x14ac:dyDescent="0.25">
      <c r="B426" s="3"/>
      <c r="C426" s="4"/>
      <c r="D426" s="4"/>
      <c r="E426" s="4"/>
      <c r="F426" s="4"/>
      <c r="G426" s="4"/>
      <c r="H426" s="5"/>
      <c r="I426" s="4"/>
      <c r="J426" s="4"/>
      <c r="K426" s="4"/>
      <c r="L426" s="4"/>
      <c r="M426" s="6"/>
      <c r="N426" s="8"/>
      <c r="O426" s="13"/>
      <c r="P426" s="6"/>
    </row>
    <row r="427" spans="1:17" ht="86.25" customHeight="1" x14ac:dyDescent="0.25">
      <c r="B427" s="3"/>
      <c r="C427" s="4"/>
      <c r="D427" s="4"/>
      <c r="E427" s="4"/>
      <c r="F427" s="4"/>
      <c r="G427" s="4"/>
      <c r="H427" s="5"/>
      <c r="I427" s="4"/>
      <c r="J427" s="4"/>
      <c r="K427" s="4"/>
      <c r="L427" s="4"/>
      <c r="M427" s="6"/>
      <c r="N427" s="8"/>
      <c r="O427" s="13"/>
      <c r="P427" s="6"/>
    </row>
    <row r="428" spans="1:17" ht="86.25" customHeight="1" x14ac:dyDescent="0.25">
      <c r="B428" s="3"/>
      <c r="C428" s="4"/>
      <c r="D428" s="4"/>
      <c r="E428" s="4"/>
      <c r="F428" s="4"/>
      <c r="G428" s="4"/>
      <c r="H428" s="5"/>
      <c r="I428" s="4"/>
      <c r="J428" s="4"/>
      <c r="K428" s="4"/>
      <c r="L428" s="4"/>
      <c r="M428" s="6"/>
      <c r="N428" s="8"/>
      <c r="O428" s="13"/>
      <c r="P428" s="6"/>
    </row>
    <row r="429" spans="1:17" ht="86.25" customHeight="1" x14ac:dyDescent="0.25">
      <c r="B429" s="3"/>
      <c r="C429" s="4"/>
      <c r="D429" s="4"/>
      <c r="E429" s="4"/>
      <c r="F429" s="4"/>
      <c r="G429" s="4"/>
      <c r="H429" s="5"/>
      <c r="I429" s="4"/>
      <c r="J429" s="4"/>
      <c r="K429" s="4"/>
      <c r="L429" s="4"/>
      <c r="M429" s="6"/>
      <c r="N429" s="8"/>
      <c r="O429" s="13"/>
      <c r="P429" s="6"/>
    </row>
    <row r="430" spans="1:17" ht="86.25" customHeight="1" x14ac:dyDescent="0.25">
      <c r="B430" s="3"/>
      <c r="C430" s="4"/>
      <c r="D430" s="4"/>
      <c r="E430" s="4"/>
      <c r="F430" s="4"/>
      <c r="G430" s="4"/>
      <c r="H430" s="5"/>
      <c r="I430" s="4"/>
      <c r="J430" s="4"/>
      <c r="K430" s="4"/>
      <c r="L430" s="4"/>
      <c r="M430" s="6"/>
      <c r="N430" s="8"/>
      <c r="O430" s="13"/>
      <c r="P430" s="6"/>
    </row>
    <row r="431" spans="1:17" ht="86.25" customHeight="1" x14ac:dyDescent="0.25">
      <c r="B431" s="3"/>
      <c r="C431" s="4"/>
      <c r="D431" s="4"/>
      <c r="E431" s="4"/>
      <c r="F431" s="4"/>
      <c r="G431" s="4"/>
      <c r="H431" s="5"/>
      <c r="I431" s="4"/>
      <c r="J431" s="4"/>
      <c r="K431" s="4"/>
      <c r="L431" s="4"/>
      <c r="M431" s="6"/>
      <c r="N431" s="8"/>
      <c r="O431" s="13"/>
      <c r="P431" s="6"/>
    </row>
    <row r="432" spans="1:17" ht="86.25" customHeight="1" x14ac:dyDescent="0.25">
      <c r="B432" s="3"/>
      <c r="C432" s="4"/>
      <c r="D432" s="4"/>
      <c r="E432" s="4"/>
      <c r="F432" s="4"/>
      <c r="G432" s="4"/>
      <c r="H432" s="5"/>
      <c r="I432" s="4"/>
      <c r="J432" s="4"/>
      <c r="K432" s="4"/>
      <c r="L432" s="4"/>
      <c r="M432" s="6"/>
      <c r="N432" s="8"/>
      <c r="O432" s="13"/>
      <c r="P432" s="6"/>
    </row>
    <row r="433" spans="2:16" ht="86.25" customHeight="1" x14ac:dyDescent="0.25">
      <c r="B433" s="3"/>
      <c r="C433" s="4"/>
      <c r="D433" s="4"/>
      <c r="E433" s="4"/>
      <c r="F433" s="4"/>
      <c r="G433" s="4"/>
      <c r="H433" s="5"/>
      <c r="I433" s="4"/>
      <c r="J433" s="4"/>
      <c r="K433" s="4"/>
      <c r="L433" s="4"/>
      <c r="M433" s="6"/>
      <c r="N433" s="8"/>
      <c r="O433" s="13"/>
      <c r="P433" s="6"/>
    </row>
    <row r="434" spans="2:16" ht="86.25" customHeight="1" x14ac:dyDescent="0.25">
      <c r="B434" s="3"/>
      <c r="C434" s="4"/>
      <c r="D434" s="4"/>
      <c r="E434" s="4"/>
      <c r="F434" s="4"/>
      <c r="G434" s="4"/>
      <c r="H434" s="5"/>
      <c r="I434" s="4"/>
      <c r="J434" s="4"/>
      <c r="K434" s="4"/>
      <c r="L434" s="4"/>
      <c r="M434" s="6"/>
      <c r="N434" s="8"/>
      <c r="O434" s="13"/>
      <c r="P434" s="6"/>
    </row>
    <row r="435" spans="2:16" ht="86.25" customHeight="1" x14ac:dyDescent="0.25">
      <c r="B435" s="3"/>
      <c r="C435" s="4"/>
      <c r="D435" s="4"/>
      <c r="E435" s="4"/>
      <c r="F435" s="4"/>
      <c r="G435" s="4"/>
      <c r="H435" s="5"/>
      <c r="I435" s="4"/>
      <c r="J435" s="4"/>
      <c r="K435" s="4"/>
      <c r="L435" s="5"/>
      <c r="M435" s="6"/>
      <c r="N435" s="8"/>
      <c r="O435" s="13"/>
      <c r="P435" s="6"/>
    </row>
    <row r="436" spans="2:16" ht="86.25" customHeight="1" x14ac:dyDescent="0.25">
      <c r="B436" s="3"/>
      <c r="C436" s="4"/>
      <c r="D436" s="4"/>
      <c r="E436" s="4"/>
      <c r="F436" s="4"/>
      <c r="G436" s="4"/>
      <c r="H436" s="5"/>
      <c r="I436" s="4"/>
      <c r="J436" s="4"/>
      <c r="K436" s="4"/>
      <c r="L436" s="5"/>
      <c r="M436" s="6"/>
      <c r="N436" s="8"/>
      <c r="O436" s="13"/>
      <c r="P436" s="6"/>
    </row>
    <row r="437" spans="2:16" ht="86.25" customHeight="1" x14ac:dyDescent="0.25"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6"/>
      <c r="N437" s="8"/>
      <c r="O437" s="13"/>
      <c r="P437" s="6"/>
    </row>
    <row r="438" spans="2:16" ht="86.25" customHeight="1" x14ac:dyDescent="0.25"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6"/>
      <c r="N438" s="8"/>
      <c r="O438" s="13"/>
      <c r="P438" s="6"/>
    </row>
    <row r="439" spans="2:16" ht="86.25" customHeight="1" x14ac:dyDescent="0.25">
      <c r="B439" s="3"/>
      <c r="C439" s="4"/>
      <c r="D439" s="4"/>
      <c r="E439" s="4"/>
      <c r="F439" s="4"/>
      <c r="G439" s="4"/>
      <c r="H439" s="5"/>
      <c r="I439" s="4"/>
      <c r="J439" s="4"/>
      <c r="K439" s="4"/>
      <c r="L439" s="4"/>
      <c r="M439" s="6"/>
      <c r="N439" s="8"/>
      <c r="O439" s="13"/>
      <c r="P439" s="6"/>
    </row>
    <row r="440" spans="2:16" ht="86.25" customHeight="1" x14ac:dyDescent="0.25">
      <c r="B440" s="3"/>
      <c r="C440" s="4"/>
      <c r="D440" s="4"/>
      <c r="E440" s="4"/>
      <c r="F440" s="4"/>
      <c r="G440" s="4"/>
      <c r="H440" s="5"/>
      <c r="I440" s="4"/>
      <c r="J440" s="4"/>
      <c r="K440" s="4"/>
      <c r="L440" s="5"/>
      <c r="M440" s="6"/>
      <c r="N440" s="8"/>
      <c r="O440" s="13"/>
      <c r="P440" s="6"/>
    </row>
    <row r="441" spans="2:16" ht="86.25" customHeight="1" x14ac:dyDescent="0.25">
      <c r="B441" s="3"/>
      <c r="C441" s="4"/>
      <c r="D441" s="4"/>
      <c r="E441" s="4"/>
      <c r="F441" s="4"/>
      <c r="G441" s="4"/>
      <c r="H441" s="5"/>
      <c r="I441" s="4"/>
      <c r="J441" s="4"/>
      <c r="K441" s="4"/>
      <c r="L441" s="5"/>
      <c r="M441" s="6"/>
      <c r="N441" s="8"/>
      <c r="O441" s="13"/>
      <c r="P441" s="6"/>
    </row>
    <row r="442" spans="2:16" ht="86.25" customHeight="1" x14ac:dyDescent="0.25">
      <c r="B442" s="3"/>
      <c r="C442" s="4"/>
      <c r="D442" s="4"/>
      <c r="E442" s="4"/>
      <c r="F442" s="4"/>
      <c r="G442" s="4"/>
      <c r="H442" s="5"/>
      <c r="I442" s="4"/>
      <c r="J442" s="4"/>
      <c r="K442" s="4"/>
      <c r="L442" s="5"/>
      <c r="M442" s="6"/>
      <c r="N442" s="8"/>
      <c r="O442" s="13"/>
      <c r="P442" s="6"/>
    </row>
    <row r="443" spans="2:16" ht="86.25" customHeight="1" x14ac:dyDescent="0.25">
      <c r="B443" s="3"/>
      <c r="C443" s="4"/>
      <c r="D443" s="4"/>
      <c r="E443" s="4"/>
      <c r="F443" s="4"/>
      <c r="G443" s="4"/>
      <c r="H443" s="5"/>
      <c r="I443" s="4"/>
      <c r="J443" s="4"/>
      <c r="K443" s="4"/>
      <c r="L443" s="5"/>
      <c r="M443" s="6"/>
      <c r="N443" s="8"/>
      <c r="O443" s="13"/>
      <c r="P443" s="6"/>
    </row>
    <row r="444" spans="2:16" ht="86.25" customHeight="1" x14ac:dyDescent="0.25">
      <c r="B444" s="3"/>
      <c r="C444" s="4"/>
      <c r="D444" s="4"/>
      <c r="E444" s="4"/>
      <c r="F444" s="4"/>
      <c r="G444" s="4"/>
      <c r="H444" s="5"/>
      <c r="I444" s="4"/>
      <c r="J444" s="4"/>
      <c r="K444" s="4"/>
      <c r="L444" s="5"/>
      <c r="M444" s="6"/>
      <c r="N444" s="8"/>
      <c r="O444" s="13"/>
      <c r="P444" s="6"/>
    </row>
    <row r="445" spans="2:16" ht="86.25" customHeight="1" x14ac:dyDescent="0.25">
      <c r="B445" s="3"/>
      <c r="C445" s="4"/>
      <c r="D445" s="4"/>
      <c r="E445" s="4"/>
      <c r="F445" s="4"/>
      <c r="G445" s="4"/>
      <c r="H445" s="5"/>
      <c r="I445" s="4"/>
      <c r="J445" s="4"/>
      <c r="K445" s="4"/>
      <c r="L445" s="5"/>
      <c r="M445" s="6"/>
      <c r="N445" s="8"/>
      <c r="O445" s="13"/>
      <c r="P445" s="6"/>
    </row>
    <row r="446" spans="2:16" ht="86.25" customHeight="1" x14ac:dyDescent="0.25">
      <c r="B446" s="3"/>
      <c r="C446" s="4"/>
      <c r="D446" s="4"/>
      <c r="E446" s="4"/>
      <c r="F446" s="4"/>
      <c r="G446" s="4"/>
      <c r="H446" s="5"/>
      <c r="I446" s="4"/>
      <c r="J446" s="4"/>
      <c r="K446" s="4"/>
      <c r="L446" s="5"/>
      <c r="M446" s="6"/>
      <c r="N446" s="8"/>
      <c r="O446" s="13"/>
      <c r="P446" s="6"/>
    </row>
    <row r="447" spans="2:16" ht="86.25" customHeight="1" x14ac:dyDescent="0.25">
      <c r="B447" s="3"/>
      <c r="C447" s="4"/>
      <c r="D447" s="4"/>
      <c r="E447" s="4"/>
      <c r="F447" s="4"/>
      <c r="G447" s="4"/>
      <c r="H447" s="5"/>
      <c r="I447" s="4"/>
      <c r="J447" s="4"/>
      <c r="K447" s="4"/>
      <c r="L447" s="5"/>
      <c r="M447" s="6"/>
      <c r="N447" s="8"/>
      <c r="O447" s="13"/>
      <c r="P447" s="6"/>
    </row>
    <row r="448" spans="2:16" ht="86.25" customHeight="1" x14ac:dyDescent="0.25">
      <c r="B448" s="3"/>
      <c r="C448" s="4"/>
      <c r="D448" s="4"/>
      <c r="E448" s="4"/>
      <c r="F448" s="4"/>
      <c r="G448" s="4"/>
      <c r="H448" s="5"/>
      <c r="I448" s="4"/>
      <c r="J448" s="4"/>
      <c r="K448" s="4"/>
      <c r="L448" s="9"/>
      <c r="M448" s="6"/>
      <c r="N448" s="8"/>
      <c r="O448" s="13"/>
      <c r="P448" s="6"/>
    </row>
    <row r="449" spans="2:16" ht="86.25" customHeight="1" x14ac:dyDescent="0.25">
      <c r="B449" s="3"/>
      <c r="C449" s="4"/>
      <c r="D449" s="4"/>
      <c r="E449" s="4"/>
      <c r="F449" s="4"/>
      <c r="G449" s="4"/>
      <c r="H449" s="5"/>
      <c r="I449" s="4"/>
      <c r="J449" s="4"/>
      <c r="K449" s="4"/>
      <c r="L449" s="9"/>
      <c r="M449" s="6"/>
      <c r="N449" s="8"/>
      <c r="O449" s="13"/>
      <c r="P449" s="6"/>
    </row>
    <row r="450" spans="2:16" ht="86.25" customHeight="1" x14ac:dyDescent="0.25">
      <c r="B450" s="3"/>
      <c r="C450" s="4"/>
      <c r="D450" s="4"/>
      <c r="E450" s="4"/>
      <c r="F450" s="4"/>
      <c r="G450" s="4"/>
      <c r="H450" s="5"/>
      <c r="I450" s="4"/>
      <c r="J450" s="4"/>
      <c r="K450" s="4"/>
      <c r="L450" s="9"/>
      <c r="M450" s="6"/>
      <c r="N450" s="8"/>
      <c r="O450" s="13"/>
      <c r="P450" s="6"/>
    </row>
    <row r="451" spans="2:16" ht="86.25" customHeight="1" x14ac:dyDescent="0.25">
      <c r="B451" s="3"/>
      <c r="C451" s="4"/>
      <c r="D451" s="4"/>
      <c r="E451" s="4"/>
      <c r="F451" s="4"/>
      <c r="G451" s="4"/>
      <c r="H451" s="5"/>
      <c r="I451" s="4"/>
      <c r="J451" s="4"/>
      <c r="K451" s="4"/>
      <c r="L451" s="4"/>
      <c r="M451" s="6"/>
      <c r="N451" s="8"/>
      <c r="O451" s="13"/>
      <c r="P451" s="6"/>
    </row>
    <row r="452" spans="2:16" ht="86.25" customHeight="1" x14ac:dyDescent="0.25">
      <c r="B452" s="3"/>
      <c r="C452" s="4"/>
      <c r="D452" s="4"/>
      <c r="E452" s="4"/>
      <c r="F452" s="4"/>
      <c r="G452" s="4"/>
      <c r="H452" s="5"/>
      <c r="I452" s="4"/>
      <c r="J452" s="4"/>
      <c r="K452" s="4"/>
      <c r="L452" s="9"/>
      <c r="M452" s="6"/>
      <c r="N452" s="8"/>
      <c r="O452" s="13"/>
      <c r="P452" s="6"/>
    </row>
    <row r="453" spans="2:16" ht="86.25" customHeight="1" x14ac:dyDescent="0.25">
      <c r="B453" s="3"/>
      <c r="C453" s="4"/>
      <c r="D453" s="4"/>
      <c r="E453" s="4"/>
      <c r="F453" s="4"/>
      <c r="G453" s="4"/>
      <c r="H453" s="5"/>
      <c r="I453" s="4"/>
      <c r="J453" s="4"/>
      <c r="K453" s="4"/>
      <c r="L453" s="9"/>
      <c r="M453" s="6"/>
      <c r="N453" s="8"/>
      <c r="O453" s="13"/>
      <c r="P453" s="6"/>
    </row>
    <row r="454" spans="2:16" ht="86.25" customHeight="1" x14ac:dyDescent="0.25">
      <c r="B454" s="3"/>
      <c r="C454" s="4"/>
      <c r="D454" s="4"/>
      <c r="E454" s="4"/>
      <c r="F454" s="4"/>
      <c r="G454" s="4"/>
      <c r="H454" s="5"/>
      <c r="I454" s="4"/>
      <c r="J454" s="4"/>
      <c r="K454" s="4"/>
      <c r="L454" s="9"/>
      <c r="M454" s="6"/>
      <c r="N454" s="8"/>
      <c r="O454" s="13"/>
      <c r="P454" s="6"/>
    </row>
    <row r="455" spans="2:16" ht="86.25" customHeight="1" x14ac:dyDescent="0.25">
      <c r="B455" s="3"/>
      <c r="C455" s="4"/>
      <c r="D455" s="4"/>
      <c r="E455" s="4"/>
      <c r="F455" s="4"/>
      <c r="G455" s="4"/>
      <c r="H455" s="5"/>
      <c r="I455" s="4"/>
      <c r="J455" s="4"/>
      <c r="K455" s="4"/>
      <c r="L455" s="9"/>
      <c r="M455" s="6"/>
      <c r="N455" s="8"/>
      <c r="O455" s="13"/>
      <c r="P455" s="6"/>
    </row>
    <row r="456" spans="2:16" ht="86.25" customHeight="1" x14ac:dyDescent="0.25">
      <c r="B456" s="3"/>
      <c r="C456" s="4"/>
      <c r="D456" s="4"/>
      <c r="E456" s="4"/>
      <c r="F456" s="4"/>
      <c r="G456" s="4"/>
      <c r="H456" s="5"/>
      <c r="I456" s="4"/>
      <c r="J456" s="4"/>
      <c r="K456" s="4"/>
      <c r="L456" s="9"/>
      <c r="M456" s="6"/>
      <c r="N456" s="8"/>
      <c r="O456" s="13"/>
      <c r="P456" s="6"/>
    </row>
    <row r="457" spans="2:16" ht="86.25" customHeight="1" x14ac:dyDescent="0.25">
      <c r="B457" s="3"/>
      <c r="C457" s="4"/>
      <c r="D457" s="4"/>
      <c r="E457" s="4"/>
      <c r="F457" s="4"/>
      <c r="G457" s="4"/>
      <c r="H457" s="5"/>
      <c r="I457" s="4"/>
      <c r="J457" s="4"/>
      <c r="K457" s="4"/>
      <c r="L457" s="9"/>
      <c r="M457" s="6"/>
      <c r="N457" s="8"/>
      <c r="O457" s="13"/>
      <c r="P457" s="6"/>
    </row>
    <row r="458" spans="2:16" ht="86.25" customHeight="1" x14ac:dyDescent="0.25">
      <c r="B458" s="3"/>
      <c r="C458" s="4"/>
      <c r="D458" s="4"/>
      <c r="E458" s="4"/>
      <c r="F458" s="4"/>
      <c r="G458" s="4"/>
      <c r="H458" s="5"/>
      <c r="I458" s="4"/>
      <c r="J458" s="4"/>
      <c r="K458" s="4"/>
      <c r="L458" s="9"/>
      <c r="M458" s="6"/>
      <c r="N458" s="8"/>
      <c r="O458" s="13"/>
      <c r="P458" s="6"/>
    </row>
    <row r="459" spans="2:16" ht="86.25" customHeight="1" x14ac:dyDescent="0.25">
      <c r="B459" s="3"/>
      <c r="C459" s="4"/>
      <c r="D459" s="4"/>
      <c r="E459" s="4"/>
      <c r="F459" s="4"/>
      <c r="G459" s="4"/>
      <c r="H459" s="5"/>
      <c r="I459" s="4"/>
      <c r="J459" s="4"/>
      <c r="K459" s="4"/>
      <c r="L459" s="4"/>
      <c r="M459" s="6"/>
      <c r="N459" s="8"/>
      <c r="O459" s="13"/>
      <c r="P459" s="6"/>
    </row>
    <row r="460" spans="2:16" ht="86.25" customHeight="1" x14ac:dyDescent="0.25">
      <c r="B460" s="3"/>
      <c r="C460" s="4"/>
      <c r="D460" s="4"/>
      <c r="E460" s="4"/>
      <c r="F460" s="4"/>
      <c r="G460" s="4"/>
      <c r="H460" s="5"/>
      <c r="I460" s="4"/>
      <c r="J460" s="4"/>
      <c r="K460" s="4"/>
      <c r="L460" s="9"/>
      <c r="M460" s="6"/>
      <c r="N460" s="8"/>
      <c r="O460" s="13"/>
      <c r="P460" s="6"/>
    </row>
    <row r="461" spans="2:16" ht="86.25" customHeight="1" x14ac:dyDescent="0.25">
      <c r="B461" s="3"/>
      <c r="C461" s="4"/>
      <c r="D461" s="4"/>
      <c r="E461" s="4"/>
      <c r="F461" s="4"/>
      <c r="G461" s="4"/>
      <c r="H461" s="5"/>
      <c r="I461" s="4"/>
      <c r="J461" s="4"/>
      <c r="K461" s="4"/>
      <c r="L461" s="9"/>
      <c r="M461" s="6"/>
      <c r="N461" s="8"/>
      <c r="O461" s="13"/>
      <c r="P461" s="6"/>
    </row>
    <row r="462" spans="2:16" ht="86.25" customHeight="1" x14ac:dyDescent="0.25">
      <c r="B462" s="3"/>
      <c r="C462" s="4"/>
      <c r="D462" s="4"/>
      <c r="E462" s="4"/>
      <c r="F462" s="4"/>
      <c r="G462" s="4"/>
      <c r="H462" s="5"/>
      <c r="I462" s="4"/>
      <c r="J462" s="4"/>
      <c r="K462" s="4"/>
      <c r="L462" s="9"/>
      <c r="M462" s="6"/>
      <c r="N462" s="8"/>
      <c r="O462" s="13"/>
      <c r="P462" s="6"/>
    </row>
    <row r="463" spans="2:16" ht="86.25" customHeight="1" x14ac:dyDescent="0.25">
      <c r="B463" s="3"/>
      <c r="C463" s="4"/>
      <c r="D463" s="4"/>
      <c r="E463" s="4"/>
      <c r="F463" s="4"/>
      <c r="G463" s="4"/>
      <c r="H463" s="5"/>
      <c r="I463" s="4"/>
      <c r="J463" s="4"/>
      <c r="K463" s="4"/>
      <c r="L463" s="9"/>
      <c r="M463" s="6"/>
      <c r="N463" s="8"/>
      <c r="O463" s="13"/>
      <c r="P463" s="6"/>
    </row>
    <row r="464" spans="2:16" ht="86.25" customHeight="1" x14ac:dyDescent="0.25">
      <c r="B464" s="3"/>
      <c r="C464" s="4"/>
      <c r="D464" s="4"/>
      <c r="E464" s="4"/>
      <c r="F464" s="4"/>
      <c r="G464" s="4"/>
      <c r="H464" s="5"/>
      <c r="I464" s="4"/>
      <c r="J464" s="4"/>
      <c r="K464" s="4"/>
      <c r="L464" s="10"/>
      <c r="M464" s="6"/>
      <c r="N464" s="8"/>
      <c r="O464" s="13"/>
      <c r="P464" s="6"/>
    </row>
    <row r="465" spans="2:16" ht="86.25" customHeight="1" x14ac:dyDescent="0.25">
      <c r="B465" s="3"/>
      <c r="C465" s="4"/>
      <c r="D465" s="4"/>
      <c r="E465" s="4"/>
      <c r="F465" s="4"/>
      <c r="G465" s="4"/>
      <c r="H465" s="5"/>
      <c r="I465" s="4"/>
      <c r="J465" s="4"/>
      <c r="K465" s="4"/>
      <c r="L465" s="9"/>
      <c r="M465" s="6"/>
      <c r="N465" s="8"/>
      <c r="O465" s="13"/>
      <c r="P465" s="6"/>
    </row>
    <row r="466" spans="2:16" ht="86.25" customHeight="1" x14ac:dyDescent="0.25">
      <c r="B466" s="3"/>
      <c r="C466" s="4"/>
      <c r="D466" s="4"/>
      <c r="E466" s="4"/>
      <c r="F466" s="4"/>
      <c r="G466" s="4"/>
      <c r="H466" s="5"/>
      <c r="I466" s="4"/>
      <c r="J466" s="4"/>
      <c r="K466" s="4"/>
      <c r="L466" s="9"/>
      <c r="M466" s="6"/>
      <c r="N466" s="8"/>
      <c r="O466" s="13"/>
      <c r="P466" s="6"/>
    </row>
    <row r="467" spans="2:16" ht="86.25" customHeight="1" x14ac:dyDescent="0.25">
      <c r="B467" s="3"/>
      <c r="C467" s="4"/>
      <c r="D467" s="4"/>
      <c r="E467" s="4"/>
      <c r="F467" s="4"/>
      <c r="G467" s="4"/>
      <c r="H467" s="5"/>
      <c r="I467" s="4"/>
      <c r="J467" s="4"/>
      <c r="K467" s="4"/>
      <c r="L467" s="9"/>
      <c r="M467" s="6"/>
      <c r="N467" s="8"/>
      <c r="O467" s="13"/>
      <c r="P467" s="6"/>
    </row>
    <row r="468" spans="2:16" ht="86.25" customHeight="1" x14ac:dyDescent="0.25">
      <c r="B468" s="3"/>
      <c r="C468" s="4"/>
      <c r="D468" s="4"/>
      <c r="E468" s="4"/>
      <c r="F468" s="4"/>
      <c r="G468" s="4"/>
      <c r="H468" s="5"/>
      <c r="I468" s="4"/>
      <c r="J468" s="4"/>
      <c r="K468" s="4"/>
      <c r="L468" s="9"/>
      <c r="M468" s="6"/>
      <c r="N468" s="8"/>
      <c r="O468" s="13"/>
      <c r="P468" s="6"/>
    </row>
    <row r="469" spans="2:16" ht="86.25" customHeight="1" x14ac:dyDescent="0.25">
      <c r="B469" s="3"/>
      <c r="C469" s="4"/>
      <c r="D469" s="4"/>
      <c r="E469" s="4"/>
      <c r="F469" s="4"/>
      <c r="G469" s="4"/>
      <c r="H469" s="5"/>
      <c r="I469" s="4"/>
      <c r="J469" s="4"/>
      <c r="K469" s="4"/>
      <c r="L469" s="9"/>
      <c r="M469" s="6"/>
      <c r="N469" s="8"/>
      <c r="O469" s="13"/>
      <c r="P469" s="6"/>
    </row>
    <row r="470" spans="2:16" ht="86.25" customHeight="1" x14ac:dyDescent="0.25">
      <c r="B470" s="3"/>
      <c r="C470" s="4"/>
      <c r="D470" s="4"/>
      <c r="E470" s="4"/>
      <c r="F470" s="4"/>
      <c r="G470" s="4"/>
      <c r="H470" s="5"/>
      <c r="I470" s="4"/>
      <c r="J470" s="4"/>
      <c r="K470" s="4"/>
      <c r="L470" s="9"/>
      <c r="M470" s="6"/>
      <c r="N470" s="8"/>
      <c r="O470" s="13"/>
      <c r="P470" s="6"/>
    </row>
    <row r="471" spans="2:16" ht="86.25" customHeight="1" x14ac:dyDescent="0.25">
      <c r="B471" s="3"/>
      <c r="C471" s="4"/>
      <c r="D471" s="4"/>
      <c r="E471" s="4"/>
      <c r="F471" s="4"/>
      <c r="G471" s="4"/>
      <c r="H471" s="5"/>
      <c r="I471" s="4"/>
      <c r="J471" s="4"/>
      <c r="K471" s="4"/>
      <c r="L471" s="9"/>
      <c r="M471" s="6"/>
      <c r="N471" s="8"/>
      <c r="O471" s="13"/>
      <c r="P471" s="6"/>
    </row>
    <row r="472" spans="2:16" ht="86.25" customHeight="1" x14ac:dyDescent="0.25">
      <c r="B472" s="3"/>
      <c r="C472" s="4"/>
      <c r="D472" s="4"/>
      <c r="E472" s="4"/>
      <c r="F472" s="4"/>
      <c r="G472" s="4"/>
      <c r="H472" s="5"/>
      <c r="I472" s="4"/>
      <c r="J472" s="4"/>
      <c r="K472" s="4"/>
      <c r="L472" s="9"/>
      <c r="M472" s="6"/>
      <c r="N472" s="8"/>
      <c r="O472" s="13"/>
      <c r="P472" s="6"/>
    </row>
    <row r="473" spans="2:16" ht="86.25" customHeight="1" x14ac:dyDescent="0.25">
      <c r="B473" s="3"/>
      <c r="C473" s="4"/>
      <c r="D473" s="4"/>
      <c r="E473" s="4"/>
      <c r="F473" s="4"/>
      <c r="G473" s="4"/>
      <c r="H473" s="5"/>
      <c r="I473" s="4"/>
      <c r="J473" s="4"/>
      <c r="K473" s="4"/>
      <c r="L473" s="9"/>
      <c r="M473" s="6"/>
      <c r="N473" s="8"/>
      <c r="O473" s="13"/>
      <c r="P473" s="6"/>
    </row>
    <row r="474" spans="2:16" ht="86.25" customHeight="1" x14ac:dyDescent="0.25">
      <c r="B474" s="3"/>
      <c r="C474" s="4"/>
      <c r="D474" s="4"/>
      <c r="E474" s="4"/>
      <c r="F474" s="4"/>
      <c r="G474" s="4"/>
      <c r="H474" s="5"/>
      <c r="I474" s="4"/>
      <c r="J474" s="4"/>
      <c r="K474" s="4"/>
      <c r="L474" s="9"/>
      <c r="M474" s="6"/>
      <c r="N474" s="8"/>
      <c r="O474" s="13"/>
      <c r="P474" s="6"/>
    </row>
    <row r="475" spans="2:16" ht="86.25" customHeight="1" x14ac:dyDescent="0.25">
      <c r="B475" s="3"/>
      <c r="C475" s="4"/>
      <c r="D475" s="4"/>
      <c r="E475" s="4"/>
      <c r="F475" s="4"/>
      <c r="G475" s="4"/>
      <c r="H475" s="5"/>
      <c r="I475" s="4"/>
      <c r="J475" s="4"/>
      <c r="K475" s="4"/>
      <c r="L475" s="9"/>
      <c r="M475" s="6"/>
      <c r="N475" s="8"/>
      <c r="O475" s="13"/>
      <c r="P475" s="6"/>
    </row>
    <row r="476" spans="2:16" ht="86.25" customHeight="1" x14ac:dyDescent="0.25">
      <c r="B476" s="3"/>
      <c r="C476" s="4"/>
      <c r="D476" s="4"/>
      <c r="E476" s="4"/>
      <c r="F476" s="4"/>
      <c r="G476" s="4"/>
      <c r="H476" s="5"/>
      <c r="I476" s="4"/>
      <c r="J476" s="4"/>
      <c r="K476" s="4"/>
      <c r="L476" s="4"/>
      <c r="M476" s="6"/>
      <c r="N476" s="8"/>
      <c r="O476" s="13"/>
      <c r="P476" s="6"/>
    </row>
    <row r="477" spans="2:16" ht="86.25" customHeight="1" x14ac:dyDescent="0.25">
      <c r="B477" s="3"/>
      <c r="C477" s="4"/>
      <c r="D477" s="4"/>
      <c r="E477" s="4"/>
      <c r="F477" s="4"/>
      <c r="G477" s="4"/>
      <c r="H477" s="5"/>
      <c r="I477" s="4"/>
      <c r="J477" s="4"/>
      <c r="K477" s="4"/>
      <c r="L477" s="4"/>
      <c r="M477" s="6"/>
      <c r="N477" s="8"/>
      <c r="O477" s="13"/>
      <c r="P477" s="6"/>
    </row>
    <row r="478" spans="2:16" ht="86.25" customHeight="1" x14ac:dyDescent="0.25">
      <c r="B478" s="3"/>
      <c r="C478" s="4"/>
      <c r="D478" s="4"/>
      <c r="E478" s="4"/>
      <c r="F478" s="4"/>
      <c r="G478" s="4"/>
      <c r="H478" s="5"/>
      <c r="I478" s="4"/>
      <c r="J478" s="4"/>
      <c r="K478" s="4"/>
      <c r="L478" s="4"/>
      <c r="M478" s="6"/>
      <c r="N478" s="8"/>
      <c r="O478" s="13"/>
      <c r="P478" s="6"/>
    </row>
    <row r="479" spans="2:16" ht="86.25" customHeight="1" x14ac:dyDescent="0.25">
      <c r="B479" s="3"/>
      <c r="C479" s="4"/>
      <c r="D479" s="4"/>
      <c r="E479" s="4"/>
      <c r="F479" s="4"/>
      <c r="G479" s="4"/>
      <c r="H479" s="5"/>
      <c r="I479" s="4"/>
      <c r="J479" s="4"/>
      <c r="K479" s="4"/>
      <c r="L479" s="4"/>
      <c r="M479" s="6"/>
      <c r="N479" s="8"/>
      <c r="O479" s="13"/>
      <c r="P479" s="6"/>
    </row>
    <row r="480" spans="2:16" ht="86.25" customHeight="1" x14ac:dyDescent="0.25">
      <c r="B480" s="3"/>
      <c r="C480" s="4"/>
      <c r="D480" s="4"/>
      <c r="E480" s="4"/>
      <c r="F480" s="4"/>
      <c r="G480" s="4"/>
      <c r="H480" s="5"/>
      <c r="I480" s="4"/>
      <c r="J480" s="4"/>
      <c r="K480" s="4"/>
      <c r="L480" s="4"/>
      <c r="M480" s="6"/>
      <c r="N480" s="8"/>
      <c r="O480" s="13"/>
      <c r="P480" s="6"/>
    </row>
    <row r="481" spans="2:16" ht="86.25" customHeight="1" x14ac:dyDescent="0.25">
      <c r="B481" s="3"/>
      <c r="C481" s="4"/>
      <c r="D481" s="4"/>
      <c r="E481" s="4"/>
      <c r="F481" s="4"/>
      <c r="G481" s="4"/>
      <c r="H481" s="5"/>
      <c r="I481" s="4"/>
      <c r="J481" s="4"/>
      <c r="K481" s="4"/>
      <c r="L481" s="4"/>
      <c r="M481" s="6"/>
      <c r="N481" s="8"/>
      <c r="O481" s="13"/>
      <c r="P481" s="6"/>
    </row>
    <row r="482" spans="2:16" ht="86.25" customHeight="1" x14ac:dyDescent="0.25">
      <c r="B482" s="3"/>
      <c r="C482" s="4"/>
      <c r="D482" s="4"/>
      <c r="E482" s="4"/>
      <c r="F482" s="4"/>
      <c r="G482" s="4"/>
      <c r="H482" s="5"/>
      <c r="I482" s="4"/>
      <c r="J482" s="4"/>
      <c r="K482" s="4"/>
      <c r="L482" s="4"/>
      <c r="M482" s="6"/>
      <c r="N482" s="8"/>
      <c r="O482" s="13"/>
      <c r="P482" s="6"/>
    </row>
    <row r="483" spans="2:16" ht="86.25" customHeight="1" x14ac:dyDescent="0.25">
      <c r="B483" s="3"/>
      <c r="C483" s="4"/>
      <c r="D483" s="4"/>
      <c r="E483" s="4"/>
      <c r="F483" s="4"/>
      <c r="G483" s="4"/>
      <c r="H483" s="5"/>
      <c r="I483" s="4"/>
      <c r="J483" s="4"/>
      <c r="K483" s="4"/>
      <c r="L483" s="4"/>
      <c r="M483" s="6"/>
      <c r="N483" s="8"/>
      <c r="O483" s="13"/>
      <c r="P483" s="6"/>
    </row>
    <row r="484" spans="2:16" ht="86.25" customHeight="1" x14ac:dyDescent="0.25">
      <c r="B484" s="3"/>
      <c r="C484" s="4"/>
      <c r="D484" s="4"/>
      <c r="E484" s="4"/>
      <c r="F484" s="4"/>
      <c r="G484" s="4"/>
      <c r="H484" s="5"/>
      <c r="I484" s="4"/>
      <c r="J484" s="4"/>
      <c r="K484" s="4"/>
      <c r="L484" s="4"/>
      <c r="M484" s="6"/>
      <c r="N484" s="8"/>
      <c r="O484" s="13"/>
      <c r="P484" s="6"/>
    </row>
    <row r="485" spans="2:16" ht="86.25" customHeight="1" x14ac:dyDescent="0.25">
      <c r="B485" s="3"/>
      <c r="C485" s="4"/>
      <c r="D485" s="4"/>
      <c r="E485" s="4"/>
      <c r="F485" s="4"/>
      <c r="G485" s="4"/>
      <c r="H485" s="5"/>
      <c r="I485" s="4"/>
      <c r="J485" s="4"/>
      <c r="K485" s="4"/>
      <c r="L485" s="4"/>
      <c r="M485" s="6"/>
      <c r="N485" s="8"/>
      <c r="O485" s="13"/>
      <c r="P485" s="6"/>
    </row>
    <row r="486" spans="2:16" ht="86.25" customHeight="1" x14ac:dyDescent="0.25">
      <c r="B486" s="3"/>
      <c r="C486" s="4"/>
      <c r="D486" s="4"/>
      <c r="E486" s="4"/>
      <c r="F486" s="4"/>
      <c r="G486" s="4"/>
      <c r="H486" s="5"/>
      <c r="I486" s="4"/>
      <c r="J486" s="4"/>
      <c r="K486" s="4"/>
      <c r="L486" s="4"/>
      <c r="M486" s="6"/>
      <c r="N486" s="8"/>
      <c r="O486" s="13"/>
      <c r="P486" s="6"/>
    </row>
    <row r="487" spans="2:16" ht="86.25" customHeight="1" x14ac:dyDescent="0.25">
      <c r="B487" s="3"/>
      <c r="C487" s="4"/>
      <c r="D487" s="4"/>
      <c r="E487" s="4"/>
      <c r="F487" s="4"/>
      <c r="G487" s="4"/>
      <c r="H487" s="5"/>
      <c r="I487" s="4"/>
      <c r="J487" s="4"/>
      <c r="K487" s="4"/>
      <c r="L487" s="4"/>
      <c r="M487" s="6"/>
      <c r="N487" s="8"/>
      <c r="O487" s="13"/>
      <c r="P487" s="6"/>
    </row>
    <row r="488" spans="2:16" ht="86.25" customHeight="1" x14ac:dyDescent="0.25">
      <c r="B488" s="3"/>
      <c r="C488" s="4"/>
      <c r="D488" s="4"/>
      <c r="E488" s="4"/>
      <c r="F488" s="4"/>
      <c r="G488" s="4"/>
      <c r="H488" s="5"/>
      <c r="I488" s="4"/>
      <c r="J488" s="4"/>
      <c r="K488" s="4"/>
      <c r="L488" s="4"/>
      <c r="M488" s="6"/>
      <c r="N488" s="8"/>
      <c r="O488" s="13"/>
      <c r="P488" s="6"/>
    </row>
    <row r="489" spans="2:16" ht="86.25" customHeight="1" x14ac:dyDescent="0.25">
      <c r="B489" s="3"/>
      <c r="C489" s="4"/>
      <c r="D489" s="4"/>
      <c r="E489" s="4"/>
      <c r="F489" s="4"/>
      <c r="G489" s="4"/>
      <c r="H489" s="5"/>
      <c r="I489" s="4"/>
      <c r="J489" s="4"/>
      <c r="K489" s="4"/>
      <c r="L489" s="4"/>
      <c r="M489" s="6"/>
      <c r="N489" s="8"/>
      <c r="O489" s="13"/>
      <c r="P489" s="6"/>
    </row>
    <row r="490" spans="2:16" ht="86.25" customHeight="1" x14ac:dyDescent="0.25">
      <c r="B490" s="3"/>
      <c r="C490" s="4"/>
      <c r="D490" s="4"/>
      <c r="E490" s="4"/>
      <c r="F490" s="4"/>
      <c r="G490" s="4"/>
      <c r="H490" s="5"/>
      <c r="I490" s="4"/>
      <c r="J490" s="4"/>
      <c r="K490" s="4"/>
      <c r="L490" s="4"/>
      <c r="M490" s="6"/>
      <c r="N490" s="8"/>
      <c r="O490" s="13"/>
      <c r="P490" s="6"/>
    </row>
    <row r="491" spans="2:16" ht="86.25" customHeight="1" x14ac:dyDescent="0.25">
      <c r="B491" s="3"/>
      <c r="C491" s="4"/>
      <c r="D491" s="4"/>
      <c r="E491" s="4"/>
      <c r="F491" s="4"/>
      <c r="G491" s="4"/>
      <c r="H491" s="5"/>
      <c r="I491" s="4"/>
      <c r="J491" s="4"/>
      <c r="K491" s="4"/>
      <c r="L491" s="4"/>
      <c r="M491" s="6"/>
      <c r="N491" s="8"/>
      <c r="O491" s="13"/>
      <c r="P491" s="6"/>
    </row>
    <row r="492" spans="2:16" ht="86.25" customHeight="1" x14ac:dyDescent="0.25">
      <c r="B492" s="3"/>
      <c r="C492" s="4"/>
      <c r="D492" s="4"/>
      <c r="E492" s="4"/>
      <c r="F492" s="4"/>
      <c r="G492" s="4"/>
      <c r="H492" s="5"/>
      <c r="I492" s="4"/>
      <c r="J492" s="4"/>
      <c r="K492" s="4"/>
      <c r="L492" s="4"/>
      <c r="M492" s="6"/>
      <c r="N492" s="8"/>
      <c r="O492" s="13"/>
      <c r="P492" s="6"/>
    </row>
    <row r="493" spans="2:16" ht="86.25" customHeight="1" x14ac:dyDescent="0.25">
      <c r="B493" s="3"/>
      <c r="C493" s="4"/>
      <c r="D493" s="4"/>
      <c r="E493" s="4"/>
      <c r="F493" s="4"/>
      <c r="G493" s="4"/>
      <c r="H493" s="5"/>
      <c r="I493" s="4"/>
      <c r="J493" s="4"/>
      <c r="K493" s="4"/>
      <c r="L493" s="4"/>
      <c r="M493" s="6"/>
      <c r="N493" s="8"/>
      <c r="O493" s="13"/>
      <c r="P493" s="6"/>
    </row>
    <row r="494" spans="2:16" ht="86.25" customHeight="1" x14ac:dyDescent="0.25">
      <c r="B494" s="3"/>
      <c r="C494" s="4"/>
      <c r="D494" s="4"/>
      <c r="E494" s="4"/>
      <c r="F494" s="4"/>
      <c r="G494" s="4"/>
      <c r="H494" s="5"/>
      <c r="I494" s="4"/>
      <c r="J494" s="4"/>
      <c r="K494" s="4"/>
      <c r="L494" s="4"/>
      <c r="M494" s="6"/>
      <c r="N494" s="8"/>
      <c r="O494" s="13"/>
      <c r="P494" s="6"/>
    </row>
    <row r="495" spans="2:16" ht="86.25" customHeight="1" x14ac:dyDescent="0.25">
      <c r="B495" s="3"/>
      <c r="C495" s="4"/>
      <c r="D495" s="4"/>
      <c r="E495" s="4"/>
      <c r="F495" s="4"/>
      <c r="G495" s="4"/>
      <c r="H495" s="5"/>
      <c r="I495" s="4"/>
      <c r="J495" s="4"/>
      <c r="K495" s="4"/>
      <c r="L495" s="4"/>
      <c r="M495" s="6"/>
      <c r="N495" s="8"/>
      <c r="O495" s="13"/>
      <c r="P495" s="6"/>
    </row>
    <row r="496" spans="2:16" ht="86.25" customHeight="1" x14ac:dyDescent="0.25">
      <c r="B496" s="3"/>
      <c r="C496" s="4"/>
      <c r="D496" s="4"/>
      <c r="E496" s="4"/>
      <c r="F496" s="4"/>
      <c r="G496" s="4"/>
      <c r="H496" s="5"/>
      <c r="I496" s="4"/>
      <c r="J496" s="4"/>
      <c r="K496" s="4"/>
      <c r="L496" s="4"/>
      <c r="M496" s="6"/>
      <c r="N496" s="8"/>
      <c r="O496" s="13"/>
      <c r="P496" s="6"/>
    </row>
    <row r="497" spans="2:16" ht="86.25" customHeight="1" x14ac:dyDescent="0.25">
      <c r="B497" s="3"/>
      <c r="C497" s="4"/>
      <c r="D497" s="4"/>
      <c r="E497" s="4"/>
      <c r="F497" s="4"/>
      <c r="G497" s="4"/>
      <c r="H497" s="5"/>
      <c r="I497" s="4"/>
      <c r="J497" s="4"/>
      <c r="K497" s="4"/>
      <c r="L497" s="4"/>
      <c r="M497" s="6"/>
      <c r="N497" s="8"/>
      <c r="O497" s="13"/>
      <c r="P497" s="6"/>
    </row>
    <row r="498" spans="2:16" ht="86.25" customHeight="1" x14ac:dyDescent="0.25">
      <c r="B498" s="3"/>
      <c r="C498" s="4"/>
      <c r="D498" s="4"/>
      <c r="E498" s="4"/>
      <c r="F498" s="4"/>
      <c r="G498" s="4"/>
      <c r="H498" s="5"/>
      <c r="I498" s="4"/>
      <c r="J498" s="4"/>
      <c r="K498" s="4"/>
      <c r="L498" s="4"/>
      <c r="M498" s="6"/>
      <c r="N498" s="8"/>
      <c r="O498" s="13"/>
      <c r="P498" s="6"/>
    </row>
    <row r="499" spans="2:16" ht="86.25" customHeight="1" x14ac:dyDescent="0.25">
      <c r="B499" s="3"/>
      <c r="C499" s="4"/>
      <c r="D499" s="4"/>
      <c r="E499" s="4"/>
      <c r="F499" s="4"/>
      <c r="G499" s="4"/>
      <c r="H499" s="5"/>
      <c r="I499" s="4"/>
      <c r="J499" s="4"/>
      <c r="K499" s="4"/>
      <c r="L499" s="4"/>
      <c r="M499" s="6"/>
      <c r="N499" s="8"/>
      <c r="O499" s="13"/>
      <c r="P499" s="6"/>
    </row>
    <row r="500" spans="2:16" ht="86.25" customHeight="1" x14ac:dyDescent="0.25">
      <c r="B500" s="3"/>
      <c r="C500" s="4"/>
      <c r="D500" s="4"/>
      <c r="E500" s="4"/>
      <c r="F500" s="4"/>
      <c r="G500" s="4"/>
      <c r="H500" s="5"/>
      <c r="I500" s="4"/>
      <c r="J500" s="4"/>
      <c r="K500" s="4"/>
      <c r="L500" s="4"/>
      <c r="M500" s="6"/>
      <c r="N500" s="8"/>
      <c r="O500" s="13"/>
      <c r="P500" s="6"/>
    </row>
    <row r="501" spans="2:16" ht="86.25" customHeight="1" x14ac:dyDescent="0.25">
      <c r="B501" s="3"/>
      <c r="C501" s="4"/>
      <c r="D501" s="4"/>
      <c r="E501" s="4"/>
      <c r="F501" s="4"/>
      <c r="G501" s="4"/>
      <c r="H501" s="5"/>
      <c r="I501" s="4"/>
      <c r="J501" s="4"/>
      <c r="K501" s="4"/>
      <c r="L501" s="4"/>
      <c r="M501" s="6"/>
      <c r="N501" s="8"/>
      <c r="O501" s="13"/>
      <c r="P501" s="6"/>
    </row>
    <row r="502" spans="2:16" ht="86.25" customHeight="1" x14ac:dyDescent="0.25">
      <c r="B502" s="3"/>
      <c r="C502" s="4"/>
      <c r="D502" s="4"/>
      <c r="E502" s="4"/>
      <c r="F502" s="4"/>
      <c r="G502" s="4"/>
      <c r="H502" s="5"/>
      <c r="I502" s="4"/>
      <c r="J502" s="4"/>
      <c r="K502" s="4"/>
      <c r="L502" s="4"/>
      <c r="M502" s="6"/>
      <c r="N502" s="8"/>
      <c r="O502" s="13"/>
      <c r="P502" s="6"/>
    </row>
    <row r="503" spans="2:16" ht="86.25" customHeight="1" x14ac:dyDescent="0.25">
      <c r="B503" s="3"/>
      <c r="C503" s="4"/>
      <c r="D503" s="4"/>
      <c r="E503" s="4"/>
      <c r="F503" s="4"/>
      <c r="G503" s="4"/>
      <c r="H503" s="5"/>
      <c r="I503" s="4"/>
      <c r="J503" s="4"/>
      <c r="K503" s="4"/>
      <c r="L503" s="4"/>
      <c r="M503" s="6"/>
      <c r="N503" s="8"/>
      <c r="O503" s="13"/>
      <c r="P503" s="6"/>
    </row>
    <row r="504" spans="2:16" ht="86.25" customHeight="1" x14ac:dyDescent="0.25">
      <c r="B504" s="3"/>
      <c r="C504" s="4"/>
      <c r="D504" s="4"/>
      <c r="E504" s="4"/>
      <c r="F504" s="4"/>
      <c r="G504" s="4"/>
      <c r="H504" s="5"/>
      <c r="I504" s="4"/>
      <c r="J504" s="4"/>
      <c r="K504" s="4"/>
      <c r="L504" s="4"/>
      <c r="M504" s="6"/>
      <c r="N504" s="8"/>
      <c r="O504" s="13"/>
      <c r="P504" s="6"/>
    </row>
    <row r="505" spans="2:16" ht="86.25" customHeight="1" x14ac:dyDescent="0.25">
      <c r="B505" s="3"/>
      <c r="C505" s="4"/>
      <c r="D505" s="4"/>
      <c r="E505" s="4"/>
      <c r="F505" s="4"/>
      <c r="G505" s="4"/>
      <c r="H505" s="5"/>
      <c r="I505" s="4"/>
      <c r="J505" s="4"/>
      <c r="K505" s="4"/>
      <c r="L505" s="4"/>
      <c r="M505" s="6"/>
      <c r="N505" s="8"/>
      <c r="O505" s="13"/>
      <c r="P505" s="6"/>
    </row>
    <row r="506" spans="2:16" ht="86.25" customHeight="1" x14ac:dyDescent="0.25">
      <c r="B506" s="3"/>
      <c r="C506" s="4"/>
      <c r="D506" s="4"/>
      <c r="E506" s="4"/>
      <c r="F506" s="4"/>
      <c r="G506" s="4"/>
      <c r="H506" s="5"/>
      <c r="I506" s="4"/>
      <c r="J506" s="4"/>
      <c r="K506" s="4"/>
      <c r="L506" s="4"/>
      <c r="M506" s="6"/>
      <c r="N506" s="8"/>
      <c r="O506" s="13"/>
      <c r="P506" s="6"/>
    </row>
    <row r="507" spans="2:16" ht="86.25" customHeight="1" x14ac:dyDescent="0.25">
      <c r="B507" s="3"/>
      <c r="C507" s="4"/>
      <c r="D507" s="4"/>
      <c r="E507" s="4"/>
      <c r="F507" s="4"/>
      <c r="G507" s="4"/>
      <c r="H507" s="5"/>
      <c r="I507" s="4"/>
      <c r="J507" s="4"/>
      <c r="K507" s="4"/>
      <c r="L507" s="4"/>
      <c r="M507" s="6"/>
      <c r="N507" s="8"/>
      <c r="O507" s="13"/>
      <c r="P507" s="6"/>
    </row>
    <row r="508" spans="2:16" ht="86.25" customHeight="1" x14ac:dyDescent="0.25">
      <c r="B508" s="3"/>
      <c r="C508" s="4"/>
      <c r="D508" s="4"/>
      <c r="E508" s="4"/>
      <c r="F508" s="4"/>
      <c r="G508" s="4"/>
      <c r="H508" s="5"/>
      <c r="I508" s="4"/>
      <c r="J508" s="4"/>
      <c r="K508" s="4"/>
      <c r="L508" s="4"/>
      <c r="M508" s="6"/>
      <c r="N508" s="8"/>
      <c r="O508" s="13"/>
      <c r="P508" s="6"/>
    </row>
    <row r="509" spans="2:16" ht="86.25" customHeight="1" x14ac:dyDescent="0.25">
      <c r="B509" s="3"/>
      <c r="C509" s="4"/>
      <c r="D509" s="4"/>
      <c r="E509" s="4"/>
      <c r="F509" s="4"/>
      <c r="G509" s="4"/>
      <c r="H509" s="5"/>
      <c r="I509" s="4"/>
      <c r="J509" s="4"/>
      <c r="K509" s="4"/>
      <c r="L509" s="4"/>
      <c r="M509" s="6"/>
      <c r="N509" s="8"/>
      <c r="O509" s="13"/>
      <c r="P509" s="6"/>
    </row>
    <row r="510" spans="2:16" ht="86.25" customHeight="1" x14ac:dyDescent="0.25">
      <c r="B510" s="3"/>
      <c r="C510" s="4"/>
      <c r="D510" s="4"/>
      <c r="E510" s="4"/>
      <c r="F510" s="4"/>
      <c r="G510" s="4"/>
      <c r="H510" s="5"/>
      <c r="I510" s="4"/>
      <c r="J510" s="4"/>
      <c r="K510" s="4"/>
      <c r="L510" s="4"/>
      <c r="M510" s="6"/>
      <c r="N510" s="8"/>
      <c r="O510" s="13"/>
      <c r="P510" s="6"/>
    </row>
    <row r="511" spans="2:16" ht="86.25" customHeight="1" x14ac:dyDescent="0.25">
      <c r="B511" s="3"/>
      <c r="C511" s="4"/>
      <c r="D511" s="4"/>
      <c r="E511" s="4"/>
      <c r="F511" s="4"/>
      <c r="G511" s="4"/>
      <c r="H511" s="5"/>
      <c r="I511" s="4"/>
      <c r="J511" s="4"/>
      <c r="K511" s="4"/>
      <c r="L511" s="4"/>
      <c r="M511" s="6"/>
      <c r="N511" s="8"/>
      <c r="O511" s="13"/>
      <c r="P511" s="6"/>
    </row>
    <row r="512" spans="2:16" ht="86.25" customHeight="1" x14ac:dyDescent="0.25">
      <c r="B512" s="3"/>
      <c r="C512" s="4"/>
      <c r="D512" s="4"/>
      <c r="E512" s="4"/>
      <c r="F512" s="4"/>
      <c r="G512" s="4"/>
      <c r="H512" s="5"/>
      <c r="I512" s="4"/>
      <c r="J512" s="4"/>
      <c r="K512" s="4"/>
      <c r="L512" s="4"/>
      <c r="M512" s="6"/>
      <c r="N512" s="8"/>
      <c r="O512" s="13"/>
      <c r="P512" s="6"/>
    </row>
    <row r="513" spans="2:16" ht="86.25" customHeight="1" x14ac:dyDescent="0.25">
      <c r="B513" s="3"/>
      <c r="C513" s="4"/>
      <c r="D513" s="4"/>
      <c r="E513" s="4"/>
      <c r="F513" s="4"/>
      <c r="G513" s="4"/>
      <c r="H513" s="5"/>
      <c r="I513" s="4"/>
      <c r="J513" s="4"/>
      <c r="K513" s="4"/>
      <c r="L513" s="4"/>
      <c r="M513" s="6"/>
      <c r="N513" s="8"/>
      <c r="O513" s="13"/>
      <c r="P513" s="6"/>
    </row>
    <row r="514" spans="2:16" ht="86.25" customHeight="1" x14ac:dyDescent="0.25">
      <c r="B514" s="3"/>
      <c r="C514" s="4"/>
      <c r="D514" s="4"/>
      <c r="E514" s="4"/>
      <c r="F514" s="4"/>
      <c r="G514" s="4"/>
      <c r="H514" s="5"/>
      <c r="I514" s="4"/>
      <c r="J514" s="4"/>
      <c r="K514" s="4"/>
      <c r="L514" s="4"/>
      <c r="M514" s="6"/>
      <c r="N514" s="8"/>
      <c r="O514" s="13"/>
      <c r="P514" s="6"/>
    </row>
    <row r="515" spans="2:16" ht="86.25" customHeight="1" x14ac:dyDescent="0.25">
      <c r="B515" s="3"/>
      <c r="C515" s="4"/>
      <c r="D515" s="4"/>
      <c r="E515" s="4"/>
      <c r="F515" s="4"/>
      <c r="G515" s="4"/>
      <c r="H515" s="5"/>
      <c r="I515" s="4"/>
      <c r="J515" s="4"/>
      <c r="K515" s="4"/>
      <c r="L515" s="4"/>
      <c r="M515" s="6"/>
      <c r="N515" s="8"/>
      <c r="O515" s="13"/>
      <c r="P515" s="6"/>
    </row>
    <row r="516" spans="2:16" ht="86.25" customHeight="1" x14ac:dyDescent="0.25">
      <c r="B516" s="3"/>
      <c r="C516" s="4"/>
      <c r="D516" s="4"/>
      <c r="E516" s="4"/>
      <c r="F516" s="4"/>
      <c r="G516" s="4"/>
      <c r="H516" s="5"/>
      <c r="I516" s="4"/>
      <c r="J516" s="4"/>
      <c r="K516" s="4"/>
      <c r="L516" s="4"/>
      <c r="M516" s="6"/>
      <c r="N516" s="8"/>
      <c r="O516" s="13"/>
      <c r="P516" s="6"/>
    </row>
    <row r="517" spans="2:16" ht="86.25" customHeight="1" x14ac:dyDescent="0.25">
      <c r="B517" s="3"/>
      <c r="C517" s="4"/>
      <c r="D517" s="4"/>
      <c r="E517" s="4"/>
      <c r="F517" s="4"/>
      <c r="G517" s="4"/>
      <c r="H517" s="5"/>
      <c r="I517" s="4"/>
      <c r="J517" s="4"/>
      <c r="K517" s="4"/>
      <c r="L517" s="4"/>
      <c r="M517" s="6"/>
      <c r="N517" s="8"/>
      <c r="O517" s="13"/>
      <c r="P517" s="6"/>
    </row>
    <row r="518" spans="2:16" ht="86.25" customHeight="1" x14ac:dyDescent="0.25">
      <c r="B518" s="3"/>
      <c r="C518" s="4"/>
      <c r="D518" s="4"/>
      <c r="E518" s="4"/>
      <c r="F518" s="4"/>
      <c r="G518" s="4"/>
      <c r="H518" s="5"/>
      <c r="I518" s="4"/>
      <c r="J518" s="4"/>
      <c r="K518" s="4"/>
      <c r="L518" s="4"/>
      <c r="M518" s="6"/>
      <c r="N518" s="8"/>
      <c r="O518" s="13"/>
      <c r="P518" s="6"/>
    </row>
    <row r="519" spans="2:16" ht="86.25" customHeight="1" x14ac:dyDescent="0.25">
      <c r="B519" s="3"/>
      <c r="C519" s="4"/>
      <c r="D519" s="4"/>
      <c r="E519" s="4"/>
      <c r="F519" s="4"/>
      <c r="G519" s="4"/>
      <c r="H519" s="5"/>
      <c r="I519" s="4"/>
      <c r="J519" s="4"/>
      <c r="K519" s="4"/>
      <c r="L519" s="4"/>
      <c r="M519" s="6"/>
      <c r="N519" s="8"/>
      <c r="O519" s="13"/>
      <c r="P519" s="6"/>
    </row>
    <row r="520" spans="2:16" ht="86.25" customHeight="1" x14ac:dyDescent="0.25">
      <c r="B520" s="3"/>
      <c r="C520" s="4"/>
      <c r="D520" s="4"/>
      <c r="E520" s="4"/>
      <c r="F520" s="4"/>
      <c r="G520" s="4"/>
      <c r="H520" s="5"/>
      <c r="I520" s="4"/>
      <c r="J520" s="4"/>
      <c r="K520" s="4"/>
      <c r="L520" s="4"/>
      <c r="M520" s="6"/>
      <c r="N520" s="8"/>
      <c r="O520" s="13"/>
      <c r="P520" s="6"/>
    </row>
    <row r="521" spans="2:16" ht="86.25" customHeight="1" x14ac:dyDescent="0.25">
      <c r="B521" s="3"/>
      <c r="C521" s="4"/>
      <c r="D521" s="4"/>
      <c r="E521" s="4"/>
      <c r="F521" s="4"/>
      <c r="G521" s="4"/>
      <c r="H521" s="5"/>
      <c r="I521" s="4"/>
      <c r="J521" s="4"/>
      <c r="K521" s="4"/>
      <c r="L521" s="4"/>
      <c r="M521" s="6"/>
      <c r="N521" s="8"/>
      <c r="O521" s="13"/>
      <c r="P521" s="6"/>
    </row>
    <row r="522" spans="2:16" ht="86.25" customHeight="1" x14ac:dyDescent="0.25">
      <c r="B522" s="3"/>
      <c r="C522" s="4"/>
      <c r="D522" s="4"/>
      <c r="E522" s="4"/>
      <c r="F522" s="4"/>
      <c r="G522" s="4"/>
      <c r="H522" s="5"/>
      <c r="I522" s="4"/>
      <c r="J522" s="4"/>
      <c r="K522" s="4"/>
      <c r="L522" s="4"/>
      <c r="M522" s="6"/>
      <c r="N522" s="8"/>
      <c r="O522" s="13"/>
      <c r="P522" s="6"/>
    </row>
    <row r="523" spans="2:16" ht="86.25" customHeight="1" x14ac:dyDescent="0.25">
      <c r="B523" s="3"/>
      <c r="C523" s="4"/>
      <c r="D523" s="4"/>
      <c r="E523" s="4"/>
      <c r="F523" s="4"/>
      <c r="G523" s="4"/>
      <c r="H523" s="5"/>
      <c r="I523" s="4"/>
      <c r="J523" s="4"/>
      <c r="K523" s="4"/>
      <c r="L523" s="4"/>
      <c r="M523" s="6"/>
      <c r="N523" s="8"/>
      <c r="O523" s="13"/>
      <c r="P523" s="6"/>
    </row>
    <row r="524" spans="2:16" ht="86.25" customHeight="1" x14ac:dyDescent="0.25">
      <c r="B524" s="3"/>
      <c r="C524" s="4"/>
      <c r="D524" s="4"/>
      <c r="E524" s="4"/>
      <c r="F524" s="4"/>
      <c r="G524" s="4"/>
      <c r="H524" s="5"/>
      <c r="I524" s="4"/>
      <c r="J524" s="4"/>
      <c r="K524" s="4"/>
      <c r="L524" s="4"/>
      <c r="M524" s="6"/>
      <c r="N524" s="8"/>
      <c r="O524" s="13"/>
      <c r="P524" s="6"/>
    </row>
    <row r="525" spans="2:16" ht="86.25" customHeight="1" x14ac:dyDescent="0.25">
      <c r="B525" s="3"/>
      <c r="C525" s="4"/>
      <c r="D525" s="4"/>
      <c r="E525" s="4"/>
      <c r="F525" s="4"/>
      <c r="G525" s="4"/>
      <c r="H525" s="5"/>
      <c r="I525" s="4"/>
      <c r="J525" s="4"/>
      <c r="K525" s="4"/>
      <c r="L525" s="4"/>
      <c r="M525" s="6"/>
      <c r="N525" s="8"/>
      <c r="O525" s="13"/>
      <c r="P525" s="6"/>
    </row>
    <row r="526" spans="2:16" ht="86.25" customHeight="1" x14ac:dyDescent="0.25">
      <c r="B526" s="3"/>
      <c r="C526" s="4"/>
      <c r="D526" s="4"/>
      <c r="E526" s="4"/>
      <c r="F526" s="4"/>
      <c r="G526" s="4"/>
      <c r="H526" s="5"/>
      <c r="I526" s="4"/>
      <c r="J526" s="4"/>
      <c r="K526" s="4"/>
      <c r="L526" s="4"/>
      <c r="M526" s="6"/>
      <c r="N526" s="8"/>
      <c r="O526" s="13"/>
      <c r="P526" s="6"/>
    </row>
    <row r="527" spans="2:16" ht="86.25" customHeight="1" x14ac:dyDescent="0.25">
      <c r="B527" s="3"/>
      <c r="C527" s="4"/>
      <c r="D527" s="4"/>
      <c r="E527" s="4"/>
      <c r="F527" s="4"/>
      <c r="G527" s="4"/>
      <c r="H527" s="5"/>
      <c r="I527" s="4"/>
      <c r="J527" s="4"/>
      <c r="K527" s="4"/>
      <c r="L527" s="4"/>
      <c r="M527" s="6"/>
      <c r="N527" s="8"/>
      <c r="O527" s="13"/>
      <c r="P527" s="6"/>
    </row>
    <row r="528" spans="2:16" ht="86.25" customHeight="1" x14ac:dyDescent="0.25">
      <c r="B528" s="3"/>
      <c r="C528" s="4"/>
      <c r="D528" s="4"/>
      <c r="E528" s="4"/>
      <c r="F528" s="4"/>
      <c r="G528" s="4"/>
      <c r="H528" s="5"/>
      <c r="I528" s="4"/>
      <c r="J528" s="4"/>
      <c r="K528" s="4"/>
      <c r="L528" s="4"/>
      <c r="M528" s="6"/>
      <c r="N528" s="8"/>
      <c r="O528" s="13"/>
      <c r="P528" s="6"/>
    </row>
    <row r="529" spans="2:16" ht="86.25" customHeight="1" x14ac:dyDescent="0.25">
      <c r="B529" s="3"/>
      <c r="C529" s="4"/>
      <c r="D529" s="4"/>
      <c r="E529" s="4"/>
      <c r="F529" s="4"/>
      <c r="G529" s="4"/>
      <c r="H529" s="5"/>
      <c r="I529" s="4"/>
      <c r="J529" s="4"/>
      <c r="K529" s="4"/>
      <c r="L529" s="4"/>
      <c r="M529" s="6"/>
      <c r="N529" s="8"/>
      <c r="O529" s="13"/>
      <c r="P529" s="6"/>
    </row>
    <row r="530" spans="2:16" ht="86.25" customHeight="1" x14ac:dyDescent="0.25">
      <c r="B530" s="3"/>
      <c r="C530" s="4"/>
      <c r="D530" s="4"/>
      <c r="E530" s="4"/>
      <c r="F530" s="4"/>
      <c r="G530" s="4"/>
      <c r="H530" s="5"/>
      <c r="I530" s="4"/>
      <c r="J530" s="4"/>
      <c r="K530" s="4"/>
      <c r="L530" s="4"/>
      <c r="M530" s="6"/>
      <c r="N530" s="8"/>
      <c r="O530" s="13"/>
      <c r="P530" s="6"/>
    </row>
    <row r="531" spans="2:16" ht="86.25" customHeight="1" x14ac:dyDescent="0.25">
      <c r="B531" s="3"/>
      <c r="C531" s="4"/>
      <c r="D531" s="4"/>
      <c r="E531" s="4"/>
      <c r="F531" s="4"/>
      <c r="G531" s="4"/>
      <c r="H531" s="5"/>
      <c r="I531" s="4"/>
      <c r="J531" s="4"/>
      <c r="K531" s="4"/>
      <c r="L531" s="4"/>
      <c r="M531" s="6"/>
      <c r="N531" s="8"/>
      <c r="O531" s="13"/>
      <c r="P531" s="6"/>
    </row>
    <row r="532" spans="2:16" ht="86.25" customHeight="1" x14ac:dyDescent="0.25">
      <c r="B532" s="3"/>
      <c r="C532" s="4"/>
      <c r="D532" s="4"/>
      <c r="E532" s="4"/>
      <c r="F532" s="4"/>
      <c r="G532" s="4"/>
      <c r="H532" s="5"/>
      <c r="I532" s="4"/>
      <c r="J532" s="4"/>
      <c r="K532" s="4"/>
      <c r="L532" s="4"/>
      <c r="M532" s="6"/>
      <c r="N532" s="8"/>
      <c r="O532" s="13"/>
      <c r="P532" s="6"/>
    </row>
    <row r="533" spans="2:16" ht="86.25" customHeight="1" x14ac:dyDescent="0.25">
      <c r="B533" s="3"/>
      <c r="C533" s="4"/>
      <c r="D533" s="4"/>
      <c r="E533" s="4"/>
      <c r="F533" s="4"/>
      <c r="G533" s="4"/>
      <c r="H533" s="5"/>
      <c r="I533" s="4"/>
      <c r="J533" s="4"/>
      <c r="K533" s="4"/>
      <c r="L533" s="4"/>
      <c r="M533" s="6"/>
      <c r="N533" s="8"/>
      <c r="O533" s="13"/>
      <c r="P533" s="6"/>
    </row>
    <row r="534" spans="2:16" ht="86.25" customHeight="1" x14ac:dyDescent="0.25">
      <c r="B534" s="3"/>
      <c r="C534" s="4"/>
      <c r="D534" s="4"/>
      <c r="E534" s="4"/>
      <c r="F534" s="4"/>
      <c r="G534" s="4"/>
      <c r="H534" s="5"/>
      <c r="I534" s="4"/>
      <c r="J534" s="4"/>
      <c r="K534" s="4"/>
      <c r="L534" s="4"/>
      <c r="M534" s="6"/>
      <c r="N534" s="8"/>
      <c r="O534" s="13"/>
      <c r="P534" s="6"/>
    </row>
    <row r="535" spans="2:16" ht="86.25" customHeight="1" x14ac:dyDescent="0.25">
      <c r="B535" s="3"/>
      <c r="C535" s="4"/>
      <c r="D535" s="4"/>
      <c r="E535" s="4"/>
      <c r="F535" s="4"/>
      <c r="G535" s="4"/>
      <c r="H535" s="5"/>
      <c r="I535" s="4"/>
      <c r="J535" s="4"/>
      <c r="K535" s="4"/>
      <c r="L535" s="4"/>
      <c r="M535" s="6"/>
      <c r="N535" s="8"/>
      <c r="O535" s="13"/>
      <c r="P535" s="6"/>
    </row>
    <row r="536" spans="2:16" ht="86.25" customHeight="1" x14ac:dyDescent="0.25">
      <c r="B536" s="3"/>
      <c r="C536" s="4"/>
      <c r="D536" s="4"/>
      <c r="E536" s="4"/>
      <c r="F536" s="4"/>
      <c r="G536" s="4"/>
      <c r="H536" s="5"/>
      <c r="I536" s="4"/>
      <c r="J536" s="4"/>
      <c r="K536" s="4"/>
      <c r="L536" s="4"/>
      <c r="M536" s="6"/>
      <c r="N536" s="8"/>
      <c r="O536" s="13"/>
      <c r="P536" s="6"/>
    </row>
    <row r="537" spans="2:16" ht="86.25" customHeight="1" x14ac:dyDescent="0.25">
      <c r="B537" s="3"/>
      <c r="C537" s="4"/>
      <c r="D537" s="4"/>
      <c r="E537" s="4"/>
      <c r="F537" s="4"/>
      <c r="G537" s="4"/>
      <c r="H537" s="5"/>
      <c r="I537" s="4"/>
      <c r="J537" s="4"/>
      <c r="K537" s="4"/>
      <c r="L537" s="4"/>
      <c r="M537" s="6"/>
      <c r="N537" s="8"/>
      <c r="O537" s="13"/>
      <c r="P537" s="6"/>
    </row>
    <row r="538" spans="2:16" ht="86.25" customHeight="1" x14ac:dyDescent="0.25">
      <c r="B538" s="3"/>
      <c r="C538" s="4"/>
      <c r="D538" s="4"/>
      <c r="E538" s="4"/>
      <c r="F538" s="4"/>
      <c r="G538" s="4"/>
      <c r="H538" s="5"/>
      <c r="I538" s="4"/>
      <c r="J538" s="4"/>
      <c r="K538" s="4"/>
      <c r="L538" s="4"/>
      <c r="M538" s="6"/>
      <c r="N538" s="8"/>
      <c r="O538" s="13"/>
      <c r="P538" s="6"/>
    </row>
    <row r="539" spans="2:16" ht="86.25" customHeight="1" x14ac:dyDescent="0.25">
      <c r="B539" s="3"/>
      <c r="C539" s="4"/>
      <c r="D539" s="4"/>
      <c r="E539" s="4"/>
      <c r="F539" s="4"/>
      <c r="G539" s="4"/>
      <c r="H539" s="5"/>
      <c r="I539" s="4"/>
      <c r="J539" s="4"/>
      <c r="K539" s="4"/>
      <c r="L539" s="4"/>
      <c r="M539" s="6"/>
      <c r="N539" s="8"/>
      <c r="O539" s="13"/>
      <c r="P539" s="6"/>
    </row>
    <row r="540" spans="2:16" ht="86.25" customHeight="1" x14ac:dyDescent="0.25">
      <c r="B540" s="3"/>
      <c r="C540" s="4"/>
      <c r="D540" s="4"/>
      <c r="E540" s="4"/>
      <c r="F540" s="4"/>
      <c r="G540" s="4"/>
      <c r="H540" s="5"/>
      <c r="I540" s="4"/>
      <c r="J540" s="4"/>
      <c r="K540" s="4"/>
      <c r="L540" s="4"/>
      <c r="M540" s="6"/>
      <c r="N540" s="8"/>
      <c r="O540" s="13"/>
      <c r="P540" s="6"/>
    </row>
    <row r="541" spans="2:16" ht="86.25" customHeight="1" x14ac:dyDescent="0.25">
      <c r="B541" s="3"/>
      <c r="C541" s="4"/>
      <c r="D541" s="4"/>
      <c r="E541" s="4"/>
      <c r="F541" s="4"/>
      <c r="G541" s="4"/>
      <c r="H541" s="5"/>
      <c r="I541" s="4"/>
      <c r="J541" s="4"/>
      <c r="K541" s="4"/>
      <c r="L541" s="4"/>
      <c r="M541" s="6"/>
      <c r="N541" s="8"/>
      <c r="O541" s="13"/>
      <c r="P541" s="6"/>
    </row>
    <row r="542" spans="2:16" ht="86.25" customHeight="1" x14ac:dyDescent="0.25">
      <c r="B542" s="3"/>
      <c r="C542" s="4"/>
      <c r="D542" s="4"/>
      <c r="E542" s="4"/>
      <c r="F542" s="4"/>
      <c r="G542" s="4"/>
      <c r="H542" s="5"/>
      <c r="I542" s="4"/>
      <c r="J542" s="4"/>
      <c r="K542" s="4"/>
      <c r="L542" s="4"/>
      <c r="M542" s="6"/>
      <c r="N542" s="8"/>
      <c r="O542" s="13"/>
      <c r="P542" s="6"/>
    </row>
    <row r="543" spans="2:16" ht="86.25" customHeight="1" x14ac:dyDescent="0.25">
      <c r="B543" s="3"/>
      <c r="C543" s="4"/>
      <c r="D543" s="4"/>
      <c r="E543" s="4"/>
      <c r="F543" s="4"/>
      <c r="G543" s="4"/>
      <c r="H543" s="5"/>
      <c r="I543" s="4"/>
      <c r="J543" s="4"/>
      <c r="K543" s="4"/>
      <c r="L543" s="4"/>
      <c r="M543" s="6"/>
      <c r="N543" s="8"/>
      <c r="O543" s="13"/>
      <c r="P543" s="6"/>
    </row>
    <row r="544" spans="2:16" ht="86.25" customHeight="1" x14ac:dyDescent="0.25">
      <c r="B544" s="3"/>
      <c r="C544" s="4"/>
      <c r="D544" s="4"/>
      <c r="E544" s="4"/>
      <c r="F544" s="4"/>
      <c r="G544" s="4"/>
      <c r="H544" s="5"/>
      <c r="I544" s="4"/>
      <c r="J544" s="4"/>
      <c r="K544" s="4"/>
      <c r="L544" s="4"/>
      <c r="M544" s="6"/>
      <c r="N544" s="8"/>
      <c r="O544" s="13"/>
      <c r="P544" s="6"/>
    </row>
    <row r="545" spans="2:16" ht="86.25" customHeight="1" x14ac:dyDescent="0.25">
      <c r="B545" s="3"/>
      <c r="C545" s="4"/>
      <c r="D545" s="4"/>
      <c r="E545" s="4"/>
      <c r="F545" s="4"/>
      <c r="G545" s="4"/>
      <c r="H545" s="5"/>
      <c r="I545" s="4"/>
      <c r="J545" s="4"/>
      <c r="K545" s="4"/>
      <c r="L545" s="4"/>
      <c r="M545" s="6"/>
      <c r="N545" s="8"/>
      <c r="O545" s="13"/>
      <c r="P545" s="6"/>
    </row>
    <row r="546" spans="2:16" ht="86.25" customHeight="1" x14ac:dyDescent="0.25">
      <c r="B546" s="3"/>
      <c r="C546" s="4"/>
      <c r="D546" s="4"/>
      <c r="E546" s="4"/>
      <c r="F546" s="4"/>
      <c r="G546" s="4"/>
      <c r="H546" s="5"/>
      <c r="I546" s="4"/>
      <c r="J546" s="4"/>
      <c r="K546" s="4"/>
      <c r="L546" s="4"/>
      <c r="M546" s="6"/>
      <c r="N546" s="8"/>
      <c r="O546" s="13"/>
      <c r="P546" s="6"/>
    </row>
    <row r="547" spans="2:16" ht="86.25" customHeight="1" x14ac:dyDescent="0.25">
      <c r="B547" s="3"/>
      <c r="C547" s="4"/>
      <c r="D547" s="4"/>
      <c r="E547" s="4"/>
      <c r="F547" s="4"/>
      <c r="G547" s="4"/>
      <c r="H547" s="5"/>
      <c r="I547" s="4"/>
      <c r="J547" s="4"/>
      <c r="K547" s="4"/>
      <c r="L547" s="4"/>
      <c r="M547" s="6"/>
      <c r="N547" s="8"/>
      <c r="O547" s="13"/>
      <c r="P547" s="6"/>
    </row>
    <row r="548" spans="2:16" ht="86.25" customHeight="1" x14ac:dyDescent="0.25">
      <c r="B548" s="3"/>
      <c r="C548" s="4"/>
      <c r="D548" s="4"/>
      <c r="E548" s="4"/>
      <c r="F548" s="4"/>
      <c r="G548" s="4"/>
      <c r="H548" s="5"/>
      <c r="I548" s="4"/>
      <c r="J548" s="4"/>
      <c r="K548" s="4"/>
      <c r="L548" s="4"/>
      <c r="M548" s="6"/>
      <c r="N548" s="8"/>
      <c r="O548" s="13"/>
      <c r="P548" s="6"/>
    </row>
    <row r="549" spans="2:16" ht="86.25" customHeight="1" x14ac:dyDescent="0.25">
      <c r="B549" s="3"/>
      <c r="C549" s="4"/>
      <c r="D549" s="4"/>
      <c r="E549" s="4"/>
      <c r="F549" s="4"/>
      <c r="G549" s="4"/>
      <c r="H549" s="5"/>
      <c r="I549" s="4"/>
      <c r="J549" s="4"/>
      <c r="K549" s="4"/>
      <c r="L549" s="4"/>
      <c r="M549" s="6"/>
      <c r="N549" s="8"/>
      <c r="O549" s="13"/>
      <c r="P549" s="6"/>
    </row>
    <row r="550" spans="2:16" ht="86.25" customHeight="1" x14ac:dyDescent="0.25">
      <c r="B550" s="3"/>
      <c r="C550" s="4"/>
      <c r="D550" s="4"/>
      <c r="E550" s="4"/>
      <c r="F550" s="4"/>
      <c r="G550" s="4"/>
      <c r="H550" s="5"/>
      <c r="I550" s="4"/>
      <c r="J550" s="4"/>
      <c r="K550" s="4"/>
      <c r="L550" s="4"/>
      <c r="M550" s="6"/>
      <c r="N550" s="8"/>
      <c r="O550" s="13"/>
      <c r="P550" s="6"/>
    </row>
    <row r="551" spans="2:16" ht="86.25" customHeight="1" x14ac:dyDescent="0.25">
      <c r="B551" s="3"/>
      <c r="C551" s="4"/>
      <c r="D551" s="4"/>
      <c r="E551" s="4"/>
      <c r="F551" s="4"/>
      <c r="G551" s="4"/>
      <c r="H551" s="5"/>
      <c r="I551" s="4"/>
      <c r="J551" s="4"/>
      <c r="K551" s="4"/>
      <c r="L551" s="4"/>
      <c r="M551" s="6"/>
      <c r="N551" s="8"/>
      <c r="O551" s="13"/>
      <c r="P551" s="6"/>
    </row>
    <row r="552" spans="2:16" ht="86.25" customHeight="1" x14ac:dyDescent="0.25">
      <c r="B552" s="3"/>
      <c r="C552" s="4"/>
      <c r="D552" s="4"/>
      <c r="E552" s="4"/>
      <c r="F552" s="4"/>
      <c r="G552" s="4"/>
      <c r="H552" s="5"/>
      <c r="I552" s="4"/>
      <c r="J552" s="4"/>
      <c r="K552" s="4"/>
      <c r="L552" s="4"/>
      <c r="M552" s="6"/>
      <c r="N552" s="8"/>
      <c r="O552" s="13"/>
      <c r="P552" s="6"/>
    </row>
    <row r="553" spans="2:16" ht="86.25" customHeight="1" x14ac:dyDescent="0.25">
      <c r="B553" s="3"/>
      <c r="C553" s="4"/>
      <c r="D553" s="4"/>
      <c r="E553" s="4"/>
      <c r="F553" s="4"/>
      <c r="G553" s="4"/>
      <c r="H553" s="5"/>
      <c r="I553" s="4"/>
      <c r="J553" s="4"/>
      <c r="K553" s="4"/>
      <c r="L553" s="4"/>
      <c r="M553" s="6"/>
      <c r="N553" s="8"/>
      <c r="O553" s="13"/>
      <c r="P553" s="6"/>
    </row>
    <row r="554" spans="2:16" ht="86.25" customHeight="1" x14ac:dyDescent="0.25">
      <c r="B554" s="3"/>
      <c r="C554" s="4"/>
      <c r="D554" s="4"/>
      <c r="E554" s="4"/>
      <c r="F554" s="4"/>
      <c r="G554" s="4"/>
      <c r="H554" s="5"/>
      <c r="I554" s="4"/>
      <c r="J554" s="4"/>
      <c r="K554" s="4"/>
      <c r="L554" s="4"/>
      <c r="M554" s="6"/>
      <c r="N554" s="8"/>
      <c r="O554" s="13"/>
      <c r="P554" s="6"/>
    </row>
    <row r="555" spans="2:16" ht="86.25" customHeight="1" x14ac:dyDescent="0.25">
      <c r="B555" s="3"/>
      <c r="C555" s="4"/>
      <c r="D555" s="4"/>
      <c r="E555" s="4"/>
      <c r="F555" s="4"/>
      <c r="G555" s="4"/>
      <c r="H555" s="5"/>
      <c r="I555" s="4"/>
      <c r="J555" s="4"/>
      <c r="K555" s="4"/>
      <c r="L555" s="4"/>
      <c r="M555" s="6"/>
      <c r="N555" s="8"/>
      <c r="O555" s="13"/>
      <c r="P555" s="6"/>
    </row>
    <row r="556" spans="2:16" ht="86.25" customHeight="1" x14ac:dyDescent="0.25">
      <c r="B556" s="3"/>
      <c r="C556" s="4"/>
      <c r="D556" s="4"/>
      <c r="E556" s="4"/>
      <c r="F556" s="4"/>
      <c r="G556" s="4"/>
      <c r="H556" s="5"/>
      <c r="I556" s="4"/>
      <c r="J556" s="4"/>
      <c r="K556" s="4"/>
      <c r="L556" s="4"/>
      <c r="M556" s="6"/>
      <c r="N556" s="8"/>
      <c r="O556" s="13"/>
      <c r="P556" s="6"/>
    </row>
    <row r="557" spans="2:16" ht="86.25" customHeight="1" x14ac:dyDescent="0.25">
      <c r="B557" s="3"/>
      <c r="C557" s="4"/>
      <c r="D557" s="4"/>
      <c r="E557" s="4"/>
      <c r="F557" s="4"/>
      <c r="G557" s="4"/>
      <c r="H557" s="5"/>
      <c r="I557" s="4"/>
      <c r="J557" s="4"/>
      <c r="K557" s="4"/>
      <c r="L557" s="4"/>
      <c r="M557" s="6"/>
      <c r="N557" s="8"/>
      <c r="O557" s="13"/>
      <c r="P557" s="6"/>
    </row>
    <row r="558" spans="2:16" ht="86.25" customHeight="1" x14ac:dyDescent="0.25">
      <c r="B558" s="3"/>
      <c r="C558" s="4"/>
      <c r="D558" s="4"/>
      <c r="E558" s="4"/>
      <c r="F558" s="4"/>
      <c r="G558" s="4"/>
      <c r="H558" s="5"/>
      <c r="I558" s="4"/>
      <c r="J558" s="4"/>
      <c r="K558" s="4"/>
      <c r="L558" s="4"/>
      <c r="M558" s="6"/>
      <c r="N558" s="8"/>
      <c r="O558" s="13"/>
      <c r="P558" s="6"/>
    </row>
    <row r="559" spans="2:16" ht="86.25" customHeight="1" x14ac:dyDescent="0.25">
      <c r="B559" s="3"/>
      <c r="C559" s="4"/>
      <c r="D559" s="4"/>
      <c r="E559" s="4"/>
      <c r="F559" s="4"/>
      <c r="G559" s="4"/>
      <c r="H559" s="5"/>
      <c r="I559" s="4"/>
      <c r="J559" s="4"/>
      <c r="K559" s="4"/>
      <c r="L559" s="4"/>
      <c r="M559" s="6"/>
      <c r="N559" s="8"/>
      <c r="O559" s="13"/>
      <c r="P559" s="6"/>
    </row>
    <row r="560" spans="2:16" ht="86.25" customHeight="1" x14ac:dyDescent="0.25">
      <c r="B560" s="3"/>
      <c r="C560" s="4"/>
      <c r="D560" s="4"/>
      <c r="E560" s="4"/>
      <c r="F560" s="4"/>
      <c r="G560" s="4"/>
      <c r="H560" s="5"/>
      <c r="I560" s="4"/>
      <c r="J560" s="4"/>
      <c r="K560" s="4"/>
      <c r="L560" s="4"/>
      <c r="M560" s="6"/>
      <c r="N560" s="8"/>
      <c r="O560" s="13"/>
      <c r="P560" s="6"/>
    </row>
    <row r="561" spans="2:16" ht="86.25" customHeight="1" x14ac:dyDescent="0.25">
      <c r="B561" s="3"/>
      <c r="C561" s="4"/>
      <c r="D561" s="4"/>
      <c r="E561" s="4"/>
      <c r="F561" s="4"/>
      <c r="G561" s="4"/>
      <c r="H561" s="5"/>
      <c r="I561" s="4"/>
      <c r="J561" s="4"/>
      <c r="K561" s="4"/>
      <c r="L561" s="4"/>
      <c r="M561" s="6"/>
      <c r="N561" s="8"/>
      <c r="O561" s="13"/>
      <c r="P561" s="6"/>
    </row>
    <row r="562" spans="2:16" ht="86.25" customHeight="1" x14ac:dyDescent="0.25">
      <c r="B562" s="3"/>
      <c r="C562" s="4"/>
      <c r="D562" s="4"/>
      <c r="E562" s="4"/>
      <c r="F562" s="4"/>
      <c r="G562" s="4"/>
      <c r="H562" s="5"/>
      <c r="I562" s="4"/>
      <c r="J562" s="4"/>
      <c r="K562" s="4"/>
      <c r="L562" s="4"/>
      <c r="M562" s="6"/>
      <c r="N562" s="8"/>
      <c r="O562" s="13"/>
      <c r="P562" s="6"/>
    </row>
    <row r="563" spans="2:16" ht="86.25" customHeight="1" x14ac:dyDescent="0.25">
      <c r="B563" s="3"/>
      <c r="C563" s="4"/>
      <c r="D563" s="4"/>
      <c r="E563" s="4"/>
      <c r="F563" s="4"/>
      <c r="G563" s="4"/>
      <c r="H563" s="5"/>
      <c r="I563" s="4"/>
      <c r="J563" s="4"/>
      <c r="K563" s="4"/>
      <c r="L563" s="4"/>
      <c r="M563" s="6"/>
      <c r="N563" s="8"/>
      <c r="O563" s="13"/>
      <c r="P563" s="6"/>
    </row>
    <row r="564" spans="2:16" ht="86.25" customHeight="1" x14ac:dyDescent="0.25">
      <c r="B564" s="3"/>
      <c r="C564" s="4"/>
      <c r="D564" s="4"/>
      <c r="E564" s="4"/>
      <c r="F564" s="4"/>
      <c r="G564" s="4"/>
      <c r="H564" s="5"/>
      <c r="I564" s="4"/>
      <c r="J564" s="4"/>
      <c r="K564" s="4"/>
      <c r="L564" s="4"/>
      <c r="M564" s="6"/>
      <c r="N564" s="8"/>
      <c r="O564" s="13"/>
      <c r="P564" s="6"/>
    </row>
    <row r="565" spans="2:16" ht="86.25" customHeight="1" x14ac:dyDescent="0.25">
      <c r="B565" s="3"/>
      <c r="C565" s="4"/>
      <c r="D565" s="4"/>
      <c r="E565" s="4"/>
      <c r="F565" s="4"/>
      <c r="G565" s="4"/>
      <c r="H565" s="5"/>
      <c r="I565" s="4"/>
      <c r="J565" s="4"/>
      <c r="K565" s="4"/>
      <c r="L565" s="4"/>
      <c r="M565" s="6"/>
      <c r="N565" s="8"/>
      <c r="O565" s="13"/>
      <c r="P565" s="6"/>
    </row>
    <row r="566" spans="2:16" ht="86.25" customHeight="1" x14ac:dyDescent="0.25">
      <c r="B566" s="3"/>
      <c r="C566" s="4"/>
      <c r="D566" s="4"/>
      <c r="E566" s="4"/>
      <c r="F566" s="4"/>
      <c r="G566" s="4"/>
      <c r="H566" s="5"/>
      <c r="I566" s="4"/>
      <c r="J566" s="4"/>
      <c r="K566" s="4"/>
      <c r="L566" s="4"/>
      <c r="M566" s="6"/>
      <c r="N566" s="8"/>
      <c r="O566" s="13"/>
      <c r="P566" s="6"/>
    </row>
    <row r="567" spans="2:16" ht="86.25" customHeight="1" x14ac:dyDescent="0.25">
      <c r="B567" s="3"/>
      <c r="C567" s="4"/>
      <c r="D567" s="4"/>
      <c r="E567" s="4"/>
      <c r="F567" s="4"/>
      <c r="G567" s="4"/>
      <c r="H567" s="5"/>
      <c r="I567" s="4"/>
      <c r="J567" s="4"/>
      <c r="K567" s="4"/>
      <c r="L567" s="4"/>
      <c r="M567" s="6"/>
      <c r="N567" s="8"/>
      <c r="O567" s="13"/>
      <c r="P567" s="6"/>
    </row>
    <row r="568" spans="2:16" ht="86.25" customHeight="1" x14ac:dyDescent="0.25">
      <c r="B568" s="3"/>
      <c r="C568" s="4"/>
      <c r="D568" s="4"/>
      <c r="E568" s="4"/>
      <c r="F568" s="4"/>
      <c r="G568" s="4"/>
      <c r="H568" s="5"/>
      <c r="I568" s="4"/>
      <c r="J568" s="4"/>
      <c r="K568" s="4"/>
      <c r="L568" s="4"/>
      <c r="M568" s="6"/>
      <c r="N568" s="8"/>
      <c r="O568" s="13"/>
      <c r="P568" s="6"/>
    </row>
    <row r="569" spans="2:16" ht="86.25" customHeight="1" x14ac:dyDescent="0.25">
      <c r="B569" s="3"/>
      <c r="C569" s="4"/>
      <c r="D569" s="4"/>
      <c r="E569" s="4"/>
      <c r="F569" s="4"/>
      <c r="G569" s="4"/>
      <c r="H569" s="5"/>
      <c r="I569" s="4"/>
      <c r="J569" s="4"/>
      <c r="K569" s="4"/>
      <c r="L569" s="4"/>
      <c r="M569" s="6"/>
      <c r="N569" s="8"/>
      <c r="O569" s="13"/>
      <c r="P569" s="6"/>
    </row>
    <row r="570" spans="2:16" ht="86.25" customHeight="1" x14ac:dyDescent="0.25">
      <c r="B570" s="3"/>
      <c r="C570" s="4"/>
      <c r="D570" s="4"/>
      <c r="E570" s="4"/>
      <c r="F570" s="4"/>
      <c r="G570" s="4"/>
      <c r="H570" s="5"/>
      <c r="I570" s="4"/>
      <c r="J570" s="4"/>
      <c r="K570" s="4"/>
      <c r="L570" s="4"/>
      <c r="M570" s="6"/>
      <c r="N570" s="8"/>
      <c r="O570" s="13"/>
      <c r="P570" s="6"/>
    </row>
    <row r="571" spans="2:16" ht="86.25" customHeight="1" x14ac:dyDescent="0.25">
      <c r="B571" s="3"/>
      <c r="C571" s="4"/>
      <c r="D571" s="4"/>
      <c r="E571" s="4"/>
      <c r="F571" s="4"/>
      <c r="G571" s="4"/>
      <c r="H571" s="5"/>
      <c r="I571" s="4"/>
      <c r="J571" s="4"/>
      <c r="K571" s="4"/>
      <c r="L571" s="4"/>
      <c r="M571" s="6"/>
      <c r="N571" s="8"/>
      <c r="O571" s="13"/>
      <c r="P571" s="6"/>
    </row>
    <row r="572" spans="2:16" ht="86.25" customHeight="1" x14ac:dyDescent="0.25">
      <c r="B572" s="3"/>
      <c r="C572" s="4"/>
      <c r="D572" s="4"/>
      <c r="E572" s="4"/>
      <c r="F572" s="4"/>
      <c r="G572" s="4"/>
      <c r="H572" s="5"/>
      <c r="I572" s="4"/>
      <c r="J572" s="4"/>
      <c r="K572" s="4"/>
      <c r="L572" s="4"/>
      <c r="M572" s="6"/>
      <c r="N572" s="8"/>
      <c r="O572" s="13"/>
      <c r="P572" s="6"/>
    </row>
    <row r="573" spans="2:16" ht="86.25" customHeight="1" x14ac:dyDescent="0.25">
      <c r="B573" s="3"/>
      <c r="C573" s="4"/>
      <c r="D573" s="4"/>
      <c r="E573" s="4"/>
      <c r="F573" s="4"/>
      <c r="G573" s="4"/>
      <c r="H573" s="5"/>
      <c r="I573" s="4"/>
      <c r="J573" s="4"/>
      <c r="K573" s="4"/>
      <c r="L573" s="4"/>
      <c r="M573" s="6"/>
      <c r="N573" s="8"/>
      <c r="O573" s="13"/>
      <c r="P573" s="6"/>
    </row>
    <row r="574" spans="2:16" ht="86.25" customHeight="1" x14ac:dyDescent="0.25">
      <c r="B574" s="3"/>
      <c r="C574" s="4"/>
      <c r="D574" s="4"/>
      <c r="E574" s="4"/>
      <c r="F574" s="4"/>
      <c r="G574" s="4"/>
      <c r="H574" s="5"/>
      <c r="I574" s="4"/>
      <c r="J574" s="4"/>
      <c r="K574" s="4"/>
      <c r="L574" s="4"/>
      <c r="M574" s="6"/>
      <c r="N574" s="8"/>
      <c r="O574" s="13"/>
      <c r="P574" s="6"/>
    </row>
    <row r="575" spans="2:16" ht="86.25" customHeight="1" x14ac:dyDescent="0.25">
      <c r="B575" s="3"/>
      <c r="C575" s="4"/>
      <c r="D575" s="4"/>
      <c r="E575" s="4"/>
      <c r="F575" s="4"/>
      <c r="G575" s="4"/>
      <c r="H575" s="5"/>
      <c r="I575" s="4"/>
      <c r="J575" s="4"/>
      <c r="K575" s="4"/>
      <c r="L575" s="4"/>
      <c r="M575" s="6"/>
      <c r="N575" s="8"/>
      <c r="O575" s="13"/>
      <c r="P575" s="6"/>
    </row>
    <row r="576" spans="2:16" ht="86.25" customHeight="1" x14ac:dyDescent="0.25">
      <c r="B576" s="3"/>
      <c r="C576" s="4"/>
      <c r="D576" s="4"/>
      <c r="E576" s="4"/>
      <c r="F576" s="4"/>
      <c r="G576" s="4"/>
      <c r="H576" s="5"/>
      <c r="I576" s="4"/>
      <c r="J576" s="4"/>
      <c r="K576" s="4"/>
      <c r="L576" s="4"/>
      <c r="M576" s="6"/>
      <c r="N576" s="8"/>
      <c r="O576" s="13"/>
      <c r="P576" s="6"/>
    </row>
    <row r="577" spans="2:16" ht="86.25" customHeight="1" x14ac:dyDescent="0.25">
      <c r="B577" s="3"/>
      <c r="C577" s="4"/>
      <c r="D577" s="4"/>
      <c r="E577" s="4"/>
      <c r="F577" s="4"/>
      <c r="G577" s="4"/>
      <c r="H577" s="5"/>
      <c r="I577" s="4"/>
      <c r="J577" s="4"/>
      <c r="K577" s="4"/>
      <c r="L577" s="4"/>
      <c r="M577" s="6"/>
      <c r="N577" s="8"/>
      <c r="O577" s="13"/>
      <c r="P577" s="6"/>
    </row>
    <row r="578" spans="2:16" ht="86.25" customHeight="1" x14ac:dyDescent="0.25">
      <c r="B578" s="3"/>
      <c r="C578" s="4"/>
      <c r="D578" s="4"/>
      <c r="E578" s="4"/>
      <c r="F578" s="4"/>
      <c r="G578" s="4"/>
      <c r="H578" s="5"/>
      <c r="I578" s="4"/>
      <c r="J578" s="4"/>
      <c r="K578" s="4"/>
      <c r="L578" s="4"/>
      <c r="M578" s="6"/>
      <c r="N578" s="8"/>
      <c r="O578" s="13"/>
      <c r="P578" s="6"/>
    </row>
    <row r="579" spans="2:16" ht="86.25" customHeight="1" x14ac:dyDescent="0.25">
      <c r="B579" s="3"/>
      <c r="C579" s="4"/>
      <c r="D579" s="4"/>
      <c r="E579" s="4"/>
      <c r="F579" s="4"/>
      <c r="G579" s="4"/>
      <c r="H579" s="5"/>
      <c r="I579" s="4"/>
      <c r="J579" s="4"/>
      <c r="K579" s="4"/>
      <c r="L579" s="4"/>
      <c r="M579" s="6"/>
      <c r="N579" s="8"/>
      <c r="O579" s="13"/>
      <c r="P579" s="6"/>
    </row>
    <row r="580" spans="2:16" ht="86.25" customHeight="1" x14ac:dyDescent="0.25">
      <c r="B580" s="3"/>
      <c r="C580" s="4"/>
      <c r="D580" s="4"/>
      <c r="E580" s="4"/>
      <c r="F580" s="4"/>
      <c r="G580" s="4"/>
      <c r="H580" s="5"/>
      <c r="I580" s="4"/>
      <c r="J580" s="4"/>
      <c r="K580" s="4"/>
      <c r="L580" s="4"/>
      <c r="M580" s="6"/>
      <c r="N580" s="8"/>
      <c r="O580" s="13"/>
      <c r="P580" s="6"/>
    </row>
    <row r="581" spans="2:16" ht="86.25" customHeight="1" x14ac:dyDescent="0.25">
      <c r="B581" s="3"/>
      <c r="C581" s="4"/>
      <c r="D581" s="4"/>
      <c r="E581" s="4"/>
      <c r="F581" s="4"/>
      <c r="G581" s="4"/>
      <c r="H581" s="5"/>
      <c r="I581" s="4"/>
      <c r="J581" s="4"/>
      <c r="K581" s="4"/>
      <c r="L581" s="4"/>
      <c r="M581" s="6"/>
      <c r="N581" s="8"/>
      <c r="O581" s="13"/>
      <c r="P581" s="6"/>
    </row>
    <row r="582" spans="2:16" ht="86.25" customHeight="1" x14ac:dyDescent="0.25">
      <c r="B582" s="3"/>
      <c r="C582" s="4"/>
      <c r="D582" s="4"/>
      <c r="E582" s="4"/>
      <c r="F582" s="4"/>
      <c r="G582" s="4"/>
      <c r="H582" s="5"/>
      <c r="I582" s="4"/>
      <c r="J582" s="4"/>
      <c r="K582" s="4"/>
      <c r="L582" s="4"/>
      <c r="M582" s="6"/>
      <c r="N582" s="8"/>
      <c r="O582" s="13"/>
      <c r="P582" s="6"/>
    </row>
    <row r="583" spans="2:16" ht="86.25" customHeight="1" x14ac:dyDescent="0.25">
      <c r="B583" s="3"/>
      <c r="C583" s="4"/>
      <c r="D583" s="4"/>
      <c r="E583" s="4"/>
      <c r="F583" s="4"/>
      <c r="G583" s="4"/>
      <c r="H583" s="5"/>
      <c r="I583" s="4"/>
      <c r="J583" s="4"/>
      <c r="K583" s="4"/>
      <c r="L583" s="4"/>
      <c r="M583" s="6"/>
      <c r="N583" s="8"/>
      <c r="O583" s="13"/>
      <c r="P583" s="6"/>
    </row>
    <row r="584" spans="2:16" ht="86.25" customHeight="1" x14ac:dyDescent="0.25">
      <c r="B584" s="3"/>
      <c r="C584" s="4"/>
      <c r="D584" s="4"/>
      <c r="E584" s="4"/>
      <c r="F584" s="4"/>
      <c r="G584" s="4"/>
      <c r="H584" s="5"/>
      <c r="I584" s="4"/>
      <c r="J584" s="4"/>
      <c r="K584" s="4"/>
      <c r="L584" s="4"/>
      <c r="M584" s="6"/>
      <c r="N584" s="8"/>
      <c r="O584" s="13"/>
      <c r="P584" s="6"/>
    </row>
    <row r="585" spans="2:16" ht="86.25" customHeight="1" x14ac:dyDescent="0.25">
      <c r="B585" s="3"/>
      <c r="C585" s="4"/>
      <c r="D585" s="4"/>
      <c r="E585" s="4"/>
      <c r="F585" s="4"/>
      <c r="G585" s="4"/>
      <c r="H585" s="5"/>
      <c r="I585" s="4"/>
      <c r="J585" s="4"/>
      <c r="K585" s="4"/>
      <c r="L585" s="4"/>
      <c r="M585" s="6"/>
      <c r="N585" s="8"/>
      <c r="O585" s="13"/>
      <c r="P585" s="6"/>
    </row>
    <row r="586" spans="2:16" ht="86.25" customHeight="1" x14ac:dyDescent="0.25">
      <c r="B586" s="3"/>
      <c r="C586" s="4"/>
      <c r="D586" s="4"/>
      <c r="E586" s="4"/>
      <c r="F586" s="4"/>
      <c r="G586" s="4"/>
      <c r="H586" s="5"/>
      <c r="I586" s="4"/>
      <c r="J586" s="4"/>
      <c r="K586" s="4"/>
      <c r="L586" s="4"/>
      <c r="M586" s="6"/>
      <c r="N586" s="8"/>
      <c r="O586" s="13"/>
      <c r="P586" s="6"/>
    </row>
    <row r="587" spans="2:16" ht="86.25" customHeight="1" x14ac:dyDescent="0.25">
      <c r="B587" s="3"/>
      <c r="C587" s="4"/>
      <c r="D587" s="4"/>
      <c r="E587" s="4"/>
      <c r="F587" s="4"/>
      <c r="G587" s="4"/>
      <c r="H587" s="5"/>
      <c r="I587" s="4"/>
      <c r="J587" s="4"/>
      <c r="K587" s="4"/>
      <c r="L587" s="4"/>
      <c r="M587" s="6"/>
      <c r="N587" s="8"/>
      <c r="O587" s="13"/>
      <c r="P587" s="6"/>
    </row>
    <row r="588" spans="2:16" ht="86.25" customHeight="1" x14ac:dyDescent="0.25">
      <c r="B588" s="3"/>
      <c r="C588" s="4"/>
      <c r="D588" s="4"/>
      <c r="E588" s="4"/>
      <c r="F588" s="4"/>
      <c r="G588" s="4"/>
      <c r="H588" s="5"/>
      <c r="I588" s="4"/>
      <c r="J588" s="4"/>
      <c r="K588" s="4"/>
      <c r="L588" s="4"/>
      <c r="M588" s="6"/>
      <c r="N588" s="8"/>
      <c r="O588" s="13"/>
      <c r="P588" s="6"/>
    </row>
    <row r="589" spans="2:16" ht="86.25" customHeight="1" x14ac:dyDescent="0.25">
      <c r="B589" s="3"/>
      <c r="C589" s="4"/>
      <c r="D589" s="4"/>
      <c r="E589" s="4"/>
      <c r="F589" s="4"/>
      <c r="G589" s="4"/>
      <c r="H589" s="5"/>
      <c r="I589" s="4"/>
      <c r="J589" s="4"/>
      <c r="K589" s="4"/>
      <c r="L589" s="4"/>
      <c r="M589" s="6"/>
      <c r="N589" s="8"/>
      <c r="O589" s="13"/>
      <c r="P589" s="6"/>
    </row>
    <row r="590" spans="2:16" ht="86.25" customHeight="1" x14ac:dyDescent="0.25">
      <c r="B590" s="3"/>
      <c r="C590" s="4"/>
      <c r="D590" s="4"/>
      <c r="E590" s="4"/>
      <c r="F590" s="4"/>
      <c r="G590" s="4"/>
      <c r="H590" s="5"/>
      <c r="I590" s="4"/>
      <c r="J590" s="4"/>
      <c r="K590" s="4"/>
      <c r="L590" s="4"/>
      <c r="M590" s="6"/>
      <c r="N590" s="8"/>
      <c r="O590" s="13"/>
      <c r="P590" s="6"/>
    </row>
    <row r="591" spans="2:16" ht="86.25" customHeight="1" x14ac:dyDescent="0.25">
      <c r="B591" s="3"/>
      <c r="C591" s="4"/>
      <c r="D591" s="4"/>
      <c r="E591" s="4"/>
      <c r="F591" s="4"/>
      <c r="G591" s="4"/>
      <c r="H591" s="5"/>
      <c r="I591" s="4"/>
      <c r="J591" s="4"/>
      <c r="K591" s="4"/>
      <c r="L591" s="4"/>
      <c r="M591" s="6"/>
      <c r="N591" s="8"/>
      <c r="O591" s="13"/>
      <c r="P591" s="6"/>
    </row>
    <row r="592" spans="2:16" ht="86.25" customHeight="1" x14ac:dyDescent="0.25">
      <c r="B592" s="3"/>
      <c r="C592" s="4"/>
      <c r="D592" s="4"/>
      <c r="E592" s="4"/>
      <c r="F592" s="4"/>
      <c r="G592" s="4"/>
      <c r="H592" s="5"/>
      <c r="I592" s="4"/>
      <c r="J592" s="4"/>
      <c r="K592" s="4"/>
      <c r="L592" s="4"/>
      <c r="M592" s="6"/>
      <c r="N592" s="8"/>
      <c r="O592" s="13"/>
      <c r="P592" s="6"/>
    </row>
    <row r="593" spans="2:16" ht="86.25" customHeight="1" x14ac:dyDescent="0.25">
      <c r="B593" s="3"/>
      <c r="C593" s="4"/>
      <c r="D593" s="4"/>
      <c r="E593" s="4"/>
      <c r="F593" s="4"/>
      <c r="G593" s="4"/>
      <c r="H593" s="5"/>
      <c r="I593" s="4"/>
      <c r="J593" s="4"/>
      <c r="K593" s="4"/>
      <c r="L593" s="4"/>
      <c r="M593" s="6"/>
      <c r="N593" s="8"/>
      <c r="O593" s="13"/>
      <c r="P593" s="6"/>
    </row>
    <row r="594" spans="2:16" ht="86.25" customHeight="1" x14ac:dyDescent="0.25">
      <c r="B594" s="3"/>
      <c r="C594" s="4"/>
      <c r="D594" s="4"/>
      <c r="E594" s="4"/>
      <c r="F594" s="4"/>
      <c r="G594" s="4"/>
      <c r="H594" s="5"/>
      <c r="I594" s="4"/>
      <c r="J594" s="4"/>
      <c r="K594" s="4"/>
      <c r="L594" s="4"/>
      <c r="M594" s="6"/>
      <c r="N594" s="8"/>
      <c r="O594" s="13"/>
      <c r="P594" s="6"/>
    </row>
    <row r="595" spans="2:16" ht="86.25" customHeight="1" x14ac:dyDescent="0.25">
      <c r="B595" s="11"/>
      <c r="H595" s="2"/>
      <c r="K595" s="4"/>
      <c r="M595" s="6"/>
      <c r="N595" s="8"/>
      <c r="O595" s="13"/>
      <c r="P595" s="6"/>
    </row>
    <row r="596" spans="2:16" ht="86.25" customHeight="1" x14ac:dyDescent="0.25">
      <c r="B596" s="11"/>
      <c r="H596" s="2"/>
      <c r="K596" s="4"/>
      <c r="M596" s="6"/>
      <c r="N596" s="8"/>
      <c r="O596" s="13"/>
      <c r="P596" s="6"/>
    </row>
    <row r="597" spans="2:16" ht="86.25" customHeight="1" x14ac:dyDescent="0.25">
      <c r="B597" s="11"/>
      <c r="H597" s="2"/>
      <c r="K597" s="4"/>
      <c r="M597" s="6"/>
      <c r="N597" s="8"/>
      <c r="O597" s="13"/>
      <c r="P597" s="6"/>
    </row>
    <row r="598" spans="2:16" ht="86.25" customHeight="1" x14ac:dyDescent="0.25">
      <c r="B598" s="11"/>
      <c r="H598" s="2"/>
      <c r="K598" s="4"/>
      <c r="M598" s="6"/>
      <c r="N598" s="8"/>
      <c r="O598" s="13"/>
      <c r="P598" s="6"/>
    </row>
    <row r="599" spans="2:16" ht="86.25" customHeight="1" x14ac:dyDescent="0.25">
      <c r="B599" s="11"/>
      <c r="H599" s="2"/>
      <c r="K599" s="4"/>
      <c r="M599" s="6"/>
      <c r="N599" s="8"/>
      <c r="O599" s="13"/>
      <c r="P599" s="6"/>
    </row>
    <row r="600" spans="2:16" ht="86.25" customHeight="1" x14ac:dyDescent="0.25">
      <c r="B600" s="11"/>
      <c r="H600" s="2"/>
      <c r="K600" s="4"/>
      <c r="M600" s="6"/>
      <c r="N600" s="8"/>
      <c r="O600" s="13"/>
      <c r="P600" s="6"/>
    </row>
    <row r="601" spans="2:16" ht="86.25" customHeight="1" x14ac:dyDescent="0.25">
      <c r="B601" s="11"/>
      <c r="H601" s="2"/>
      <c r="K601" s="4"/>
      <c r="M601" s="6"/>
      <c r="N601" s="8"/>
      <c r="O601" s="13"/>
      <c r="P601" s="6"/>
    </row>
    <row r="602" spans="2:16" ht="86.25" customHeight="1" x14ac:dyDescent="0.25">
      <c r="B602" s="11"/>
      <c r="H602" s="2"/>
      <c r="K602" s="4"/>
      <c r="M602" s="6"/>
      <c r="N602" s="8"/>
      <c r="O602" s="13"/>
      <c r="P602" s="6"/>
    </row>
    <row r="603" spans="2:16" ht="86.25" customHeight="1" x14ac:dyDescent="0.25">
      <c r="B603" s="11"/>
      <c r="H603" s="2"/>
      <c r="K603" s="4"/>
      <c r="M603" s="6"/>
      <c r="N603" s="8"/>
      <c r="O603" s="13"/>
      <c r="P603" s="6"/>
    </row>
    <row r="604" spans="2:16" ht="86.25" customHeight="1" x14ac:dyDescent="0.25">
      <c r="B604" s="11"/>
      <c r="H604" s="2"/>
      <c r="K604" s="4"/>
      <c r="M604" s="6"/>
      <c r="N604" s="8"/>
      <c r="O604" s="13"/>
      <c r="P604" s="6"/>
    </row>
    <row r="605" spans="2:16" ht="86.25" customHeight="1" x14ac:dyDescent="0.25">
      <c r="B605" s="11"/>
      <c r="H605" s="2"/>
      <c r="K605" s="4"/>
      <c r="M605" s="6"/>
      <c r="N605" s="8"/>
      <c r="O605" s="13"/>
      <c r="P605" s="6"/>
    </row>
    <row r="606" spans="2:16" ht="86.25" customHeight="1" x14ac:dyDescent="0.25">
      <c r="B606" s="11"/>
      <c r="H606" s="2"/>
      <c r="K606" s="4"/>
      <c r="M606" s="6"/>
      <c r="N606" s="8"/>
      <c r="O606" s="13"/>
      <c r="P606" s="6"/>
    </row>
    <row r="607" spans="2:16" ht="86.25" customHeight="1" x14ac:dyDescent="0.25">
      <c r="B607" s="11"/>
      <c r="H607" s="2"/>
      <c r="K607" s="4"/>
      <c r="M607" s="6"/>
      <c r="N607" s="8"/>
      <c r="O607" s="13"/>
      <c r="P607" s="6"/>
    </row>
    <row r="608" spans="2:16" ht="86.25" customHeight="1" x14ac:dyDescent="0.25">
      <c r="B608" s="11"/>
      <c r="H608" s="2"/>
      <c r="K608" s="4"/>
      <c r="M608" s="6"/>
      <c r="N608" s="8"/>
      <c r="O608" s="13"/>
      <c r="P608" s="6"/>
    </row>
    <row r="609" spans="2:16" ht="86.25" customHeight="1" x14ac:dyDescent="0.25">
      <c r="B609" s="11"/>
      <c r="H609" s="2"/>
      <c r="K609" s="4"/>
      <c r="M609" s="6"/>
      <c r="N609" s="8"/>
      <c r="O609" s="13"/>
      <c r="P609" s="6"/>
    </row>
    <row r="610" spans="2:16" ht="86.25" customHeight="1" x14ac:dyDescent="0.25">
      <c r="B610" s="11"/>
      <c r="H610" s="2"/>
      <c r="K610" s="4"/>
      <c r="M610" s="6"/>
      <c r="N610" s="8"/>
      <c r="O610" s="13"/>
      <c r="P610" s="6"/>
    </row>
    <row r="611" spans="2:16" ht="86.25" customHeight="1" x14ac:dyDescent="0.25">
      <c r="B611" s="11"/>
      <c r="H611" s="2"/>
      <c r="K611" s="4"/>
      <c r="M611" s="6"/>
      <c r="N611" s="8"/>
      <c r="O611" s="13"/>
      <c r="P611" s="6"/>
    </row>
    <row r="612" spans="2:16" ht="86.25" customHeight="1" x14ac:dyDescent="0.25">
      <c r="B612" s="11"/>
      <c r="H612" s="2"/>
      <c r="K612" s="4"/>
      <c r="M612" s="6"/>
      <c r="N612" s="8"/>
      <c r="O612" s="13"/>
      <c r="P612" s="6"/>
    </row>
    <row r="613" spans="2:16" ht="86.25" customHeight="1" x14ac:dyDescent="0.25">
      <c r="B613" s="11"/>
      <c r="H613" s="2"/>
      <c r="K613" s="4"/>
      <c r="M613" s="6"/>
      <c r="N613" s="8"/>
      <c r="O613" s="13"/>
      <c r="P613" s="6"/>
    </row>
    <row r="614" spans="2:16" ht="86.25" customHeight="1" x14ac:dyDescent="0.25">
      <c r="B614" s="11"/>
      <c r="H614" s="2"/>
      <c r="K614" s="4"/>
      <c r="M614" s="6"/>
      <c r="N614" s="8"/>
      <c r="O614" s="13"/>
      <c r="P614" s="6"/>
    </row>
    <row r="615" spans="2:16" ht="86.25" customHeight="1" x14ac:dyDescent="0.25">
      <c r="B615" s="11"/>
      <c r="H615" s="2"/>
      <c r="K615" s="4"/>
      <c r="M615" s="6"/>
      <c r="N615" s="8"/>
      <c r="O615" s="13"/>
      <c r="P615" s="6"/>
    </row>
    <row r="616" spans="2:16" ht="86.25" customHeight="1" x14ac:dyDescent="0.25">
      <c r="B616" s="11"/>
      <c r="H616" s="2"/>
      <c r="K616" s="4"/>
      <c r="M616" s="6"/>
      <c r="N616" s="8"/>
      <c r="O616" s="13"/>
      <c r="P616" s="6"/>
    </row>
    <row r="617" spans="2:16" ht="86.25" customHeight="1" x14ac:dyDescent="0.25">
      <c r="B617" s="11"/>
      <c r="H617" s="2"/>
      <c r="K617" s="4"/>
      <c r="M617" s="6"/>
      <c r="N617" s="8"/>
      <c r="O617" s="13"/>
      <c r="P617" s="6"/>
    </row>
    <row r="618" spans="2:16" ht="86.25" customHeight="1" x14ac:dyDescent="0.25">
      <c r="B618" s="11"/>
      <c r="H618" s="2"/>
      <c r="K618" s="4"/>
      <c r="M618" s="6"/>
      <c r="N618" s="8"/>
      <c r="O618" s="13"/>
      <c r="P618" s="6"/>
    </row>
    <row r="619" spans="2:16" ht="86.25" customHeight="1" x14ac:dyDescent="0.25">
      <c r="B619" s="11"/>
      <c r="H619" s="2"/>
      <c r="K619" s="4"/>
      <c r="M619" s="6"/>
      <c r="N619" s="8"/>
      <c r="O619" s="13"/>
      <c r="P619" s="6"/>
    </row>
    <row r="620" spans="2:16" ht="86.25" customHeight="1" x14ac:dyDescent="0.25">
      <c r="B620" s="11"/>
      <c r="H620" s="2"/>
      <c r="K620" s="4"/>
      <c r="M620" s="6"/>
      <c r="N620" s="8"/>
      <c r="O620" s="13"/>
      <c r="P620" s="6"/>
    </row>
    <row r="621" spans="2:16" ht="86.25" customHeight="1" x14ac:dyDescent="0.25">
      <c r="B621" s="11"/>
      <c r="H621" s="2"/>
      <c r="K621" s="4"/>
      <c r="M621" s="6"/>
      <c r="N621" s="8"/>
      <c r="O621" s="13"/>
      <c r="P621" s="6"/>
    </row>
    <row r="622" spans="2:16" ht="86.25" customHeight="1" x14ac:dyDescent="0.25">
      <c r="B622" s="11"/>
      <c r="H622" s="2"/>
      <c r="K622" s="4"/>
      <c r="M622" s="6"/>
      <c r="N622" s="8"/>
      <c r="O622" s="13"/>
      <c r="P622" s="6"/>
    </row>
    <row r="623" spans="2:16" ht="86.25" customHeight="1" x14ac:dyDescent="0.25">
      <c r="B623" s="11"/>
      <c r="H623" s="2"/>
      <c r="K623" s="4"/>
      <c r="M623" s="6"/>
      <c r="N623" s="8"/>
      <c r="O623" s="13"/>
      <c r="P623" s="6"/>
    </row>
    <row r="624" spans="2:16" ht="86.25" customHeight="1" x14ac:dyDescent="0.25">
      <c r="B624" s="11"/>
      <c r="H624" s="2"/>
      <c r="K624" s="4"/>
      <c r="M624" s="6"/>
      <c r="N624" s="8"/>
      <c r="O624" s="13"/>
      <c r="P624" s="6"/>
    </row>
    <row r="625" spans="2:16" ht="86.25" customHeight="1" x14ac:dyDescent="0.25">
      <c r="B625" s="11"/>
      <c r="H625" s="2"/>
      <c r="K625" s="4"/>
      <c r="M625" s="6"/>
      <c r="N625" s="8"/>
      <c r="O625" s="13"/>
      <c r="P625" s="6"/>
    </row>
    <row r="626" spans="2:16" ht="86.25" customHeight="1" x14ac:dyDescent="0.25">
      <c r="B626" s="11"/>
      <c r="H626" s="2"/>
      <c r="K626" s="4"/>
      <c r="M626" s="6"/>
      <c r="N626" s="8"/>
      <c r="O626" s="13"/>
      <c r="P626" s="6"/>
    </row>
    <row r="627" spans="2:16" ht="86.25" customHeight="1" x14ac:dyDescent="0.25">
      <c r="B627" s="11"/>
      <c r="H627" s="2"/>
      <c r="K627" s="4"/>
      <c r="M627" s="6"/>
      <c r="N627" s="8"/>
      <c r="O627" s="13"/>
      <c r="P627" s="6"/>
    </row>
    <row r="628" spans="2:16" ht="86.25" customHeight="1" x14ac:dyDescent="0.25">
      <c r="B628" s="11"/>
      <c r="H628" s="2"/>
      <c r="K628" s="4"/>
      <c r="M628" s="6"/>
      <c r="N628" s="8"/>
      <c r="O628" s="13"/>
      <c r="P628" s="6"/>
    </row>
    <row r="629" spans="2:16" ht="86.25" customHeight="1" x14ac:dyDescent="0.25">
      <c r="B629" s="11"/>
      <c r="H629" s="2"/>
      <c r="K629" s="4"/>
      <c r="M629" s="6"/>
      <c r="N629" s="8"/>
      <c r="O629" s="13"/>
      <c r="P629" s="6"/>
    </row>
    <row r="630" spans="2:16" ht="86.25" customHeight="1" x14ac:dyDescent="0.25">
      <c r="B630" s="11"/>
      <c r="H630" s="2"/>
      <c r="K630" s="4"/>
      <c r="M630" s="6"/>
      <c r="N630" s="8"/>
      <c r="O630" s="13"/>
      <c r="P630" s="6"/>
    </row>
    <row r="631" spans="2:16" ht="86.25" customHeight="1" x14ac:dyDescent="0.25">
      <c r="B631" s="11"/>
      <c r="H631" s="2"/>
      <c r="K631" s="4"/>
      <c r="M631" s="6"/>
      <c r="N631" s="8"/>
      <c r="O631" s="13"/>
      <c r="P631" s="6"/>
    </row>
    <row r="632" spans="2:16" ht="86.25" customHeight="1" x14ac:dyDescent="0.25">
      <c r="B632" s="11"/>
      <c r="H632" s="2"/>
      <c r="K632" s="4"/>
      <c r="M632" s="6"/>
      <c r="N632" s="8"/>
      <c r="O632" s="13"/>
      <c r="P632" s="6"/>
    </row>
    <row r="633" spans="2:16" ht="86.25" customHeight="1" x14ac:dyDescent="0.25">
      <c r="B633" s="11"/>
      <c r="H633" s="2"/>
      <c r="K633" s="4"/>
      <c r="M633" s="6"/>
      <c r="N633" s="8"/>
      <c r="O633" s="13"/>
      <c r="P633" s="6"/>
    </row>
    <row r="634" spans="2:16" ht="86.25" customHeight="1" x14ac:dyDescent="0.25">
      <c r="B634" s="11"/>
      <c r="H634" s="2"/>
      <c r="K634" s="4"/>
      <c r="M634" s="6"/>
      <c r="N634" s="8"/>
      <c r="O634" s="13"/>
      <c r="P634" s="6"/>
    </row>
    <row r="635" spans="2:16" ht="86.25" customHeight="1" x14ac:dyDescent="0.25">
      <c r="B635" s="11"/>
      <c r="H635" s="2"/>
      <c r="K635" s="4"/>
      <c r="M635" s="6"/>
      <c r="N635" s="8"/>
      <c r="O635" s="13"/>
      <c r="P635" s="6"/>
    </row>
    <row r="636" spans="2:16" ht="86.25" customHeight="1" x14ac:dyDescent="0.25">
      <c r="B636" s="11"/>
      <c r="H636" s="2"/>
      <c r="K636" s="4"/>
      <c r="M636" s="6"/>
      <c r="N636" s="8"/>
      <c r="O636" s="13"/>
      <c r="P636" s="6"/>
    </row>
    <row r="637" spans="2:16" ht="86.25" customHeight="1" x14ac:dyDescent="0.25">
      <c r="B637" s="11"/>
      <c r="H637" s="2"/>
      <c r="K637" s="4"/>
      <c r="M637" s="6"/>
      <c r="N637" s="8"/>
      <c r="O637" s="13"/>
      <c r="P637" s="6"/>
    </row>
    <row r="638" spans="2:16" ht="86.25" customHeight="1" x14ac:dyDescent="0.25">
      <c r="B638" s="11"/>
      <c r="H638" s="2"/>
      <c r="K638" s="4"/>
      <c r="M638" s="6"/>
      <c r="N638" s="8"/>
      <c r="O638" s="13"/>
      <c r="P638" s="6"/>
    </row>
    <row r="639" spans="2:16" ht="86.25" customHeight="1" x14ac:dyDescent="0.25">
      <c r="B639" s="11"/>
      <c r="H639" s="2"/>
      <c r="K639" s="4"/>
      <c r="M639" s="6"/>
      <c r="N639" s="8"/>
      <c r="O639" s="13"/>
      <c r="P639" s="6"/>
    </row>
    <row r="640" spans="2:16" ht="86.25" customHeight="1" x14ac:dyDescent="0.25">
      <c r="B640" s="11"/>
      <c r="H640" s="2"/>
      <c r="K640" s="4"/>
      <c r="M640" s="6"/>
      <c r="N640" s="8"/>
      <c r="O640" s="13"/>
      <c r="P640" s="6"/>
    </row>
    <row r="641" spans="2:16" ht="86.25" customHeight="1" x14ac:dyDescent="0.25">
      <c r="B641" s="11"/>
      <c r="H641" s="2"/>
      <c r="K641" s="4"/>
      <c r="M641" s="6"/>
      <c r="N641" s="8"/>
      <c r="O641" s="13"/>
      <c r="P641" s="6"/>
    </row>
    <row r="642" spans="2:16" ht="86.25" customHeight="1" x14ac:dyDescent="0.25">
      <c r="B642" s="11"/>
      <c r="H642" s="2"/>
      <c r="K642" s="4"/>
      <c r="M642" s="6"/>
      <c r="N642" s="8"/>
      <c r="O642" s="13"/>
      <c r="P642" s="6"/>
    </row>
    <row r="643" spans="2:16" ht="86.25" customHeight="1" x14ac:dyDescent="0.25">
      <c r="B643" s="11"/>
      <c r="H643" s="2"/>
      <c r="K643" s="4"/>
      <c r="M643" s="6"/>
      <c r="N643" s="8"/>
      <c r="O643" s="13"/>
      <c r="P643" s="6"/>
    </row>
    <row r="644" spans="2:16" ht="86.25" customHeight="1" x14ac:dyDescent="0.25">
      <c r="B644" s="11"/>
      <c r="H644" s="2"/>
      <c r="K644" s="4"/>
      <c r="M644" s="6"/>
      <c r="N644" s="8"/>
      <c r="O644" s="13"/>
      <c r="P644" s="6"/>
    </row>
    <row r="645" spans="2:16" ht="86.25" customHeight="1" x14ac:dyDescent="0.25">
      <c r="B645" s="11"/>
      <c r="H645" s="2"/>
      <c r="K645" s="4"/>
      <c r="M645" s="6"/>
      <c r="N645" s="8"/>
      <c r="O645" s="13"/>
      <c r="P645" s="6"/>
    </row>
    <row r="646" spans="2:16" ht="86.25" customHeight="1" x14ac:dyDescent="0.25">
      <c r="B646" s="11"/>
      <c r="H646" s="2"/>
      <c r="K646" s="4"/>
      <c r="M646" s="6"/>
      <c r="N646" s="8"/>
      <c r="O646" s="13"/>
      <c r="P646" s="6"/>
    </row>
    <row r="647" spans="2:16" ht="86.25" customHeight="1" x14ac:dyDescent="0.25">
      <c r="B647" s="11"/>
      <c r="H647" s="2"/>
      <c r="K647" s="4"/>
      <c r="M647" s="6"/>
      <c r="N647" s="8"/>
      <c r="O647" s="13"/>
      <c r="P647" s="6"/>
    </row>
    <row r="648" spans="2:16" ht="86.25" customHeight="1" x14ac:dyDescent="0.25">
      <c r="B648" s="11"/>
      <c r="H648" s="2"/>
      <c r="K648" s="4"/>
      <c r="M648" s="6"/>
      <c r="N648" s="8"/>
      <c r="O648" s="13"/>
      <c r="P648" s="6"/>
    </row>
    <row r="649" spans="2:16" ht="86.25" customHeight="1" x14ac:dyDescent="0.25">
      <c r="B649" s="11"/>
      <c r="H649" s="2"/>
      <c r="K649" s="4"/>
      <c r="M649" s="6"/>
      <c r="N649" s="8"/>
      <c r="O649" s="13"/>
      <c r="P649" s="6"/>
    </row>
    <row r="650" spans="2:16" ht="86.25" customHeight="1" x14ac:dyDescent="0.25">
      <c r="B650" s="11"/>
      <c r="H650" s="2"/>
      <c r="K650" s="4"/>
      <c r="M650" s="6"/>
      <c r="N650" s="8"/>
      <c r="O650" s="13"/>
      <c r="P650" s="6"/>
    </row>
    <row r="651" spans="2:16" ht="86.25" customHeight="1" x14ac:dyDescent="0.25">
      <c r="B651" s="11"/>
      <c r="H651" s="2"/>
      <c r="K651" s="4"/>
      <c r="M651" s="6"/>
      <c r="N651" s="8"/>
      <c r="O651" s="13"/>
      <c r="P651" s="6"/>
    </row>
    <row r="652" spans="2:16" ht="86.25" customHeight="1" x14ac:dyDescent="0.25">
      <c r="B652" s="11"/>
      <c r="H652" s="2"/>
      <c r="K652" s="4"/>
      <c r="M652" s="6"/>
      <c r="N652" s="8"/>
      <c r="O652" s="13"/>
      <c r="P652" s="6"/>
    </row>
    <row r="653" spans="2:16" ht="86.25" customHeight="1" x14ac:dyDescent="0.25">
      <c r="B653" s="11"/>
      <c r="H653" s="2"/>
      <c r="K653" s="4"/>
      <c r="M653" s="6"/>
      <c r="N653" s="8"/>
      <c r="O653" s="13"/>
      <c r="P653" s="6"/>
    </row>
    <row r="654" spans="2:16" ht="86.25" customHeight="1" x14ac:dyDescent="0.25">
      <c r="B654" s="11"/>
      <c r="H654" s="2"/>
      <c r="K654" s="4"/>
      <c r="M654" s="6"/>
      <c r="N654" s="8"/>
      <c r="O654" s="13"/>
      <c r="P654" s="6"/>
    </row>
    <row r="655" spans="2:16" ht="86.25" customHeight="1" x14ac:dyDescent="0.25">
      <c r="B655" s="11"/>
      <c r="H655" s="2"/>
      <c r="K655" s="4"/>
      <c r="M655" s="6"/>
      <c r="N655" s="8"/>
      <c r="O655" s="13"/>
      <c r="P655" s="6"/>
    </row>
    <row r="656" spans="2:16" ht="86.25" customHeight="1" x14ac:dyDescent="0.25">
      <c r="B656" s="11"/>
      <c r="H656" s="2"/>
      <c r="K656" s="4"/>
      <c r="M656" s="6"/>
      <c r="N656" s="8"/>
      <c r="O656" s="13"/>
      <c r="P656" s="6"/>
    </row>
    <row r="657" spans="2:16" ht="86.25" customHeight="1" x14ac:dyDescent="0.25">
      <c r="B657" s="11"/>
      <c r="H657" s="2"/>
      <c r="K657" s="4"/>
      <c r="M657" s="6"/>
      <c r="N657" s="8"/>
      <c r="O657" s="13"/>
      <c r="P657" s="6"/>
    </row>
    <row r="658" spans="2:16" ht="86.25" customHeight="1" x14ac:dyDescent="0.25">
      <c r="B658" s="11"/>
      <c r="H658" s="2"/>
      <c r="K658" s="4"/>
      <c r="M658" s="6"/>
      <c r="N658" s="8"/>
      <c r="O658" s="13"/>
      <c r="P658" s="6"/>
    </row>
    <row r="659" spans="2:16" ht="86.25" customHeight="1" x14ac:dyDescent="0.25">
      <c r="B659" s="11"/>
      <c r="H659" s="2"/>
      <c r="K659" s="4"/>
      <c r="M659" s="6"/>
      <c r="N659" s="8"/>
      <c r="O659" s="13"/>
      <c r="P659" s="6"/>
    </row>
    <row r="660" spans="2:16" ht="86.25" customHeight="1" x14ac:dyDescent="0.25">
      <c r="B660" s="11"/>
      <c r="H660" s="2"/>
      <c r="K660" s="4"/>
      <c r="M660" s="6"/>
      <c r="N660" s="8"/>
      <c r="O660" s="13"/>
      <c r="P660" s="6"/>
    </row>
    <row r="661" spans="2:16" ht="86.25" customHeight="1" x14ac:dyDescent="0.25">
      <c r="B661" s="11"/>
      <c r="H661" s="2"/>
      <c r="K661" s="4"/>
      <c r="M661" s="6"/>
      <c r="N661" s="8"/>
      <c r="O661" s="13"/>
      <c r="P661" s="6"/>
    </row>
    <row r="662" spans="2:16" ht="86.25" customHeight="1" x14ac:dyDescent="0.25">
      <c r="B662" s="11"/>
      <c r="H662" s="2"/>
      <c r="K662" s="4"/>
      <c r="M662" s="6"/>
      <c r="N662" s="8"/>
      <c r="O662" s="13"/>
      <c r="P662" s="6"/>
    </row>
    <row r="663" spans="2:16" ht="86.25" customHeight="1" x14ac:dyDescent="0.25">
      <c r="B663" s="11"/>
      <c r="H663" s="2"/>
      <c r="K663" s="4"/>
      <c r="M663" s="6"/>
      <c r="N663" s="8"/>
      <c r="O663" s="13"/>
      <c r="P663" s="6"/>
    </row>
    <row r="664" spans="2:16" ht="86.25" customHeight="1" x14ac:dyDescent="0.25">
      <c r="B664" s="11"/>
      <c r="H664" s="2"/>
      <c r="K664" s="4"/>
      <c r="M664" s="6"/>
      <c r="N664" s="8"/>
      <c r="O664" s="13"/>
      <c r="P664" s="6"/>
    </row>
    <row r="665" spans="2:16" ht="86.25" customHeight="1" x14ac:dyDescent="0.25">
      <c r="B665" s="11"/>
      <c r="H665" s="2"/>
      <c r="K665" s="4"/>
      <c r="M665" s="6"/>
      <c r="N665" s="8"/>
      <c r="O665" s="13"/>
      <c r="P665" s="6"/>
    </row>
    <row r="666" spans="2:16" ht="86.25" customHeight="1" x14ac:dyDescent="0.25">
      <c r="B666" s="11"/>
      <c r="H666" s="2"/>
      <c r="K666" s="4"/>
      <c r="M666" s="6"/>
      <c r="N666" s="8"/>
      <c r="O666" s="13"/>
      <c r="P666" s="6"/>
    </row>
    <row r="667" spans="2:16" ht="86.25" customHeight="1" x14ac:dyDescent="0.25">
      <c r="B667" s="11"/>
      <c r="H667" s="2"/>
      <c r="K667" s="4"/>
      <c r="M667" s="6"/>
      <c r="N667" s="8"/>
      <c r="O667" s="13"/>
      <c r="P667" s="6"/>
    </row>
    <row r="668" spans="2:16" ht="86.25" customHeight="1" x14ac:dyDescent="0.25">
      <c r="B668" s="11"/>
      <c r="H668" s="2"/>
      <c r="K668" s="4"/>
      <c r="M668" s="6"/>
      <c r="N668" s="8"/>
      <c r="O668" s="13"/>
      <c r="P668" s="6"/>
    </row>
    <row r="669" spans="2:16" ht="86.25" customHeight="1" x14ac:dyDescent="0.25">
      <c r="B669" s="11"/>
      <c r="H669" s="2"/>
      <c r="K669" s="4"/>
      <c r="M669" s="6"/>
      <c r="N669" s="8"/>
      <c r="O669" s="13"/>
      <c r="P669" s="6"/>
    </row>
    <row r="670" spans="2:16" ht="86.25" customHeight="1" x14ac:dyDescent="0.25">
      <c r="B670" s="11"/>
      <c r="H670" s="2"/>
      <c r="K670" s="4"/>
      <c r="M670" s="6"/>
      <c r="N670" s="8"/>
      <c r="O670" s="13"/>
      <c r="P670" s="6"/>
    </row>
    <row r="671" spans="2:16" ht="86.25" customHeight="1" x14ac:dyDescent="0.25">
      <c r="B671" s="11"/>
      <c r="H671" s="2"/>
      <c r="K671" s="4"/>
      <c r="M671" s="6"/>
      <c r="N671" s="8"/>
      <c r="O671" s="13"/>
      <c r="P671" s="6"/>
    </row>
    <row r="672" spans="2:16" ht="86.25" customHeight="1" x14ac:dyDescent="0.25">
      <c r="B672" s="11"/>
      <c r="H672" s="2"/>
      <c r="K672" s="4"/>
      <c r="M672" s="6"/>
      <c r="N672" s="8"/>
      <c r="O672" s="13"/>
      <c r="P672" s="6"/>
    </row>
    <row r="673" spans="2:16" ht="86.25" customHeight="1" x14ac:dyDescent="0.25">
      <c r="B673" s="11"/>
      <c r="H673" s="2"/>
      <c r="K673" s="4"/>
      <c r="M673" s="6"/>
      <c r="N673" s="8"/>
      <c r="O673" s="13"/>
      <c r="P673" s="6"/>
    </row>
    <row r="674" spans="2:16" ht="86.25" customHeight="1" x14ac:dyDescent="0.25">
      <c r="B674" s="11"/>
      <c r="H674" s="2"/>
      <c r="K674" s="4"/>
      <c r="M674" s="6"/>
      <c r="N674" s="8"/>
      <c r="O674" s="13"/>
      <c r="P674" s="6"/>
    </row>
    <row r="675" spans="2:16" ht="86.25" customHeight="1" x14ac:dyDescent="0.25">
      <c r="B675" s="11"/>
      <c r="H675" s="2"/>
      <c r="K675" s="4"/>
      <c r="M675" s="6"/>
      <c r="N675" s="8"/>
      <c r="O675" s="13"/>
      <c r="P675" s="6"/>
    </row>
    <row r="676" spans="2:16" ht="86.25" customHeight="1" x14ac:dyDescent="0.25">
      <c r="B676" s="11"/>
      <c r="H676" s="2"/>
      <c r="K676" s="4"/>
      <c r="M676" s="6"/>
      <c r="N676" s="8"/>
      <c r="O676" s="13"/>
      <c r="P676" s="6"/>
    </row>
    <row r="677" spans="2:16" ht="86.25" customHeight="1" x14ac:dyDescent="0.25">
      <c r="B677" s="11"/>
      <c r="H677" s="2"/>
      <c r="K677" s="4"/>
      <c r="M677" s="6"/>
      <c r="N677" s="8"/>
      <c r="O677" s="13"/>
      <c r="P677" s="6"/>
    </row>
    <row r="678" spans="2:16" ht="86.25" customHeight="1" x14ac:dyDescent="0.25">
      <c r="B678" s="11"/>
      <c r="H678" s="2"/>
      <c r="K678" s="4"/>
      <c r="M678" s="6"/>
      <c r="N678" s="8"/>
      <c r="O678" s="13"/>
      <c r="P678" s="6"/>
    </row>
    <row r="679" spans="2:16" ht="86.25" customHeight="1" x14ac:dyDescent="0.25">
      <c r="B679" s="11"/>
      <c r="H679" s="2"/>
      <c r="K679" s="4"/>
      <c r="M679" s="6"/>
      <c r="N679" s="8"/>
      <c r="O679" s="13"/>
      <c r="P679" s="6"/>
    </row>
    <row r="680" spans="2:16" ht="86.25" customHeight="1" x14ac:dyDescent="0.25">
      <c r="B680" s="11"/>
      <c r="H680" s="2"/>
      <c r="K680" s="4"/>
      <c r="M680" s="6"/>
      <c r="N680" s="8"/>
      <c r="O680" s="13"/>
      <c r="P680" s="6"/>
    </row>
    <row r="681" spans="2:16" ht="86.25" customHeight="1" x14ac:dyDescent="0.25">
      <c r="B681" s="11"/>
      <c r="H681" s="2"/>
      <c r="K681" s="4"/>
      <c r="M681" s="6"/>
      <c r="N681" s="8"/>
      <c r="O681" s="13"/>
      <c r="P681" s="6"/>
    </row>
    <row r="682" spans="2:16" ht="86.25" customHeight="1" x14ac:dyDescent="0.25">
      <c r="B682" s="11"/>
      <c r="H682" s="2"/>
      <c r="K682" s="4"/>
      <c r="M682" s="6"/>
      <c r="N682" s="8"/>
      <c r="O682" s="13"/>
      <c r="P682" s="6"/>
    </row>
    <row r="683" spans="2:16" ht="86.25" customHeight="1" x14ac:dyDescent="0.25">
      <c r="B683" s="11"/>
      <c r="H683" s="2"/>
      <c r="K683" s="4"/>
      <c r="M683" s="6"/>
      <c r="N683" s="8"/>
      <c r="O683" s="13"/>
      <c r="P683" s="6"/>
    </row>
    <row r="684" spans="2:16" ht="86.25" customHeight="1" x14ac:dyDescent="0.25">
      <c r="B684" s="11"/>
      <c r="H684" s="2"/>
      <c r="K684" s="4"/>
      <c r="M684" s="6"/>
      <c r="N684" s="8"/>
      <c r="O684" s="13"/>
      <c r="P684" s="6"/>
    </row>
    <row r="685" spans="2:16" ht="86.25" customHeight="1" x14ac:dyDescent="0.25">
      <c r="B685" s="11"/>
      <c r="H685" s="2"/>
      <c r="K685" s="4"/>
      <c r="M685" s="6"/>
      <c r="N685" s="8"/>
      <c r="O685" s="13"/>
      <c r="P685" s="6"/>
    </row>
    <row r="686" spans="2:16" ht="86.25" customHeight="1" x14ac:dyDescent="0.25">
      <c r="B686" s="11"/>
      <c r="H686" s="2"/>
      <c r="K686" s="4"/>
      <c r="M686" s="6"/>
      <c r="N686" s="8"/>
      <c r="O686" s="13"/>
      <c r="P686" s="6"/>
    </row>
    <row r="687" spans="2:16" ht="86.25" customHeight="1" x14ac:dyDescent="0.25">
      <c r="B687" s="11"/>
      <c r="H687" s="2"/>
      <c r="K687" s="4"/>
      <c r="M687" s="6"/>
      <c r="N687" s="8"/>
      <c r="O687" s="13"/>
      <c r="P687" s="6"/>
    </row>
    <row r="688" spans="2:16" ht="86.25" customHeight="1" x14ac:dyDescent="0.25">
      <c r="B688" s="11"/>
      <c r="H688" s="2"/>
      <c r="K688" s="4"/>
      <c r="M688" s="6"/>
      <c r="N688" s="8"/>
      <c r="O688" s="13"/>
      <c r="P688" s="6"/>
    </row>
    <row r="689" spans="2:16" ht="86.25" customHeight="1" x14ac:dyDescent="0.25">
      <c r="B689" s="11"/>
      <c r="H689" s="2"/>
      <c r="K689" s="4"/>
      <c r="M689" s="6"/>
      <c r="N689" s="8"/>
      <c r="O689" s="13"/>
      <c r="P689" s="6"/>
    </row>
    <row r="690" spans="2:16" ht="86.25" customHeight="1" x14ac:dyDescent="0.25">
      <c r="B690" s="11"/>
      <c r="H690" s="2"/>
      <c r="K690" s="4"/>
      <c r="M690" s="6"/>
      <c r="N690" s="8"/>
      <c r="O690" s="13"/>
      <c r="P690" s="6"/>
    </row>
    <row r="691" spans="2:16" ht="86.25" customHeight="1" x14ac:dyDescent="0.25">
      <c r="B691" s="11"/>
      <c r="H691" s="2"/>
      <c r="K691" s="4"/>
      <c r="M691" s="6"/>
      <c r="N691" s="8"/>
      <c r="O691" s="13"/>
      <c r="P691" s="6"/>
    </row>
    <row r="692" spans="2:16" ht="86.25" customHeight="1" x14ac:dyDescent="0.25">
      <c r="B692" s="11"/>
      <c r="H692" s="2"/>
      <c r="K692" s="4"/>
      <c r="M692" s="6"/>
      <c r="N692" s="8"/>
      <c r="O692" s="13"/>
      <c r="P692" s="6"/>
    </row>
    <row r="693" spans="2:16" ht="86.25" customHeight="1" x14ac:dyDescent="0.25">
      <c r="B693" s="11"/>
      <c r="H693" s="2"/>
      <c r="K693" s="4"/>
      <c r="M693" s="6"/>
      <c r="N693" s="8"/>
      <c r="O693" s="13"/>
      <c r="P693" s="6"/>
    </row>
    <row r="694" spans="2:16" ht="86.25" customHeight="1" x14ac:dyDescent="0.25">
      <c r="B694" s="11"/>
      <c r="H694" s="2"/>
      <c r="K694" s="4"/>
      <c r="M694" s="6"/>
      <c r="N694" s="8"/>
      <c r="O694" s="13"/>
      <c r="P694" s="6"/>
    </row>
    <row r="695" spans="2:16" ht="86.25" customHeight="1" x14ac:dyDescent="0.25">
      <c r="B695" s="11"/>
      <c r="H695" s="2"/>
      <c r="K695" s="4"/>
      <c r="M695" s="6"/>
      <c r="N695" s="8"/>
      <c r="O695" s="13"/>
      <c r="P695" s="6"/>
    </row>
    <row r="696" spans="2:16" ht="86.25" customHeight="1" x14ac:dyDescent="0.25">
      <c r="B696" s="11"/>
      <c r="H696" s="2"/>
      <c r="K696" s="4"/>
      <c r="M696" s="6"/>
      <c r="N696" s="8"/>
      <c r="O696" s="13"/>
      <c r="P696" s="6"/>
    </row>
    <row r="697" spans="2:16" ht="86.25" customHeight="1" x14ac:dyDescent="0.25">
      <c r="B697" s="11"/>
      <c r="H697" s="2"/>
      <c r="K697" s="4"/>
      <c r="M697" s="6"/>
      <c r="N697" s="8"/>
      <c r="O697" s="13"/>
      <c r="P697" s="6"/>
    </row>
    <row r="698" spans="2:16" ht="86.25" customHeight="1" x14ac:dyDescent="0.25">
      <c r="B698" s="11"/>
      <c r="H698" s="2"/>
      <c r="K698" s="4"/>
      <c r="M698" s="6"/>
      <c r="N698" s="8"/>
      <c r="O698" s="13"/>
      <c r="P698" s="6"/>
    </row>
    <row r="699" spans="2:16" ht="86.25" customHeight="1" x14ac:dyDescent="0.25">
      <c r="B699" s="11"/>
      <c r="H699" s="2"/>
      <c r="K699" s="4"/>
      <c r="M699" s="6"/>
      <c r="N699" s="8"/>
      <c r="O699" s="13"/>
      <c r="P699" s="6"/>
    </row>
    <row r="700" spans="2:16" ht="86.25" customHeight="1" x14ac:dyDescent="0.25">
      <c r="B700" s="11"/>
      <c r="H700" s="2"/>
      <c r="K700" s="4"/>
      <c r="M700" s="6"/>
      <c r="N700" s="8"/>
      <c r="O700" s="13"/>
      <c r="P700" s="6"/>
    </row>
    <row r="701" spans="2:16" ht="86.25" customHeight="1" x14ac:dyDescent="0.25">
      <c r="B701" s="11"/>
      <c r="H701" s="2"/>
      <c r="K701" s="4"/>
      <c r="M701" s="6"/>
      <c r="N701" s="8"/>
      <c r="O701" s="13"/>
      <c r="P701" s="6"/>
    </row>
    <row r="702" spans="2:16" ht="86.25" customHeight="1" x14ac:dyDescent="0.25">
      <c r="B702" s="11"/>
      <c r="H702" s="2"/>
      <c r="K702" s="4"/>
      <c r="M702" s="6"/>
      <c r="N702" s="8"/>
      <c r="O702" s="13"/>
      <c r="P702" s="6"/>
    </row>
    <row r="703" spans="2:16" ht="86.25" customHeight="1" x14ac:dyDescent="0.25">
      <c r="B703" s="11"/>
      <c r="H703" s="2"/>
      <c r="K703" s="4"/>
      <c r="M703" s="6"/>
      <c r="N703" s="8"/>
      <c r="O703" s="13"/>
      <c r="P703" s="6"/>
    </row>
    <row r="704" spans="2:16" ht="86.25" customHeight="1" x14ac:dyDescent="0.25">
      <c r="B704" s="11"/>
      <c r="H704" s="2"/>
      <c r="K704" s="4"/>
      <c r="M704" s="6"/>
      <c r="N704" s="8"/>
      <c r="O704" s="13"/>
      <c r="P704" s="6"/>
    </row>
    <row r="705" spans="2:16" ht="86.25" customHeight="1" x14ac:dyDescent="0.25">
      <c r="B705" s="11"/>
      <c r="H705" s="2"/>
      <c r="K705" s="4"/>
      <c r="M705" s="6"/>
      <c r="N705" s="8"/>
      <c r="O705" s="13"/>
      <c r="P705" s="6"/>
    </row>
    <row r="706" spans="2:16" ht="86.25" customHeight="1" x14ac:dyDescent="0.25">
      <c r="B706" s="11"/>
      <c r="H706" s="2"/>
      <c r="K706" s="4"/>
      <c r="M706" s="6"/>
      <c r="N706" s="8"/>
      <c r="O706" s="13"/>
      <c r="P706" s="6"/>
    </row>
    <row r="707" spans="2:16" ht="86.25" customHeight="1" x14ac:dyDescent="0.25">
      <c r="B707" s="11"/>
      <c r="H707" s="2"/>
      <c r="K707" s="4"/>
      <c r="M707" s="6"/>
      <c r="N707" s="8"/>
      <c r="O707" s="13"/>
      <c r="P707" s="6"/>
    </row>
    <row r="708" spans="2:16" ht="86.25" customHeight="1" x14ac:dyDescent="0.25">
      <c r="B708" s="11"/>
      <c r="H708" s="2"/>
      <c r="K708" s="4"/>
      <c r="M708" s="6"/>
      <c r="N708" s="8"/>
      <c r="O708" s="13"/>
      <c r="P708" s="6"/>
    </row>
    <row r="709" spans="2:16" ht="86.25" customHeight="1" x14ac:dyDescent="0.25">
      <c r="B709" s="11"/>
      <c r="H709" s="2"/>
      <c r="K709" s="4"/>
      <c r="M709" s="6"/>
      <c r="N709" s="8"/>
      <c r="O709" s="13"/>
      <c r="P709" s="6"/>
    </row>
    <row r="710" spans="2:16" ht="86.25" customHeight="1" x14ac:dyDescent="0.25">
      <c r="B710" s="11"/>
      <c r="H710" s="2"/>
      <c r="K710" s="4"/>
      <c r="M710" s="6"/>
      <c r="N710" s="8"/>
      <c r="O710" s="13"/>
      <c r="P710" s="6"/>
    </row>
    <row r="711" spans="2:16" ht="86.25" customHeight="1" x14ac:dyDescent="0.25">
      <c r="B711" s="11"/>
      <c r="H711" s="2"/>
      <c r="K711" s="4"/>
      <c r="M711" s="6"/>
      <c r="N711" s="8"/>
      <c r="O711" s="13"/>
      <c r="P711" s="6"/>
    </row>
    <row r="712" spans="2:16" ht="86.25" customHeight="1" x14ac:dyDescent="0.25">
      <c r="B712" s="11"/>
      <c r="H712" s="2"/>
      <c r="K712" s="4"/>
      <c r="M712" s="6"/>
      <c r="N712" s="8"/>
      <c r="O712" s="13"/>
      <c r="P712" s="6"/>
    </row>
    <row r="713" spans="2:16" ht="86.25" customHeight="1" x14ac:dyDescent="0.25">
      <c r="B713" s="11"/>
      <c r="H713" s="2"/>
      <c r="K713" s="4"/>
      <c r="M713" s="6"/>
      <c r="N713" s="8"/>
      <c r="O713" s="13"/>
      <c r="P713" s="6"/>
    </row>
    <row r="714" spans="2:16" ht="86.25" customHeight="1" x14ac:dyDescent="0.25">
      <c r="B714" s="11"/>
      <c r="H714" s="2"/>
      <c r="K714" s="4"/>
      <c r="M714" s="6"/>
      <c r="N714" s="8"/>
      <c r="O714" s="13"/>
      <c r="P714" s="6"/>
    </row>
    <row r="715" spans="2:16" ht="86.25" customHeight="1" x14ac:dyDescent="0.25">
      <c r="B715" s="11"/>
      <c r="H715" s="2"/>
      <c r="K715" s="4"/>
      <c r="M715" s="6"/>
      <c r="N715" s="8"/>
      <c r="O715" s="13"/>
      <c r="P715" s="6"/>
    </row>
    <row r="716" spans="2:16" ht="86.25" customHeight="1" x14ac:dyDescent="0.25">
      <c r="B716" s="11"/>
      <c r="H716" s="2"/>
      <c r="K716" s="4"/>
      <c r="M716" s="6"/>
      <c r="N716" s="8"/>
      <c r="O716" s="13"/>
      <c r="P716" s="6"/>
    </row>
    <row r="717" spans="2:16" ht="86.25" customHeight="1" x14ac:dyDescent="0.25">
      <c r="B717" s="11"/>
      <c r="H717" s="2"/>
      <c r="K717" s="4"/>
      <c r="M717" s="6"/>
      <c r="N717" s="8"/>
      <c r="O717" s="13"/>
      <c r="P717" s="6"/>
    </row>
    <row r="718" spans="2:16" ht="86.25" customHeight="1" x14ac:dyDescent="0.25">
      <c r="B718" s="11"/>
      <c r="H718" s="2"/>
      <c r="K718" s="4"/>
      <c r="M718" s="6"/>
      <c r="N718" s="8"/>
      <c r="O718" s="13"/>
      <c r="P718" s="6"/>
    </row>
    <row r="719" spans="2:16" ht="86.25" customHeight="1" x14ac:dyDescent="0.25">
      <c r="B719" s="11"/>
      <c r="H719" s="2"/>
      <c r="K719" s="4"/>
      <c r="M719" s="6"/>
      <c r="N719" s="8"/>
      <c r="O719" s="13"/>
      <c r="P719" s="6"/>
    </row>
    <row r="720" spans="2:16" ht="86.25" customHeight="1" x14ac:dyDescent="0.25">
      <c r="B720" s="11"/>
      <c r="H720" s="2"/>
      <c r="K720" s="4"/>
      <c r="M720" s="6"/>
      <c r="N720" s="8"/>
      <c r="O720" s="13"/>
      <c r="P720" s="6"/>
    </row>
    <row r="721" spans="2:16" ht="86.25" customHeight="1" x14ac:dyDescent="0.25">
      <c r="B721" s="11"/>
      <c r="H721" s="2"/>
      <c r="K721" s="4"/>
      <c r="M721" s="6"/>
      <c r="N721" s="8"/>
      <c r="O721" s="13"/>
      <c r="P721" s="6"/>
    </row>
    <row r="722" spans="2:16" ht="86.25" customHeight="1" x14ac:dyDescent="0.25">
      <c r="B722" s="11"/>
      <c r="H722" s="2"/>
      <c r="K722" s="4"/>
      <c r="M722" s="6"/>
      <c r="N722" s="8"/>
      <c r="O722" s="13"/>
      <c r="P722" s="6"/>
    </row>
    <row r="723" spans="2:16" ht="86.25" customHeight="1" x14ac:dyDescent="0.25">
      <c r="B723" s="11"/>
      <c r="H723" s="2"/>
      <c r="K723" s="4"/>
      <c r="M723" s="6"/>
      <c r="N723" s="8"/>
      <c r="O723" s="13"/>
      <c r="P723" s="6"/>
    </row>
    <row r="724" spans="2:16" ht="86.25" customHeight="1" x14ac:dyDescent="0.25">
      <c r="B724" s="11"/>
      <c r="H724" s="2"/>
      <c r="K724" s="4"/>
      <c r="M724" s="6"/>
      <c r="N724" s="8"/>
      <c r="O724" s="13"/>
      <c r="P724" s="6"/>
    </row>
    <row r="725" spans="2:16" ht="86.25" customHeight="1" x14ac:dyDescent="0.25">
      <c r="B725" s="11"/>
      <c r="H725" s="2"/>
      <c r="K725" s="4"/>
      <c r="M725" s="6"/>
      <c r="N725" s="8"/>
      <c r="O725" s="13"/>
      <c r="P725" s="6"/>
    </row>
    <row r="726" spans="2:16" ht="86.25" customHeight="1" x14ac:dyDescent="0.25">
      <c r="B726" s="11"/>
      <c r="H726" s="2"/>
      <c r="K726" s="4"/>
      <c r="M726" s="6"/>
      <c r="N726" s="8"/>
      <c r="O726" s="13"/>
      <c r="P726" s="6"/>
    </row>
    <row r="727" spans="2:16" ht="86.25" customHeight="1" x14ac:dyDescent="0.25">
      <c r="B727" s="11"/>
      <c r="H727" s="2"/>
      <c r="K727" s="4"/>
      <c r="M727" s="6"/>
      <c r="N727" s="8"/>
      <c r="O727" s="13"/>
      <c r="P727" s="6"/>
    </row>
    <row r="728" spans="2:16" ht="86.25" customHeight="1" x14ac:dyDescent="0.25">
      <c r="B728" s="11"/>
      <c r="H728" s="2"/>
      <c r="K728" s="4"/>
      <c r="M728" s="6"/>
      <c r="N728" s="8"/>
      <c r="O728" s="13"/>
      <c r="P728" s="6"/>
    </row>
    <row r="729" spans="2:16" ht="86.25" customHeight="1" x14ac:dyDescent="0.25">
      <c r="B729" s="11"/>
      <c r="H729" s="2"/>
      <c r="K729" s="4"/>
      <c r="M729" s="6"/>
      <c r="N729" s="8"/>
      <c r="O729" s="13"/>
      <c r="P729" s="6"/>
    </row>
    <row r="730" spans="2:16" ht="86.25" customHeight="1" x14ac:dyDescent="0.25">
      <c r="B730" s="11"/>
      <c r="H730" s="2"/>
      <c r="K730" s="4"/>
      <c r="M730" s="6"/>
      <c r="N730" s="8"/>
      <c r="O730" s="13"/>
      <c r="P730" s="6"/>
    </row>
    <row r="731" spans="2:16" ht="86.25" customHeight="1" x14ac:dyDescent="0.25">
      <c r="B731" s="11"/>
      <c r="H731" s="2"/>
      <c r="K731" s="4"/>
      <c r="M731" s="6"/>
      <c r="N731" s="8"/>
      <c r="O731" s="13"/>
      <c r="P731" s="6"/>
    </row>
    <row r="732" spans="2:16" ht="86.25" customHeight="1" x14ac:dyDescent="0.25">
      <c r="B732" s="11"/>
      <c r="H732" s="2"/>
      <c r="K732" s="4"/>
      <c r="M732" s="6"/>
      <c r="N732" s="8"/>
      <c r="O732" s="13"/>
      <c r="P732" s="6"/>
    </row>
    <row r="733" spans="2:16" ht="86.25" customHeight="1" x14ac:dyDescent="0.25">
      <c r="B733" s="11"/>
      <c r="H733" s="2"/>
      <c r="K733" s="4"/>
      <c r="M733" s="6"/>
      <c r="N733" s="8"/>
      <c r="O733" s="13"/>
      <c r="P733" s="6"/>
    </row>
    <row r="734" spans="2:16" ht="86.25" customHeight="1" x14ac:dyDescent="0.25">
      <c r="B734" s="11"/>
      <c r="H734" s="2"/>
      <c r="K734" s="4"/>
      <c r="M734" s="6"/>
      <c r="N734" s="8"/>
      <c r="O734" s="13"/>
      <c r="P734" s="6"/>
    </row>
    <row r="735" spans="2:16" ht="86.25" customHeight="1" x14ac:dyDescent="0.25">
      <c r="B735" s="11"/>
      <c r="H735" s="2"/>
      <c r="K735" s="4"/>
      <c r="M735" s="6"/>
      <c r="N735" s="8"/>
      <c r="O735" s="13"/>
      <c r="P735" s="6"/>
    </row>
    <row r="736" spans="2:16" ht="86.25" customHeight="1" x14ac:dyDescent="0.25">
      <c r="B736" s="11"/>
      <c r="H736" s="2"/>
      <c r="K736" s="4"/>
      <c r="M736" s="6"/>
      <c r="N736" s="8"/>
      <c r="O736" s="13"/>
      <c r="P736" s="6"/>
    </row>
    <row r="737" spans="2:16" ht="86.25" customHeight="1" x14ac:dyDescent="0.25">
      <c r="B737" s="11"/>
      <c r="H737" s="2"/>
      <c r="K737" s="4"/>
      <c r="M737" s="6"/>
      <c r="N737" s="8"/>
      <c r="O737" s="13"/>
      <c r="P737" s="6"/>
    </row>
    <row r="738" spans="2:16" ht="86.25" customHeight="1" x14ac:dyDescent="0.25">
      <c r="B738" s="11"/>
      <c r="H738" s="2"/>
      <c r="K738" s="4"/>
      <c r="M738" s="6"/>
      <c r="N738" s="8"/>
      <c r="O738" s="13"/>
      <c r="P738" s="6"/>
    </row>
    <row r="739" spans="2:16" ht="86.25" customHeight="1" x14ac:dyDescent="0.25">
      <c r="B739" s="11"/>
      <c r="H739" s="2"/>
      <c r="K739" s="4"/>
      <c r="M739" s="6"/>
      <c r="N739" s="8"/>
      <c r="O739" s="13"/>
      <c r="P739" s="6"/>
    </row>
    <row r="740" spans="2:16" ht="86.25" customHeight="1" x14ac:dyDescent="0.25">
      <c r="B740" s="11"/>
      <c r="H740" s="2"/>
      <c r="K740" s="4"/>
      <c r="M740" s="6"/>
      <c r="N740" s="8"/>
      <c r="O740" s="13"/>
      <c r="P740" s="6"/>
    </row>
    <row r="741" spans="2:16" ht="86.25" customHeight="1" x14ac:dyDescent="0.25">
      <c r="B741" s="11"/>
      <c r="H741" s="2"/>
      <c r="K741" s="4"/>
      <c r="M741" s="6"/>
      <c r="N741" s="8"/>
      <c r="O741" s="13"/>
      <c r="P741" s="6"/>
    </row>
    <row r="742" spans="2:16" ht="86.25" customHeight="1" x14ac:dyDescent="0.25">
      <c r="B742" s="11"/>
      <c r="H742" s="2"/>
      <c r="K742" s="4"/>
      <c r="M742" s="6"/>
      <c r="N742" s="8"/>
      <c r="O742" s="13"/>
      <c r="P742" s="6"/>
    </row>
    <row r="743" spans="2:16" ht="86.25" customHeight="1" x14ac:dyDescent="0.25">
      <c r="B743" s="11"/>
      <c r="H743" s="2"/>
      <c r="K743" s="4"/>
      <c r="M743" s="6"/>
      <c r="N743" s="8"/>
      <c r="O743" s="13"/>
      <c r="P743" s="6"/>
    </row>
    <row r="744" spans="2:16" ht="86.25" customHeight="1" x14ac:dyDescent="0.25">
      <c r="B744" s="11"/>
      <c r="H744" s="2"/>
      <c r="K744" s="4"/>
      <c r="M744" s="6"/>
      <c r="N744" s="8"/>
      <c r="O744" s="13"/>
      <c r="P744" s="6"/>
    </row>
    <row r="745" spans="2:16" ht="86.25" customHeight="1" x14ac:dyDescent="0.25">
      <c r="B745" s="11"/>
      <c r="H745" s="2"/>
      <c r="K745" s="4"/>
      <c r="M745" s="6"/>
      <c r="N745" s="8"/>
      <c r="O745" s="13"/>
      <c r="P745" s="6"/>
    </row>
    <row r="746" spans="2:16" ht="86.25" customHeight="1" x14ac:dyDescent="0.25">
      <c r="B746" s="11"/>
      <c r="H746" s="2"/>
      <c r="K746" s="4"/>
      <c r="M746" s="6"/>
      <c r="N746" s="8"/>
      <c r="O746" s="13"/>
      <c r="P746" s="6"/>
    </row>
    <row r="747" spans="2:16" ht="86.25" customHeight="1" x14ac:dyDescent="0.25">
      <c r="B747" s="11"/>
      <c r="H747" s="2"/>
      <c r="K747" s="4"/>
      <c r="M747" s="6"/>
      <c r="N747" s="8"/>
      <c r="O747" s="13"/>
      <c r="P747" s="6"/>
    </row>
    <row r="748" spans="2:16" ht="86.25" customHeight="1" x14ac:dyDescent="0.25">
      <c r="B748" s="11"/>
      <c r="H748" s="2"/>
      <c r="K748" s="4"/>
      <c r="M748" s="6"/>
      <c r="N748" s="8"/>
      <c r="O748" s="13"/>
      <c r="P748" s="6"/>
    </row>
    <row r="749" spans="2:16" ht="86.25" customHeight="1" x14ac:dyDescent="0.25">
      <c r="B749" s="11"/>
      <c r="H749" s="2"/>
      <c r="K749" s="4"/>
      <c r="M749" s="6"/>
      <c r="N749" s="8"/>
      <c r="O749" s="13"/>
      <c r="P749" s="6"/>
    </row>
    <row r="750" spans="2:16" ht="86.25" customHeight="1" x14ac:dyDescent="0.25">
      <c r="B750" s="11"/>
      <c r="H750" s="2"/>
      <c r="K750" s="4"/>
      <c r="M750" s="6"/>
      <c r="N750" s="8"/>
      <c r="O750" s="13"/>
      <c r="P750" s="6"/>
    </row>
    <row r="751" spans="2:16" ht="86.25" customHeight="1" x14ac:dyDescent="0.25">
      <c r="B751" s="11"/>
      <c r="H751" s="2"/>
      <c r="K751" s="4"/>
      <c r="M751" s="6"/>
      <c r="N751" s="8"/>
      <c r="O751" s="13"/>
      <c r="P751" s="6"/>
    </row>
    <row r="752" spans="2:16" ht="86.25" customHeight="1" x14ac:dyDescent="0.25">
      <c r="B752" s="11"/>
      <c r="H752" s="2"/>
      <c r="K752" s="4"/>
      <c r="M752" s="6"/>
      <c r="N752" s="8"/>
      <c r="O752" s="13"/>
      <c r="P752" s="6"/>
    </row>
    <row r="753" spans="2:16" ht="86.25" customHeight="1" x14ac:dyDescent="0.25">
      <c r="B753" s="11"/>
      <c r="H753" s="2"/>
      <c r="K753" s="4"/>
      <c r="M753" s="6"/>
      <c r="N753" s="8"/>
      <c r="O753" s="13"/>
      <c r="P753" s="6"/>
    </row>
    <row r="754" spans="2:16" ht="86.25" customHeight="1" x14ac:dyDescent="0.25">
      <c r="B754" s="11"/>
      <c r="H754" s="2"/>
      <c r="K754" s="4"/>
      <c r="M754" s="6"/>
      <c r="N754" s="8"/>
      <c r="O754" s="13"/>
      <c r="P754" s="6"/>
    </row>
    <row r="755" spans="2:16" ht="86.25" customHeight="1" x14ac:dyDescent="0.25">
      <c r="B755" s="11"/>
      <c r="H755" s="2"/>
      <c r="K755" s="4"/>
      <c r="M755" s="6"/>
      <c r="N755" s="8"/>
      <c r="O755" s="13"/>
      <c r="P755" s="6"/>
    </row>
    <row r="756" spans="2:16" ht="86.25" customHeight="1" x14ac:dyDescent="0.25">
      <c r="B756" s="11"/>
      <c r="H756" s="2"/>
      <c r="K756" s="4"/>
      <c r="M756" s="6"/>
      <c r="N756" s="8"/>
      <c r="O756" s="13"/>
      <c r="P756" s="6"/>
    </row>
    <row r="757" spans="2:16" ht="86.25" customHeight="1" x14ac:dyDescent="0.25">
      <c r="B757" s="11"/>
      <c r="H757" s="2"/>
      <c r="K757" s="4"/>
      <c r="M757" s="6"/>
      <c r="N757" s="8"/>
      <c r="O757" s="13"/>
      <c r="P757" s="6"/>
    </row>
    <row r="758" spans="2:16" ht="86.25" customHeight="1" x14ac:dyDescent="0.25">
      <c r="B758" s="11"/>
      <c r="H758" s="2"/>
      <c r="K758" s="4"/>
      <c r="M758" s="6"/>
      <c r="N758" s="8"/>
      <c r="O758" s="13"/>
      <c r="P758" s="6"/>
    </row>
    <row r="759" spans="2:16" ht="86.25" customHeight="1" x14ac:dyDescent="0.25">
      <c r="B759" s="11"/>
      <c r="H759" s="2"/>
      <c r="K759" s="4"/>
      <c r="M759" s="6"/>
      <c r="N759" s="8"/>
      <c r="O759" s="13"/>
      <c r="P759" s="6"/>
    </row>
    <row r="760" spans="2:16" ht="86.25" customHeight="1" x14ac:dyDescent="0.25">
      <c r="B760" s="11"/>
      <c r="H760" s="2"/>
      <c r="K760" s="4"/>
      <c r="M760" s="6"/>
      <c r="N760" s="8"/>
      <c r="O760" s="13"/>
      <c r="P760" s="6"/>
    </row>
    <row r="761" spans="2:16" ht="86.25" customHeight="1" x14ac:dyDescent="0.25">
      <c r="B761" s="11"/>
      <c r="H761" s="2"/>
      <c r="K761" s="4"/>
      <c r="M761" s="6"/>
      <c r="N761" s="8"/>
      <c r="O761" s="13"/>
      <c r="P761" s="6"/>
    </row>
    <row r="762" spans="2:16" ht="86.25" customHeight="1" x14ac:dyDescent="0.25">
      <c r="B762" s="11"/>
      <c r="H762" s="2"/>
      <c r="K762" s="4"/>
      <c r="M762" s="6"/>
      <c r="N762" s="8"/>
      <c r="O762" s="13"/>
      <c r="P762" s="6"/>
    </row>
    <row r="763" spans="2:16" ht="86.25" customHeight="1" x14ac:dyDescent="0.25">
      <c r="B763" s="11"/>
      <c r="H763" s="2"/>
      <c r="K763" s="4"/>
      <c r="M763" s="6"/>
      <c r="N763" s="8"/>
      <c r="O763" s="13"/>
      <c r="P763" s="6"/>
    </row>
    <row r="764" spans="2:16" ht="86.25" customHeight="1" x14ac:dyDescent="0.25">
      <c r="B764" s="11"/>
      <c r="H764" s="2"/>
      <c r="K764" s="4"/>
      <c r="M764" s="6"/>
      <c r="N764" s="8"/>
      <c r="O764" s="13"/>
      <c r="P764" s="6"/>
    </row>
    <row r="765" spans="2:16" ht="86.25" customHeight="1" x14ac:dyDescent="0.25">
      <c r="B765" s="11"/>
      <c r="H765" s="2"/>
      <c r="K765" s="4"/>
      <c r="M765" s="6"/>
      <c r="N765" s="8"/>
      <c r="O765" s="13"/>
      <c r="P765" s="6"/>
    </row>
    <row r="766" spans="2:16" ht="86.25" customHeight="1" x14ac:dyDescent="0.25">
      <c r="B766" s="11"/>
      <c r="H766" s="2"/>
      <c r="K766" s="4"/>
      <c r="M766" s="6"/>
      <c r="N766" s="8"/>
      <c r="O766" s="13"/>
      <c r="P766" s="6"/>
    </row>
    <row r="767" spans="2:16" ht="86.25" customHeight="1" x14ac:dyDescent="0.25">
      <c r="B767" s="11"/>
      <c r="H767" s="2"/>
      <c r="K767" s="4"/>
      <c r="M767" s="6"/>
      <c r="N767" s="8"/>
      <c r="O767" s="13"/>
      <c r="P767" s="6"/>
    </row>
    <row r="768" spans="2:16" ht="86.25" customHeight="1" x14ac:dyDescent="0.25">
      <c r="B768" s="11"/>
      <c r="H768" s="2"/>
      <c r="K768" s="4"/>
      <c r="M768" s="6"/>
      <c r="N768" s="8"/>
      <c r="O768" s="13"/>
      <c r="P768" s="6"/>
    </row>
    <row r="769" spans="2:16" ht="86.25" customHeight="1" x14ac:dyDescent="0.25">
      <c r="B769" s="11"/>
      <c r="H769" s="2"/>
      <c r="K769" s="4"/>
      <c r="M769" s="6"/>
      <c r="N769" s="8"/>
      <c r="O769" s="13"/>
      <c r="P769" s="6"/>
    </row>
    <row r="770" spans="2:16" ht="86.25" customHeight="1" x14ac:dyDescent="0.25">
      <c r="B770" s="11"/>
      <c r="H770" s="2"/>
      <c r="K770" s="4"/>
      <c r="M770" s="6"/>
      <c r="N770" s="8"/>
      <c r="O770" s="13"/>
      <c r="P770" s="6"/>
    </row>
    <row r="771" spans="2:16" ht="86.25" customHeight="1" x14ac:dyDescent="0.25">
      <c r="B771" s="11"/>
      <c r="H771" s="2"/>
      <c r="K771" s="4"/>
      <c r="M771" s="6"/>
      <c r="N771" s="8"/>
      <c r="O771" s="13"/>
      <c r="P771" s="6"/>
    </row>
    <row r="772" spans="2:16" ht="86.25" customHeight="1" x14ac:dyDescent="0.25">
      <c r="B772" s="11"/>
      <c r="H772" s="2"/>
      <c r="K772" s="4"/>
      <c r="M772" s="6"/>
      <c r="N772" s="8"/>
      <c r="O772" s="13"/>
      <c r="P772" s="6"/>
    </row>
    <row r="773" spans="2:16" ht="86.25" customHeight="1" x14ac:dyDescent="0.25">
      <c r="B773" s="11"/>
      <c r="H773" s="2"/>
      <c r="K773" s="4"/>
      <c r="M773" s="6"/>
      <c r="N773" s="8"/>
      <c r="O773" s="13"/>
      <c r="P773" s="6"/>
    </row>
    <row r="774" spans="2:16" ht="86.25" customHeight="1" x14ac:dyDescent="0.25">
      <c r="B774" s="11"/>
      <c r="H774" s="2"/>
      <c r="K774" s="4"/>
      <c r="M774" s="6"/>
      <c r="N774" s="8"/>
      <c r="O774" s="13"/>
      <c r="P774" s="6"/>
    </row>
    <row r="775" spans="2:16" ht="86.25" customHeight="1" x14ac:dyDescent="0.25">
      <c r="B775" s="11"/>
      <c r="H775" s="2"/>
      <c r="K775" s="4"/>
      <c r="M775" s="6"/>
      <c r="N775" s="8"/>
      <c r="O775" s="13"/>
      <c r="P775" s="6"/>
    </row>
    <row r="776" spans="2:16" ht="86.25" customHeight="1" x14ac:dyDescent="0.25">
      <c r="B776" s="11"/>
      <c r="H776" s="2"/>
      <c r="K776" s="4"/>
      <c r="M776" s="6"/>
      <c r="N776" s="8"/>
      <c r="O776" s="13"/>
      <c r="P776" s="6"/>
    </row>
    <row r="777" spans="2:16" ht="86.25" customHeight="1" x14ac:dyDescent="0.25">
      <c r="B777" s="11"/>
      <c r="H777" s="2"/>
      <c r="K777" s="4"/>
      <c r="M777" s="6"/>
      <c r="N777" s="8"/>
      <c r="O777" s="13"/>
      <c r="P777" s="6"/>
    </row>
    <row r="778" spans="2:16" ht="86.25" customHeight="1" x14ac:dyDescent="0.25">
      <c r="B778" s="11"/>
      <c r="H778" s="2"/>
      <c r="K778" s="4"/>
      <c r="M778" s="6"/>
      <c r="N778" s="8"/>
      <c r="O778" s="13"/>
      <c r="P778" s="6"/>
    </row>
    <row r="779" spans="2:16" ht="86.25" customHeight="1" x14ac:dyDescent="0.25">
      <c r="B779" s="11"/>
      <c r="H779" s="2"/>
      <c r="K779" s="4"/>
      <c r="M779" s="6"/>
      <c r="N779" s="8"/>
      <c r="O779" s="13"/>
      <c r="P779" s="6"/>
    </row>
    <row r="780" spans="2:16" ht="86.25" customHeight="1" x14ac:dyDescent="0.25">
      <c r="B780" s="11"/>
      <c r="H780" s="2"/>
      <c r="K780" s="4"/>
      <c r="M780" s="6"/>
      <c r="N780" s="8"/>
      <c r="O780" s="13"/>
      <c r="P780" s="6"/>
    </row>
    <row r="781" spans="2:16" ht="86.25" customHeight="1" x14ac:dyDescent="0.25">
      <c r="B781" s="11"/>
      <c r="H781" s="2"/>
      <c r="K781" s="4"/>
      <c r="M781" s="6"/>
      <c r="N781" s="8"/>
      <c r="O781" s="13"/>
      <c r="P781" s="6"/>
    </row>
    <row r="782" spans="2:16" ht="86.25" customHeight="1" x14ac:dyDescent="0.25">
      <c r="B782" s="11"/>
      <c r="H782" s="2"/>
      <c r="K782" s="4"/>
      <c r="M782" s="6"/>
      <c r="N782" s="8"/>
      <c r="O782" s="13"/>
      <c r="P782" s="6"/>
    </row>
    <row r="783" spans="2:16" ht="86.25" customHeight="1" x14ac:dyDescent="0.25">
      <c r="B783" s="11"/>
      <c r="H783" s="2"/>
      <c r="K783" s="4"/>
      <c r="M783" s="6"/>
      <c r="N783" s="8"/>
      <c r="O783" s="13"/>
      <c r="P783" s="6"/>
    </row>
    <row r="784" spans="2:16" ht="86.25" customHeight="1" x14ac:dyDescent="0.25">
      <c r="B784" s="11"/>
      <c r="H784" s="2"/>
      <c r="K784" s="4"/>
      <c r="M784" s="6"/>
      <c r="N784" s="8"/>
      <c r="O784" s="13"/>
      <c r="P784" s="6"/>
    </row>
    <row r="785" spans="2:16" ht="86.25" customHeight="1" x14ac:dyDescent="0.25">
      <c r="B785" s="11"/>
      <c r="H785" s="2"/>
      <c r="K785" s="4"/>
      <c r="M785" s="6"/>
      <c r="N785" s="8"/>
      <c r="O785" s="13"/>
      <c r="P785" s="6"/>
    </row>
    <row r="786" spans="2:16" ht="86.25" customHeight="1" x14ac:dyDescent="0.25">
      <c r="B786" s="11"/>
      <c r="H786" s="2"/>
      <c r="K786" s="4"/>
      <c r="M786" s="6"/>
      <c r="N786" s="8"/>
      <c r="O786" s="13"/>
      <c r="P786" s="6"/>
    </row>
    <row r="787" spans="2:16" ht="86.25" customHeight="1" x14ac:dyDescent="0.25">
      <c r="B787" s="11"/>
      <c r="H787" s="2"/>
      <c r="K787" s="4"/>
      <c r="M787" s="6"/>
      <c r="N787" s="8"/>
      <c r="O787" s="13"/>
      <c r="P787" s="6"/>
    </row>
    <row r="788" spans="2:16" ht="86.25" customHeight="1" x14ac:dyDescent="0.25">
      <c r="B788" s="11"/>
      <c r="H788" s="2"/>
      <c r="K788" s="4"/>
      <c r="M788" s="6"/>
      <c r="N788" s="8"/>
      <c r="O788" s="13"/>
      <c r="P788" s="6"/>
    </row>
    <row r="789" spans="2:16" ht="86.25" customHeight="1" x14ac:dyDescent="0.25">
      <c r="B789" s="11"/>
      <c r="H789" s="2"/>
      <c r="K789" s="4"/>
      <c r="M789" s="6"/>
      <c r="N789" s="8"/>
      <c r="O789" s="13"/>
      <c r="P789" s="6"/>
    </row>
    <row r="790" spans="2:16" ht="86.25" customHeight="1" x14ac:dyDescent="0.25">
      <c r="B790" s="11"/>
      <c r="H790" s="2"/>
      <c r="K790" s="4"/>
      <c r="M790" s="6"/>
      <c r="N790" s="8"/>
      <c r="O790" s="13"/>
      <c r="P790" s="6"/>
    </row>
    <row r="791" spans="2:16" ht="86.25" customHeight="1" x14ac:dyDescent="0.25">
      <c r="B791" s="11"/>
      <c r="H791" s="2"/>
      <c r="K791" s="4"/>
      <c r="M791" s="6"/>
      <c r="N791" s="8"/>
      <c r="O791" s="13"/>
      <c r="P791" s="6"/>
    </row>
    <row r="792" spans="2:16" ht="86.25" customHeight="1" x14ac:dyDescent="0.25">
      <c r="B792" s="11"/>
      <c r="H792" s="2"/>
      <c r="K792" s="4"/>
      <c r="M792" s="6"/>
      <c r="N792" s="8"/>
      <c r="O792" s="13"/>
      <c r="P792" s="6"/>
    </row>
    <row r="793" spans="2:16" ht="86.25" customHeight="1" x14ac:dyDescent="0.25">
      <c r="B793" s="11"/>
      <c r="H793" s="2"/>
      <c r="K793" s="4"/>
      <c r="M793" s="6"/>
      <c r="N793" s="8"/>
      <c r="O793" s="13"/>
      <c r="P793" s="6"/>
    </row>
    <row r="794" spans="2:16" ht="86.25" customHeight="1" x14ac:dyDescent="0.25">
      <c r="B794" s="11"/>
      <c r="H794" s="2"/>
      <c r="K794" s="4"/>
      <c r="M794" s="6"/>
      <c r="N794" s="8"/>
      <c r="O794" s="13"/>
      <c r="P794" s="6"/>
    </row>
    <row r="795" spans="2:16" ht="86.25" customHeight="1" x14ac:dyDescent="0.25">
      <c r="B795" s="11"/>
      <c r="H795" s="2"/>
      <c r="K795" s="4"/>
      <c r="M795" s="6"/>
      <c r="N795" s="8"/>
      <c r="O795" s="13"/>
      <c r="P795" s="6"/>
    </row>
    <row r="796" spans="2:16" ht="86.25" customHeight="1" x14ac:dyDescent="0.25">
      <c r="B796" s="11"/>
      <c r="H796" s="2"/>
      <c r="K796" s="4"/>
      <c r="M796" s="6"/>
      <c r="N796" s="8"/>
      <c r="O796" s="13"/>
      <c r="P796" s="6"/>
    </row>
    <row r="797" spans="2:16" ht="86.25" customHeight="1" x14ac:dyDescent="0.25">
      <c r="B797" s="11"/>
      <c r="H797" s="2"/>
      <c r="K797" s="4"/>
      <c r="M797" s="6"/>
      <c r="N797" s="8"/>
      <c r="O797" s="13"/>
      <c r="P797" s="6"/>
    </row>
    <row r="798" spans="2:16" ht="86.25" customHeight="1" x14ac:dyDescent="0.25">
      <c r="B798" s="11"/>
      <c r="H798" s="2"/>
      <c r="K798" s="4"/>
      <c r="M798" s="6"/>
      <c r="N798" s="8"/>
      <c r="O798" s="13"/>
      <c r="P798" s="6"/>
    </row>
    <row r="799" spans="2:16" ht="86.25" customHeight="1" x14ac:dyDescent="0.25">
      <c r="B799" s="11"/>
      <c r="H799" s="2"/>
      <c r="K799" s="4"/>
      <c r="M799" s="6"/>
      <c r="N799" s="8"/>
      <c r="O799" s="13"/>
      <c r="P799" s="6"/>
    </row>
    <row r="800" spans="2:16" ht="86.25" customHeight="1" x14ac:dyDescent="0.25">
      <c r="B800" s="11"/>
      <c r="H800" s="2"/>
      <c r="K800" s="4"/>
      <c r="M800" s="6"/>
      <c r="N800" s="8"/>
      <c r="O800" s="13"/>
      <c r="P800" s="6"/>
    </row>
    <row r="801" spans="2:16" ht="86.25" customHeight="1" x14ac:dyDescent="0.25">
      <c r="B801" s="11"/>
      <c r="H801" s="2"/>
      <c r="K801" s="4"/>
      <c r="M801" s="6"/>
      <c r="N801" s="8"/>
      <c r="O801" s="13"/>
      <c r="P801" s="6"/>
    </row>
    <row r="802" spans="2:16" ht="86.25" customHeight="1" x14ac:dyDescent="0.25">
      <c r="B802" s="11"/>
      <c r="H802" s="2"/>
      <c r="K802" s="4"/>
      <c r="M802" s="6"/>
      <c r="N802" s="8"/>
      <c r="O802" s="13"/>
      <c r="P802" s="6"/>
    </row>
    <row r="803" spans="2:16" ht="86.25" customHeight="1" x14ac:dyDescent="0.25">
      <c r="B803" s="11"/>
      <c r="H803" s="2"/>
      <c r="K803" s="4"/>
      <c r="M803" s="6"/>
      <c r="N803" s="8"/>
      <c r="O803" s="13"/>
      <c r="P803" s="6"/>
    </row>
    <row r="804" spans="2:16" ht="86.25" customHeight="1" x14ac:dyDescent="0.25">
      <c r="B804" s="11"/>
      <c r="H804" s="2"/>
      <c r="K804" s="4"/>
      <c r="M804" s="6"/>
      <c r="N804" s="8"/>
      <c r="O804" s="13"/>
      <c r="P804" s="6"/>
    </row>
    <row r="805" spans="2:16" ht="86.25" customHeight="1" x14ac:dyDescent="0.25">
      <c r="B805" s="11"/>
      <c r="H805" s="2"/>
      <c r="K805" s="4"/>
      <c r="M805" s="6"/>
      <c r="N805" s="8"/>
      <c r="O805" s="13"/>
      <c r="P805" s="6"/>
    </row>
    <row r="806" spans="2:16" ht="86.25" customHeight="1" x14ac:dyDescent="0.25">
      <c r="B806" s="11"/>
      <c r="H806" s="2"/>
      <c r="K806" s="4"/>
      <c r="M806" s="6"/>
      <c r="N806" s="8"/>
      <c r="O806" s="13"/>
      <c r="P806" s="6"/>
    </row>
    <row r="807" spans="2:16" ht="86.25" customHeight="1" x14ac:dyDescent="0.25">
      <c r="B807" s="11"/>
      <c r="H807" s="2"/>
      <c r="K807" s="4"/>
      <c r="M807" s="6"/>
      <c r="N807" s="8"/>
      <c r="O807" s="13"/>
      <c r="P807" s="6"/>
    </row>
    <row r="808" spans="2:16" ht="86.25" customHeight="1" x14ac:dyDescent="0.25">
      <c r="B808" s="11"/>
      <c r="H808" s="2"/>
      <c r="K808" s="4"/>
      <c r="M808" s="6"/>
      <c r="N808" s="8"/>
      <c r="O808" s="13"/>
      <c r="P808" s="6"/>
    </row>
    <row r="809" spans="2:16" ht="86.25" customHeight="1" x14ac:dyDescent="0.25">
      <c r="B809" s="11"/>
      <c r="H809" s="2"/>
      <c r="K809" s="4"/>
      <c r="M809" s="6"/>
      <c r="N809" s="8"/>
      <c r="O809" s="13"/>
      <c r="P809" s="6"/>
    </row>
    <row r="810" spans="2:16" ht="86.25" customHeight="1" x14ac:dyDescent="0.25">
      <c r="B810" s="11"/>
      <c r="H810" s="2"/>
      <c r="K810" s="4"/>
      <c r="M810" s="6"/>
      <c r="N810" s="8"/>
      <c r="O810" s="13"/>
      <c r="P810" s="6"/>
    </row>
    <row r="811" spans="2:16" ht="86.25" customHeight="1" x14ac:dyDescent="0.25">
      <c r="B811" s="11"/>
      <c r="H811" s="2"/>
      <c r="K811" s="4"/>
      <c r="M811" s="6"/>
      <c r="N811" s="8"/>
      <c r="O811" s="13"/>
      <c r="P811" s="6"/>
    </row>
    <row r="812" spans="2:16" ht="86.25" customHeight="1" x14ac:dyDescent="0.25">
      <c r="B812" s="11"/>
      <c r="H812" s="2"/>
      <c r="K812" s="4"/>
      <c r="M812" s="6"/>
      <c r="N812" s="8"/>
      <c r="O812" s="13"/>
      <c r="P812" s="6"/>
    </row>
    <row r="813" spans="2:16" ht="86.25" customHeight="1" x14ac:dyDescent="0.25">
      <c r="B813" s="11"/>
      <c r="H813" s="2"/>
      <c r="K813" s="4"/>
      <c r="M813" s="6"/>
      <c r="N813" s="8"/>
      <c r="O813" s="13"/>
      <c r="P813" s="6"/>
    </row>
    <row r="814" spans="2:16" ht="86.25" customHeight="1" x14ac:dyDescent="0.25">
      <c r="B814" s="11"/>
      <c r="H814" s="2"/>
      <c r="K814" s="4"/>
      <c r="M814" s="6"/>
      <c r="N814" s="8"/>
      <c r="O814" s="13"/>
      <c r="P814" s="6"/>
    </row>
    <row r="815" spans="2:16" ht="86.25" customHeight="1" x14ac:dyDescent="0.25">
      <c r="B815" s="11"/>
      <c r="H815" s="2"/>
      <c r="K815" s="4"/>
      <c r="M815" s="6"/>
      <c r="N815" s="8"/>
      <c r="O815" s="13"/>
      <c r="P815" s="6"/>
    </row>
    <row r="816" spans="2:16" ht="86.25" customHeight="1" x14ac:dyDescent="0.25">
      <c r="B816" s="11"/>
      <c r="H816" s="2"/>
      <c r="K816" s="4"/>
      <c r="M816" s="6"/>
      <c r="N816" s="8"/>
      <c r="O816" s="13"/>
      <c r="P816" s="6"/>
    </row>
    <row r="817" spans="2:16" ht="86.25" customHeight="1" x14ac:dyDescent="0.25">
      <c r="B817" s="11"/>
      <c r="H817" s="2"/>
      <c r="K817" s="4"/>
      <c r="M817" s="6"/>
      <c r="N817" s="8"/>
      <c r="O817" s="13"/>
      <c r="P817" s="6"/>
    </row>
    <row r="818" spans="2:16" ht="86.25" customHeight="1" x14ac:dyDescent="0.25">
      <c r="B818" s="11"/>
      <c r="H818" s="2"/>
      <c r="K818" s="4"/>
      <c r="M818" s="6"/>
      <c r="N818" s="8"/>
      <c r="O818" s="13"/>
      <c r="P818" s="6"/>
    </row>
    <row r="819" spans="2:16" ht="86.25" customHeight="1" x14ac:dyDescent="0.25">
      <c r="B819" s="11"/>
      <c r="H819" s="2"/>
      <c r="K819" s="4"/>
      <c r="M819" s="6"/>
      <c r="N819" s="8"/>
      <c r="O819" s="13"/>
      <c r="P819" s="6"/>
    </row>
    <row r="820" spans="2:16" ht="86.25" customHeight="1" x14ac:dyDescent="0.25">
      <c r="B820" s="11"/>
      <c r="H820" s="2"/>
      <c r="K820" s="4"/>
      <c r="M820" s="6"/>
      <c r="N820" s="8"/>
      <c r="O820" s="13"/>
      <c r="P820" s="6"/>
    </row>
    <row r="821" spans="2:16" ht="86.25" customHeight="1" x14ac:dyDescent="0.25">
      <c r="B821" s="11"/>
      <c r="H821" s="2"/>
      <c r="K821" s="4"/>
      <c r="M821" s="6"/>
      <c r="N821" s="8"/>
      <c r="O821" s="13"/>
      <c r="P821" s="6"/>
    </row>
    <row r="822" spans="2:16" ht="86.25" customHeight="1" x14ac:dyDescent="0.25">
      <c r="B822" s="11"/>
      <c r="H822" s="2"/>
      <c r="K822" s="4"/>
      <c r="M822" s="6"/>
      <c r="N822" s="8"/>
      <c r="O822" s="13"/>
      <c r="P822" s="6"/>
    </row>
    <row r="823" spans="2:16" ht="86.25" customHeight="1" x14ac:dyDescent="0.25">
      <c r="B823" s="11"/>
      <c r="H823" s="2"/>
      <c r="K823" s="4"/>
      <c r="M823" s="6"/>
      <c r="N823" s="8"/>
      <c r="O823" s="13"/>
      <c r="P823" s="6"/>
    </row>
    <row r="824" spans="2:16" ht="86.25" customHeight="1" x14ac:dyDescent="0.25">
      <c r="B824" s="11"/>
      <c r="H824" s="2"/>
      <c r="K824" s="4"/>
      <c r="M824" s="6"/>
      <c r="N824" s="8"/>
      <c r="O824" s="13"/>
      <c r="P824" s="6"/>
    </row>
    <row r="825" spans="2:16" ht="86.25" customHeight="1" x14ac:dyDescent="0.25">
      <c r="B825" s="11"/>
      <c r="H825" s="2"/>
      <c r="K825" s="4"/>
      <c r="M825" s="6"/>
      <c r="N825" s="8"/>
      <c r="O825" s="13"/>
      <c r="P825" s="6"/>
    </row>
    <row r="826" spans="2:16" ht="86.25" customHeight="1" x14ac:dyDescent="0.25">
      <c r="B826" s="11"/>
      <c r="H826" s="2"/>
      <c r="K826" s="4"/>
      <c r="M826" s="6"/>
      <c r="N826" s="8"/>
      <c r="O826" s="13"/>
      <c r="P826" s="6"/>
    </row>
    <row r="827" spans="2:16" ht="86.25" customHeight="1" x14ac:dyDescent="0.25">
      <c r="B827" s="11"/>
      <c r="H827" s="2"/>
      <c r="K827" s="4"/>
      <c r="M827" s="6"/>
      <c r="N827" s="8"/>
      <c r="O827" s="13"/>
      <c r="P827" s="6"/>
    </row>
    <row r="828" spans="2:16" ht="86.25" customHeight="1" x14ac:dyDescent="0.25">
      <c r="B828" s="11"/>
      <c r="H828" s="2"/>
      <c r="K828" s="4"/>
      <c r="M828" s="6"/>
      <c r="N828" s="8"/>
      <c r="O828" s="13"/>
      <c r="P828" s="6"/>
    </row>
    <row r="829" spans="2:16" ht="86.25" customHeight="1" x14ac:dyDescent="0.25">
      <c r="B829" s="11"/>
      <c r="H829" s="2"/>
      <c r="K829" s="4"/>
      <c r="M829" s="6"/>
      <c r="N829" s="8"/>
      <c r="O829" s="13"/>
      <c r="P829" s="6"/>
    </row>
    <row r="830" spans="2:16" ht="86.25" customHeight="1" x14ac:dyDescent="0.25">
      <c r="B830" s="11"/>
      <c r="H830" s="2"/>
      <c r="K830" s="4"/>
      <c r="M830" s="6"/>
      <c r="N830" s="8"/>
      <c r="O830" s="13"/>
      <c r="P830" s="6"/>
    </row>
    <row r="831" spans="2:16" ht="86.25" customHeight="1" x14ac:dyDescent="0.25">
      <c r="B831" s="11"/>
      <c r="H831" s="2"/>
      <c r="K831" s="4"/>
      <c r="M831" s="6"/>
      <c r="N831" s="8"/>
      <c r="O831" s="13"/>
      <c r="P831" s="6"/>
    </row>
    <row r="832" spans="2:16" ht="86.25" customHeight="1" x14ac:dyDescent="0.25">
      <c r="B832" s="11"/>
      <c r="H832" s="2"/>
      <c r="K832" s="4"/>
      <c r="M832" s="6"/>
      <c r="N832" s="8"/>
      <c r="O832" s="13"/>
      <c r="P832" s="6"/>
    </row>
    <row r="833" spans="2:16" ht="86.25" customHeight="1" x14ac:dyDescent="0.25">
      <c r="B833" s="11"/>
      <c r="H833" s="2"/>
      <c r="K833" s="4"/>
      <c r="M833" s="6"/>
      <c r="N833" s="8"/>
      <c r="O833" s="13"/>
      <c r="P833" s="6"/>
    </row>
    <row r="834" spans="2:16" ht="86.25" customHeight="1" x14ac:dyDescent="0.25">
      <c r="B834" s="11"/>
      <c r="H834" s="2"/>
      <c r="K834" s="4"/>
      <c r="M834" s="6"/>
      <c r="N834" s="8"/>
      <c r="O834" s="13"/>
      <c r="P834" s="6"/>
    </row>
    <row r="835" spans="2:16" ht="86.25" customHeight="1" x14ac:dyDescent="0.25">
      <c r="B835" s="11"/>
      <c r="H835" s="2"/>
      <c r="K835" s="4"/>
      <c r="M835" s="6"/>
      <c r="N835" s="8"/>
      <c r="O835" s="13"/>
      <c r="P835" s="6"/>
    </row>
    <row r="836" spans="2:16" ht="86.25" customHeight="1" x14ac:dyDescent="0.25">
      <c r="B836" s="11"/>
      <c r="H836" s="2"/>
      <c r="K836" s="4"/>
      <c r="M836" s="6"/>
      <c r="N836" s="8"/>
      <c r="O836" s="13"/>
      <c r="P836" s="6"/>
    </row>
    <row r="837" spans="2:16" ht="86.25" customHeight="1" x14ac:dyDescent="0.25">
      <c r="B837" s="11"/>
      <c r="H837" s="2"/>
      <c r="K837" s="4"/>
      <c r="M837" s="6"/>
      <c r="N837" s="8"/>
      <c r="O837" s="13"/>
      <c r="P837" s="6"/>
    </row>
    <row r="838" spans="2:16" ht="86.25" customHeight="1" x14ac:dyDescent="0.25">
      <c r="B838" s="11"/>
      <c r="H838" s="2"/>
      <c r="K838" s="4"/>
      <c r="M838" s="6"/>
      <c r="N838" s="8"/>
      <c r="O838" s="13"/>
      <c r="P838" s="6"/>
    </row>
    <row r="839" spans="2:16" ht="86.25" customHeight="1" x14ac:dyDescent="0.25">
      <c r="B839" s="11"/>
      <c r="H839" s="2"/>
      <c r="K839" s="4"/>
      <c r="M839" s="6"/>
      <c r="N839" s="8"/>
      <c r="O839" s="13"/>
      <c r="P839" s="6"/>
    </row>
    <row r="840" spans="2:16" ht="86.25" customHeight="1" x14ac:dyDescent="0.25">
      <c r="B840" s="11"/>
      <c r="H840" s="2"/>
      <c r="K840" s="4"/>
      <c r="M840" s="6"/>
      <c r="N840" s="8"/>
      <c r="O840" s="13"/>
      <c r="P840" s="6"/>
    </row>
    <row r="841" spans="2:16" ht="86.25" customHeight="1" x14ac:dyDescent="0.25">
      <c r="B841" s="11"/>
      <c r="H841" s="2"/>
      <c r="K841" s="4"/>
      <c r="M841" s="6"/>
      <c r="N841" s="8"/>
      <c r="O841" s="13"/>
      <c r="P841" s="6"/>
    </row>
    <row r="842" spans="2:16" ht="86.25" customHeight="1" x14ac:dyDescent="0.25">
      <c r="B842" s="11"/>
      <c r="H842" s="2"/>
      <c r="K842" s="4"/>
      <c r="M842" s="6"/>
      <c r="N842" s="8"/>
      <c r="O842" s="13"/>
      <c r="P842" s="6"/>
    </row>
    <row r="843" spans="2:16" ht="86.25" customHeight="1" x14ac:dyDescent="0.25">
      <c r="B843" s="11"/>
      <c r="H843" s="2"/>
      <c r="K843" s="4"/>
      <c r="M843" s="6"/>
      <c r="N843" s="8"/>
      <c r="O843" s="13"/>
      <c r="P843" s="6"/>
    </row>
    <row r="844" spans="2:16" ht="86.25" customHeight="1" x14ac:dyDescent="0.25">
      <c r="B844" s="11"/>
      <c r="H844" s="2"/>
      <c r="K844" s="4"/>
      <c r="M844" s="6"/>
      <c r="N844" s="8"/>
      <c r="O844" s="13"/>
      <c r="P844" s="6"/>
    </row>
    <row r="845" spans="2:16" ht="86.25" customHeight="1" x14ac:dyDescent="0.25">
      <c r="B845" s="11"/>
      <c r="H845" s="2"/>
      <c r="K845" s="4"/>
      <c r="M845" s="6"/>
      <c r="N845" s="8"/>
      <c r="O845" s="13"/>
      <c r="P845" s="6"/>
    </row>
    <row r="846" spans="2:16" ht="86.25" customHeight="1" x14ac:dyDescent="0.25">
      <c r="B846" s="11"/>
      <c r="H846" s="2"/>
      <c r="K846" s="4"/>
      <c r="M846" s="6"/>
      <c r="N846" s="8"/>
      <c r="O846" s="13"/>
      <c r="P846" s="6"/>
    </row>
    <row r="847" spans="2:16" ht="86.25" customHeight="1" x14ac:dyDescent="0.25">
      <c r="B847" s="11"/>
      <c r="H847" s="2"/>
      <c r="K847" s="4"/>
      <c r="M847" s="6"/>
      <c r="N847" s="8"/>
      <c r="O847" s="13"/>
      <c r="P847" s="6"/>
    </row>
    <row r="848" spans="2:16" ht="86.25" customHeight="1" x14ac:dyDescent="0.25">
      <c r="B848" s="11"/>
      <c r="H848" s="2"/>
      <c r="K848" s="4"/>
      <c r="M848" s="6"/>
      <c r="N848" s="8"/>
      <c r="O848" s="13"/>
      <c r="P848" s="6"/>
    </row>
    <row r="849" spans="2:16" ht="86.25" customHeight="1" x14ac:dyDescent="0.25">
      <c r="B849" s="11"/>
      <c r="H849" s="2"/>
      <c r="K849" s="4"/>
      <c r="M849" s="6"/>
      <c r="N849" s="8"/>
      <c r="O849" s="13"/>
      <c r="P849" s="6"/>
    </row>
    <row r="850" spans="2:16" ht="86.25" customHeight="1" x14ac:dyDescent="0.25">
      <c r="B850" s="11"/>
      <c r="H850" s="2"/>
      <c r="K850" s="4"/>
      <c r="M850" s="6"/>
      <c r="N850" s="8"/>
      <c r="O850" s="13"/>
      <c r="P850" s="6"/>
    </row>
    <row r="851" spans="2:16" ht="86.25" customHeight="1" x14ac:dyDescent="0.25">
      <c r="B851" s="11"/>
      <c r="H851" s="2"/>
      <c r="K851" s="4"/>
      <c r="M851" s="6"/>
      <c r="N851" s="8"/>
      <c r="O851" s="13"/>
      <c r="P851" s="6"/>
    </row>
    <row r="852" spans="2:16" ht="86.25" customHeight="1" x14ac:dyDescent="0.25">
      <c r="B852" s="11"/>
      <c r="H852" s="2"/>
      <c r="K852" s="4"/>
      <c r="M852" s="6"/>
      <c r="N852" s="8"/>
      <c r="O852" s="13"/>
      <c r="P852" s="6"/>
    </row>
    <row r="853" spans="2:16" ht="86.25" customHeight="1" x14ac:dyDescent="0.25">
      <c r="B853" s="11"/>
      <c r="H853" s="2"/>
      <c r="K853" s="4"/>
      <c r="M853" s="6"/>
      <c r="N853" s="8"/>
      <c r="O853" s="13"/>
      <c r="P853" s="6"/>
    </row>
    <row r="854" spans="2:16" ht="86.25" customHeight="1" x14ac:dyDescent="0.25">
      <c r="B854" s="11"/>
      <c r="H854" s="2"/>
      <c r="K854" s="4"/>
      <c r="M854" s="6"/>
      <c r="N854" s="8"/>
      <c r="O854" s="13"/>
      <c r="P854" s="6"/>
    </row>
    <row r="855" spans="2:16" ht="86.25" customHeight="1" x14ac:dyDescent="0.25">
      <c r="B855" s="11"/>
      <c r="H855" s="2"/>
      <c r="K855" s="4"/>
      <c r="M855" s="6"/>
      <c r="N855" s="8"/>
      <c r="O855" s="13"/>
      <c r="P855" s="6"/>
    </row>
    <row r="856" spans="2:16" ht="86.25" customHeight="1" x14ac:dyDescent="0.25">
      <c r="B856" s="11"/>
      <c r="H856" s="2"/>
      <c r="K856" s="4"/>
      <c r="M856" s="6"/>
      <c r="N856" s="8"/>
      <c r="O856" s="13"/>
      <c r="P856" s="6"/>
    </row>
    <row r="857" spans="2:16" ht="86.25" customHeight="1" x14ac:dyDescent="0.25">
      <c r="B857" s="11"/>
      <c r="H857" s="2"/>
      <c r="K857" s="4"/>
      <c r="M857" s="6"/>
      <c r="N857" s="8"/>
      <c r="O857" s="13"/>
      <c r="P857" s="6"/>
    </row>
    <row r="858" spans="2:16" ht="86.25" customHeight="1" x14ac:dyDescent="0.25">
      <c r="B858" s="11"/>
      <c r="H858" s="2"/>
      <c r="K858" s="4"/>
      <c r="M858" s="6"/>
      <c r="N858" s="8"/>
      <c r="O858" s="13"/>
      <c r="P858" s="6"/>
    </row>
    <row r="859" spans="2:16" ht="86.25" customHeight="1" x14ac:dyDescent="0.25">
      <c r="B859" s="11"/>
      <c r="H859" s="2"/>
      <c r="K859" s="4"/>
      <c r="M859" s="6"/>
      <c r="N859" s="8"/>
      <c r="O859" s="13"/>
      <c r="P859" s="6"/>
    </row>
    <row r="860" spans="2:16" ht="86.25" customHeight="1" x14ac:dyDescent="0.25">
      <c r="B860" s="11"/>
      <c r="H860" s="2"/>
      <c r="K860" s="4"/>
      <c r="M860" s="6"/>
      <c r="N860" s="8"/>
      <c r="O860" s="13"/>
      <c r="P860" s="6"/>
    </row>
    <row r="861" spans="2:16" ht="86.25" customHeight="1" x14ac:dyDescent="0.25">
      <c r="B861" s="11"/>
      <c r="H861" s="2"/>
      <c r="K861" s="4"/>
      <c r="M861" s="6"/>
      <c r="N861" s="8"/>
      <c r="O861" s="13"/>
      <c r="P861" s="6"/>
    </row>
    <row r="862" spans="2:16" ht="86.25" customHeight="1" x14ac:dyDescent="0.25">
      <c r="B862" s="11"/>
      <c r="H862" s="2"/>
      <c r="K862" s="4"/>
      <c r="M862" s="6"/>
      <c r="N862" s="8"/>
      <c r="O862" s="13"/>
      <c r="P862" s="6"/>
    </row>
    <row r="863" spans="2:16" ht="86.25" customHeight="1" x14ac:dyDescent="0.25">
      <c r="B863" s="11"/>
      <c r="H863" s="2"/>
      <c r="K863" s="4"/>
      <c r="M863" s="6"/>
      <c r="N863" s="8"/>
      <c r="O863" s="13"/>
      <c r="P863" s="6"/>
    </row>
    <row r="864" spans="2:16" ht="86.25" customHeight="1" x14ac:dyDescent="0.25">
      <c r="B864" s="11"/>
      <c r="H864" s="2"/>
      <c r="K864" s="4"/>
      <c r="M864" s="6"/>
      <c r="N864" s="8"/>
      <c r="O864" s="13"/>
      <c r="P864" s="6"/>
    </row>
    <row r="865" spans="2:16" ht="86.25" customHeight="1" x14ac:dyDescent="0.25">
      <c r="B865" s="11"/>
      <c r="H865" s="2"/>
      <c r="K865" s="4"/>
      <c r="M865" s="6"/>
      <c r="N865" s="8"/>
      <c r="O865" s="13"/>
      <c r="P865" s="6"/>
    </row>
    <row r="866" spans="2:16" ht="86.25" customHeight="1" x14ac:dyDescent="0.25">
      <c r="B866" s="11"/>
      <c r="H866" s="2"/>
      <c r="K866" s="4"/>
      <c r="M866" s="6"/>
      <c r="N866" s="8"/>
      <c r="O866" s="13"/>
      <c r="P866" s="6"/>
    </row>
    <row r="867" spans="2:16" ht="86.25" customHeight="1" x14ac:dyDescent="0.25">
      <c r="B867" s="11"/>
      <c r="H867" s="2"/>
      <c r="K867" s="4"/>
      <c r="M867" s="6"/>
      <c r="N867" s="8"/>
      <c r="O867" s="13"/>
      <c r="P867" s="6"/>
    </row>
    <row r="868" spans="2:16" ht="86.25" customHeight="1" x14ac:dyDescent="0.25">
      <c r="B868" s="11"/>
      <c r="H868" s="2"/>
      <c r="K868" s="4"/>
      <c r="M868" s="6"/>
      <c r="N868" s="8"/>
      <c r="O868" s="13"/>
      <c r="P868" s="6"/>
    </row>
    <row r="869" spans="2:16" ht="86.25" customHeight="1" x14ac:dyDescent="0.25">
      <c r="B869" s="11"/>
      <c r="H869" s="2"/>
      <c r="K869" s="4"/>
      <c r="M869" s="6"/>
      <c r="N869" s="8"/>
      <c r="O869" s="13"/>
      <c r="P869" s="6"/>
    </row>
    <row r="870" spans="2:16" ht="86.25" customHeight="1" x14ac:dyDescent="0.25">
      <c r="B870" s="11"/>
      <c r="H870" s="2"/>
      <c r="K870" s="4"/>
      <c r="M870" s="6"/>
      <c r="N870" s="8"/>
      <c r="O870" s="13"/>
      <c r="P870" s="6"/>
    </row>
    <row r="871" spans="2:16" ht="86.25" customHeight="1" x14ac:dyDescent="0.25">
      <c r="B871" s="11"/>
      <c r="H871" s="2"/>
      <c r="K871" s="4"/>
      <c r="M871" s="6"/>
      <c r="N871" s="8"/>
      <c r="O871" s="13"/>
      <c r="P871" s="6"/>
    </row>
    <row r="872" spans="2:16" ht="86.25" customHeight="1" x14ac:dyDescent="0.25">
      <c r="B872" s="11"/>
      <c r="H872" s="2"/>
      <c r="K872" s="4"/>
      <c r="M872" s="6"/>
      <c r="N872" s="8"/>
      <c r="O872" s="13"/>
      <c r="P872" s="6"/>
    </row>
    <row r="873" spans="2:16" ht="86.25" customHeight="1" x14ac:dyDescent="0.25">
      <c r="B873" s="11"/>
      <c r="H873" s="2"/>
      <c r="K873" s="4"/>
      <c r="M873" s="6"/>
      <c r="N873" s="8"/>
      <c r="O873" s="13"/>
      <c r="P873" s="6"/>
    </row>
    <row r="874" spans="2:16" ht="86.25" customHeight="1" x14ac:dyDescent="0.25">
      <c r="B874" s="11"/>
      <c r="H874" s="2"/>
      <c r="K874" s="4"/>
      <c r="M874" s="6"/>
      <c r="N874" s="8"/>
      <c r="O874" s="13"/>
      <c r="P874" s="6"/>
    </row>
    <row r="875" spans="2:16" ht="86.25" customHeight="1" x14ac:dyDescent="0.25">
      <c r="B875" s="11"/>
      <c r="H875" s="2"/>
      <c r="K875" s="4"/>
      <c r="M875" s="6"/>
      <c r="N875" s="8"/>
      <c r="O875" s="13"/>
      <c r="P875" s="6"/>
    </row>
    <row r="876" spans="2:16" ht="86.25" customHeight="1" x14ac:dyDescent="0.25">
      <c r="B876" s="11"/>
      <c r="H876" s="2"/>
      <c r="K876" s="4"/>
      <c r="M876" s="6"/>
      <c r="N876" s="8"/>
      <c r="O876" s="13"/>
      <c r="P876" s="6"/>
    </row>
    <row r="877" spans="2:16" ht="86.25" customHeight="1" x14ac:dyDescent="0.25">
      <c r="B877" s="11"/>
      <c r="H877" s="2"/>
      <c r="K877" s="4"/>
      <c r="M877" s="6"/>
      <c r="N877" s="8"/>
      <c r="O877" s="13"/>
      <c r="P877" s="6"/>
    </row>
    <row r="878" spans="2:16" ht="86.25" customHeight="1" x14ac:dyDescent="0.25">
      <c r="B878" s="11"/>
      <c r="H878" s="2"/>
      <c r="K878" s="4"/>
      <c r="M878" s="6"/>
      <c r="N878" s="8"/>
      <c r="O878" s="13"/>
      <c r="P878" s="6"/>
    </row>
    <row r="879" spans="2:16" ht="86.25" customHeight="1" x14ac:dyDescent="0.25">
      <c r="B879" s="11"/>
      <c r="H879" s="2"/>
      <c r="K879" s="4"/>
      <c r="M879" s="6"/>
      <c r="N879" s="8"/>
      <c r="O879" s="13"/>
      <c r="P879" s="6"/>
    </row>
    <row r="880" spans="2:16" ht="86.25" customHeight="1" x14ac:dyDescent="0.25">
      <c r="B880" s="11"/>
      <c r="H880" s="2"/>
      <c r="K880" s="4"/>
      <c r="M880" s="6"/>
      <c r="N880" s="8"/>
      <c r="O880" s="13"/>
      <c r="P880" s="6"/>
    </row>
    <row r="881" spans="2:16" ht="86.25" customHeight="1" x14ac:dyDescent="0.25">
      <c r="B881" s="11"/>
      <c r="H881" s="2"/>
      <c r="K881" s="4"/>
      <c r="M881" s="6"/>
      <c r="N881" s="8"/>
      <c r="O881" s="13"/>
      <c r="P881" s="6"/>
    </row>
    <row r="882" spans="2:16" ht="86.25" customHeight="1" x14ac:dyDescent="0.25">
      <c r="B882" s="11"/>
      <c r="H882" s="2"/>
      <c r="K882" s="4"/>
      <c r="M882" s="6"/>
      <c r="N882" s="8"/>
      <c r="O882" s="13"/>
      <c r="P882" s="6"/>
    </row>
    <row r="883" spans="2:16" ht="86.25" customHeight="1" x14ac:dyDescent="0.25">
      <c r="B883" s="11"/>
      <c r="H883" s="2"/>
      <c r="K883" s="4"/>
      <c r="M883" s="6"/>
      <c r="N883" s="8"/>
      <c r="O883" s="13"/>
      <c r="P883" s="6"/>
    </row>
    <row r="884" spans="2:16" ht="86.25" customHeight="1" x14ac:dyDescent="0.25">
      <c r="B884" s="11"/>
      <c r="H884" s="2"/>
      <c r="K884" s="4"/>
      <c r="M884" s="6"/>
      <c r="N884" s="8"/>
      <c r="O884" s="13"/>
      <c r="P884" s="6"/>
    </row>
    <row r="885" spans="2:16" ht="86.25" customHeight="1" x14ac:dyDescent="0.25">
      <c r="B885" s="11"/>
      <c r="H885" s="2"/>
      <c r="K885" s="4"/>
      <c r="M885" s="6"/>
      <c r="N885" s="8"/>
      <c r="O885" s="13"/>
      <c r="P885" s="6"/>
    </row>
    <row r="886" spans="2:16" ht="86.25" customHeight="1" x14ac:dyDescent="0.25">
      <c r="B886" s="11"/>
      <c r="H886" s="2"/>
      <c r="K886" s="4"/>
      <c r="M886" s="6"/>
      <c r="N886" s="8"/>
      <c r="O886" s="13"/>
      <c r="P886" s="6"/>
    </row>
    <row r="887" spans="2:16" ht="86.25" customHeight="1" x14ac:dyDescent="0.25">
      <c r="B887" s="11"/>
      <c r="H887" s="2"/>
      <c r="K887" s="4"/>
      <c r="M887" s="6"/>
      <c r="N887" s="8"/>
      <c r="O887" s="13"/>
      <c r="P887" s="6"/>
    </row>
    <row r="888" spans="2:16" ht="86.25" customHeight="1" x14ac:dyDescent="0.25">
      <c r="B888" s="11"/>
      <c r="H888" s="2"/>
      <c r="M888" s="6"/>
      <c r="N888" s="8"/>
      <c r="O888" s="13"/>
      <c r="P888" s="6"/>
    </row>
    <row r="889" spans="2:16" ht="86.25" customHeight="1" x14ac:dyDescent="0.25">
      <c r="B889" s="11"/>
      <c r="H889" s="2"/>
      <c r="M889" s="6"/>
      <c r="N889" s="8"/>
      <c r="O889" s="13"/>
      <c r="P889" s="6"/>
    </row>
    <row r="890" spans="2:16" ht="86.25" customHeight="1" x14ac:dyDescent="0.25">
      <c r="B890" s="11"/>
      <c r="H890" s="2"/>
      <c r="M890" s="6"/>
      <c r="N890" s="8"/>
      <c r="O890" s="13"/>
      <c r="P890" s="6"/>
    </row>
    <row r="891" spans="2:16" ht="86.25" customHeight="1" x14ac:dyDescent="0.25">
      <c r="B891" s="11"/>
      <c r="H891" s="2"/>
      <c r="M891" s="6"/>
      <c r="N891" s="8"/>
      <c r="O891" s="13"/>
      <c r="P891" s="6"/>
    </row>
    <row r="892" spans="2:16" ht="86.25" customHeight="1" x14ac:dyDescent="0.25">
      <c r="B892" s="11"/>
      <c r="H892" s="2"/>
      <c r="M892" s="6"/>
      <c r="N892" s="8"/>
      <c r="O892" s="13"/>
      <c r="P892" s="6"/>
    </row>
    <row r="893" spans="2:16" ht="86.25" customHeight="1" x14ac:dyDescent="0.25">
      <c r="B893" s="11"/>
      <c r="H893" s="2"/>
      <c r="M893" s="6"/>
      <c r="N893" s="8"/>
      <c r="O893" s="13"/>
      <c r="P893" s="6"/>
    </row>
    <row r="894" spans="2:16" ht="86.25" customHeight="1" x14ac:dyDescent="0.25">
      <c r="B894" s="11"/>
      <c r="H894" s="2"/>
      <c r="M894" s="6"/>
      <c r="N894" s="8"/>
      <c r="O894" s="13"/>
      <c r="P894" s="6"/>
    </row>
    <row r="895" spans="2:16" ht="86.25" customHeight="1" x14ac:dyDescent="0.25">
      <c r="B895" s="11"/>
      <c r="H895" s="2"/>
      <c r="M895" s="6"/>
      <c r="N895" s="8"/>
      <c r="O895" s="13"/>
      <c r="P895" s="6"/>
    </row>
    <row r="896" spans="2:16" ht="86.25" customHeight="1" x14ac:dyDescent="0.25">
      <c r="B896" s="11"/>
      <c r="H896" s="2"/>
      <c r="M896" s="6"/>
      <c r="N896" s="8"/>
      <c r="O896" s="13"/>
      <c r="P896" s="6"/>
    </row>
    <row r="897" spans="2:16" ht="86.25" customHeight="1" x14ac:dyDescent="0.25">
      <c r="B897" s="11"/>
      <c r="H897" s="2"/>
      <c r="M897" s="6"/>
      <c r="N897" s="8"/>
      <c r="O897" s="13"/>
      <c r="P897" s="6"/>
    </row>
    <row r="898" spans="2:16" ht="86.25" customHeight="1" x14ac:dyDescent="0.25">
      <c r="B898" s="11"/>
      <c r="H898" s="2"/>
      <c r="M898" s="6"/>
      <c r="N898" s="8"/>
      <c r="O898" s="13"/>
      <c r="P898" s="6"/>
    </row>
    <row r="899" spans="2:16" ht="86.25" customHeight="1" x14ac:dyDescent="0.25">
      <c r="B899" s="11"/>
      <c r="H899" s="2"/>
      <c r="M899" s="6"/>
      <c r="N899" s="8"/>
      <c r="O899" s="13"/>
      <c r="P899" s="6"/>
    </row>
    <row r="900" spans="2:16" ht="86.25" customHeight="1" x14ac:dyDescent="0.25">
      <c r="B900" s="11"/>
      <c r="H900" s="2"/>
      <c r="M900" s="6"/>
      <c r="N900" s="8"/>
      <c r="O900" s="13"/>
      <c r="P900" s="6"/>
    </row>
    <row r="901" spans="2:16" ht="86.25" customHeight="1" x14ac:dyDescent="0.25">
      <c r="B901" s="11"/>
      <c r="H901" s="2"/>
      <c r="M901" s="6"/>
      <c r="N901" s="8"/>
      <c r="O901" s="13"/>
      <c r="P901" s="6"/>
    </row>
    <row r="902" spans="2:16" ht="86.25" customHeight="1" x14ac:dyDescent="0.25">
      <c r="B902" s="11"/>
      <c r="H902" s="2"/>
      <c r="M902" s="6"/>
      <c r="N902" s="8"/>
      <c r="O902" s="13"/>
      <c r="P902" s="6"/>
    </row>
    <row r="903" spans="2:16" ht="86.25" customHeight="1" x14ac:dyDescent="0.25">
      <c r="B903" s="11"/>
      <c r="H903" s="2"/>
      <c r="M903" s="6"/>
      <c r="N903" s="8"/>
      <c r="O903" s="13"/>
      <c r="P903" s="6"/>
    </row>
    <row r="904" spans="2:16" ht="86.25" customHeight="1" x14ac:dyDescent="0.25">
      <c r="B904" s="11"/>
      <c r="H904" s="2"/>
      <c r="M904" s="6"/>
      <c r="N904" s="8"/>
      <c r="O904" s="13"/>
      <c r="P904" s="6"/>
    </row>
    <row r="905" spans="2:16" ht="86.25" customHeight="1" x14ac:dyDescent="0.25">
      <c r="B905" s="11"/>
      <c r="H905" s="2"/>
      <c r="M905" s="6"/>
      <c r="N905" s="8"/>
      <c r="O905" s="13"/>
      <c r="P905" s="6"/>
    </row>
    <row r="906" spans="2:16" ht="86.25" customHeight="1" x14ac:dyDescent="0.25">
      <c r="B906" s="11"/>
      <c r="H906" s="2"/>
      <c r="M906" s="6"/>
      <c r="N906" s="8"/>
      <c r="O906" s="13"/>
      <c r="P906" s="6"/>
    </row>
    <row r="907" spans="2:16" ht="86.25" customHeight="1" x14ac:dyDescent="0.25">
      <c r="B907" s="11"/>
      <c r="H907" s="2"/>
      <c r="M907" s="6"/>
      <c r="N907" s="8"/>
      <c r="O907" s="13"/>
      <c r="P907" s="6"/>
    </row>
    <row r="908" spans="2:16" ht="86.25" customHeight="1" x14ac:dyDescent="0.25">
      <c r="B908" s="11"/>
      <c r="H908" s="2"/>
      <c r="M908" s="6"/>
      <c r="N908" s="8"/>
      <c r="O908" s="13"/>
      <c r="P908" s="6"/>
    </row>
    <row r="909" spans="2:16" ht="86.25" customHeight="1" x14ac:dyDescent="0.25">
      <c r="B909" s="11"/>
      <c r="H909" s="2"/>
      <c r="M909" s="6"/>
      <c r="N909" s="8"/>
      <c r="O909" s="13"/>
      <c r="P909" s="6"/>
    </row>
    <row r="910" spans="2:16" ht="86.25" customHeight="1" x14ac:dyDescent="0.25">
      <c r="B910" s="11"/>
      <c r="H910" s="2"/>
      <c r="M910" s="6"/>
      <c r="N910" s="8"/>
      <c r="O910" s="13"/>
      <c r="P910" s="6"/>
    </row>
    <row r="911" spans="2:16" ht="86.25" customHeight="1" x14ac:dyDescent="0.25">
      <c r="B911" s="11"/>
      <c r="H911" s="2"/>
      <c r="M911" s="6"/>
      <c r="N911" s="8"/>
      <c r="O911" s="13"/>
      <c r="P911" s="6"/>
    </row>
    <row r="912" spans="2:16" ht="86.25" customHeight="1" x14ac:dyDescent="0.25">
      <c r="B912" s="11"/>
      <c r="H912" s="2"/>
      <c r="M912" s="6"/>
      <c r="N912" s="8"/>
      <c r="O912" s="13"/>
      <c r="P912" s="6"/>
    </row>
    <row r="913" spans="2:16" ht="86.25" customHeight="1" x14ac:dyDescent="0.25">
      <c r="B913" s="11"/>
      <c r="H913" s="2"/>
      <c r="M913" s="6"/>
      <c r="N913" s="8"/>
      <c r="O913" s="13"/>
      <c r="P913" s="6"/>
    </row>
    <row r="914" spans="2:16" ht="86.25" customHeight="1" x14ac:dyDescent="0.25">
      <c r="B914" s="11"/>
      <c r="H914" s="2"/>
      <c r="M914" s="6"/>
      <c r="N914" s="8"/>
      <c r="O914" s="13"/>
      <c r="P914" s="6"/>
    </row>
    <row r="915" spans="2:16" ht="86.25" customHeight="1" x14ac:dyDescent="0.25">
      <c r="B915" s="11"/>
      <c r="H915" s="2"/>
      <c r="M915" s="6"/>
      <c r="N915" s="8"/>
      <c r="O915" s="13"/>
      <c r="P915" s="6"/>
    </row>
    <row r="916" spans="2:16" ht="86.25" customHeight="1" x14ac:dyDescent="0.25">
      <c r="B916" s="11"/>
      <c r="H916" s="2"/>
      <c r="L916" s="1"/>
      <c r="M916" s="6"/>
      <c r="N916" s="8"/>
      <c r="O916" s="13"/>
      <c r="P916" s="6"/>
    </row>
    <row r="917" spans="2:16" ht="86.25" customHeight="1" x14ac:dyDescent="0.25">
      <c r="B917" s="11"/>
      <c r="H917" s="2"/>
      <c r="M917" s="6"/>
      <c r="N917" s="8"/>
      <c r="O917" s="13"/>
      <c r="P917" s="6"/>
    </row>
    <row r="918" spans="2:16" ht="86.25" customHeight="1" x14ac:dyDescent="0.25">
      <c r="B918" s="11"/>
      <c r="H918" s="2"/>
      <c r="M918" s="6"/>
      <c r="N918" s="8"/>
      <c r="O918" s="13"/>
      <c r="P918" s="6"/>
    </row>
    <row r="919" spans="2:16" ht="86.25" customHeight="1" x14ac:dyDescent="0.25">
      <c r="B919" s="11"/>
      <c r="H919" s="2"/>
      <c r="M919" s="6"/>
      <c r="N919" s="8"/>
      <c r="O919" s="13"/>
      <c r="P919" s="6"/>
    </row>
    <row r="920" spans="2:16" ht="86.25" customHeight="1" x14ac:dyDescent="0.25">
      <c r="B920" s="11"/>
      <c r="H920" s="2"/>
      <c r="M920" s="6"/>
      <c r="N920" s="8"/>
      <c r="O920" s="13"/>
      <c r="P920" s="6"/>
    </row>
    <row r="921" spans="2:16" ht="86.25" customHeight="1" x14ac:dyDescent="0.25">
      <c r="B921" s="11"/>
      <c r="H921" s="2"/>
      <c r="M921" s="6"/>
      <c r="N921" s="8"/>
      <c r="O921" s="13"/>
      <c r="P921" s="6"/>
    </row>
    <row r="922" spans="2:16" ht="86.25" customHeight="1" x14ac:dyDescent="0.25">
      <c r="B922" s="11"/>
      <c r="H922" s="2"/>
      <c r="M922" s="6"/>
      <c r="N922" s="8"/>
      <c r="O922" s="13"/>
      <c r="P922" s="6"/>
    </row>
    <row r="923" spans="2:16" ht="86.25" customHeight="1" x14ac:dyDescent="0.25">
      <c r="B923" s="11"/>
      <c r="H923" s="2"/>
      <c r="M923" s="6"/>
      <c r="N923" s="8"/>
      <c r="O923" s="13"/>
      <c r="P923" s="6"/>
    </row>
    <row r="924" spans="2:16" ht="86.25" customHeight="1" x14ac:dyDescent="0.25">
      <c r="B924" s="11"/>
      <c r="H924" s="2"/>
      <c r="M924" s="6"/>
      <c r="N924" s="8"/>
      <c r="O924" s="13"/>
      <c r="P924" s="6"/>
    </row>
    <row r="925" spans="2:16" ht="86.25" customHeight="1" x14ac:dyDescent="0.25">
      <c r="B925" s="11"/>
      <c r="H925" s="2"/>
      <c r="M925" s="6"/>
      <c r="N925" s="8"/>
      <c r="O925" s="13"/>
      <c r="P925" s="6"/>
    </row>
    <row r="926" spans="2:16" ht="86.25" customHeight="1" x14ac:dyDescent="0.25">
      <c r="B926" s="11"/>
      <c r="H926" s="2"/>
      <c r="M926" s="6"/>
      <c r="N926" s="8"/>
      <c r="O926" s="13"/>
      <c r="P926" s="6"/>
    </row>
    <row r="927" spans="2:16" ht="86.25" customHeight="1" x14ac:dyDescent="0.25">
      <c r="B927" s="11"/>
      <c r="H927" s="2"/>
      <c r="M927" s="6"/>
      <c r="N927" s="8"/>
      <c r="O927" s="13"/>
      <c r="P927" s="6"/>
    </row>
    <row r="928" spans="2:16" ht="86.25" customHeight="1" x14ac:dyDescent="0.25">
      <c r="B928" s="11"/>
      <c r="H928" s="2"/>
      <c r="M928" s="6"/>
      <c r="N928" s="8"/>
      <c r="O928" s="13"/>
      <c r="P928" s="6"/>
    </row>
    <row r="929" spans="2:16" ht="86.25" customHeight="1" x14ac:dyDescent="0.25">
      <c r="B929" s="11"/>
      <c r="H929" s="2"/>
      <c r="M929" s="6"/>
      <c r="N929" s="8"/>
      <c r="O929" s="13"/>
      <c r="P929" s="6"/>
    </row>
    <row r="930" spans="2:16" ht="86.25" customHeight="1" x14ac:dyDescent="0.25">
      <c r="B930" s="11"/>
      <c r="H930" s="2"/>
      <c r="M930" s="6"/>
      <c r="N930" s="8"/>
      <c r="O930" s="13"/>
      <c r="P930" s="6"/>
    </row>
    <row r="931" spans="2:16" ht="86.25" customHeight="1" x14ac:dyDescent="0.25">
      <c r="B931" s="11"/>
      <c r="H931" s="2"/>
      <c r="M931" s="6"/>
      <c r="N931" s="8"/>
      <c r="O931" s="13"/>
      <c r="P931" s="6"/>
    </row>
    <row r="932" spans="2:16" ht="86.25" customHeight="1" x14ac:dyDescent="0.25">
      <c r="B932" s="11"/>
      <c r="H932" s="2"/>
      <c r="M932" s="6"/>
      <c r="N932" s="8"/>
      <c r="O932" s="13"/>
      <c r="P932" s="6"/>
    </row>
    <row r="933" spans="2:16" ht="86.25" customHeight="1" x14ac:dyDescent="0.25">
      <c r="B933" s="11"/>
      <c r="M933" s="6"/>
      <c r="N933" s="8"/>
      <c r="O933" s="13"/>
      <c r="P933" s="6"/>
    </row>
    <row r="934" spans="2:16" ht="86.25" customHeight="1" x14ac:dyDescent="0.25">
      <c r="B934" s="11"/>
      <c r="H934" s="2"/>
      <c r="M934" s="6"/>
      <c r="N934" s="8"/>
      <c r="O934" s="13"/>
      <c r="P934" s="6"/>
    </row>
    <row r="935" spans="2:16" ht="86.25" customHeight="1" x14ac:dyDescent="0.25">
      <c r="B935" s="11"/>
      <c r="H935" s="2"/>
      <c r="M935" s="6"/>
      <c r="N935" s="8"/>
      <c r="O935" s="13"/>
      <c r="P935" s="6"/>
    </row>
    <row r="936" spans="2:16" ht="86.25" customHeight="1" x14ac:dyDescent="0.25">
      <c r="B936" s="11"/>
      <c r="H936" s="2"/>
      <c r="M936" s="6"/>
      <c r="N936" s="8"/>
      <c r="O936" s="13"/>
      <c r="P936" s="6"/>
    </row>
    <row r="937" spans="2:16" ht="86.25" customHeight="1" x14ac:dyDescent="0.25">
      <c r="B937" s="11"/>
      <c r="H937" s="2"/>
      <c r="M937" s="6"/>
      <c r="N937" s="8"/>
      <c r="O937" s="13"/>
      <c r="P937" s="6"/>
    </row>
    <row r="938" spans="2:16" ht="86.25" customHeight="1" x14ac:dyDescent="0.25">
      <c r="B938" s="11"/>
      <c r="H938" s="2"/>
      <c r="M938" s="6"/>
      <c r="N938" s="8"/>
      <c r="O938" s="13"/>
      <c r="P938" s="6"/>
    </row>
    <row r="939" spans="2:16" ht="86.25" customHeight="1" x14ac:dyDescent="0.25">
      <c r="B939" s="11"/>
      <c r="H939" s="2"/>
      <c r="M939" s="6"/>
      <c r="N939" s="8"/>
      <c r="O939" s="13"/>
      <c r="P939" s="6"/>
    </row>
    <row r="940" spans="2:16" ht="86.25" customHeight="1" x14ac:dyDescent="0.25">
      <c r="B940" s="11"/>
      <c r="H940" s="2"/>
      <c r="M940" s="6"/>
      <c r="N940" s="8"/>
      <c r="O940" s="13"/>
      <c r="P940" s="6"/>
    </row>
    <row r="941" spans="2:16" ht="86.25" customHeight="1" x14ac:dyDescent="0.25">
      <c r="B941" s="11"/>
      <c r="H941" s="2"/>
      <c r="M941" s="6"/>
      <c r="N941" s="8"/>
      <c r="O941" s="13"/>
      <c r="P941" s="6"/>
    </row>
    <row r="942" spans="2:16" ht="86.25" customHeight="1" x14ac:dyDescent="0.25">
      <c r="B942" s="11"/>
      <c r="H942" s="2"/>
      <c r="M942" s="6"/>
      <c r="N942" s="8"/>
      <c r="O942" s="13"/>
      <c r="P942" s="6"/>
    </row>
    <row r="943" spans="2:16" ht="86.25" customHeight="1" x14ac:dyDescent="0.25">
      <c r="B943" s="11"/>
      <c r="H943" s="2"/>
      <c r="M943" s="6"/>
      <c r="N943" s="8"/>
      <c r="O943" s="13"/>
      <c r="P943" s="6"/>
    </row>
    <row r="944" spans="2:16" ht="86.25" customHeight="1" x14ac:dyDescent="0.25">
      <c r="B944" s="11"/>
      <c r="H944" s="2"/>
      <c r="M944" s="6"/>
      <c r="N944" s="8"/>
      <c r="O944" s="13"/>
      <c r="P944" s="6"/>
    </row>
    <row r="945" spans="2:16" ht="86.25" customHeight="1" x14ac:dyDescent="0.25">
      <c r="B945" s="11"/>
      <c r="H945" s="2"/>
      <c r="M945" s="6"/>
      <c r="N945" s="8"/>
      <c r="O945" s="13"/>
      <c r="P945" s="6"/>
    </row>
    <row r="946" spans="2:16" ht="86.25" customHeight="1" x14ac:dyDescent="0.25">
      <c r="B946" s="11"/>
      <c r="H946" s="2"/>
      <c r="M946" s="6"/>
      <c r="N946" s="8"/>
      <c r="O946" s="13"/>
      <c r="P946" s="6"/>
    </row>
    <row r="947" spans="2:16" ht="86.25" customHeight="1" x14ac:dyDescent="0.25">
      <c r="B947" s="11"/>
      <c r="H947" s="2"/>
      <c r="M947" s="6"/>
      <c r="N947" s="8"/>
      <c r="O947" s="13"/>
      <c r="P947" s="6"/>
    </row>
    <row r="948" spans="2:16" ht="86.25" customHeight="1" x14ac:dyDescent="0.25">
      <c r="B948" s="11"/>
      <c r="H948" s="2"/>
      <c r="M948" s="6"/>
      <c r="N948" s="8"/>
      <c r="O948" s="13"/>
      <c r="P948" s="6"/>
    </row>
    <row r="949" spans="2:16" ht="86.25" customHeight="1" x14ac:dyDescent="0.25">
      <c r="B949" s="11"/>
      <c r="H949" s="2"/>
      <c r="M949" s="6"/>
      <c r="N949" s="8"/>
      <c r="O949" s="13"/>
      <c r="P949" s="6"/>
    </row>
    <row r="950" spans="2:16" ht="86.25" customHeight="1" x14ac:dyDescent="0.25">
      <c r="B950" s="11"/>
      <c r="H950" s="2"/>
      <c r="M950" s="6"/>
      <c r="N950" s="8"/>
      <c r="O950" s="13"/>
      <c r="P950" s="6"/>
    </row>
    <row r="951" spans="2:16" ht="86.25" customHeight="1" x14ac:dyDescent="0.25">
      <c r="B951" s="11"/>
      <c r="H951" s="2"/>
      <c r="M951" s="6"/>
      <c r="N951" s="8"/>
      <c r="O951" s="13"/>
      <c r="P951" s="6"/>
    </row>
    <row r="952" spans="2:16" ht="86.25" customHeight="1" x14ac:dyDescent="0.25">
      <c r="B952" s="11"/>
      <c r="M952" s="6"/>
      <c r="N952" s="8"/>
      <c r="O952" s="13"/>
      <c r="P952" s="6"/>
    </row>
    <row r="953" spans="2:16" ht="86.25" customHeight="1" x14ac:dyDescent="0.25">
      <c r="B953" s="11"/>
      <c r="M953" s="6"/>
      <c r="N953" s="8"/>
      <c r="O953" s="13"/>
      <c r="P953" s="6"/>
    </row>
    <row r="954" spans="2:16" ht="86.25" customHeight="1" x14ac:dyDescent="0.25">
      <c r="B954" s="11"/>
      <c r="M954" s="6"/>
      <c r="N954" s="8"/>
      <c r="O954" s="13"/>
      <c r="P954" s="6"/>
    </row>
    <row r="955" spans="2:16" ht="86.25" customHeight="1" x14ac:dyDescent="0.25">
      <c r="B955" s="11"/>
      <c r="M955" s="6"/>
      <c r="N955" s="8"/>
      <c r="O955" s="13"/>
      <c r="P955" s="6"/>
    </row>
    <row r="956" spans="2:16" ht="86.25" customHeight="1" x14ac:dyDescent="0.25">
      <c r="B956" s="11"/>
      <c r="M956" s="6"/>
      <c r="N956" s="8"/>
      <c r="O956" s="13"/>
      <c r="P956" s="6"/>
    </row>
    <row r="957" spans="2:16" ht="86.25" customHeight="1" x14ac:dyDescent="0.25">
      <c r="B957" s="11"/>
      <c r="M957" s="6"/>
      <c r="N957" s="8"/>
      <c r="O957" s="13"/>
      <c r="P957" s="6"/>
    </row>
    <row r="958" spans="2:16" ht="86.25" customHeight="1" x14ac:dyDescent="0.25">
      <c r="B958" s="11"/>
      <c r="M958" s="6"/>
      <c r="N958" s="8"/>
      <c r="O958" s="13"/>
      <c r="P958" s="6"/>
    </row>
    <row r="959" spans="2:16" ht="86.25" customHeight="1" x14ac:dyDescent="0.25">
      <c r="B959" s="11"/>
      <c r="M959" s="6"/>
      <c r="N959" s="8"/>
      <c r="O959" s="13"/>
      <c r="P959" s="6"/>
    </row>
    <row r="960" spans="2:16" ht="86.25" customHeight="1" x14ac:dyDescent="0.25">
      <c r="B960" s="11"/>
      <c r="M960" s="6"/>
      <c r="N960" s="8"/>
      <c r="O960" s="13"/>
      <c r="P960" s="6"/>
    </row>
    <row r="961" spans="2:16" ht="86.25" customHeight="1" x14ac:dyDescent="0.25">
      <c r="B961" s="11"/>
      <c r="M961" s="6"/>
      <c r="N961" s="8"/>
      <c r="O961" s="13"/>
      <c r="P961" s="6"/>
    </row>
    <row r="962" spans="2:16" ht="86.25" customHeight="1" x14ac:dyDescent="0.25">
      <c r="B962" s="11"/>
      <c r="M962" s="6"/>
      <c r="N962" s="8"/>
      <c r="O962" s="13"/>
      <c r="P962" s="6"/>
    </row>
    <row r="963" spans="2:16" ht="86.25" customHeight="1" x14ac:dyDescent="0.25">
      <c r="B963" s="11"/>
      <c r="M963" s="6"/>
      <c r="N963" s="8"/>
      <c r="O963" s="13"/>
      <c r="P963" s="6"/>
    </row>
    <row r="964" spans="2:16" ht="86.25" customHeight="1" x14ac:dyDescent="0.25">
      <c r="B964" s="11"/>
      <c r="M964" s="6"/>
      <c r="N964" s="8"/>
      <c r="O964" s="13"/>
      <c r="P964" s="6"/>
    </row>
    <row r="965" spans="2:16" ht="86.25" customHeight="1" x14ac:dyDescent="0.25">
      <c r="B965" s="11"/>
      <c r="M965" s="6"/>
      <c r="N965" s="8"/>
      <c r="O965" s="13"/>
      <c r="P965" s="6"/>
    </row>
    <row r="966" spans="2:16" ht="86.25" customHeight="1" x14ac:dyDescent="0.25">
      <c r="B966" s="11"/>
      <c r="M966" s="6"/>
      <c r="N966" s="8"/>
      <c r="O966" s="13"/>
      <c r="P966" s="6"/>
    </row>
    <row r="967" spans="2:16" ht="86.25" customHeight="1" x14ac:dyDescent="0.25">
      <c r="B967" s="11"/>
      <c r="M967" s="6"/>
      <c r="N967" s="8"/>
      <c r="O967" s="13"/>
      <c r="P967" s="6"/>
    </row>
    <row r="968" spans="2:16" ht="86.25" customHeight="1" x14ac:dyDescent="0.25">
      <c r="B968" s="11"/>
      <c r="M968" s="6"/>
      <c r="N968" s="8"/>
      <c r="O968" s="13"/>
      <c r="P968" s="6"/>
    </row>
    <row r="969" spans="2:16" ht="86.25" customHeight="1" x14ac:dyDescent="0.25">
      <c r="B969" s="11"/>
      <c r="M969" s="6"/>
      <c r="N969" s="8"/>
      <c r="O969" s="13"/>
      <c r="P969" s="6"/>
    </row>
    <row r="970" spans="2:16" ht="86.25" customHeight="1" x14ac:dyDescent="0.25">
      <c r="B970" s="11"/>
      <c r="M970" s="6"/>
      <c r="N970" s="8"/>
      <c r="O970" s="13"/>
      <c r="P970" s="6"/>
    </row>
    <row r="971" spans="2:16" ht="86.25" customHeight="1" x14ac:dyDescent="0.25">
      <c r="B971" s="11"/>
      <c r="M971" s="6"/>
      <c r="N971" s="8"/>
      <c r="O971" s="13"/>
      <c r="P971" s="6"/>
    </row>
    <row r="972" spans="2:16" ht="86.25" customHeight="1" x14ac:dyDescent="0.25">
      <c r="B972" s="11"/>
      <c r="M972" s="6"/>
      <c r="N972" s="8"/>
      <c r="O972" s="13"/>
      <c r="P972" s="6"/>
    </row>
    <row r="973" spans="2:16" ht="86.25" customHeight="1" x14ac:dyDescent="0.25">
      <c r="B973" s="11"/>
      <c r="M973" s="6"/>
      <c r="N973" s="8"/>
      <c r="O973" s="13"/>
      <c r="P973" s="6"/>
    </row>
    <row r="974" spans="2:16" ht="86.25" customHeight="1" x14ac:dyDescent="0.25">
      <c r="B974" s="11"/>
      <c r="M974" s="6"/>
      <c r="N974" s="8"/>
      <c r="O974" s="13"/>
      <c r="P974" s="6"/>
    </row>
    <row r="975" spans="2:16" ht="86.25" customHeight="1" x14ac:dyDescent="0.25">
      <c r="B975" s="11"/>
      <c r="M975" s="6"/>
      <c r="N975" s="8"/>
      <c r="O975" s="13"/>
      <c r="P975" s="6"/>
    </row>
    <row r="976" spans="2:16" ht="86.25" customHeight="1" x14ac:dyDescent="0.25">
      <c r="B976" s="11"/>
      <c r="M976" s="6"/>
      <c r="N976" s="8"/>
      <c r="O976" s="13"/>
      <c r="P976" s="6"/>
    </row>
    <row r="977" spans="2:16" ht="86.25" customHeight="1" x14ac:dyDescent="0.25">
      <c r="B977" s="11"/>
      <c r="M977" s="6"/>
      <c r="N977" s="8"/>
      <c r="O977" s="13"/>
      <c r="P977" s="6"/>
    </row>
    <row r="978" spans="2:16" ht="86.25" customHeight="1" x14ac:dyDescent="0.25">
      <c r="B978" s="11"/>
      <c r="M978" s="6"/>
      <c r="N978" s="8"/>
      <c r="O978" s="13"/>
      <c r="P978" s="6"/>
    </row>
    <row r="979" spans="2:16" ht="86.25" customHeight="1" x14ac:dyDescent="0.25">
      <c r="B979" s="11"/>
      <c r="M979" s="6"/>
      <c r="N979" s="8"/>
      <c r="O979" s="13"/>
      <c r="P979" s="6"/>
    </row>
    <row r="980" spans="2:16" ht="86.25" customHeight="1" x14ac:dyDescent="0.25">
      <c r="B980" s="11"/>
      <c r="M980" s="6"/>
      <c r="N980" s="8"/>
      <c r="O980" s="13"/>
      <c r="P980" s="6"/>
    </row>
    <row r="981" spans="2:16" ht="86.25" customHeight="1" x14ac:dyDescent="0.25">
      <c r="B981" s="11"/>
      <c r="M981" s="6"/>
      <c r="N981" s="8"/>
      <c r="O981" s="13"/>
      <c r="P981" s="6"/>
    </row>
    <row r="982" spans="2:16" ht="86.25" customHeight="1" x14ac:dyDescent="0.25">
      <c r="B982" s="11"/>
      <c r="M982" s="6"/>
      <c r="N982" s="8"/>
      <c r="O982" s="13"/>
      <c r="P982" s="6"/>
    </row>
    <row r="983" spans="2:16" ht="86.25" customHeight="1" x14ac:dyDescent="0.25">
      <c r="B983" s="11"/>
      <c r="M983" s="6"/>
      <c r="N983" s="8"/>
      <c r="O983" s="13"/>
      <c r="P983" s="6"/>
    </row>
    <row r="984" spans="2:16" ht="86.25" customHeight="1" x14ac:dyDescent="0.25">
      <c r="B984" s="11"/>
      <c r="M984" s="6"/>
      <c r="N984" s="8"/>
      <c r="O984" s="13"/>
      <c r="P984" s="6"/>
    </row>
    <row r="985" spans="2:16" ht="86.25" customHeight="1" x14ac:dyDescent="0.25">
      <c r="B985" s="11"/>
      <c r="M985" s="6"/>
      <c r="N985" s="8"/>
      <c r="O985" s="13"/>
      <c r="P985" s="6"/>
    </row>
    <row r="986" spans="2:16" ht="86.25" customHeight="1" x14ac:dyDescent="0.25">
      <c r="B986" s="11"/>
      <c r="M986" s="6"/>
      <c r="N986" s="8"/>
      <c r="O986" s="13"/>
      <c r="P986" s="6"/>
    </row>
    <row r="987" spans="2:16" ht="86.25" customHeight="1" x14ac:dyDescent="0.25">
      <c r="B987" s="11"/>
      <c r="M987" s="6"/>
      <c r="N987" s="8"/>
      <c r="O987" s="13"/>
      <c r="P987" s="6"/>
    </row>
    <row r="988" spans="2:16" ht="86.25" customHeight="1" x14ac:dyDescent="0.25">
      <c r="B988" s="11"/>
      <c r="M988" s="6"/>
      <c r="N988" s="8"/>
      <c r="O988" s="13"/>
      <c r="P988" s="6"/>
    </row>
    <row r="989" spans="2:16" ht="86.25" customHeight="1" x14ac:dyDescent="0.25">
      <c r="B989" s="11"/>
      <c r="M989" s="6"/>
      <c r="N989" s="8"/>
      <c r="O989" s="13"/>
      <c r="P989" s="6"/>
    </row>
    <row r="990" spans="2:16" ht="86.25" customHeight="1" x14ac:dyDescent="0.25">
      <c r="B990" s="11"/>
      <c r="M990" s="6"/>
      <c r="N990" s="8"/>
      <c r="O990" s="13"/>
      <c r="P990" s="6"/>
    </row>
    <row r="991" spans="2:16" ht="86.25" customHeight="1" x14ac:dyDescent="0.25">
      <c r="B991" s="11"/>
      <c r="M991" s="6"/>
      <c r="N991" s="8"/>
      <c r="O991" s="13"/>
      <c r="P991" s="6"/>
    </row>
    <row r="992" spans="2:16" ht="86.25" customHeight="1" x14ac:dyDescent="0.25">
      <c r="B992" s="11"/>
      <c r="M992" s="6"/>
      <c r="N992" s="8"/>
      <c r="O992" s="13"/>
      <c r="P992" s="6"/>
    </row>
    <row r="993" spans="2:16" ht="86.25" customHeight="1" x14ac:dyDescent="0.25">
      <c r="B993" s="11"/>
      <c r="M993" s="6"/>
      <c r="N993" s="8"/>
      <c r="O993" s="13"/>
      <c r="P993" s="6"/>
    </row>
    <row r="994" spans="2:16" ht="86.25" customHeight="1" x14ac:dyDescent="0.25">
      <c r="B994" s="11"/>
      <c r="M994" s="6"/>
      <c r="N994" s="8"/>
      <c r="O994" s="13"/>
      <c r="P994" s="6"/>
    </row>
    <row r="995" spans="2:16" ht="86.25" customHeight="1" x14ac:dyDescent="0.25">
      <c r="B995" s="11"/>
      <c r="M995" s="6"/>
      <c r="N995" s="8"/>
      <c r="O995" s="13"/>
      <c r="P995" s="6"/>
    </row>
    <row r="996" spans="2:16" ht="86.25" customHeight="1" x14ac:dyDescent="0.25">
      <c r="B996" s="11"/>
      <c r="M996" s="6"/>
      <c r="N996" s="8"/>
      <c r="O996" s="13"/>
      <c r="P996" s="6"/>
    </row>
    <row r="997" spans="2:16" ht="86.25" customHeight="1" x14ac:dyDescent="0.25">
      <c r="B997" s="11"/>
      <c r="M997" s="6"/>
      <c r="N997" s="8"/>
      <c r="O997" s="13"/>
      <c r="P997" s="6"/>
    </row>
    <row r="998" spans="2:16" ht="86.25" customHeight="1" x14ac:dyDescent="0.25">
      <c r="B998" s="11"/>
      <c r="M998" s="6"/>
      <c r="N998" s="8"/>
      <c r="O998" s="13"/>
      <c r="P998" s="6"/>
    </row>
    <row r="999" spans="2:16" ht="86.25" customHeight="1" x14ac:dyDescent="0.25">
      <c r="B999" s="11"/>
      <c r="M999" s="6"/>
      <c r="N999" s="8"/>
      <c r="O999" s="13"/>
      <c r="P999" s="6"/>
    </row>
    <row r="1000" spans="2:16" ht="86.25" customHeight="1" x14ac:dyDescent="0.25">
      <c r="B1000" s="11"/>
      <c r="M1000" s="6"/>
      <c r="N1000" s="8"/>
      <c r="O1000" s="13"/>
      <c r="P1000" s="6"/>
    </row>
    <row r="1001" spans="2:16" ht="86.25" customHeight="1" x14ac:dyDescent="0.25">
      <c r="B1001" s="11"/>
      <c r="M1001" s="6"/>
      <c r="N1001" s="8"/>
      <c r="O1001" s="13"/>
      <c r="P1001" s="6"/>
    </row>
    <row r="1002" spans="2:16" ht="86.25" customHeight="1" x14ac:dyDescent="0.25">
      <c r="B1002" s="11"/>
      <c r="M1002" s="6"/>
      <c r="N1002" s="8"/>
      <c r="O1002" s="13"/>
      <c r="P1002" s="6"/>
    </row>
    <row r="1003" spans="2:16" ht="86.25" customHeight="1" x14ac:dyDescent="0.25">
      <c r="B1003" s="11"/>
      <c r="M1003" s="6"/>
      <c r="N1003" s="8"/>
      <c r="O1003" s="13"/>
      <c r="P1003" s="6"/>
    </row>
    <row r="1004" spans="2:16" ht="86.25" customHeight="1" x14ac:dyDescent="0.25">
      <c r="B1004" s="11"/>
      <c r="M1004" s="6"/>
      <c r="N1004" s="8"/>
      <c r="O1004" s="13"/>
      <c r="P1004" s="6"/>
    </row>
    <row r="1005" spans="2:16" ht="86.25" customHeight="1" x14ac:dyDescent="0.25">
      <c r="B1005" s="11"/>
      <c r="M1005" s="6"/>
      <c r="N1005" s="8"/>
      <c r="O1005" s="13"/>
      <c r="P1005" s="6"/>
    </row>
    <row r="1006" spans="2:16" ht="86.25" customHeight="1" x14ac:dyDescent="0.25">
      <c r="B1006" s="11"/>
      <c r="M1006" s="6"/>
      <c r="N1006" s="8"/>
      <c r="O1006" s="13"/>
      <c r="P1006" s="6"/>
    </row>
    <row r="1007" spans="2:16" ht="86.25" customHeight="1" x14ac:dyDescent="0.25">
      <c r="B1007" s="11"/>
      <c r="M1007" s="6"/>
      <c r="N1007" s="8"/>
      <c r="O1007" s="13"/>
      <c r="P1007" s="6"/>
    </row>
    <row r="1008" spans="2:16" ht="86.25" customHeight="1" x14ac:dyDescent="0.25">
      <c r="B1008" s="11"/>
      <c r="M1008" s="6"/>
      <c r="N1008" s="8"/>
      <c r="O1008" s="13"/>
      <c r="P1008" s="6"/>
    </row>
    <row r="1009" spans="2:16" ht="86.25" customHeight="1" x14ac:dyDescent="0.25">
      <c r="B1009" s="11"/>
      <c r="M1009" s="6"/>
      <c r="N1009" s="8"/>
      <c r="O1009" s="13"/>
      <c r="P1009" s="6"/>
    </row>
    <row r="1010" spans="2:16" ht="86.25" customHeight="1" x14ac:dyDescent="0.25">
      <c r="B1010" s="11"/>
      <c r="M1010" s="6"/>
      <c r="N1010" s="8"/>
      <c r="O1010" s="13"/>
      <c r="P1010" s="6"/>
    </row>
    <row r="1011" spans="2:16" ht="86.25" customHeight="1" x14ac:dyDescent="0.25">
      <c r="B1011" s="11"/>
      <c r="M1011" s="6"/>
      <c r="N1011" s="8"/>
      <c r="O1011" s="13"/>
      <c r="P1011" s="6"/>
    </row>
    <row r="1012" spans="2:16" ht="86.25" customHeight="1" x14ac:dyDescent="0.25">
      <c r="B1012" s="11"/>
      <c r="M1012" s="6"/>
      <c r="N1012" s="8"/>
      <c r="O1012" s="13"/>
      <c r="P1012" s="6"/>
    </row>
    <row r="1013" spans="2:16" ht="86.25" customHeight="1" x14ac:dyDescent="0.25">
      <c r="B1013" s="11"/>
      <c r="M1013" s="6"/>
      <c r="N1013" s="8"/>
      <c r="O1013" s="13"/>
      <c r="P1013" s="6"/>
    </row>
    <row r="1014" spans="2:16" ht="86.25" customHeight="1" x14ac:dyDescent="0.25">
      <c r="B1014" s="11"/>
      <c r="M1014" s="6"/>
      <c r="N1014" s="8"/>
      <c r="O1014" s="13"/>
      <c r="P1014" s="6"/>
    </row>
    <row r="1015" spans="2:16" ht="86.25" customHeight="1" x14ac:dyDescent="0.25">
      <c r="B1015" s="11"/>
      <c r="M1015" s="6"/>
      <c r="N1015" s="8"/>
      <c r="O1015" s="13"/>
      <c r="P1015" s="6"/>
    </row>
    <row r="1016" spans="2:16" ht="86.25" customHeight="1" x14ac:dyDescent="0.25">
      <c r="B1016" s="11"/>
      <c r="M1016" s="6"/>
      <c r="N1016" s="8"/>
      <c r="O1016" s="13"/>
      <c r="P1016" s="6"/>
    </row>
    <row r="1017" spans="2:16" ht="86.25" customHeight="1" x14ac:dyDescent="0.25">
      <c r="B1017" s="11"/>
      <c r="M1017" s="6"/>
      <c r="N1017" s="8"/>
      <c r="O1017" s="13"/>
      <c r="P1017" s="6"/>
    </row>
    <row r="1018" spans="2:16" ht="86.25" customHeight="1" x14ac:dyDescent="0.25">
      <c r="B1018" s="11"/>
      <c r="M1018" s="6"/>
      <c r="N1018" s="8"/>
      <c r="O1018" s="13"/>
      <c r="P1018" s="6"/>
    </row>
    <row r="1019" spans="2:16" ht="86.25" customHeight="1" x14ac:dyDescent="0.25">
      <c r="B1019" s="11"/>
      <c r="M1019" s="6"/>
      <c r="N1019" s="8"/>
      <c r="O1019" s="13"/>
      <c r="P1019" s="6"/>
    </row>
    <row r="1020" spans="2:16" ht="86.25" customHeight="1" x14ac:dyDescent="0.25">
      <c r="B1020" s="11"/>
      <c r="M1020" s="6"/>
      <c r="N1020" s="8"/>
      <c r="O1020" s="13"/>
      <c r="P1020" s="6"/>
    </row>
    <row r="1021" spans="2:16" ht="86.25" customHeight="1" x14ac:dyDescent="0.25">
      <c r="B1021" s="11"/>
      <c r="M1021" s="6"/>
      <c r="N1021" s="8"/>
      <c r="O1021" s="13"/>
      <c r="P1021" s="6"/>
    </row>
    <row r="1022" spans="2:16" ht="86.25" customHeight="1" x14ac:dyDescent="0.25">
      <c r="B1022" s="11"/>
      <c r="M1022" s="6"/>
      <c r="N1022" s="8"/>
      <c r="O1022" s="13"/>
      <c r="P1022" s="6"/>
    </row>
    <row r="1023" spans="2:16" ht="86.25" customHeight="1" x14ac:dyDescent="0.25">
      <c r="B1023" s="11"/>
      <c r="M1023" s="6"/>
      <c r="N1023" s="8"/>
      <c r="O1023" s="13"/>
      <c r="P1023" s="6"/>
    </row>
    <row r="1024" spans="2:16" ht="86.25" customHeight="1" x14ac:dyDescent="0.25">
      <c r="B1024" s="11"/>
      <c r="M1024" s="6"/>
      <c r="N1024" s="8"/>
      <c r="O1024" s="13"/>
      <c r="P1024" s="6"/>
    </row>
    <row r="1025" spans="2:16" ht="86.25" customHeight="1" x14ac:dyDescent="0.25">
      <c r="B1025" s="11"/>
      <c r="M1025" s="6"/>
      <c r="N1025" s="8"/>
      <c r="O1025" s="13"/>
      <c r="P1025" s="6"/>
    </row>
    <row r="1026" spans="2:16" ht="86.25" customHeight="1" x14ac:dyDescent="0.25">
      <c r="B1026" s="11"/>
      <c r="M1026" s="6"/>
      <c r="N1026" s="8"/>
      <c r="O1026" s="13"/>
      <c r="P1026" s="6"/>
    </row>
    <row r="1027" spans="2:16" ht="86.25" customHeight="1" x14ac:dyDescent="0.25">
      <c r="B1027" s="11"/>
      <c r="M1027" s="6"/>
      <c r="N1027" s="8"/>
      <c r="O1027" s="13"/>
      <c r="P1027" s="6"/>
    </row>
    <row r="1028" spans="2:16" ht="86.25" customHeight="1" x14ac:dyDescent="0.25">
      <c r="B1028" s="11"/>
      <c r="M1028" s="6"/>
      <c r="N1028" s="8"/>
      <c r="O1028" s="13"/>
      <c r="P1028" s="6"/>
    </row>
    <row r="1029" spans="2:16" ht="86.25" customHeight="1" x14ac:dyDescent="0.25">
      <c r="B1029" s="11"/>
      <c r="M1029" s="6"/>
      <c r="N1029" s="8"/>
      <c r="O1029" s="13"/>
      <c r="P1029" s="6"/>
    </row>
    <row r="1030" spans="2:16" ht="86.25" customHeight="1" x14ac:dyDescent="0.25">
      <c r="B1030" s="11"/>
      <c r="M1030" s="6"/>
      <c r="N1030" s="8"/>
      <c r="O1030" s="13"/>
      <c r="P1030" s="6"/>
    </row>
    <row r="1031" spans="2:16" ht="86.25" customHeight="1" x14ac:dyDescent="0.25">
      <c r="B1031" s="11"/>
      <c r="M1031" s="6"/>
      <c r="N1031" s="8"/>
      <c r="O1031" s="13"/>
      <c r="P1031" s="6"/>
    </row>
    <row r="1032" spans="2:16" ht="86.25" customHeight="1" x14ac:dyDescent="0.25">
      <c r="B1032" s="11"/>
      <c r="M1032" s="6"/>
      <c r="N1032" s="8"/>
      <c r="O1032" s="13"/>
      <c r="P1032" s="6"/>
    </row>
    <row r="1033" spans="2:16" ht="86.25" customHeight="1" x14ac:dyDescent="0.25">
      <c r="B1033" s="11"/>
      <c r="M1033" s="6"/>
      <c r="N1033" s="8"/>
      <c r="O1033" s="13"/>
      <c r="P1033" s="6"/>
    </row>
    <row r="1034" spans="2:16" ht="86.25" customHeight="1" x14ac:dyDescent="0.25">
      <c r="B1034" s="11"/>
      <c r="M1034" s="6"/>
      <c r="N1034" s="8"/>
      <c r="O1034" s="13"/>
      <c r="P1034" s="6"/>
    </row>
    <row r="1035" spans="2:16" ht="86.25" customHeight="1" x14ac:dyDescent="0.25">
      <c r="B1035" s="11"/>
      <c r="M1035" s="6"/>
      <c r="N1035" s="8"/>
      <c r="O1035" s="13"/>
      <c r="P1035" s="6"/>
    </row>
    <row r="1036" spans="2:16" ht="86.25" customHeight="1" x14ac:dyDescent="0.25">
      <c r="B1036" s="11"/>
      <c r="M1036" s="6"/>
      <c r="N1036" s="8"/>
      <c r="O1036" s="13"/>
      <c r="P1036" s="6"/>
    </row>
    <row r="1037" spans="2:16" ht="86.25" customHeight="1" x14ac:dyDescent="0.25">
      <c r="B1037" s="11"/>
      <c r="M1037" s="6"/>
      <c r="N1037" s="8"/>
      <c r="O1037" s="13"/>
      <c r="P1037" s="6"/>
    </row>
    <row r="1038" spans="2:16" ht="86.25" customHeight="1" x14ac:dyDescent="0.25">
      <c r="B1038" s="11"/>
      <c r="M1038" s="6"/>
      <c r="N1038" s="8"/>
      <c r="O1038" s="13"/>
      <c r="P1038" s="6"/>
    </row>
    <row r="1039" spans="2:16" ht="86.25" customHeight="1" x14ac:dyDescent="0.25">
      <c r="B1039" s="11"/>
      <c r="M1039" s="6"/>
      <c r="N1039" s="8"/>
      <c r="O1039" s="13"/>
      <c r="P1039" s="6"/>
    </row>
    <row r="1040" spans="2:16" ht="86.25" customHeight="1" x14ac:dyDescent="0.25">
      <c r="B1040" s="11"/>
      <c r="M1040" s="6"/>
      <c r="N1040" s="8"/>
      <c r="O1040" s="13"/>
      <c r="P1040" s="13"/>
    </row>
    <row r="1041" spans="2:16" ht="86.25" customHeight="1" x14ac:dyDescent="0.25">
      <c r="B1041" s="11"/>
      <c r="M1041" s="6"/>
      <c r="N1041" s="8"/>
      <c r="O1041" s="13"/>
      <c r="P1041" s="13"/>
    </row>
    <row r="1042" spans="2:16" ht="86.25" customHeight="1" x14ac:dyDescent="0.25">
      <c r="B1042" s="11"/>
      <c r="M1042" s="6"/>
      <c r="N1042" s="8"/>
      <c r="O1042" s="13"/>
      <c r="P1042" s="13"/>
    </row>
    <row r="1043" spans="2:16" ht="86.25" customHeight="1" x14ac:dyDescent="0.25">
      <c r="B1043" s="11"/>
      <c r="M1043" s="6"/>
      <c r="N1043" s="8"/>
      <c r="O1043" s="13"/>
      <c r="P1043" s="13"/>
    </row>
    <row r="1044" spans="2:16" ht="86.25" customHeight="1" x14ac:dyDescent="0.25">
      <c r="B1044" s="11"/>
      <c r="M1044" s="6"/>
      <c r="N1044" s="8"/>
      <c r="O1044" s="13"/>
      <c r="P1044" s="13"/>
    </row>
    <row r="1045" spans="2:16" ht="86.25" customHeight="1" x14ac:dyDescent="0.25">
      <c r="B1045" s="11"/>
      <c r="M1045" s="6"/>
      <c r="N1045" s="8"/>
      <c r="O1045" s="13"/>
      <c r="P1045" s="13"/>
    </row>
    <row r="1046" spans="2:16" ht="86.25" customHeight="1" x14ac:dyDescent="0.25">
      <c r="B1046" s="11"/>
      <c r="M1046" s="6"/>
      <c r="N1046" s="8"/>
      <c r="O1046" s="13"/>
      <c r="P1046" s="13"/>
    </row>
    <row r="1047" spans="2:16" ht="86.25" customHeight="1" x14ac:dyDescent="0.25">
      <c r="B1047" s="11"/>
      <c r="M1047" s="6"/>
      <c r="N1047" s="8"/>
      <c r="O1047" s="13"/>
      <c r="P1047" s="13"/>
    </row>
    <row r="1048" spans="2:16" ht="86.25" customHeight="1" x14ac:dyDescent="0.25">
      <c r="B1048" s="11"/>
      <c r="M1048" s="6"/>
      <c r="N1048" s="8"/>
      <c r="O1048" s="13"/>
      <c r="P1048" s="13"/>
    </row>
    <row r="1049" spans="2:16" ht="86.25" customHeight="1" x14ac:dyDescent="0.25">
      <c r="B1049" s="11"/>
      <c r="M1049" s="6"/>
      <c r="N1049" s="8"/>
      <c r="O1049" s="13"/>
      <c r="P1049" s="13"/>
    </row>
    <row r="1050" spans="2:16" ht="86.25" customHeight="1" x14ac:dyDescent="0.25">
      <c r="B1050" s="11"/>
      <c r="M1050" s="6"/>
      <c r="N1050" s="8"/>
      <c r="O1050" s="13"/>
      <c r="P1050" s="13"/>
    </row>
    <row r="1051" spans="2:16" ht="86.25" customHeight="1" x14ac:dyDescent="0.25">
      <c r="B1051" s="11"/>
      <c r="M1051" s="6"/>
      <c r="N1051" s="8"/>
      <c r="O1051" s="13"/>
      <c r="P1051" s="13"/>
    </row>
    <row r="1052" spans="2:16" ht="86.25" customHeight="1" x14ac:dyDescent="0.25">
      <c r="B1052" s="11"/>
      <c r="M1052" s="6"/>
      <c r="N1052" s="8"/>
      <c r="O1052" s="13"/>
      <c r="P1052" s="13"/>
    </row>
    <row r="1053" spans="2:16" ht="86.25" customHeight="1" x14ac:dyDescent="0.25">
      <c r="B1053" s="11"/>
      <c r="M1053" s="6"/>
      <c r="N1053" s="8"/>
      <c r="O1053" s="13"/>
      <c r="P1053" s="13"/>
    </row>
    <row r="1054" spans="2:16" ht="86.25" customHeight="1" x14ac:dyDescent="0.25">
      <c r="B1054" s="11"/>
      <c r="M1054" s="6"/>
      <c r="N1054" s="8"/>
      <c r="O1054" s="13"/>
      <c r="P1054" s="13"/>
    </row>
    <row r="1055" spans="2:16" ht="86.25" customHeight="1" x14ac:dyDescent="0.25">
      <c r="B1055" s="11"/>
      <c r="M1055" s="6"/>
      <c r="N1055" s="8"/>
      <c r="O1055" s="13"/>
      <c r="P1055" s="13"/>
    </row>
    <row r="1056" spans="2:16" ht="86.25" customHeight="1" x14ac:dyDescent="0.25">
      <c r="B1056" s="11"/>
      <c r="M1056" s="6"/>
      <c r="N1056" s="8"/>
      <c r="O1056" s="13"/>
      <c r="P1056" s="13"/>
    </row>
    <row r="1057" spans="2:16" ht="86.25" customHeight="1" x14ac:dyDescent="0.25">
      <c r="B1057" s="11"/>
      <c r="M1057" s="6"/>
      <c r="N1057" s="8"/>
      <c r="O1057" s="13"/>
      <c r="P1057" s="13"/>
    </row>
    <row r="1058" spans="2:16" ht="86.25" customHeight="1" x14ac:dyDescent="0.25">
      <c r="B1058" s="11"/>
      <c r="M1058" s="6"/>
      <c r="N1058" s="8"/>
      <c r="O1058" s="13"/>
      <c r="P1058" s="13"/>
    </row>
    <row r="1059" spans="2:16" ht="86.25" customHeight="1" x14ac:dyDescent="0.25">
      <c r="B1059" s="11"/>
      <c r="M1059" s="6"/>
      <c r="N1059" s="8"/>
      <c r="O1059" s="13"/>
      <c r="P1059" s="13"/>
    </row>
    <row r="1060" spans="2:16" ht="86.25" customHeight="1" x14ac:dyDescent="0.25">
      <c r="B1060" s="11"/>
      <c r="M1060" s="6"/>
      <c r="N1060" s="8"/>
      <c r="O1060" s="13"/>
      <c r="P1060" s="13"/>
    </row>
    <row r="1061" spans="2:16" ht="86.25" customHeight="1" x14ac:dyDescent="0.25">
      <c r="B1061" s="11"/>
      <c r="M1061" s="6"/>
      <c r="N1061" s="8"/>
      <c r="O1061" s="13"/>
      <c r="P1061" s="13"/>
    </row>
    <row r="1062" spans="2:16" ht="86.25" customHeight="1" x14ac:dyDescent="0.25">
      <c r="B1062" s="11"/>
      <c r="M1062" s="6"/>
      <c r="N1062" s="8"/>
      <c r="O1062" s="13"/>
      <c r="P1062" s="13"/>
    </row>
    <row r="1063" spans="2:16" ht="86.25" customHeight="1" x14ac:dyDescent="0.25">
      <c r="B1063" s="11"/>
      <c r="M1063" s="6"/>
      <c r="N1063" s="8"/>
      <c r="O1063" s="13"/>
      <c r="P1063" s="13"/>
    </row>
    <row r="1064" spans="2:16" ht="86.25" customHeight="1" x14ac:dyDescent="0.25">
      <c r="B1064" s="11"/>
      <c r="M1064" s="6"/>
      <c r="N1064" s="8"/>
      <c r="O1064" s="13"/>
      <c r="P1064" s="13"/>
    </row>
    <row r="1065" spans="2:16" ht="86.25" customHeight="1" x14ac:dyDescent="0.25">
      <c r="B1065" s="11"/>
      <c r="M1065" s="6"/>
      <c r="N1065" s="8"/>
      <c r="O1065" s="13"/>
      <c r="P1065" s="13"/>
    </row>
    <row r="1066" spans="2:16" ht="86.25" customHeight="1" x14ac:dyDescent="0.25">
      <c r="B1066" s="11"/>
      <c r="M1066" s="6"/>
      <c r="N1066" s="8"/>
      <c r="O1066" s="13"/>
      <c r="P1066" s="13"/>
    </row>
    <row r="1067" spans="2:16" ht="86.25" customHeight="1" x14ac:dyDescent="0.25">
      <c r="B1067" s="11"/>
      <c r="M1067" s="6"/>
      <c r="N1067" s="8"/>
      <c r="O1067" s="13"/>
      <c r="P1067" s="13"/>
    </row>
    <row r="1068" spans="2:16" ht="86.25" customHeight="1" x14ac:dyDescent="0.25">
      <c r="B1068" s="11"/>
      <c r="M1068" s="6"/>
      <c r="N1068" s="8"/>
      <c r="O1068" s="13"/>
      <c r="P1068" s="13"/>
    </row>
    <row r="1069" spans="2:16" ht="86.25" customHeight="1" x14ac:dyDescent="0.25">
      <c r="B1069" s="11"/>
      <c r="M1069" s="6"/>
      <c r="N1069" s="8"/>
      <c r="O1069" s="13"/>
      <c r="P1069" s="13"/>
    </row>
    <row r="1070" spans="2:16" ht="86.25" customHeight="1" x14ac:dyDescent="0.25">
      <c r="B1070" s="11"/>
      <c r="M1070" s="6"/>
      <c r="N1070" s="8"/>
      <c r="O1070" s="13"/>
      <c r="P1070" s="13"/>
    </row>
    <row r="1071" spans="2:16" ht="86.25" customHeight="1" x14ac:dyDescent="0.25">
      <c r="B1071" s="11"/>
      <c r="M1071" s="6"/>
      <c r="N1071" s="8"/>
      <c r="O1071" s="13"/>
      <c r="P1071" s="13"/>
    </row>
    <row r="1072" spans="2:16" ht="86.25" customHeight="1" x14ac:dyDescent="0.25">
      <c r="B1072" s="11"/>
      <c r="M1072" s="6"/>
      <c r="N1072" s="8"/>
      <c r="O1072" s="13"/>
      <c r="P1072" s="13"/>
    </row>
    <row r="1073" spans="2:16" ht="86.25" customHeight="1" x14ac:dyDescent="0.25">
      <c r="B1073" s="11"/>
      <c r="M1073" s="6"/>
      <c r="N1073" s="8"/>
      <c r="O1073" s="13"/>
      <c r="P1073" s="13"/>
    </row>
    <row r="1074" spans="2:16" ht="86.25" customHeight="1" x14ac:dyDescent="0.25">
      <c r="B1074" s="11"/>
      <c r="M1074" s="6"/>
      <c r="N1074" s="8"/>
      <c r="O1074" s="13"/>
      <c r="P1074" s="13"/>
    </row>
    <row r="1075" spans="2:16" ht="86.25" customHeight="1" x14ac:dyDescent="0.25">
      <c r="B1075" s="11"/>
      <c r="M1075" s="6"/>
      <c r="N1075" s="8"/>
      <c r="O1075" s="13"/>
      <c r="P1075" s="13"/>
    </row>
    <row r="1076" spans="2:16" ht="86.25" customHeight="1" x14ac:dyDescent="0.25">
      <c r="B1076" s="11"/>
      <c r="M1076" s="6"/>
      <c r="N1076" s="8"/>
      <c r="O1076" s="13"/>
      <c r="P1076" s="13"/>
    </row>
    <row r="1077" spans="2:16" ht="86.25" customHeight="1" x14ac:dyDescent="0.25">
      <c r="B1077" s="11"/>
      <c r="M1077" s="6"/>
      <c r="N1077" s="8"/>
      <c r="O1077" s="13"/>
      <c r="P1077" s="13"/>
    </row>
    <row r="1078" spans="2:16" ht="86.25" customHeight="1" x14ac:dyDescent="0.25">
      <c r="B1078" s="11"/>
      <c r="M1078" s="6"/>
      <c r="N1078" s="8"/>
      <c r="O1078" s="13"/>
      <c r="P1078" s="13"/>
    </row>
    <row r="1079" spans="2:16" ht="86.25" customHeight="1" x14ac:dyDescent="0.25">
      <c r="B1079" s="11"/>
      <c r="M1079" s="6"/>
      <c r="N1079" s="8"/>
      <c r="O1079" s="13"/>
      <c r="P1079" s="13"/>
    </row>
    <row r="1080" spans="2:16" ht="86.25" customHeight="1" x14ac:dyDescent="0.25">
      <c r="B1080" s="11"/>
      <c r="M1080" s="6"/>
      <c r="N1080" s="8"/>
      <c r="O1080" s="13"/>
      <c r="P1080" s="13"/>
    </row>
    <row r="1081" spans="2:16" ht="86.25" customHeight="1" x14ac:dyDescent="0.25">
      <c r="B1081" s="11"/>
      <c r="M1081" s="6"/>
      <c r="N1081" s="8"/>
      <c r="O1081" s="13"/>
      <c r="P1081" s="13"/>
    </row>
    <row r="1082" spans="2:16" ht="86.25" customHeight="1" x14ac:dyDescent="0.25">
      <c r="B1082" s="11"/>
      <c r="M1082" s="6"/>
      <c r="N1082" s="8"/>
      <c r="O1082" s="13"/>
      <c r="P1082" s="13"/>
    </row>
    <row r="1083" spans="2:16" ht="86.25" customHeight="1" x14ac:dyDescent="0.25">
      <c r="B1083" s="11"/>
      <c r="M1083" s="6"/>
      <c r="N1083" s="8"/>
      <c r="O1083" s="13"/>
      <c r="P1083" s="13"/>
    </row>
    <row r="1084" spans="2:16" ht="86.25" customHeight="1" x14ac:dyDescent="0.25">
      <c r="B1084" s="11"/>
      <c r="M1084" s="6"/>
      <c r="N1084" s="8"/>
      <c r="O1084" s="13"/>
      <c r="P1084" s="13"/>
    </row>
    <row r="1085" spans="2:16" ht="86.25" customHeight="1" x14ac:dyDescent="0.25">
      <c r="B1085" s="11"/>
      <c r="M1085" s="6"/>
      <c r="N1085" s="8"/>
      <c r="O1085" s="13"/>
      <c r="P1085" s="13"/>
    </row>
    <row r="1086" spans="2:16" ht="86.25" customHeight="1" x14ac:dyDescent="0.25">
      <c r="B1086" s="11"/>
      <c r="M1086" s="6"/>
      <c r="N1086" s="8"/>
      <c r="O1086" s="13"/>
      <c r="P1086" s="13"/>
    </row>
    <row r="1087" spans="2:16" ht="86.25" customHeight="1" x14ac:dyDescent="0.25">
      <c r="B1087" s="11"/>
      <c r="M1087" s="6"/>
      <c r="N1087" s="8"/>
      <c r="O1087" s="13"/>
      <c r="P1087" s="13"/>
    </row>
    <row r="1088" spans="2:16" ht="86.25" customHeight="1" x14ac:dyDescent="0.25">
      <c r="B1088" s="11"/>
      <c r="M1088" s="6"/>
      <c r="N1088" s="8"/>
      <c r="O1088" s="13"/>
      <c r="P1088" s="13"/>
    </row>
    <row r="1089" spans="1:16" ht="86.25" customHeight="1" x14ac:dyDescent="0.25">
      <c r="B1089" s="11"/>
      <c r="M1089" s="6"/>
      <c r="N1089" s="8"/>
      <c r="O1089" s="13"/>
      <c r="P1089" s="13"/>
    </row>
    <row r="1090" spans="1:16" ht="86.25" customHeight="1" x14ac:dyDescent="0.25">
      <c r="B1090" s="11"/>
      <c r="M1090" s="6"/>
      <c r="N1090" s="8"/>
      <c r="O1090" s="13"/>
      <c r="P1090" s="13"/>
    </row>
    <row r="1091" spans="1:16" ht="86.25" customHeight="1" x14ac:dyDescent="0.25">
      <c r="B1091" s="11"/>
      <c r="M1091" s="6"/>
      <c r="N1091" s="8"/>
      <c r="O1091" s="13"/>
      <c r="P1091" s="13"/>
    </row>
    <row r="1092" spans="1:16" ht="86.25" customHeight="1" x14ac:dyDescent="0.25">
      <c r="B1092" s="11"/>
      <c r="M1092" s="6"/>
      <c r="N1092" s="8"/>
      <c r="O1092" s="13"/>
      <c r="P1092" s="13"/>
    </row>
    <row r="1093" spans="1:16" ht="86.25" customHeight="1" x14ac:dyDescent="0.25">
      <c r="B1093" s="11"/>
      <c r="M1093" s="6"/>
      <c r="N1093" s="8"/>
      <c r="O1093" s="13"/>
      <c r="P1093" s="13"/>
    </row>
    <row r="1094" spans="1:16" ht="86.25" customHeight="1" x14ac:dyDescent="0.25">
      <c r="B1094" s="11"/>
      <c r="M1094" s="6"/>
      <c r="N1094" s="8"/>
      <c r="O1094" s="13"/>
      <c r="P1094" s="13"/>
    </row>
    <row r="1095" spans="1:16" ht="86.25" customHeight="1" x14ac:dyDescent="0.25">
      <c r="B1095" s="11"/>
      <c r="M1095" s="6"/>
      <c r="N1095" s="8"/>
      <c r="O1095" s="13"/>
      <c r="P1095" s="13"/>
    </row>
    <row r="1096" spans="1:16" ht="86.25" customHeight="1" x14ac:dyDescent="0.25">
      <c r="B1096" s="11"/>
      <c r="M1096" s="6"/>
      <c r="N1096" s="8"/>
      <c r="O1096" s="13"/>
      <c r="P1096" s="13"/>
    </row>
    <row r="1097" spans="1:16" ht="86.25" customHeight="1" x14ac:dyDescent="0.25">
      <c r="B1097" s="11"/>
      <c r="M1097" s="6"/>
      <c r="N1097" s="8"/>
      <c r="O1097" s="13"/>
      <c r="P1097" s="13"/>
    </row>
    <row r="1098" spans="1:16" ht="86.25" customHeight="1" x14ac:dyDescent="0.25">
      <c r="B1098" s="11"/>
      <c r="M1098" s="6"/>
      <c r="N1098" s="8"/>
      <c r="O1098" s="13"/>
      <c r="P1098" s="13"/>
    </row>
    <row r="1099" spans="1:16" ht="86.25" customHeight="1" x14ac:dyDescent="0.25">
      <c r="B1099" s="11"/>
      <c r="M1099" s="6"/>
      <c r="N1099" s="8"/>
      <c r="O1099" s="13"/>
      <c r="P1099" s="13"/>
    </row>
    <row r="1100" spans="1:16" ht="86.25" customHeight="1" x14ac:dyDescent="0.25">
      <c r="B1100" s="11"/>
      <c r="M1100" s="6"/>
      <c r="N1100" s="8"/>
      <c r="O1100" s="13"/>
      <c r="P1100" s="13"/>
    </row>
    <row r="1101" spans="1:16" ht="86.25" customHeight="1" x14ac:dyDescent="0.25">
      <c r="A1101" s="2">
        <v>1115</v>
      </c>
      <c r="B1101" s="11"/>
      <c r="M1101" s="6"/>
      <c r="N1101" s="8"/>
      <c r="O1101" s="13"/>
      <c r="P1101" s="13"/>
    </row>
    <row r="1102" spans="1:16" ht="86.25" customHeight="1" x14ac:dyDescent="0.25">
      <c r="A1102" s="2">
        <v>1116</v>
      </c>
      <c r="B1102" s="11"/>
      <c r="M1102" s="6"/>
      <c r="N1102" s="8"/>
      <c r="O1102" s="13"/>
      <c r="P1102" s="13"/>
    </row>
    <row r="1103" spans="1:16" ht="86.25" customHeight="1" x14ac:dyDescent="0.25">
      <c r="A1103" s="2">
        <v>1117</v>
      </c>
      <c r="B1103" s="11"/>
      <c r="M1103" s="6"/>
      <c r="N1103" s="8"/>
      <c r="O1103" s="13"/>
      <c r="P1103" s="13"/>
    </row>
    <row r="1104" spans="1:16" ht="86.25" customHeight="1" x14ac:dyDescent="0.25">
      <c r="A1104" s="2">
        <v>1118</v>
      </c>
      <c r="B1104" s="11"/>
      <c r="M1104" s="6"/>
      <c r="N1104" s="8"/>
      <c r="O1104" s="13"/>
      <c r="P1104" s="13"/>
    </row>
    <row r="1105" spans="1:16" ht="86.25" customHeight="1" x14ac:dyDescent="0.25">
      <c r="A1105" s="2">
        <v>1119</v>
      </c>
      <c r="B1105" s="11"/>
      <c r="M1105" s="6"/>
      <c r="N1105" s="8"/>
      <c r="O1105" s="13"/>
      <c r="P1105" s="13"/>
    </row>
    <row r="1106" spans="1:16" ht="86.25" customHeight="1" x14ac:dyDescent="0.25">
      <c r="A1106" s="2">
        <v>1120</v>
      </c>
      <c r="B1106" s="11"/>
      <c r="M1106" s="6"/>
      <c r="N1106" s="8"/>
      <c r="O1106" s="13"/>
      <c r="P1106" s="13"/>
    </row>
    <row r="1107" spans="1:16" ht="86.25" customHeight="1" x14ac:dyDescent="0.25">
      <c r="A1107" s="2">
        <v>1121</v>
      </c>
      <c r="B1107" s="11"/>
      <c r="M1107" s="6"/>
      <c r="N1107" s="8"/>
      <c r="O1107" s="13"/>
      <c r="P1107" s="13"/>
    </row>
    <row r="1108" spans="1:16" ht="86.25" customHeight="1" x14ac:dyDescent="0.25">
      <c r="A1108" s="2">
        <v>1122</v>
      </c>
      <c r="B1108" s="11"/>
      <c r="M1108" s="6"/>
      <c r="N1108" s="8"/>
      <c r="O1108" s="13"/>
      <c r="P1108" s="13"/>
    </row>
    <row r="1109" spans="1:16" ht="86.25" customHeight="1" x14ac:dyDescent="0.25">
      <c r="A1109" s="2">
        <v>1123</v>
      </c>
      <c r="B1109" s="11"/>
      <c r="M1109" s="6"/>
      <c r="N1109" s="8"/>
      <c r="O1109" s="13"/>
      <c r="P1109" s="13"/>
    </row>
    <row r="1110" spans="1:16" ht="86.25" customHeight="1" x14ac:dyDescent="0.25">
      <c r="A1110" s="2">
        <v>1124</v>
      </c>
      <c r="B1110" s="11"/>
      <c r="M1110" s="6"/>
      <c r="N1110" s="8"/>
      <c r="O1110" s="13"/>
      <c r="P1110" s="13"/>
    </row>
    <row r="1111" spans="1:16" ht="86.25" customHeight="1" x14ac:dyDescent="0.25">
      <c r="A1111" s="2">
        <v>1125</v>
      </c>
      <c r="B1111" s="11"/>
      <c r="M1111" s="6"/>
      <c r="N1111" s="8"/>
      <c r="O1111" s="13"/>
      <c r="P1111" s="13"/>
    </row>
    <row r="1112" spans="1:16" ht="86.25" customHeight="1" x14ac:dyDescent="0.25">
      <c r="A1112" s="2">
        <v>1126</v>
      </c>
      <c r="B1112" s="11"/>
      <c r="M1112" s="6"/>
      <c r="N1112" s="8"/>
      <c r="O1112" s="13"/>
      <c r="P1112" s="13"/>
    </row>
    <row r="1113" spans="1:16" ht="86.25" customHeight="1" x14ac:dyDescent="0.25">
      <c r="A1113" s="2">
        <v>1127</v>
      </c>
      <c r="B1113" s="11"/>
      <c r="M1113" s="6"/>
      <c r="N1113" s="8"/>
      <c r="O1113" s="13"/>
      <c r="P1113" s="13"/>
    </row>
    <row r="1114" spans="1:16" ht="86.25" customHeight="1" x14ac:dyDescent="0.25">
      <c r="A1114" s="2">
        <v>1128</v>
      </c>
      <c r="B1114" s="11"/>
      <c r="M1114" s="6"/>
      <c r="N1114" s="8"/>
      <c r="O1114" s="13"/>
      <c r="P1114" s="13"/>
    </row>
    <row r="1115" spans="1:16" ht="86.25" customHeight="1" x14ac:dyDescent="0.25">
      <c r="A1115" s="2">
        <v>1129</v>
      </c>
      <c r="B1115" s="11"/>
      <c r="M1115" s="6"/>
      <c r="N1115" s="8"/>
      <c r="O1115" s="13"/>
      <c r="P1115" s="13"/>
    </row>
    <row r="1116" spans="1:16" ht="86.25" customHeight="1" x14ac:dyDescent="0.25">
      <c r="A1116" s="2">
        <v>1130</v>
      </c>
      <c r="B1116" s="11"/>
      <c r="M1116" s="6"/>
      <c r="N1116" s="8"/>
      <c r="O1116" s="13"/>
      <c r="P1116" s="13"/>
    </row>
    <row r="1117" spans="1:16" ht="86.25" customHeight="1" x14ac:dyDescent="0.25">
      <c r="A1117" s="2">
        <v>1131</v>
      </c>
      <c r="B1117" s="11"/>
      <c r="M1117" s="6"/>
      <c r="N1117" s="8"/>
      <c r="O1117" s="13"/>
      <c r="P1117" s="13"/>
    </row>
    <row r="1118" spans="1:16" ht="86.25" customHeight="1" x14ac:dyDescent="0.25">
      <c r="A1118" s="2">
        <v>1132</v>
      </c>
      <c r="B1118" s="11"/>
      <c r="M1118" s="6"/>
      <c r="N1118" s="8"/>
      <c r="O1118" s="13"/>
      <c r="P1118" s="13"/>
    </row>
    <row r="1119" spans="1:16" ht="86.25" customHeight="1" x14ac:dyDescent="0.25">
      <c r="A1119" s="2">
        <v>1133</v>
      </c>
      <c r="B1119" s="11"/>
      <c r="M1119" s="6"/>
      <c r="N1119" s="8"/>
      <c r="O1119" s="13"/>
      <c r="P1119" s="13"/>
    </row>
    <row r="1120" spans="1:16" ht="86.25" customHeight="1" x14ac:dyDescent="0.25">
      <c r="A1120" s="2">
        <v>1134</v>
      </c>
      <c r="B1120" s="11"/>
      <c r="M1120" s="6"/>
      <c r="N1120" s="8"/>
      <c r="O1120" s="13"/>
      <c r="P1120" s="13"/>
    </row>
    <row r="1121" spans="1:16" ht="86.25" customHeight="1" x14ac:dyDescent="0.25">
      <c r="A1121" s="2">
        <v>1135</v>
      </c>
      <c r="B1121" s="11"/>
      <c r="M1121" s="6"/>
      <c r="N1121" s="8"/>
      <c r="O1121" s="13"/>
      <c r="P1121" s="13"/>
    </row>
    <row r="1122" spans="1:16" ht="86.25" customHeight="1" x14ac:dyDescent="0.25">
      <c r="A1122" s="2">
        <v>1136</v>
      </c>
      <c r="B1122" s="11"/>
      <c r="M1122" s="6"/>
      <c r="N1122" s="8"/>
      <c r="O1122" s="13"/>
      <c r="P1122" s="13"/>
    </row>
    <row r="1123" spans="1:16" ht="86.25" customHeight="1" x14ac:dyDescent="0.25">
      <c r="A1123" s="2">
        <v>1137</v>
      </c>
      <c r="B1123" s="11"/>
      <c r="M1123" s="6"/>
      <c r="N1123" s="8"/>
      <c r="O1123" s="13"/>
      <c r="P1123" s="13"/>
    </row>
    <row r="1124" spans="1:16" ht="86.25" customHeight="1" x14ac:dyDescent="0.25">
      <c r="A1124" s="2">
        <v>1138</v>
      </c>
      <c r="B1124" s="11"/>
      <c r="M1124" s="6"/>
      <c r="N1124" s="8"/>
      <c r="O1124" s="13"/>
      <c r="P1124" s="13"/>
    </row>
    <row r="1125" spans="1:16" ht="86.25" customHeight="1" x14ac:dyDescent="0.25">
      <c r="A1125" s="2">
        <v>1139</v>
      </c>
      <c r="B1125" s="11"/>
      <c r="M1125" s="6"/>
      <c r="N1125" s="8"/>
      <c r="O1125" s="13"/>
      <c r="P1125" s="13"/>
    </row>
    <row r="1126" spans="1:16" ht="86.25" customHeight="1" x14ac:dyDescent="0.25">
      <c r="A1126" s="2">
        <v>1140</v>
      </c>
      <c r="B1126" s="11"/>
      <c r="M1126" s="6"/>
      <c r="N1126" s="8"/>
      <c r="O1126" s="13"/>
      <c r="P1126" s="13"/>
    </row>
    <row r="1127" spans="1:16" ht="86.25" customHeight="1" x14ac:dyDescent="0.25">
      <c r="A1127" s="2">
        <v>1141</v>
      </c>
      <c r="B1127" s="11"/>
      <c r="M1127" s="6"/>
      <c r="N1127" s="8"/>
      <c r="O1127" s="13"/>
      <c r="P1127" s="13"/>
    </row>
    <row r="1128" spans="1:16" ht="86.25" customHeight="1" x14ac:dyDescent="0.25">
      <c r="A1128" s="2">
        <v>1142</v>
      </c>
      <c r="B1128" s="11"/>
      <c r="M1128" s="6"/>
      <c r="N1128" s="8"/>
      <c r="O1128" s="13"/>
      <c r="P1128" s="13"/>
    </row>
    <row r="1129" spans="1:16" ht="86.25" customHeight="1" x14ac:dyDescent="0.25">
      <c r="A1129" s="2">
        <v>1143</v>
      </c>
      <c r="B1129" s="11"/>
      <c r="M1129" s="6"/>
      <c r="N1129" s="8"/>
      <c r="O1129" s="13"/>
      <c r="P1129" s="13"/>
    </row>
    <row r="1130" spans="1:16" ht="86.25" customHeight="1" x14ac:dyDescent="0.25">
      <c r="A1130" s="2">
        <v>1144</v>
      </c>
      <c r="B1130" s="11"/>
      <c r="M1130" s="6"/>
      <c r="N1130" s="8"/>
      <c r="O1130" s="13"/>
      <c r="P1130" s="13"/>
    </row>
    <row r="1131" spans="1:16" ht="86.25" customHeight="1" x14ac:dyDescent="0.25">
      <c r="A1131" s="2">
        <v>1145</v>
      </c>
      <c r="B1131" s="11"/>
      <c r="M1131" s="6"/>
      <c r="N1131" s="8"/>
      <c r="O1131" s="13"/>
      <c r="P1131" s="13"/>
    </row>
    <row r="1132" spans="1:16" ht="86.25" customHeight="1" x14ac:dyDescent="0.25">
      <c r="A1132" s="2">
        <v>1146</v>
      </c>
      <c r="B1132" s="11"/>
      <c r="M1132" s="6"/>
      <c r="N1132" s="8"/>
      <c r="O1132" s="13"/>
      <c r="P1132" s="13"/>
    </row>
    <row r="1133" spans="1:16" ht="86.25" customHeight="1" x14ac:dyDescent="0.25">
      <c r="A1133" s="2">
        <v>1147</v>
      </c>
      <c r="B1133" s="11"/>
      <c r="M1133" s="6"/>
      <c r="N1133" s="8"/>
      <c r="O1133" s="13"/>
      <c r="P1133" s="13"/>
    </row>
    <row r="1134" spans="1:16" ht="86.25" customHeight="1" x14ac:dyDescent="0.25">
      <c r="A1134" s="2">
        <v>1148</v>
      </c>
      <c r="B1134" s="11"/>
      <c r="M1134" s="6"/>
      <c r="N1134" s="8"/>
      <c r="O1134" s="13"/>
      <c r="P1134" s="13"/>
    </row>
    <row r="1135" spans="1:16" ht="86.25" customHeight="1" x14ac:dyDescent="0.25">
      <c r="A1135" s="2">
        <v>1149</v>
      </c>
      <c r="B1135" s="11"/>
      <c r="M1135" s="6"/>
      <c r="N1135" s="8"/>
      <c r="O1135" s="13"/>
      <c r="P1135" s="13"/>
    </row>
    <row r="1136" spans="1:16" ht="86.25" customHeight="1" x14ac:dyDescent="0.25">
      <c r="A1136" s="2">
        <v>1150</v>
      </c>
      <c r="B1136" s="11"/>
      <c r="M1136" s="6"/>
      <c r="N1136" s="8"/>
      <c r="O1136" s="13"/>
      <c r="P1136" s="13"/>
    </row>
    <row r="1137" spans="1:16" ht="86.25" customHeight="1" x14ac:dyDescent="0.25">
      <c r="A1137" s="2">
        <v>1151</v>
      </c>
      <c r="B1137" s="11"/>
      <c r="M1137" s="6"/>
      <c r="N1137" s="8"/>
      <c r="O1137" s="13"/>
      <c r="P1137" s="13"/>
    </row>
    <row r="1138" spans="1:16" ht="86.25" customHeight="1" x14ac:dyDescent="0.25">
      <c r="A1138" s="2">
        <v>1152</v>
      </c>
      <c r="B1138" s="11"/>
      <c r="M1138" s="6"/>
      <c r="N1138" s="8"/>
      <c r="O1138" s="13"/>
      <c r="P1138" s="13"/>
    </row>
    <row r="1139" spans="1:16" ht="86.25" customHeight="1" x14ac:dyDescent="0.25">
      <c r="A1139" s="2">
        <v>1153</v>
      </c>
      <c r="B1139" s="11"/>
      <c r="M1139" s="6"/>
      <c r="N1139" s="8"/>
      <c r="O1139" s="13"/>
      <c r="P1139" s="13"/>
    </row>
    <row r="1140" spans="1:16" ht="86.25" customHeight="1" x14ac:dyDescent="0.25">
      <c r="A1140" s="2">
        <v>1154</v>
      </c>
      <c r="B1140" s="11"/>
      <c r="M1140" s="6"/>
      <c r="N1140" s="8"/>
      <c r="O1140" s="13"/>
      <c r="P1140" s="13"/>
    </row>
    <row r="1141" spans="1:16" ht="86.25" customHeight="1" x14ac:dyDescent="0.25">
      <c r="A1141" s="2">
        <v>1155</v>
      </c>
      <c r="B1141" s="11"/>
      <c r="M1141" s="6"/>
      <c r="N1141" s="8"/>
      <c r="O1141" s="13"/>
      <c r="P1141" s="13"/>
    </row>
    <row r="1142" spans="1:16" ht="86.25" customHeight="1" x14ac:dyDescent="0.25">
      <c r="A1142" s="2">
        <v>1156</v>
      </c>
      <c r="B1142" s="11"/>
      <c r="M1142" s="6"/>
      <c r="N1142" s="8"/>
      <c r="O1142" s="13"/>
      <c r="P1142" s="13"/>
    </row>
    <row r="1143" spans="1:16" ht="86.25" customHeight="1" x14ac:dyDescent="0.25">
      <c r="A1143" s="2">
        <v>1157</v>
      </c>
      <c r="B1143" s="11"/>
      <c r="M1143" s="6"/>
      <c r="N1143" s="8"/>
      <c r="O1143" s="13"/>
      <c r="P1143" s="13"/>
    </row>
    <row r="1144" spans="1:16" ht="86.25" customHeight="1" x14ac:dyDescent="0.25">
      <c r="A1144" s="2">
        <v>1158</v>
      </c>
      <c r="B1144" s="11"/>
      <c r="M1144" s="6"/>
      <c r="N1144" s="8"/>
      <c r="O1144" s="13"/>
      <c r="P1144" s="13"/>
    </row>
    <row r="1145" spans="1:16" ht="86.25" customHeight="1" x14ac:dyDescent="0.25">
      <c r="A1145" s="2">
        <v>1159</v>
      </c>
      <c r="B1145" s="11"/>
      <c r="M1145" s="6"/>
      <c r="N1145" s="8"/>
      <c r="O1145" s="13"/>
      <c r="P1145" s="13"/>
    </row>
    <row r="1146" spans="1:16" ht="86.25" customHeight="1" x14ac:dyDescent="0.25">
      <c r="A1146" s="2">
        <v>1160</v>
      </c>
      <c r="B1146" s="11"/>
      <c r="M1146" s="6"/>
      <c r="N1146" s="8"/>
      <c r="O1146" s="13"/>
      <c r="P1146" s="13"/>
    </row>
    <row r="1147" spans="1:16" ht="86.25" customHeight="1" x14ac:dyDescent="0.25">
      <c r="A1147" s="2">
        <v>1161</v>
      </c>
      <c r="B1147" s="11"/>
      <c r="M1147" s="6"/>
      <c r="N1147" s="8"/>
      <c r="O1147" s="13"/>
      <c r="P1147" s="13"/>
    </row>
    <row r="1148" spans="1:16" ht="86.25" customHeight="1" x14ac:dyDescent="0.25">
      <c r="A1148" s="2">
        <v>1162</v>
      </c>
      <c r="B1148" s="11"/>
      <c r="M1148" s="6"/>
      <c r="N1148" s="8"/>
      <c r="O1148" s="13"/>
      <c r="P1148" s="13"/>
    </row>
    <row r="1149" spans="1:16" ht="86.25" customHeight="1" x14ac:dyDescent="0.25">
      <c r="A1149" s="2">
        <v>1163</v>
      </c>
      <c r="B1149" s="11"/>
      <c r="M1149" s="6"/>
      <c r="N1149" s="8"/>
      <c r="O1149" s="13"/>
      <c r="P1149" s="13"/>
    </row>
    <row r="1150" spans="1:16" ht="86.25" customHeight="1" x14ac:dyDescent="0.25">
      <c r="A1150" s="2">
        <v>1164</v>
      </c>
      <c r="B1150" s="11"/>
      <c r="M1150" s="6"/>
      <c r="N1150" s="8"/>
      <c r="O1150" s="13"/>
      <c r="P1150" s="13"/>
    </row>
    <row r="1151" spans="1:16" ht="86.25" customHeight="1" x14ac:dyDescent="0.25">
      <c r="A1151" s="2">
        <v>1165</v>
      </c>
      <c r="B1151" s="11"/>
      <c r="M1151" s="6"/>
      <c r="N1151" s="8"/>
      <c r="O1151" s="13"/>
      <c r="P1151" s="13"/>
    </row>
    <row r="1152" spans="1:16" ht="86.25" customHeight="1" x14ac:dyDescent="0.25">
      <c r="A1152" s="2">
        <v>1166</v>
      </c>
      <c r="B1152" s="11"/>
      <c r="M1152" s="6"/>
      <c r="N1152" s="8"/>
      <c r="O1152" s="13"/>
      <c r="P1152" s="13"/>
    </row>
    <row r="1153" spans="1:16" ht="86.25" customHeight="1" x14ac:dyDescent="0.25">
      <c r="A1153" s="2">
        <v>1167</v>
      </c>
      <c r="B1153" s="11"/>
      <c r="M1153" s="6"/>
      <c r="N1153" s="8"/>
      <c r="O1153" s="13"/>
      <c r="P1153" s="13"/>
    </row>
    <row r="1154" spans="1:16" ht="86.25" customHeight="1" x14ac:dyDescent="0.25">
      <c r="A1154" s="2">
        <v>1168</v>
      </c>
      <c r="B1154" s="11"/>
      <c r="M1154" s="6"/>
      <c r="N1154" s="8"/>
      <c r="O1154" s="13"/>
      <c r="P1154" s="13"/>
    </row>
    <row r="1155" spans="1:16" ht="86.25" customHeight="1" x14ac:dyDescent="0.25">
      <c r="A1155" s="2">
        <v>1169</v>
      </c>
      <c r="B1155" s="11"/>
      <c r="M1155" s="6"/>
      <c r="N1155" s="8"/>
      <c r="O1155" s="13"/>
      <c r="P1155" s="13"/>
    </row>
    <row r="1156" spans="1:16" ht="86.25" customHeight="1" x14ac:dyDescent="0.25">
      <c r="A1156" s="2">
        <v>1170</v>
      </c>
      <c r="B1156" s="11"/>
      <c r="M1156" s="6"/>
      <c r="N1156" s="8"/>
      <c r="O1156" s="13"/>
      <c r="P1156" s="13"/>
    </row>
    <row r="1157" spans="1:16" ht="86.25" customHeight="1" x14ac:dyDescent="0.25">
      <c r="A1157" s="2">
        <v>1171</v>
      </c>
      <c r="B1157" s="11"/>
      <c r="M1157" s="6"/>
      <c r="N1157" s="8"/>
      <c r="O1157" s="13"/>
      <c r="P1157" s="13"/>
    </row>
    <row r="1158" spans="1:16" ht="86.25" customHeight="1" x14ac:dyDescent="0.25">
      <c r="A1158" s="2">
        <v>1172</v>
      </c>
      <c r="B1158" s="11"/>
      <c r="M1158" s="6"/>
      <c r="N1158" s="8"/>
      <c r="O1158" s="13"/>
      <c r="P1158" s="13"/>
    </row>
    <row r="1159" spans="1:16" ht="86.25" customHeight="1" x14ac:dyDescent="0.25">
      <c r="A1159" s="2">
        <v>1173</v>
      </c>
      <c r="B1159" s="11"/>
      <c r="M1159" s="6"/>
      <c r="N1159" s="8"/>
      <c r="O1159" s="13"/>
      <c r="P1159" s="13"/>
    </row>
    <row r="1160" spans="1:16" ht="86.25" customHeight="1" x14ac:dyDescent="0.25">
      <c r="A1160" s="2">
        <v>1174</v>
      </c>
      <c r="B1160" s="11"/>
      <c r="M1160" s="6"/>
      <c r="N1160" s="8"/>
      <c r="O1160" s="13"/>
      <c r="P1160" s="13"/>
    </row>
    <row r="1161" spans="1:16" ht="86.25" customHeight="1" x14ac:dyDescent="0.25">
      <c r="A1161" s="2">
        <v>1175</v>
      </c>
      <c r="B1161" s="11"/>
      <c r="M1161" s="6"/>
      <c r="N1161" s="8"/>
      <c r="O1161" s="13"/>
      <c r="P1161" s="13"/>
    </row>
    <row r="1162" spans="1:16" ht="86.25" customHeight="1" x14ac:dyDescent="0.25">
      <c r="A1162" s="2">
        <v>1176</v>
      </c>
      <c r="B1162" s="11"/>
      <c r="M1162" s="6"/>
      <c r="N1162" s="8"/>
      <c r="O1162" s="13"/>
      <c r="P1162" s="13"/>
    </row>
    <row r="1163" spans="1:16" ht="86.25" customHeight="1" x14ac:dyDescent="0.25">
      <c r="A1163" s="2">
        <v>1177</v>
      </c>
      <c r="B1163" s="11"/>
      <c r="M1163" s="6"/>
      <c r="N1163" s="8"/>
      <c r="O1163" s="13"/>
      <c r="P1163" s="13"/>
    </row>
    <row r="1164" spans="1:16" ht="86.25" customHeight="1" x14ac:dyDescent="0.25">
      <c r="A1164" s="2">
        <v>1178</v>
      </c>
      <c r="B1164" s="11"/>
      <c r="M1164" s="6"/>
      <c r="N1164" s="8"/>
      <c r="O1164" s="13"/>
      <c r="P1164" s="13"/>
    </row>
    <row r="1165" spans="1:16" ht="86.25" customHeight="1" x14ac:dyDescent="0.25">
      <c r="A1165" s="2">
        <v>1179</v>
      </c>
      <c r="B1165" s="11"/>
      <c r="M1165" s="6"/>
      <c r="N1165" s="8"/>
      <c r="O1165" s="13"/>
      <c r="P1165" s="13"/>
    </row>
    <row r="1166" spans="1:16" ht="86.25" customHeight="1" x14ac:dyDescent="0.25">
      <c r="A1166" s="2">
        <v>1180</v>
      </c>
      <c r="B1166" s="11"/>
      <c r="M1166" s="6"/>
      <c r="N1166" s="8"/>
      <c r="O1166" s="13"/>
      <c r="P1166" s="13"/>
    </row>
    <row r="1167" spans="1:16" ht="86.25" customHeight="1" x14ac:dyDescent="0.25">
      <c r="A1167" s="2">
        <v>1181</v>
      </c>
      <c r="B1167" s="11"/>
      <c r="M1167" s="6"/>
      <c r="N1167" s="8"/>
      <c r="O1167" s="13"/>
      <c r="P1167" s="13"/>
    </row>
    <row r="1168" spans="1:16" ht="86.25" customHeight="1" x14ac:dyDescent="0.25">
      <c r="A1168" s="2">
        <v>1182</v>
      </c>
      <c r="B1168" s="11"/>
      <c r="M1168" s="6"/>
      <c r="N1168" s="8"/>
      <c r="O1168" s="13"/>
      <c r="P1168" s="13"/>
    </row>
    <row r="1169" spans="1:16" ht="86.25" customHeight="1" x14ac:dyDescent="0.25">
      <c r="A1169" s="2">
        <v>1183</v>
      </c>
      <c r="B1169" s="11"/>
      <c r="M1169" s="6"/>
      <c r="N1169" s="8"/>
      <c r="O1169" s="13"/>
      <c r="P1169" s="13"/>
    </row>
    <row r="1170" spans="1:16" ht="86.25" customHeight="1" x14ac:dyDescent="0.25">
      <c r="A1170" s="2">
        <v>1184</v>
      </c>
      <c r="B1170" s="11"/>
      <c r="M1170" s="6"/>
      <c r="N1170" s="8"/>
      <c r="O1170" s="13"/>
      <c r="P1170" s="13"/>
    </row>
    <row r="1171" spans="1:16" ht="86.25" customHeight="1" x14ac:dyDescent="0.25">
      <c r="A1171" s="2">
        <v>1185</v>
      </c>
      <c r="B1171" s="11"/>
      <c r="M1171" s="6"/>
      <c r="N1171" s="8"/>
      <c r="O1171" s="13"/>
      <c r="P1171" s="13"/>
    </row>
    <row r="1172" spans="1:16" ht="86.25" customHeight="1" x14ac:dyDescent="0.25">
      <c r="A1172" s="2">
        <v>1186</v>
      </c>
      <c r="B1172" s="11"/>
      <c r="M1172" s="6"/>
      <c r="N1172" s="8"/>
      <c r="O1172" s="13"/>
      <c r="P1172" s="13"/>
    </row>
    <row r="1173" spans="1:16" ht="86.25" customHeight="1" x14ac:dyDescent="0.25">
      <c r="A1173" s="2">
        <v>1187</v>
      </c>
      <c r="B1173" s="11"/>
      <c r="M1173" s="6"/>
      <c r="N1173" s="8"/>
      <c r="O1173" s="13"/>
      <c r="P1173" s="13"/>
    </row>
    <row r="1174" spans="1:16" ht="86.25" customHeight="1" x14ac:dyDescent="0.25">
      <c r="A1174" s="2">
        <v>1188</v>
      </c>
      <c r="B1174" s="11"/>
      <c r="M1174" s="6"/>
      <c r="N1174" s="8"/>
      <c r="O1174" s="13"/>
      <c r="P1174" s="13"/>
    </row>
    <row r="1175" spans="1:16" ht="86.25" customHeight="1" x14ac:dyDescent="0.25">
      <c r="A1175" s="2">
        <v>1189</v>
      </c>
      <c r="B1175" s="11"/>
      <c r="M1175" s="6"/>
      <c r="N1175" s="8"/>
      <c r="O1175" s="13"/>
      <c r="P1175" s="13"/>
    </row>
    <row r="1176" spans="1:16" ht="86.25" customHeight="1" x14ac:dyDescent="0.25">
      <c r="A1176" s="2">
        <v>1190</v>
      </c>
      <c r="B1176" s="11"/>
      <c r="M1176" s="6"/>
      <c r="N1176" s="8"/>
      <c r="O1176" s="13"/>
      <c r="P1176" s="13"/>
    </row>
    <row r="1177" spans="1:16" ht="86.25" customHeight="1" x14ac:dyDescent="0.25">
      <c r="A1177" s="2">
        <v>1191</v>
      </c>
      <c r="B1177" s="11"/>
      <c r="M1177" s="6"/>
      <c r="N1177" s="8"/>
      <c r="O1177" s="13"/>
      <c r="P1177" s="13"/>
    </row>
    <row r="1178" spans="1:16" ht="86.25" customHeight="1" x14ac:dyDescent="0.25">
      <c r="A1178" s="2">
        <v>1192</v>
      </c>
      <c r="B1178" s="11"/>
      <c r="M1178" s="6"/>
      <c r="N1178" s="8"/>
      <c r="O1178" s="13"/>
      <c r="P1178" s="13"/>
    </row>
    <row r="1179" spans="1:16" ht="86.25" customHeight="1" x14ac:dyDescent="0.25">
      <c r="A1179" s="2">
        <v>1193</v>
      </c>
      <c r="B1179" s="11"/>
      <c r="M1179" s="6"/>
      <c r="N1179" s="8"/>
      <c r="O1179" s="13"/>
      <c r="P1179" s="13"/>
    </row>
    <row r="1180" spans="1:16" ht="86.25" customHeight="1" x14ac:dyDescent="0.25">
      <c r="A1180" s="2">
        <v>1194</v>
      </c>
      <c r="B1180" s="11"/>
      <c r="M1180" s="6"/>
      <c r="N1180" s="8"/>
      <c r="O1180" s="13"/>
      <c r="P1180" s="13"/>
    </row>
    <row r="1181" spans="1:16" ht="86.25" customHeight="1" x14ac:dyDescent="0.25">
      <c r="A1181" s="2">
        <v>1195</v>
      </c>
      <c r="B1181" s="11"/>
      <c r="M1181" s="6"/>
      <c r="N1181" s="8"/>
      <c r="O1181" s="13"/>
      <c r="P1181" s="13"/>
    </row>
    <row r="1182" spans="1:16" ht="86.25" customHeight="1" x14ac:dyDescent="0.25">
      <c r="A1182" s="2">
        <v>1196</v>
      </c>
      <c r="B1182" s="11"/>
      <c r="M1182" s="6"/>
      <c r="N1182" s="8"/>
      <c r="O1182" s="13"/>
      <c r="P1182" s="13"/>
    </row>
    <row r="1183" spans="1:16" ht="86.25" customHeight="1" x14ac:dyDescent="0.25">
      <c r="A1183" s="2">
        <v>1197</v>
      </c>
      <c r="B1183" s="11"/>
      <c r="M1183" s="6"/>
      <c r="N1183" s="8"/>
      <c r="O1183" s="13"/>
      <c r="P1183" s="13"/>
    </row>
    <row r="1184" spans="1:16" ht="86.25" customHeight="1" x14ac:dyDescent="0.25">
      <c r="A1184" s="2">
        <v>1198</v>
      </c>
      <c r="B1184" s="11"/>
      <c r="M1184" s="6"/>
      <c r="N1184" s="8"/>
      <c r="O1184" s="13"/>
      <c r="P1184" s="13"/>
    </row>
    <row r="1185" spans="1:16" ht="86.25" customHeight="1" x14ac:dyDescent="0.25">
      <c r="A1185" s="2">
        <v>1199</v>
      </c>
      <c r="B1185" s="11"/>
      <c r="M1185" s="6"/>
      <c r="N1185" s="8"/>
      <c r="O1185" s="13"/>
      <c r="P1185" s="13"/>
    </row>
    <row r="1186" spans="1:16" ht="86.25" customHeight="1" x14ac:dyDescent="0.25">
      <c r="A1186" s="2">
        <v>1200</v>
      </c>
      <c r="B1186" s="11"/>
      <c r="M1186" s="6"/>
      <c r="N1186" s="8"/>
      <c r="O1186" s="13"/>
      <c r="P1186" s="13"/>
    </row>
    <row r="1187" spans="1:16" ht="86.25" customHeight="1" x14ac:dyDescent="0.25">
      <c r="A1187" s="2">
        <v>1201</v>
      </c>
      <c r="B1187" s="11"/>
      <c r="M1187" s="6"/>
      <c r="N1187" s="8"/>
      <c r="O1187" s="13"/>
      <c r="P1187" s="13"/>
    </row>
    <row r="1188" spans="1:16" ht="86.25" customHeight="1" x14ac:dyDescent="0.25">
      <c r="A1188" s="2">
        <v>1202</v>
      </c>
      <c r="B1188" s="11"/>
      <c r="M1188" s="6"/>
      <c r="N1188" s="8"/>
      <c r="O1188" s="13"/>
      <c r="P1188" s="13"/>
    </row>
    <row r="1189" spans="1:16" ht="86.25" customHeight="1" x14ac:dyDescent="0.25">
      <c r="A1189" s="2">
        <v>1203</v>
      </c>
      <c r="B1189" s="11"/>
      <c r="M1189" s="6"/>
      <c r="N1189" s="8"/>
      <c r="O1189" s="13"/>
      <c r="P1189" s="13"/>
    </row>
    <row r="1190" spans="1:16" ht="86.25" customHeight="1" x14ac:dyDescent="0.25">
      <c r="A1190" s="2">
        <v>1204</v>
      </c>
      <c r="B1190" s="11"/>
      <c r="M1190" s="6"/>
      <c r="N1190" s="8"/>
      <c r="O1190" s="13"/>
      <c r="P1190" s="13"/>
    </row>
    <row r="1191" spans="1:16" ht="86.25" customHeight="1" x14ac:dyDescent="0.25">
      <c r="A1191" s="2">
        <v>1205</v>
      </c>
      <c r="B1191" s="11"/>
      <c r="M1191" s="6"/>
      <c r="N1191" s="8"/>
      <c r="O1191" s="13"/>
      <c r="P1191" s="13"/>
    </row>
    <row r="1192" spans="1:16" ht="86.25" customHeight="1" x14ac:dyDescent="0.25">
      <c r="A1192" s="2">
        <v>1206</v>
      </c>
      <c r="B1192" s="11"/>
      <c r="M1192" s="6"/>
      <c r="N1192" s="8"/>
      <c r="O1192" s="13"/>
      <c r="P1192" s="13"/>
    </row>
    <row r="1193" spans="1:16" ht="86.25" customHeight="1" x14ac:dyDescent="0.25">
      <c r="A1193" s="2">
        <v>1207</v>
      </c>
      <c r="B1193" s="11"/>
      <c r="M1193" s="6"/>
      <c r="N1193" s="8"/>
      <c r="O1193" s="13"/>
      <c r="P1193" s="13"/>
    </row>
    <row r="1194" spans="1:16" ht="86.25" customHeight="1" x14ac:dyDescent="0.25">
      <c r="A1194" s="2">
        <v>1208</v>
      </c>
      <c r="B1194" s="11"/>
      <c r="M1194" s="6"/>
      <c r="N1194" s="8"/>
      <c r="O1194" s="13"/>
      <c r="P1194" s="13"/>
    </row>
    <row r="1195" spans="1:16" ht="86.25" customHeight="1" x14ac:dyDescent="0.25">
      <c r="A1195" s="2">
        <v>1209</v>
      </c>
      <c r="B1195" s="11"/>
      <c r="M1195" s="6"/>
      <c r="N1195" s="8"/>
      <c r="O1195" s="13"/>
      <c r="P1195" s="13"/>
    </row>
    <row r="1196" spans="1:16" ht="86.25" customHeight="1" x14ac:dyDescent="0.25">
      <c r="A1196" s="2">
        <v>1210</v>
      </c>
      <c r="B1196" s="11"/>
      <c r="M1196" s="6"/>
      <c r="N1196" s="8"/>
      <c r="O1196" s="13"/>
      <c r="P1196" s="13"/>
    </row>
    <row r="1197" spans="1:16" ht="86.25" customHeight="1" x14ac:dyDescent="0.25">
      <c r="A1197" s="2">
        <v>1211</v>
      </c>
      <c r="B1197" s="11"/>
      <c r="M1197" s="6"/>
      <c r="N1197" s="8"/>
      <c r="O1197" s="13"/>
      <c r="P1197" s="13"/>
    </row>
    <row r="1198" spans="1:16" ht="86.25" customHeight="1" x14ac:dyDescent="0.25">
      <c r="A1198" s="2">
        <v>1212</v>
      </c>
      <c r="B1198" s="11"/>
      <c r="M1198" s="6"/>
      <c r="N1198" s="8"/>
      <c r="O1198" s="13"/>
      <c r="P1198" s="13"/>
    </row>
    <row r="1199" spans="1:16" ht="86.25" customHeight="1" x14ac:dyDescent="0.25">
      <c r="A1199" s="2">
        <v>1213</v>
      </c>
      <c r="B1199" s="11"/>
      <c r="M1199" s="6"/>
      <c r="N1199" s="8"/>
      <c r="O1199" s="13"/>
      <c r="P1199" s="13"/>
    </row>
    <row r="1200" spans="1:16" ht="86.25" customHeight="1" x14ac:dyDescent="0.25">
      <c r="A1200" s="2">
        <v>1214</v>
      </c>
      <c r="B1200" s="11"/>
      <c r="M1200" s="6"/>
      <c r="N1200" s="8"/>
      <c r="O1200" s="13"/>
      <c r="P1200" s="13"/>
    </row>
    <row r="1201" spans="1:16" ht="86.25" customHeight="1" x14ac:dyDescent="0.25">
      <c r="A1201" s="2">
        <v>1215</v>
      </c>
      <c r="B1201" s="11"/>
      <c r="M1201" s="6"/>
      <c r="N1201" s="8"/>
      <c r="O1201" s="13"/>
      <c r="P1201" s="13"/>
    </row>
    <row r="1202" spans="1:16" ht="86.25" customHeight="1" x14ac:dyDescent="0.25">
      <c r="A1202" s="2">
        <v>1216</v>
      </c>
      <c r="B1202" s="11"/>
      <c r="M1202" s="6"/>
      <c r="N1202" s="8"/>
      <c r="O1202" s="13"/>
      <c r="P1202" s="13"/>
    </row>
    <row r="1203" spans="1:16" ht="86.25" customHeight="1" x14ac:dyDescent="0.25">
      <c r="A1203" s="2">
        <v>1217</v>
      </c>
      <c r="B1203" s="11"/>
      <c r="M1203" s="6"/>
      <c r="N1203" s="8"/>
      <c r="O1203" s="13"/>
      <c r="P1203" s="13"/>
    </row>
    <row r="1204" spans="1:16" ht="86.25" customHeight="1" x14ac:dyDescent="0.25">
      <c r="A1204" s="2">
        <v>1218</v>
      </c>
      <c r="B1204" s="11"/>
      <c r="M1204" s="6"/>
      <c r="N1204" s="8"/>
      <c r="O1204" s="13"/>
      <c r="P1204" s="13"/>
    </row>
    <row r="1205" spans="1:16" ht="86.25" customHeight="1" x14ac:dyDescent="0.25">
      <c r="A1205" s="2">
        <v>1219</v>
      </c>
      <c r="B1205" s="11"/>
      <c r="M1205" s="6"/>
      <c r="N1205" s="8"/>
      <c r="O1205" s="13"/>
      <c r="P1205" s="13"/>
    </row>
    <row r="1206" spans="1:16" ht="86.25" customHeight="1" x14ac:dyDescent="0.25">
      <c r="A1206" s="2">
        <v>1220</v>
      </c>
      <c r="B1206" s="11"/>
      <c r="M1206" s="6"/>
      <c r="N1206" s="8"/>
      <c r="O1206" s="13"/>
      <c r="P1206" s="13"/>
    </row>
    <row r="1207" spans="1:16" ht="86.25" customHeight="1" x14ac:dyDescent="0.25">
      <c r="A1207" s="2">
        <v>1221</v>
      </c>
      <c r="B1207" s="11"/>
      <c r="M1207" s="6"/>
      <c r="N1207" s="8"/>
      <c r="O1207" s="13"/>
      <c r="P1207" s="13"/>
    </row>
    <row r="1208" spans="1:16" ht="86.25" customHeight="1" x14ac:dyDescent="0.25">
      <c r="A1208" s="2">
        <v>1222</v>
      </c>
      <c r="B1208" s="11"/>
      <c r="M1208" s="6"/>
      <c r="N1208" s="8"/>
      <c r="O1208" s="13"/>
      <c r="P1208" s="13"/>
    </row>
    <row r="1209" spans="1:16" ht="86.25" customHeight="1" x14ac:dyDescent="0.25">
      <c r="A1209" s="2">
        <v>1223</v>
      </c>
      <c r="B1209" s="11"/>
      <c r="M1209" s="6"/>
      <c r="N1209" s="8"/>
      <c r="O1209" s="13"/>
      <c r="P1209" s="13"/>
    </row>
    <row r="1210" spans="1:16" ht="86.25" customHeight="1" x14ac:dyDescent="0.25">
      <c r="A1210" s="2">
        <v>1224</v>
      </c>
      <c r="B1210" s="11"/>
      <c r="M1210" s="6"/>
      <c r="N1210" s="8"/>
      <c r="O1210" s="13"/>
      <c r="P1210" s="13"/>
    </row>
    <row r="1211" spans="1:16" ht="86.25" customHeight="1" x14ac:dyDescent="0.25">
      <c r="A1211" s="2">
        <v>1225</v>
      </c>
      <c r="B1211" s="11"/>
      <c r="M1211" s="6"/>
      <c r="N1211" s="8"/>
      <c r="O1211" s="13"/>
      <c r="P1211" s="13"/>
    </row>
    <row r="1212" spans="1:16" ht="86.25" customHeight="1" x14ac:dyDescent="0.25">
      <c r="A1212" s="2">
        <v>1226</v>
      </c>
      <c r="B1212" s="11"/>
      <c r="M1212" s="6"/>
      <c r="N1212" s="8"/>
      <c r="O1212" s="13"/>
      <c r="P1212" s="13"/>
    </row>
    <row r="1213" spans="1:16" ht="86.25" customHeight="1" x14ac:dyDescent="0.25">
      <c r="A1213" s="2">
        <v>1227</v>
      </c>
      <c r="B1213" s="11"/>
      <c r="M1213" s="6"/>
      <c r="N1213" s="8"/>
      <c r="O1213" s="13"/>
      <c r="P1213" s="13"/>
    </row>
    <row r="1214" spans="1:16" ht="86.25" customHeight="1" x14ac:dyDescent="0.25">
      <c r="A1214" s="2">
        <v>1228</v>
      </c>
      <c r="B1214" s="11"/>
      <c r="M1214" s="6"/>
      <c r="N1214" s="8"/>
      <c r="O1214" s="13"/>
      <c r="P1214" s="13"/>
    </row>
    <row r="1215" spans="1:16" ht="86.25" customHeight="1" x14ac:dyDescent="0.25">
      <c r="A1215" s="2">
        <v>1229</v>
      </c>
      <c r="B1215" s="11"/>
      <c r="M1215" s="6"/>
      <c r="N1215" s="8"/>
      <c r="O1215" s="13"/>
      <c r="P1215" s="13"/>
    </row>
    <row r="1216" spans="1:16" ht="86.25" customHeight="1" x14ac:dyDescent="0.25">
      <c r="A1216" s="2">
        <v>1230</v>
      </c>
      <c r="B1216" s="11"/>
      <c r="M1216" s="6"/>
      <c r="N1216" s="8"/>
      <c r="O1216" s="13"/>
      <c r="P1216" s="13"/>
    </row>
    <row r="1217" spans="1:16" ht="86.25" customHeight="1" x14ac:dyDescent="0.25">
      <c r="A1217" s="2">
        <v>1231</v>
      </c>
      <c r="B1217" s="11"/>
      <c r="M1217" s="6"/>
      <c r="N1217" s="8"/>
      <c r="O1217" s="13"/>
      <c r="P1217" s="13"/>
    </row>
    <row r="1218" spans="1:16" ht="86.25" customHeight="1" x14ac:dyDescent="0.25">
      <c r="A1218" s="2">
        <v>1232</v>
      </c>
      <c r="B1218" s="11"/>
      <c r="M1218" s="6"/>
      <c r="N1218" s="8"/>
      <c r="O1218" s="13"/>
      <c r="P1218" s="13"/>
    </row>
    <row r="1219" spans="1:16" ht="86.25" customHeight="1" x14ac:dyDescent="0.25">
      <c r="A1219" s="2">
        <v>1233</v>
      </c>
      <c r="B1219" s="11"/>
      <c r="M1219" s="6"/>
      <c r="N1219" s="8"/>
      <c r="O1219" s="13"/>
      <c r="P1219" s="13"/>
    </row>
    <row r="1220" spans="1:16" ht="86.25" customHeight="1" x14ac:dyDescent="0.25">
      <c r="A1220" s="2">
        <v>1234</v>
      </c>
      <c r="B1220" s="11"/>
      <c r="M1220" s="6"/>
      <c r="N1220" s="8"/>
      <c r="O1220" s="13"/>
      <c r="P1220" s="13"/>
    </row>
    <row r="1221" spans="1:16" ht="86.25" customHeight="1" x14ac:dyDescent="0.25">
      <c r="A1221" s="2">
        <v>1235</v>
      </c>
      <c r="B1221" s="11"/>
      <c r="M1221" s="6"/>
      <c r="N1221" s="8"/>
      <c r="O1221" s="13"/>
      <c r="P1221" s="13"/>
    </row>
    <row r="1222" spans="1:16" ht="86.25" customHeight="1" x14ac:dyDescent="0.25">
      <c r="A1222" s="2">
        <v>1236</v>
      </c>
      <c r="B1222" s="11"/>
      <c r="M1222" s="6"/>
      <c r="N1222" s="8"/>
      <c r="O1222" s="13"/>
      <c r="P1222" s="13"/>
    </row>
    <row r="1223" spans="1:16" ht="86.25" customHeight="1" x14ac:dyDescent="0.25">
      <c r="A1223" s="2">
        <v>1237</v>
      </c>
      <c r="B1223" s="11"/>
      <c r="M1223" s="6"/>
      <c r="N1223" s="8"/>
      <c r="O1223" s="13"/>
      <c r="P1223" s="13"/>
    </row>
    <row r="1224" spans="1:16" ht="86.25" customHeight="1" x14ac:dyDescent="0.25">
      <c r="A1224" s="2">
        <v>1238</v>
      </c>
      <c r="B1224" s="11"/>
      <c r="M1224" s="6"/>
      <c r="N1224" s="8"/>
      <c r="O1224" s="13"/>
      <c r="P1224" s="13"/>
    </row>
    <row r="1225" spans="1:16" ht="86.25" customHeight="1" x14ac:dyDescent="0.25">
      <c r="A1225" s="2">
        <v>1239</v>
      </c>
      <c r="B1225" s="11"/>
      <c r="M1225" s="6"/>
      <c r="N1225" s="8"/>
      <c r="O1225" s="13"/>
      <c r="P1225" s="13"/>
    </row>
    <row r="1226" spans="1:16" ht="86.25" customHeight="1" x14ac:dyDescent="0.25">
      <c r="A1226" s="2">
        <v>1240</v>
      </c>
      <c r="B1226" s="11"/>
      <c r="M1226" s="6"/>
      <c r="N1226" s="8"/>
      <c r="O1226" s="13"/>
      <c r="P1226" s="13"/>
    </row>
    <row r="1227" spans="1:16" ht="86.25" customHeight="1" x14ac:dyDescent="0.25">
      <c r="A1227" s="2">
        <v>1241</v>
      </c>
      <c r="B1227" s="11"/>
      <c r="M1227" s="6"/>
      <c r="N1227" s="8"/>
      <c r="O1227" s="13"/>
      <c r="P1227" s="13"/>
    </row>
    <row r="1473" spans="11:11" ht="86.25" customHeight="1" x14ac:dyDescent="0.25">
      <c r="K1473" s="4"/>
    </row>
    <row r="1474" spans="11:11" ht="86.25" customHeight="1" x14ac:dyDescent="0.25">
      <c r="K1474" s="4"/>
    </row>
    <row r="1475" spans="11:11" ht="86.25" customHeight="1" x14ac:dyDescent="0.25">
      <c r="K1475" s="4"/>
    </row>
  </sheetData>
  <dataConsolidate/>
  <mergeCells count="3">
    <mergeCell ref="A1:H1"/>
    <mergeCell ref="I1:K1"/>
    <mergeCell ref="L1:Q1"/>
  </mergeCells>
  <conditionalFormatting sqref="Q3:Q20">
    <cfRule type="containsText" dxfId="11" priority="471" operator="containsText" text="A TIEMPO">
      <formula>NOT(ISERROR(SEARCH("A TIEMPO",Q3)))</formula>
    </cfRule>
    <cfRule type="cellIs" dxfId="10" priority="472" operator="equal">
      <formula>"FUERA DE TIEMPO"</formula>
    </cfRule>
  </conditionalFormatting>
  <conditionalFormatting sqref="Q22:Q102">
    <cfRule type="containsText" dxfId="9" priority="371" operator="containsText" text="A TIEMPO">
      <formula>NOT(ISERROR(SEARCH("A TIEMPO",Q22)))</formula>
    </cfRule>
    <cfRule type="cellIs" dxfId="8" priority="372" operator="equal">
      <formula>"FUERA DE TIEMPO"</formula>
    </cfRule>
  </conditionalFormatting>
  <conditionalFormatting sqref="Q104">
    <cfRule type="containsText" dxfId="7" priority="369" operator="containsText" text="A TIEMPO">
      <formula>NOT(ISERROR(SEARCH("A TIEMPO",Q104)))</formula>
    </cfRule>
    <cfRule type="cellIs" dxfId="6" priority="370" operator="equal">
      <formula>"FUERA DE TIEMPO"</formula>
    </cfRule>
  </conditionalFormatting>
  <conditionalFormatting sqref="Q106:Q132">
    <cfRule type="containsText" dxfId="5" priority="297" operator="containsText" text="A TIEMPO">
      <formula>NOT(ISERROR(SEARCH("A TIEMPO",Q106)))</formula>
    </cfRule>
    <cfRule type="cellIs" dxfId="4" priority="298" operator="equal">
      <formula>"FUERA DE TIEMPO"</formula>
    </cfRule>
  </conditionalFormatting>
  <conditionalFormatting sqref="Q134:Q136">
    <cfRule type="containsText" dxfId="3" priority="317" operator="containsText" text="A TIEMPO">
      <formula>NOT(ISERROR(SEARCH("A TIEMPO",Q134)))</formula>
    </cfRule>
    <cfRule type="cellIs" dxfId="2" priority="318" operator="equal">
      <formula>"FUERA DE TIEMPO"</formula>
    </cfRule>
  </conditionalFormatting>
  <conditionalFormatting sqref="Q137:Q1227">
    <cfRule type="containsText" dxfId="1" priority="1" operator="containsText" text="A TIEMPO">
      <formula>NOT(ISERROR(SEARCH("A TIEMPO",Q137)))</formula>
    </cfRule>
    <cfRule type="cellIs" dxfId="0" priority="2" operator="equal">
      <formula>"FUERA DE TIEMPO"</formula>
    </cfRule>
  </conditionalFormatting>
  <pageMargins left="0.23622047244094491" right="0.23622047244094491" top="0.74803149606299213" bottom="0.74803149606299213" header="0.31496062992125984" footer="3.4645669291338583"/>
  <pageSetup paperSize="9" scale="34" fitToHeight="0" orientation="landscape" horizontalDpi="4294967294" verticalDpi="4294967294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Hoja1!$A$4:$A$11</xm:f>
          </x14:formula1>
          <xm:sqref>C1:C4 C6:C7 C10:C11 C14:C15 C17:C19 C21 C23:C27 C29:C41 C43:C63 C65:C76 C78:C90 C92:C1048576</xm:sqref>
        </x14:dataValidation>
        <x14:dataValidation type="list" allowBlank="1" showInputMessage="1" showErrorMessage="1" xr:uid="{00000000-0002-0000-0000-000001000000}">
          <x14:formula1>
            <xm:f>Hoja1!$B$4:$B$10</xm:f>
          </x14:formula1>
          <xm:sqref>E1:E4 E6:E7 E10:E11 E14:E15 E17:E19 E21 E23:E27 E29:E41 E43:E63 E65:E76 E78:E90 E92:E1048576</xm:sqref>
        </x14:dataValidation>
        <x14:dataValidation type="list" allowBlank="1" showInputMessage="1" showErrorMessage="1" xr:uid="{00000000-0002-0000-0000-000002000000}">
          <x14:formula1>
            <xm:f>'Z:\INVENTARIO DRTSPL\5-UNIDAD DE APOYO Y ASESORIA\1-GESTION INTERNA ADMINISTRATIVA FINANCIERA\4-SECRETARIA GENERAL\MATRIZ CORRESPONDENCIA 2023\[LOJA BASE REPORTE CORRESPONDENCIA.xlsx]Hoja1'!#REF!</xm:f>
          </x14:formula1>
          <xm:sqref>E5 E20 E22 C12:C13 E12:E13 C8:C9 E8:E9 C5 C20 C22 C64 E64 E77 C77 E91 C91</xm:sqref>
        </x14:dataValidation>
        <x14:dataValidation type="list" allowBlank="1" showInputMessage="1" showErrorMessage="1" xr:uid="{00000000-0002-0000-0000-000003000000}">
          <x14:formula1>
            <xm:f>'\\192.168.8.45\tramiton\INVENTARIO DRTSPL\5-UNIDAD DE APOYO Y ASESORIA\1-GESTION INTERNA ADMINISTRATIVA FINANCIERA\4-SECRETARIA GENERAL\MATRIZ CORRESPONDENCIA 2023\[LOJA BASE REPORTE CORRESPONDENCIA.xlsx]Hoja1'!#REF!</xm:f>
          </x14:formula1>
          <xm:sqref>E16 E28 C16 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3" sqref="A3"/>
    </sheetView>
  </sheetViews>
  <sheetFormatPr baseColWidth="10" defaultRowHeight="15" x14ac:dyDescent="0.25"/>
  <cols>
    <col min="1" max="1" width="16.140625" bestFit="1" customWidth="1"/>
    <col min="2" max="2" width="20.710937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4</v>
      </c>
      <c r="B2" t="s">
        <v>11</v>
      </c>
    </row>
    <row r="3" spans="1:2" x14ac:dyDescent="0.25">
      <c r="A3" t="s">
        <v>10</v>
      </c>
    </row>
    <row r="4" spans="1:2" x14ac:dyDescent="0.25">
      <c r="A4" t="s">
        <v>18</v>
      </c>
      <c r="B4" t="s">
        <v>19</v>
      </c>
    </row>
    <row r="5" spans="1:2" x14ac:dyDescent="0.25">
      <c r="A5" t="s">
        <v>8</v>
      </c>
      <c r="B5" t="s">
        <v>20</v>
      </c>
    </row>
    <row r="6" spans="1:2" x14ac:dyDescent="0.25">
      <c r="A6" t="s">
        <v>12</v>
      </c>
      <c r="B6" t="s">
        <v>21</v>
      </c>
    </row>
    <row r="7" spans="1:2" x14ac:dyDescent="0.25">
      <c r="A7" t="s">
        <v>13</v>
      </c>
      <c r="B7" t="s">
        <v>22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  <row r="11" spans="1:2" x14ac:dyDescent="0.25">
      <c r="A1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 CORRESPONDENCIA 2024</vt:lpstr>
      <vt:lpstr>Hoja1</vt:lpstr>
      <vt:lpstr>'BASE CORRESPONDENCIA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Reinoso</dc:creator>
  <cp:lastModifiedBy>Yanela Elizabeth Torres Calderón</cp:lastModifiedBy>
  <cp:lastPrinted>2024-12-04T13:42:40Z</cp:lastPrinted>
  <dcterms:created xsi:type="dcterms:W3CDTF">2019-02-28T20:36:39Z</dcterms:created>
  <dcterms:modified xsi:type="dcterms:W3CDTF">2025-05-14T14:07:59Z</dcterms:modified>
</cp:coreProperties>
</file>