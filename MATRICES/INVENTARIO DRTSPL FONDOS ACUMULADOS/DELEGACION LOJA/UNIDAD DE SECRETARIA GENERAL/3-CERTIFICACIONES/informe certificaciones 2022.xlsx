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RCHIVO DRTSPL\INFORMES GPR\GPR 2022\"/>
    </mc:Choice>
  </mc:AlternateContent>
  <bookViews>
    <workbookView xWindow="0" yWindow="0" windowWidth="20490" windowHeight="7650" tabRatio="674"/>
  </bookViews>
  <sheets>
    <sheet name="ENE-2022" sheetId="1" r:id="rId1"/>
    <sheet name="FEB-2022" sheetId="2" r:id="rId2"/>
    <sheet name="MAR-2022" sheetId="3" r:id="rId3"/>
    <sheet name="ABR-2022" sheetId="5" r:id="rId4"/>
    <sheet name="MAY-2022" sheetId="6" r:id="rId5"/>
    <sheet name="JUN-2022" sheetId="7" r:id="rId6"/>
    <sheet name="JUL-2022" sheetId="8" r:id="rId7"/>
    <sheet name="AGO-2022" sheetId="9" r:id="rId8"/>
  </sheets>
  <definedNames>
    <definedName name="_xlnm._FilterDatabase" localSheetId="3" hidden="1">'ABR-2022'!$A$6:$R$419</definedName>
    <definedName name="_xlnm._FilterDatabase" localSheetId="7" hidden="1">'AGO-2022'!$A$5:$R$395</definedName>
    <definedName name="_xlnm._FilterDatabase" localSheetId="0" hidden="1">'ENE-2022'!$B$7:$R$496</definedName>
    <definedName name="_xlnm._FilterDatabase" localSheetId="1" hidden="1">'FEB-2022'!$A$6:$R$348</definedName>
    <definedName name="_xlnm._FilterDatabase" localSheetId="6" hidden="1">'JUL-2022'!$A$5:$R$432</definedName>
    <definedName name="_xlnm._FilterDatabase" localSheetId="5" hidden="1">'JUN-2022'!$A$5:$R$429</definedName>
    <definedName name="_xlnm._FilterDatabase" localSheetId="2" hidden="1">'MAR-2022'!$A$6:$R$511</definedName>
    <definedName name="_xlnm._FilterDatabase" localSheetId="4" hidden="1">'MAY-2022'!$A$5:$R$416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73" i="9" l="1"/>
  <c r="Q373" i="9" s="1"/>
  <c r="L372" i="9"/>
  <c r="Q372" i="9" s="1"/>
  <c r="L371" i="9"/>
  <c r="Q371" i="9" s="1"/>
  <c r="L370" i="9"/>
  <c r="Q370" i="9" s="1"/>
  <c r="L369" i="9"/>
  <c r="Q369" i="9" s="1"/>
  <c r="L368" i="9"/>
  <c r="Q368" i="9" s="1"/>
  <c r="L367" i="9"/>
  <c r="Q367" i="9" s="1"/>
  <c r="L366" i="9"/>
  <c r="Q366" i="9" s="1"/>
  <c r="L365" i="9"/>
  <c r="Q365" i="9" s="1"/>
  <c r="L364" i="9"/>
  <c r="Q364" i="9" s="1"/>
  <c r="L363" i="9"/>
  <c r="Q363" i="9" s="1"/>
  <c r="L362" i="9"/>
  <c r="Q362" i="9" s="1"/>
  <c r="L361" i="9"/>
  <c r="Q361" i="9" s="1"/>
  <c r="L360" i="9"/>
  <c r="Q360" i="9" s="1"/>
  <c r="L359" i="9"/>
  <c r="Q359" i="9" s="1"/>
  <c r="L358" i="9"/>
  <c r="Q358" i="9" s="1"/>
  <c r="L357" i="9"/>
  <c r="Q357" i="9" s="1"/>
  <c r="L356" i="9"/>
  <c r="Q356" i="9" s="1"/>
  <c r="L355" i="9"/>
  <c r="Q355" i="9" s="1"/>
  <c r="L354" i="9"/>
  <c r="Q354" i="9" s="1"/>
  <c r="L353" i="9"/>
  <c r="Q353" i="9" s="1"/>
  <c r="L352" i="9"/>
  <c r="Q352" i="9" s="1"/>
  <c r="L351" i="9"/>
  <c r="Q351" i="9" s="1"/>
  <c r="L350" i="9"/>
  <c r="Q350" i="9" s="1"/>
  <c r="L349" i="9"/>
  <c r="Q349" i="9" s="1"/>
  <c r="L348" i="9"/>
  <c r="Q348" i="9" s="1"/>
  <c r="L347" i="9"/>
  <c r="Q347" i="9" s="1"/>
  <c r="L346" i="9"/>
  <c r="Q346" i="9" s="1"/>
  <c r="L345" i="9"/>
  <c r="Q345" i="9" s="1"/>
  <c r="L344" i="9"/>
  <c r="Q344" i="9" s="1"/>
  <c r="L343" i="9"/>
  <c r="Q343" i="9" s="1"/>
  <c r="L342" i="9"/>
  <c r="Q342" i="9" s="1"/>
  <c r="L341" i="9"/>
  <c r="Q341" i="9" s="1"/>
  <c r="L340" i="9"/>
  <c r="Q340" i="9" s="1"/>
  <c r="L339" i="9"/>
  <c r="Q339" i="9" s="1"/>
  <c r="L338" i="9"/>
  <c r="Q338" i="9" s="1"/>
  <c r="L337" i="9"/>
  <c r="Q337" i="9" s="1"/>
  <c r="L336" i="9"/>
  <c r="Q336" i="9" s="1"/>
  <c r="L335" i="9"/>
  <c r="Q335" i="9" s="1"/>
  <c r="L334" i="9"/>
  <c r="Q334" i="9" s="1"/>
  <c r="L333" i="9"/>
  <c r="Q333" i="9" s="1"/>
  <c r="L332" i="9"/>
  <c r="Q332" i="9" s="1"/>
  <c r="L331" i="9"/>
  <c r="Q331" i="9" s="1"/>
  <c r="L330" i="9"/>
  <c r="Q330" i="9" s="1"/>
  <c r="L329" i="9"/>
  <c r="Q329" i="9" s="1"/>
  <c r="L328" i="9"/>
  <c r="Q328" i="9" s="1"/>
  <c r="L327" i="9"/>
  <c r="Q327" i="9" s="1"/>
  <c r="L326" i="9"/>
  <c r="Q326" i="9" s="1"/>
  <c r="L325" i="9"/>
  <c r="Q325" i="9" s="1"/>
  <c r="L324" i="9"/>
  <c r="Q324" i="9" s="1"/>
  <c r="L323" i="9"/>
  <c r="Q323" i="9" s="1"/>
  <c r="L322" i="9"/>
  <c r="Q322" i="9" s="1"/>
  <c r="L321" i="9"/>
  <c r="Q321" i="9" s="1"/>
  <c r="L320" i="9"/>
  <c r="Q320" i="9" s="1"/>
  <c r="L319" i="9"/>
  <c r="Q319" i="9" s="1"/>
  <c r="L318" i="9"/>
  <c r="Q318" i="9" s="1"/>
  <c r="L317" i="9"/>
  <c r="Q317" i="9" s="1"/>
  <c r="L316" i="9"/>
  <c r="Q316" i="9" s="1"/>
  <c r="L315" i="9"/>
  <c r="Q315" i="9" s="1"/>
  <c r="L314" i="9"/>
  <c r="Q314" i="9" s="1"/>
  <c r="L313" i="9"/>
  <c r="Q313" i="9" s="1"/>
  <c r="L312" i="9"/>
  <c r="Q312" i="9" s="1"/>
  <c r="L311" i="9"/>
  <c r="Q311" i="9" s="1"/>
  <c r="L310" i="9"/>
  <c r="Q310" i="9" s="1"/>
  <c r="L309" i="9"/>
  <c r="Q309" i="9" s="1"/>
  <c r="L308" i="9"/>
  <c r="Q308" i="9" s="1"/>
  <c r="L307" i="9"/>
  <c r="Q307" i="9" s="1"/>
  <c r="L306" i="9"/>
  <c r="Q306" i="9" s="1"/>
  <c r="L305" i="9"/>
  <c r="Q305" i="9" s="1"/>
  <c r="L304" i="9"/>
  <c r="Q304" i="9" s="1"/>
  <c r="L303" i="9"/>
  <c r="Q303" i="9" s="1"/>
  <c r="L302" i="9"/>
  <c r="Q302" i="9" s="1"/>
  <c r="L301" i="9"/>
  <c r="Q301" i="9" s="1"/>
  <c r="L300" i="9"/>
  <c r="Q300" i="9" s="1"/>
  <c r="L299" i="9"/>
  <c r="Q299" i="9" s="1"/>
  <c r="L298" i="9"/>
  <c r="Q298" i="9" s="1"/>
  <c r="L297" i="9"/>
  <c r="Q297" i="9" s="1"/>
  <c r="L296" i="9"/>
  <c r="Q296" i="9" s="1"/>
  <c r="L295" i="9"/>
  <c r="Q295" i="9" s="1"/>
  <c r="L294" i="9"/>
  <c r="Q294" i="9" s="1"/>
  <c r="L293" i="9"/>
  <c r="Q293" i="9" s="1"/>
  <c r="L292" i="9"/>
  <c r="Q292" i="9" s="1"/>
  <c r="L291" i="9"/>
  <c r="Q291" i="9" s="1"/>
  <c r="L290" i="9"/>
  <c r="Q290" i="9" s="1"/>
  <c r="L289" i="9"/>
  <c r="Q289" i="9" s="1"/>
  <c r="L288" i="9"/>
  <c r="Q288" i="9" s="1"/>
  <c r="L287" i="9"/>
  <c r="Q287" i="9" s="1"/>
  <c r="L286" i="9"/>
  <c r="Q286" i="9" s="1"/>
  <c r="L285" i="9"/>
  <c r="Q285" i="9" s="1"/>
  <c r="L284" i="9"/>
  <c r="Q284" i="9" s="1"/>
  <c r="L283" i="9"/>
  <c r="Q283" i="9" s="1"/>
  <c r="L282" i="9"/>
  <c r="Q282" i="9" s="1"/>
  <c r="L281" i="9"/>
  <c r="Q281" i="9" s="1"/>
  <c r="L280" i="9"/>
  <c r="Q280" i="9" s="1"/>
  <c r="L279" i="9"/>
  <c r="Q279" i="9" s="1"/>
  <c r="L278" i="9"/>
  <c r="Q278" i="9" s="1"/>
  <c r="L277" i="9"/>
  <c r="Q277" i="9" s="1"/>
  <c r="L276" i="9"/>
  <c r="Q276" i="9" s="1"/>
  <c r="L275" i="9"/>
  <c r="Q275" i="9" s="1"/>
  <c r="L274" i="9"/>
  <c r="Q274" i="9" s="1"/>
  <c r="L273" i="9"/>
  <c r="Q273" i="9" s="1"/>
  <c r="L272" i="9"/>
  <c r="Q272" i="9" s="1"/>
  <c r="L271" i="9"/>
  <c r="Q271" i="9" s="1"/>
  <c r="L270" i="9"/>
  <c r="Q270" i="9" s="1"/>
  <c r="L269" i="9"/>
  <c r="Q269" i="9" s="1"/>
  <c r="L268" i="9"/>
  <c r="Q268" i="9" s="1"/>
  <c r="L267" i="9"/>
  <c r="Q267" i="9" s="1"/>
  <c r="L266" i="9"/>
  <c r="Q266" i="9" s="1"/>
  <c r="L265" i="9"/>
  <c r="Q265" i="9" s="1"/>
  <c r="L264" i="9"/>
  <c r="Q264" i="9" s="1"/>
  <c r="L263" i="9"/>
  <c r="Q263" i="9" s="1"/>
  <c r="L262" i="9"/>
  <c r="Q262" i="9" s="1"/>
  <c r="L261" i="9"/>
  <c r="Q261" i="9" s="1"/>
  <c r="L260" i="9"/>
  <c r="Q260" i="9" s="1"/>
  <c r="L259" i="9"/>
  <c r="Q259" i="9" s="1"/>
  <c r="L258" i="9"/>
  <c r="Q258" i="9" s="1"/>
  <c r="L257" i="9"/>
  <c r="Q257" i="9" s="1"/>
  <c r="L256" i="9"/>
  <c r="Q256" i="9" s="1"/>
  <c r="L255" i="9"/>
  <c r="Q255" i="9" s="1"/>
  <c r="L254" i="9"/>
  <c r="Q254" i="9" s="1"/>
  <c r="L253" i="9"/>
  <c r="Q253" i="9" s="1"/>
  <c r="L252" i="9"/>
  <c r="Q252" i="9" s="1"/>
  <c r="L251" i="9"/>
  <c r="Q251" i="9" s="1"/>
  <c r="L250" i="9"/>
  <c r="Q250" i="9" s="1"/>
  <c r="L249" i="9"/>
  <c r="Q249" i="9" s="1"/>
  <c r="L248" i="9"/>
  <c r="Q248" i="9" s="1"/>
  <c r="L247" i="9"/>
  <c r="Q247" i="9" s="1"/>
  <c r="L246" i="9"/>
  <c r="Q246" i="9" s="1"/>
  <c r="L245" i="9"/>
  <c r="Q245" i="9" s="1"/>
  <c r="L244" i="9"/>
  <c r="Q244" i="9" s="1"/>
  <c r="L243" i="9"/>
  <c r="Q243" i="9" s="1"/>
  <c r="L242" i="9"/>
  <c r="Q242" i="9" s="1"/>
  <c r="L241" i="9"/>
  <c r="Q241" i="9" s="1"/>
  <c r="L240" i="9"/>
  <c r="Q240" i="9" s="1"/>
  <c r="L239" i="9"/>
  <c r="Q239" i="9" s="1"/>
  <c r="L238" i="9"/>
  <c r="Q238" i="9" s="1"/>
  <c r="L237" i="9"/>
  <c r="Q237" i="9" s="1"/>
  <c r="L236" i="9"/>
  <c r="Q236" i="9" s="1"/>
  <c r="L235" i="9"/>
  <c r="Q235" i="9" s="1"/>
  <c r="L234" i="9"/>
  <c r="Q234" i="9" s="1"/>
  <c r="L233" i="9"/>
  <c r="Q233" i="9" s="1"/>
  <c r="L232" i="9"/>
  <c r="Q232" i="9" s="1"/>
  <c r="L231" i="9"/>
  <c r="Q231" i="9" s="1"/>
  <c r="L230" i="9"/>
  <c r="Q230" i="9" s="1"/>
  <c r="L229" i="9"/>
  <c r="Q229" i="9" s="1"/>
  <c r="L228" i="9"/>
  <c r="Q228" i="9" s="1"/>
  <c r="L227" i="9"/>
  <c r="Q227" i="9" s="1"/>
  <c r="L226" i="9"/>
  <c r="Q226" i="9" s="1"/>
  <c r="L225" i="9"/>
  <c r="Q225" i="9" s="1"/>
  <c r="L224" i="9"/>
  <c r="Q224" i="9" s="1"/>
  <c r="L223" i="9"/>
  <c r="Q223" i="9" s="1"/>
  <c r="L222" i="9"/>
  <c r="Q222" i="9" s="1"/>
  <c r="L221" i="9"/>
  <c r="Q221" i="9" s="1"/>
  <c r="L220" i="9"/>
  <c r="Q220" i="9" s="1"/>
  <c r="L219" i="9"/>
  <c r="Q219" i="9" s="1"/>
  <c r="L218" i="9"/>
  <c r="Q218" i="9" s="1"/>
  <c r="L217" i="9"/>
  <c r="Q217" i="9" s="1"/>
  <c r="L216" i="9"/>
  <c r="Q216" i="9" s="1"/>
  <c r="L215" i="9"/>
  <c r="Q215" i="9" s="1"/>
  <c r="L214" i="9"/>
  <c r="Q214" i="9" s="1"/>
  <c r="L213" i="9"/>
  <c r="Q213" i="9" s="1"/>
  <c r="L212" i="9"/>
  <c r="Q212" i="9" s="1"/>
  <c r="L211" i="9"/>
  <c r="Q211" i="9" s="1"/>
  <c r="L210" i="9"/>
  <c r="Q210" i="9" s="1"/>
  <c r="L209" i="9"/>
  <c r="Q209" i="9" s="1"/>
  <c r="L208" i="9"/>
  <c r="Q208" i="9" s="1"/>
  <c r="L207" i="9"/>
  <c r="Q207" i="9" s="1"/>
  <c r="L206" i="9"/>
  <c r="Q206" i="9" s="1"/>
  <c r="L205" i="9"/>
  <c r="Q205" i="9" s="1"/>
  <c r="L204" i="9"/>
  <c r="Q204" i="9" s="1"/>
  <c r="L203" i="9"/>
  <c r="Q203" i="9" s="1"/>
  <c r="L202" i="9"/>
  <c r="Q202" i="9" s="1"/>
  <c r="L201" i="9"/>
  <c r="Q201" i="9" s="1"/>
  <c r="L200" i="9"/>
  <c r="Q200" i="9" s="1"/>
  <c r="L199" i="9"/>
  <c r="Q199" i="9" s="1"/>
  <c r="L198" i="9"/>
  <c r="Q198" i="9" s="1"/>
  <c r="L197" i="9"/>
  <c r="Q197" i="9" s="1"/>
  <c r="L196" i="9"/>
  <c r="Q196" i="9" s="1"/>
  <c r="L195" i="9"/>
  <c r="Q195" i="9" s="1"/>
  <c r="L194" i="9"/>
  <c r="Q194" i="9" s="1"/>
  <c r="L193" i="9"/>
  <c r="Q193" i="9" s="1"/>
  <c r="L192" i="9"/>
  <c r="Q192" i="9" s="1"/>
  <c r="L191" i="9"/>
  <c r="Q191" i="9" s="1"/>
  <c r="L190" i="9"/>
  <c r="Q190" i="9" s="1"/>
  <c r="L189" i="9"/>
  <c r="Q189" i="9" s="1"/>
  <c r="L188" i="9"/>
  <c r="Q188" i="9" s="1"/>
  <c r="L187" i="9"/>
  <c r="Q187" i="9" s="1"/>
  <c r="L186" i="9"/>
  <c r="Q186" i="9" s="1"/>
  <c r="L185" i="9"/>
  <c r="Q185" i="9" s="1"/>
  <c r="L184" i="9"/>
  <c r="Q184" i="9" s="1"/>
  <c r="L183" i="9"/>
  <c r="Q183" i="9" s="1"/>
  <c r="L182" i="9"/>
  <c r="Q182" i="9" s="1"/>
  <c r="L181" i="9"/>
  <c r="Q181" i="9" s="1"/>
  <c r="L180" i="9"/>
  <c r="Q180" i="9" s="1"/>
  <c r="L179" i="9"/>
  <c r="Q179" i="9" s="1"/>
  <c r="L178" i="9"/>
  <c r="Q178" i="9" s="1"/>
  <c r="L177" i="9"/>
  <c r="Q177" i="9" s="1"/>
  <c r="L176" i="9"/>
  <c r="Q176" i="9" s="1"/>
  <c r="L175" i="9"/>
  <c r="Q175" i="9" s="1"/>
  <c r="L174" i="9"/>
  <c r="Q174" i="9" s="1"/>
  <c r="L173" i="9"/>
  <c r="Q173" i="9" s="1"/>
  <c r="L172" i="9"/>
  <c r="Q172" i="9" s="1"/>
  <c r="L171" i="9"/>
  <c r="Q171" i="9" s="1"/>
  <c r="L170" i="9"/>
  <c r="Q170" i="9" s="1"/>
  <c r="L169" i="9"/>
  <c r="Q169" i="9" s="1"/>
  <c r="L168" i="9"/>
  <c r="Q168" i="9" s="1"/>
  <c r="L167" i="9"/>
  <c r="Q167" i="9" s="1"/>
  <c r="L166" i="9"/>
  <c r="Q166" i="9" s="1"/>
  <c r="L165" i="9"/>
  <c r="Q165" i="9" s="1"/>
  <c r="L164" i="9"/>
  <c r="Q164" i="9" s="1"/>
  <c r="L163" i="9"/>
  <c r="Q163" i="9" s="1"/>
  <c r="L162" i="9"/>
  <c r="Q162" i="9" s="1"/>
  <c r="L161" i="9"/>
  <c r="Q161" i="9" s="1"/>
  <c r="L160" i="9"/>
  <c r="Q160" i="9" s="1"/>
  <c r="L159" i="9"/>
  <c r="Q159" i="9" s="1"/>
  <c r="L158" i="9"/>
  <c r="Q158" i="9" s="1"/>
  <c r="L157" i="9"/>
  <c r="Q157" i="9" s="1"/>
  <c r="L156" i="9"/>
  <c r="Q156" i="9" s="1"/>
  <c r="L155" i="9"/>
  <c r="Q155" i="9" s="1"/>
  <c r="L154" i="9"/>
  <c r="Q154" i="9" s="1"/>
  <c r="L153" i="9"/>
  <c r="Q153" i="9" s="1"/>
  <c r="L152" i="9"/>
  <c r="Q152" i="9" s="1"/>
  <c r="L151" i="9"/>
  <c r="Q151" i="9" s="1"/>
  <c r="L150" i="9"/>
  <c r="Q150" i="9" s="1"/>
  <c r="L149" i="9"/>
  <c r="Q149" i="9" s="1"/>
  <c r="L148" i="9"/>
  <c r="Q148" i="9" s="1"/>
  <c r="L147" i="9"/>
  <c r="Q147" i="9" s="1"/>
  <c r="L146" i="9"/>
  <c r="Q146" i="9" s="1"/>
  <c r="L145" i="9"/>
  <c r="Q145" i="9" s="1"/>
  <c r="L144" i="9"/>
  <c r="Q144" i="9" s="1"/>
  <c r="L143" i="9"/>
  <c r="Q143" i="9" s="1"/>
  <c r="L142" i="9"/>
  <c r="Q142" i="9" s="1"/>
  <c r="L141" i="9"/>
  <c r="Q141" i="9" s="1"/>
  <c r="L140" i="9"/>
  <c r="Q140" i="9" s="1"/>
  <c r="L139" i="9"/>
  <c r="Q139" i="9" s="1"/>
  <c r="L138" i="9"/>
  <c r="Q138" i="9" s="1"/>
  <c r="L137" i="9"/>
  <c r="Q137" i="9" s="1"/>
  <c r="L136" i="9"/>
  <c r="Q136" i="9" s="1"/>
  <c r="L135" i="9"/>
  <c r="Q135" i="9" s="1"/>
  <c r="L134" i="9"/>
  <c r="Q134" i="9" s="1"/>
  <c r="L133" i="9"/>
  <c r="Q133" i="9" s="1"/>
  <c r="L132" i="9"/>
  <c r="Q132" i="9" s="1"/>
  <c r="L131" i="9"/>
  <c r="Q131" i="9" s="1"/>
  <c r="L130" i="9"/>
  <c r="Q130" i="9" s="1"/>
  <c r="L129" i="9"/>
  <c r="Q129" i="9" s="1"/>
  <c r="L128" i="9"/>
  <c r="Q128" i="9" s="1"/>
  <c r="L127" i="9"/>
  <c r="Q127" i="9" s="1"/>
  <c r="L126" i="9"/>
  <c r="Q126" i="9" s="1"/>
  <c r="L125" i="9"/>
  <c r="Q125" i="9" s="1"/>
  <c r="L124" i="9"/>
  <c r="Q124" i="9" s="1"/>
  <c r="L123" i="9"/>
  <c r="Q123" i="9" s="1"/>
  <c r="L122" i="9"/>
  <c r="Q122" i="9" s="1"/>
  <c r="L121" i="9"/>
  <c r="Q121" i="9" s="1"/>
  <c r="L120" i="9"/>
  <c r="Q120" i="9" s="1"/>
  <c r="L119" i="9"/>
  <c r="Q119" i="9" s="1"/>
  <c r="L118" i="9"/>
  <c r="Q118" i="9" s="1"/>
  <c r="L117" i="9"/>
  <c r="Q117" i="9" s="1"/>
  <c r="L116" i="9"/>
  <c r="Q116" i="9" s="1"/>
  <c r="L115" i="9"/>
  <c r="Q115" i="9" s="1"/>
  <c r="L114" i="9"/>
  <c r="Q114" i="9" s="1"/>
  <c r="L113" i="9"/>
  <c r="Q113" i="9" s="1"/>
  <c r="L112" i="9"/>
  <c r="Q112" i="9" s="1"/>
  <c r="L111" i="9"/>
  <c r="Q111" i="9" s="1"/>
  <c r="L110" i="9"/>
  <c r="Q110" i="9" s="1"/>
  <c r="L109" i="9"/>
  <c r="Q109" i="9" s="1"/>
  <c r="L108" i="9"/>
  <c r="Q108" i="9" s="1"/>
  <c r="L107" i="9"/>
  <c r="Q107" i="9" s="1"/>
  <c r="L106" i="9"/>
  <c r="Q106" i="9" s="1"/>
  <c r="L105" i="9"/>
  <c r="Q105" i="9" s="1"/>
  <c r="L104" i="9"/>
  <c r="Q104" i="9" s="1"/>
  <c r="L103" i="9"/>
  <c r="Q103" i="9" s="1"/>
  <c r="L102" i="9"/>
  <c r="Q102" i="9" s="1"/>
  <c r="L101" i="9"/>
  <c r="Q101" i="9" s="1"/>
  <c r="L100" i="9"/>
  <c r="Q100" i="9" s="1"/>
  <c r="L99" i="9"/>
  <c r="Q99" i="9" s="1"/>
  <c r="L98" i="9"/>
  <c r="Q98" i="9" s="1"/>
  <c r="L97" i="9"/>
  <c r="Q97" i="9" s="1"/>
  <c r="L96" i="9"/>
  <c r="Q96" i="9" s="1"/>
  <c r="L95" i="9"/>
  <c r="Q95" i="9" s="1"/>
  <c r="L94" i="9"/>
  <c r="Q94" i="9" s="1"/>
  <c r="L93" i="9"/>
  <c r="Q93" i="9" s="1"/>
  <c r="L92" i="9"/>
  <c r="Q92" i="9" s="1"/>
  <c r="L91" i="9"/>
  <c r="Q91" i="9" s="1"/>
  <c r="L90" i="9"/>
  <c r="Q90" i="9" s="1"/>
  <c r="L89" i="9"/>
  <c r="Q89" i="9" s="1"/>
  <c r="L88" i="9"/>
  <c r="Q88" i="9" s="1"/>
  <c r="L87" i="9"/>
  <c r="Q87" i="9" s="1"/>
  <c r="L86" i="9"/>
  <c r="Q86" i="9" s="1"/>
  <c r="L85" i="9"/>
  <c r="Q85" i="9" s="1"/>
  <c r="L84" i="9"/>
  <c r="Q84" i="9" s="1"/>
  <c r="L83" i="9"/>
  <c r="Q83" i="9" s="1"/>
  <c r="L82" i="9"/>
  <c r="Q82" i="9" s="1"/>
  <c r="L81" i="9"/>
  <c r="Q81" i="9" s="1"/>
  <c r="L80" i="9"/>
  <c r="Q80" i="9" s="1"/>
  <c r="L79" i="9"/>
  <c r="Q79" i="9" s="1"/>
  <c r="L78" i="9"/>
  <c r="Q78" i="9" s="1"/>
  <c r="L77" i="9"/>
  <c r="Q77" i="9" s="1"/>
  <c r="L76" i="9"/>
  <c r="Q76" i="9" s="1"/>
  <c r="L75" i="9"/>
  <c r="Q75" i="9" s="1"/>
  <c r="L74" i="9"/>
  <c r="Q74" i="9" s="1"/>
  <c r="L73" i="9"/>
  <c r="Q73" i="9" s="1"/>
  <c r="L72" i="9"/>
  <c r="Q72" i="9" s="1"/>
  <c r="L71" i="9"/>
  <c r="Q71" i="9" s="1"/>
  <c r="L70" i="9"/>
  <c r="Q70" i="9" s="1"/>
  <c r="L69" i="9"/>
  <c r="Q69" i="9" s="1"/>
  <c r="L68" i="9"/>
  <c r="Q68" i="9" s="1"/>
  <c r="L67" i="9"/>
  <c r="Q67" i="9" s="1"/>
  <c r="L66" i="9"/>
  <c r="Q66" i="9" s="1"/>
  <c r="L65" i="9"/>
  <c r="Q65" i="9" s="1"/>
  <c r="L64" i="9"/>
  <c r="Q64" i="9" s="1"/>
  <c r="L63" i="9"/>
  <c r="Q63" i="9" s="1"/>
  <c r="Q62" i="9"/>
  <c r="L62" i="9"/>
  <c r="L61" i="9"/>
  <c r="Q61" i="9" s="1"/>
  <c r="L60" i="9"/>
  <c r="Q60" i="9" s="1"/>
  <c r="L59" i="9"/>
  <c r="Q59" i="9" s="1"/>
  <c r="L58" i="9"/>
  <c r="Q58" i="9" s="1"/>
  <c r="L57" i="9"/>
  <c r="Q57" i="9" s="1"/>
  <c r="L56" i="9"/>
  <c r="Q56" i="9" s="1"/>
  <c r="L55" i="9"/>
  <c r="Q55" i="9" s="1"/>
  <c r="L54" i="9"/>
  <c r="Q54" i="9" s="1"/>
  <c r="L53" i="9"/>
  <c r="Q53" i="9" s="1"/>
  <c r="L52" i="9"/>
  <c r="Q52" i="9" s="1"/>
  <c r="L51" i="9"/>
  <c r="Q51" i="9" s="1"/>
  <c r="Q50" i="9"/>
  <c r="L50" i="9"/>
  <c r="L49" i="9"/>
  <c r="Q49" i="9" s="1"/>
  <c r="L48" i="9"/>
  <c r="Q48" i="9" s="1"/>
  <c r="L47" i="9"/>
  <c r="Q47" i="9" s="1"/>
  <c r="L46" i="9"/>
  <c r="Q46" i="9" s="1"/>
  <c r="L45" i="9"/>
  <c r="Q45" i="9" s="1"/>
  <c r="L44" i="9"/>
  <c r="Q44" i="9" s="1"/>
  <c r="L43" i="9"/>
  <c r="Q43" i="9" s="1"/>
  <c r="L42" i="9"/>
  <c r="Q42" i="9" s="1"/>
  <c r="L41" i="9"/>
  <c r="Q41" i="9" s="1"/>
  <c r="L40" i="9"/>
  <c r="Q40" i="9" s="1"/>
  <c r="L39" i="9"/>
  <c r="Q39" i="9" s="1"/>
  <c r="L38" i="9"/>
  <c r="Q38" i="9" s="1"/>
  <c r="L37" i="9"/>
  <c r="Q37" i="9" s="1"/>
  <c r="L36" i="9"/>
  <c r="Q36" i="9" s="1"/>
  <c r="L35" i="9"/>
  <c r="Q35" i="9" s="1"/>
  <c r="Q34" i="9"/>
  <c r="L34" i="9"/>
  <c r="L33" i="9"/>
  <c r="Q33" i="9" s="1"/>
  <c r="L32" i="9"/>
  <c r="Q32" i="9" s="1"/>
  <c r="L31" i="9"/>
  <c r="Q31" i="9" s="1"/>
  <c r="L30" i="9"/>
  <c r="Q30" i="9" s="1"/>
  <c r="L29" i="9"/>
  <c r="Q29" i="9" s="1"/>
  <c r="L28" i="9"/>
  <c r="Q28" i="9" s="1"/>
  <c r="L27" i="9"/>
  <c r="Q27" i="9" s="1"/>
  <c r="L26" i="9"/>
  <c r="Q26" i="9" s="1"/>
  <c r="L25" i="9"/>
  <c r="Q25" i="9" s="1"/>
  <c r="L24" i="9"/>
  <c r="Q24" i="9" s="1"/>
  <c r="L23" i="9"/>
  <c r="Q23" i="9" s="1"/>
  <c r="Q22" i="9"/>
  <c r="L22" i="9"/>
  <c r="L21" i="9"/>
  <c r="Q21" i="9" s="1"/>
  <c r="Q20" i="9"/>
  <c r="L20" i="9"/>
  <c r="L19" i="9"/>
  <c r="Q19" i="9" s="1"/>
  <c r="Q18" i="9"/>
  <c r="L18" i="9"/>
  <c r="L17" i="9"/>
  <c r="Q17" i="9" s="1"/>
  <c r="L16" i="9"/>
  <c r="Q16" i="9" s="1"/>
  <c r="L15" i="9"/>
  <c r="Q15" i="9" s="1"/>
  <c r="L14" i="9"/>
  <c r="Q14" i="9" s="1"/>
  <c r="L13" i="9"/>
  <c r="Q13" i="9" s="1"/>
  <c r="L12" i="9"/>
  <c r="Q12" i="9" s="1"/>
  <c r="L11" i="9"/>
  <c r="Q11" i="9" s="1"/>
  <c r="L10" i="9"/>
  <c r="Q10" i="9" s="1"/>
  <c r="L9" i="9"/>
  <c r="Q9" i="9" s="1"/>
  <c r="L8" i="9"/>
  <c r="Q8" i="9" s="1"/>
  <c r="L7" i="9"/>
  <c r="Q7" i="9" s="1"/>
  <c r="L6" i="9"/>
  <c r="Q6" i="9" s="1"/>
  <c r="L432" i="8" l="1"/>
  <c r="L431" i="8"/>
  <c r="L430" i="8"/>
  <c r="L429" i="8"/>
  <c r="Q429" i="8" s="1"/>
  <c r="L428" i="8"/>
  <c r="Q428" i="8" s="1"/>
  <c r="L427" i="8"/>
  <c r="Q427" i="8" s="1"/>
  <c r="L426" i="8"/>
  <c r="Q426" i="8" s="1"/>
  <c r="L425" i="8"/>
  <c r="Q425" i="8" s="1"/>
  <c r="L424" i="8"/>
  <c r="Q424" i="8" s="1"/>
  <c r="L423" i="8"/>
  <c r="Q423" i="8" s="1"/>
  <c r="L422" i="8"/>
  <c r="Q422" i="8" s="1"/>
  <c r="L421" i="8"/>
  <c r="Q421" i="8" s="1"/>
  <c r="L420" i="8"/>
  <c r="Q420" i="8" s="1"/>
  <c r="L419" i="8"/>
  <c r="Q419" i="8" s="1"/>
  <c r="L418" i="8"/>
  <c r="Q418" i="8" s="1"/>
  <c r="L417" i="8"/>
  <c r="Q417" i="8" s="1"/>
  <c r="L416" i="8"/>
  <c r="Q416" i="8" s="1"/>
  <c r="L415" i="8"/>
  <c r="Q415" i="8" s="1"/>
  <c r="L414" i="8"/>
  <c r="Q414" i="8" s="1"/>
  <c r="L413" i="8"/>
  <c r="Q413" i="8" s="1"/>
  <c r="L412" i="8"/>
  <c r="Q412" i="8" s="1"/>
  <c r="L411" i="8"/>
  <c r="Q411" i="8" s="1"/>
  <c r="L410" i="8"/>
  <c r="Q410" i="8" s="1"/>
  <c r="L409" i="8"/>
  <c r="Q409" i="8" s="1"/>
  <c r="L408" i="8"/>
  <c r="Q408" i="8" s="1"/>
  <c r="L407" i="8"/>
  <c r="Q407" i="8" s="1"/>
  <c r="L406" i="8"/>
  <c r="Q406" i="8" s="1"/>
  <c r="L405" i="8"/>
  <c r="Q405" i="8" s="1"/>
  <c r="L404" i="8"/>
  <c r="Q404" i="8" s="1"/>
  <c r="L403" i="8"/>
  <c r="Q403" i="8" s="1"/>
  <c r="L402" i="8"/>
  <c r="Q402" i="8" s="1"/>
  <c r="L401" i="8"/>
  <c r="Q401" i="8" s="1"/>
  <c r="L400" i="8"/>
  <c r="Q400" i="8" s="1"/>
  <c r="L399" i="8"/>
  <c r="Q399" i="8" s="1"/>
  <c r="L398" i="8"/>
  <c r="Q398" i="8" s="1"/>
  <c r="L397" i="8"/>
  <c r="Q397" i="8" s="1"/>
  <c r="L396" i="8"/>
  <c r="Q396" i="8" s="1"/>
  <c r="L395" i="8"/>
  <c r="Q395" i="8" s="1"/>
  <c r="L394" i="8"/>
  <c r="Q394" i="8" s="1"/>
  <c r="L393" i="8"/>
  <c r="Q393" i="8" s="1"/>
  <c r="L392" i="8"/>
  <c r="Q392" i="8" s="1"/>
  <c r="L391" i="8"/>
  <c r="Q391" i="8" s="1"/>
  <c r="L390" i="8"/>
  <c r="Q390" i="8" s="1"/>
  <c r="L389" i="8"/>
  <c r="Q389" i="8" s="1"/>
  <c r="E389" i="8"/>
  <c r="L388" i="8"/>
  <c r="Q388" i="8" s="1"/>
  <c r="Q387" i="8"/>
  <c r="L387" i="8"/>
  <c r="L386" i="8"/>
  <c r="Q386" i="8" s="1"/>
  <c r="L385" i="8"/>
  <c r="Q385" i="8" s="1"/>
  <c r="L384" i="8"/>
  <c r="Q384" i="8" s="1"/>
  <c r="E384" i="8"/>
  <c r="L383" i="8"/>
  <c r="Q383" i="8" s="1"/>
  <c r="L382" i="8"/>
  <c r="Q382" i="8" s="1"/>
  <c r="L381" i="8"/>
  <c r="Q381" i="8" s="1"/>
  <c r="L380" i="8"/>
  <c r="Q380" i="8" s="1"/>
  <c r="L379" i="8"/>
  <c r="Q379" i="8" s="1"/>
  <c r="L378" i="8"/>
  <c r="Q378" i="8" s="1"/>
  <c r="L377" i="8"/>
  <c r="Q377" i="8" s="1"/>
  <c r="L376" i="8"/>
  <c r="Q376" i="8" s="1"/>
  <c r="L375" i="8"/>
  <c r="Q375" i="8" s="1"/>
  <c r="L374" i="8"/>
  <c r="Q374" i="8" s="1"/>
  <c r="L373" i="8"/>
  <c r="Q373" i="8" s="1"/>
  <c r="L372" i="8"/>
  <c r="Q372" i="8" s="1"/>
  <c r="L371" i="8"/>
  <c r="Q371" i="8" s="1"/>
  <c r="L370" i="8"/>
  <c r="Q370" i="8" s="1"/>
  <c r="L369" i="8"/>
  <c r="Q369" i="8" s="1"/>
  <c r="L368" i="8"/>
  <c r="Q368" i="8" s="1"/>
  <c r="L367" i="8"/>
  <c r="Q367" i="8" s="1"/>
  <c r="L366" i="8"/>
  <c r="Q366" i="8" s="1"/>
  <c r="L365" i="8"/>
  <c r="Q365" i="8" s="1"/>
  <c r="L364" i="8"/>
  <c r="Q364" i="8" s="1"/>
  <c r="L363" i="8"/>
  <c r="Q363" i="8" s="1"/>
  <c r="L362" i="8"/>
  <c r="Q362" i="8" s="1"/>
  <c r="E362" i="8"/>
  <c r="Q361" i="8"/>
  <c r="L361" i="8"/>
  <c r="L360" i="8"/>
  <c r="Q360" i="8" s="1"/>
  <c r="L359" i="8"/>
  <c r="Q359" i="8" s="1"/>
  <c r="L358" i="8"/>
  <c r="Q358" i="8" s="1"/>
  <c r="Q357" i="8"/>
  <c r="L357" i="8"/>
  <c r="L356" i="8"/>
  <c r="Q356" i="8" s="1"/>
  <c r="Q355" i="8"/>
  <c r="Q354" i="8"/>
  <c r="Q353" i="8"/>
  <c r="Q352" i="8"/>
  <c r="Q351" i="8"/>
  <c r="Q350" i="8"/>
  <c r="Q349" i="8"/>
  <c r="Q348" i="8"/>
  <c r="Q347" i="8"/>
  <c r="Q346" i="8"/>
  <c r="Q345" i="8"/>
  <c r="Q344" i="8"/>
  <c r="Q343" i="8"/>
  <c r="Q342" i="8"/>
  <c r="Q341" i="8"/>
  <c r="Q340" i="8"/>
  <c r="Q339" i="8"/>
  <c r="Q338" i="8"/>
  <c r="Q337" i="8"/>
  <c r="Q336" i="8"/>
  <c r="Q335" i="8"/>
  <c r="Q334" i="8"/>
  <c r="L333" i="8"/>
  <c r="Q333" i="8" s="1"/>
  <c r="L332" i="8"/>
  <c r="Q332" i="8" s="1"/>
  <c r="L331" i="8"/>
  <c r="Q331" i="8" s="1"/>
  <c r="Q330" i="8"/>
  <c r="L330" i="8"/>
  <c r="L329" i="8"/>
  <c r="Q329" i="8" s="1"/>
  <c r="L328" i="8"/>
  <c r="Q328" i="8" s="1"/>
  <c r="L327" i="8"/>
  <c r="Q327" i="8" s="1"/>
  <c r="Q326" i="8"/>
  <c r="L326" i="8"/>
  <c r="L325" i="8"/>
  <c r="Q325" i="8" s="1"/>
  <c r="L324" i="8"/>
  <c r="Q324" i="8" s="1"/>
  <c r="L323" i="8"/>
  <c r="Q323" i="8" s="1"/>
  <c r="Q322" i="8"/>
  <c r="L322" i="8"/>
  <c r="L321" i="8"/>
  <c r="Q321" i="8" s="1"/>
  <c r="L320" i="8"/>
  <c r="Q320" i="8" s="1"/>
  <c r="L319" i="8"/>
  <c r="Q319" i="8" s="1"/>
  <c r="Q318" i="8"/>
  <c r="L318" i="8"/>
  <c r="L317" i="8"/>
  <c r="Q317" i="8" s="1"/>
  <c r="L316" i="8"/>
  <c r="Q316" i="8" s="1"/>
  <c r="L315" i="8"/>
  <c r="Q315" i="8" s="1"/>
  <c r="Q314" i="8"/>
  <c r="L314" i="8"/>
  <c r="L313" i="8"/>
  <c r="Q313" i="8" s="1"/>
  <c r="L312" i="8"/>
  <c r="Q312" i="8" s="1"/>
  <c r="L311" i="8"/>
  <c r="Q311" i="8" s="1"/>
  <c r="Q310" i="8"/>
  <c r="L310" i="8"/>
  <c r="L309" i="8"/>
  <c r="Q309" i="8" s="1"/>
  <c r="L308" i="8"/>
  <c r="Q308" i="8" s="1"/>
  <c r="L307" i="8"/>
  <c r="Q307" i="8" s="1"/>
  <c r="Q306" i="8"/>
  <c r="L306" i="8"/>
  <c r="L305" i="8"/>
  <c r="Q305" i="8" s="1"/>
  <c r="L304" i="8"/>
  <c r="Q304" i="8" s="1"/>
  <c r="L303" i="8"/>
  <c r="Q303" i="8" s="1"/>
  <c r="Q302" i="8"/>
  <c r="L302" i="8"/>
  <c r="L301" i="8"/>
  <c r="Q301" i="8" s="1"/>
  <c r="L300" i="8"/>
  <c r="Q300" i="8" s="1"/>
  <c r="L299" i="8"/>
  <c r="Q299" i="8" s="1"/>
  <c r="Q298" i="8"/>
  <c r="L298" i="8"/>
  <c r="L297" i="8"/>
  <c r="Q297" i="8" s="1"/>
  <c r="L296" i="8"/>
  <c r="Q296" i="8" s="1"/>
  <c r="L295" i="8"/>
  <c r="Q295" i="8" s="1"/>
  <c r="L294" i="8"/>
  <c r="Q294" i="8" s="1"/>
  <c r="L293" i="8"/>
  <c r="Q293" i="8" s="1"/>
  <c r="L292" i="8"/>
  <c r="Q292" i="8" s="1"/>
  <c r="L291" i="8"/>
  <c r="Q291" i="8" s="1"/>
  <c r="L290" i="8"/>
  <c r="Q290" i="8" s="1"/>
  <c r="L289" i="8"/>
  <c r="Q289" i="8" s="1"/>
  <c r="L288" i="8"/>
  <c r="Q288" i="8" s="1"/>
  <c r="L287" i="8"/>
  <c r="Q287" i="8" s="1"/>
  <c r="Q286" i="8"/>
  <c r="L286" i="8"/>
  <c r="L285" i="8"/>
  <c r="Q285" i="8" s="1"/>
  <c r="L284" i="8"/>
  <c r="Q284" i="8" s="1"/>
  <c r="L283" i="8"/>
  <c r="Q283" i="8" s="1"/>
  <c r="L282" i="8"/>
  <c r="Q282" i="8" s="1"/>
  <c r="L281" i="8"/>
  <c r="Q281" i="8" s="1"/>
  <c r="L280" i="8"/>
  <c r="Q280" i="8" s="1"/>
  <c r="L279" i="8"/>
  <c r="Q279" i="8" s="1"/>
  <c r="Q278" i="8"/>
  <c r="L278" i="8"/>
  <c r="L277" i="8"/>
  <c r="Q277" i="8" s="1"/>
  <c r="L276" i="8"/>
  <c r="Q276" i="8" s="1"/>
  <c r="L275" i="8"/>
  <c r="Q275" i="8" s="1"/>
  <c r="Q274" i="8"/>
  <c r="L274" i="8"/>
  <c r="L273" i="8"/>
  <c r="Q273" i="8" s="1"/>
  <c r="L272" i="8"/>
  <c r="Q272" i="8" s="1"/>
  <c r="L271" i="8"/>
  <c r="Q271" i="8" s="1"/>
  <c r="L270" i="8"/>
  <c r="Q270" i="8" s="1"/>
  <c r="L269" i="8"/>
  <c r="Q269" i="8" s="1"/>
  <c r="L268" i="8"/>
  <c r="Q268" i="8" s="1"/>
  <c r="L267" i="8"/>
  <c r="Q267" i="8" s="1"/>
  <c r="L266" i="8"/>
  <c r="Q266" i="8" s="1"/>
  <c r="L265" i="8"/>
  <c r="Q265" i="8" s="1"/>
  <c r="L264" i="8"/>
  <c r="Q264" i="8" s="1"/>
  <c r="L263" i="8"/>
  <c r="Q263" i="8" s="1"/>
  <c r="L262" i="8"/>
  <c r="Q262" i="8" s="1"/>
  <c r="L261" i="8"/>
  <c r="Q261" i="8" s="1"/>
  <c r="L260" i="8"/>
  <c r="Q260" i="8" s="1"/>
  <c r="L259" i="8"/>
  <c r="Q259" i="8" s="1"/>
  <c r="L258" i="8"/>
  <c r="Q258" i="8" s="1"/>
  <c r="L257" i="8"/>
  <c r="Q257" i="8" s="1"/>
  <c r="L256" i="8"/>
  <c r="Q256" i="8" s="1"/>
  <c r="L255" i="8"/>
  <c r="Q255" i="8" s="1"/>
  <c r="Q254" i="8"/>
  <c r="L254" i="8"/>
  <c r="L253" i="8"/>
  <c r="Q253" i="8" s="1"/>
  <c r="L252" i="8"/>
  <c r="Q252" i="8" s="1"/>
  <c r="L251" i="8"/>
  <c r="Q251" i="8" s="1"/>
  <c r="L250" i="8"/>
  <c r="Q250" i="8" s="1"/>
  <c r="L249" i="8"/>
  <c r="Q249" i="8" s="1"/>
  <c r="L248" i="8"/>
  <c r="Q248" i="8" s="1"/>
  <c r="L247" i="8"/>
  <c r="Q247" i="8" s="1"/>
  <c r="Q246" i="8"/>
  <c r="L246" i="8"/>
  <c r="L245" i="8"/>
  <c r="Q245" i="8" s="1"/>
  <c r="L244" i="8"/>
  <c r="Q244" i="8" s="1"/>
  <c r="L243" i="8"/>
  <c r="Q243" i="8" s="1"/>
  <c r="Q242" i="8"/>
  <c r="L242" i="8"/>
  <c r="L241" i="8"/>
  <c r="Q241" i="8" s="1"/>
  <c r="L240" i="8"/>
  <c r="Q240" i="8" s="1"/>
  <c r="L239" i="8"/>
  <c r="Q239" i="8" s="1"/>
  <c r="L238" i="8"/>
  <c r="Q238" i="8" s="1"/>
  <c r="L237" i="8"/>
  <c r="Q237" i="8" s="1"/>
  <c r="L236" i="8"/>
  <c r="Q236" i="8" s="1"/>
  <c r="L235" i="8"/>
  <c r="Q235" i="8" s="1"/>
  <c r="L234" i="8"/>
  <c r="Q234" i="8" s="1"/>
  <c r="L233" i="8"/>
  <c r="Q233" i="8" s="1"/>
  <c r="L232" i="8"/>
  <c r="Q232" i="8" s="1"/>
  <c r="L231" i="8"/>
  <c r="Q231" i="8" s="1"/>
  <c r="L230" i="8"/>
  <c r="Q230" i="8" s="1"/>
  <c r="L229" i="8"/>
  <c r="Q229" i="8" s="1"/>
  <c r="L228" i="8"/>
  <c r="Q228" i="8" s="1"/>
  <c r="L227" i="8"/>
  <c r="Q227" i="8" s="1"/>
  <c r="L226" i="8"/>
  <c r="Q226" i="8" s="1"/>
  <c r="L225" i="8"/>
  <c r="Q225" i="8" s="1"/>
  <c r="L224" i="8"/>
  <c r="Q224" i="8" s="1"/>
  <c r="L223" i="8"/>
  <c r="Q223" i="8" s="1"/>
  <c r="Q222" i="8"/>
  <c r="L222" i="8"/>
  <c r="L221" i="8"/>
  <c r="Q221" i="8" s="1"/>
  <c r="L220" i="8"/>
  <c r="Q220" i="8" s="1"/>
  <c r="L219" i="8"/>
  <c r="Q219" i="8" s="1"/>
  <c r="L218" i="8"/>
  <c r="Q218" i="8" s="1"/>
  <c r="L217" i="8"/>
  <c r="Q217" i="8" s="1"/>
  <c r="L216" i="8"/>
  <c r="Q216" i="8" s="1"/>
  <c r="L215" i="8"/>
  <c r="Q215" i="8" s="1"/>
  <c r="Q214" i="8"/>
  <c r="L214" i="8"/>
  <c r="L213" i="8"/>
  <c r="Q213" i="8" s="1"/>
  <c r="L212" i="8"/>
  <c r="Q212" i="8" s="1"/>
  <c r="L211" i="8"/>
  <c r="Q211" i="8" s="1"/>
  <c r="Q210" i="8"/>
  <c r="L210" i="8"/>
  <c r="L209" i="8"/>
  <c r="Q209" i="8" s="1"/>
  <c r="L208" i="8"/>
  <c r="Q208" i="8" s="1"/>
  <c r="L207" i="8"/>
  <c r="Q207" i="8" s="1"/>
  <c r="L206" i="8"/>
  <c r="Q206" i="8" s="1"/>
  <c r="L205" i="8"/>
  <c r="Q205" i="8" s="1"/>
  <c r="L204" i="8"/>
  <c r="Q204" i="8" s="1"/>
  <c r="L203" i="8"/>
  <c r="Q203" i="8" s="1"/>
  <c r="L202" i="8"/>
  <c r="Q202" i="8" s="1"/>
  <c r="L201" i="8"/>
  <c r="Q201" i="8" s="1"/>
  <c r="L200" i="8"/>
  <c r="Q200" i="8" s="1"/>
  <c r="L199" i="8"/>
  <c r="Q199" i="8" s="1"/>
  <c r="L198" i="8"/>
  <c r="Q198" i="8" s="1"/>
  <c r="L197" i="8"/>
  <c r="Q197" i="8" s="1"/>
  <c r="L196" i="8"/>
  <c r="Q196" i="8" s="1"/>
  <c r="L195" i="8"/>
  <c r="Q195" i="8" s="1"/>
  <c r="L194" i="8"/>
  <c r="Q194" i="8" s="1"/>
  <c r="L193" i="8"/>
  <c r="Q193" i="8" s="1"/>
  <c r="L192" i="8"/>
  <c r="Q192" i="8" s="1"/>
  <c r="L191" i="8"/>
  <c r="Q191" i="8" s="1"/>
  <c r="Q190" i="8"/>
  <c r="L190" i="8"/>
  <c r="L189" i="8"/>
  <c r="Q189" i="8" s="1"/>
  <c r="L188" i="8"/>
  <c r="Q188" i="8" s="1"/>
  <c r="L187" i="8"/>
  <c r="Q187" i="8" s="1"/>
  <c r="L186" i="8"/>
  <c r="Q186" i="8" s="1"/>
  <c r="L185" i="8"/>
  <c r="Q185" i="8" s="1"/>
  <c r="L184" i="8"/>
  <c r="Q184" i="8" s="1"/>
  <c r="L183" i="8"/>
  <c r="Q183" i="8" s="1"/>
  <c r="Q182" i="8"/>
  <c r="L182" i="8"/>
  <c r="L181" i="8"/>
  <c r="Q181" i="8" s="1"/>
  <c r="L180" i="8"/>
  <c r="Q180" i="8" s="1"/>
  <c r="L179" i="8"/>
  <c r="Q179" i="8" s="1"/>
  <c r="Q178" i="8"/>
  <c r="L178" i="8"/>
  <c r="L177" i="8"/>
  <c r="Q177" i="8" s="1"/>
  <c r="L176" i="8"/>
  <c r="Q176" i="8" s="1"/>
  <c r="L175" i="8"/>
  <c r="Q175" i="8" s="1"/>
  <c r="L174" i="8"/>
  <c r="Q174" i="8" s="1"/>
  <c r="L173" i="8"/>
  <c r="Q173" i="8" s="1"/>
  <c r="L172" i="8"/>
  <c r="Q172" i="8" s="1"/>
  <c r="L171" i="8"/>
  <c r="Q171" i="8" s="1"/>
  <c r="L170" i="8"/>
  <c r="Q170" i="8" s="1"/>
  <c r="L169" i="8"/>
  <c r="Q169" i="8" s="1"/>
  <c r="L168" i="8"/>
  <c r="Q168" i="8" s="1"/>
  <c r="L167" i="8"/>
  <c r="Q167" i="8" s="1"/>
  <c r="L166" i="8"/>
  <c r="Q166" i="8" s="1"/>
  <c r="L165" i="8"/>
  <c r="Q165" i="8" s="1"/>
  <c r="L164" i="8"/>
  <c r="Q164" i="8" s="1"/>
  <c r="L163" i="8"/>
  <c r="Q163" i="8" s="1"/>
  <c r="L162" i="8"/>
  <c r="Q162" i="8" s="1"/>
  <c r="L161" i="8"/>
  <c r="Q161" i="8" s="1"/>
  <c r="L160" i="8"/>
  <c r="Q160" i="8" s="1"/>
  <c r="L159" i="8"/>
  <c r="Q159" i="8" s="1"/>
  <c r="Q158" i="8"/>
  <c r="L158" i="8"/>
  <c r="L157" i="8"/>
  <c r="Q157" i="8" s="1"/>
  <c r="L156" i="8"/>
  <c r="Q156" i="8" s="1"/>
  <c r="L155" i="8"/>
  <c r="Q155" i="8" s="1"/>
  <c r="L154" i="8"/>
  <c r="Q154" i="8" s="1"/>
  <c r="L153" i="8"/>
  <c r="Q153" i="8" s="1"/>
  <c r="L152" i="8"/>
  <c r="Q152" i="8" s="1"/>
  <c r="L151" i="8"/>
  <c r="Q151" i="8" s="1"/>
  <c r="Q150" i="8"/>
  <c r="L150" i="8"/>
  <c r="L149" i="8"/>
  <c r="Q149" i="8" s="1"/>
  <c r="L148" i="8"/>
  <c r="Q148" i="8" s="1"/>
  <c r="L147" i="8"/>
  <c r="Q147" i="8" s="1"/>
  <c r="Q146" i="8"/>
  <c r="L146" i="8"/>
  <c r="L145" i="8"/>
  <c r="Q145" i="8" s="1"/>
  <c r="L144" i="8"/>
  <c r="Q144" i="8" s="1"/>
  <c r="L143" i="8"/>
  <c r="Q143" i="8" s="1"/>
  <c r="L142" i="8"/>
  <c r="Q142" i="8" s="1"/>
  <c r="L141" i="8"/>
  <c r="Q141" i="8" s="1"/>
  <c r="L140" i="8"/>
  <c r="Q140" i="8" s="1"/>
  <c r="L139" i="8"/>
  <c r="Q139" i="8" s="1"/>
  <c r="L138" i="8"/>
  <c r="Q138" i="8" s="1"/>
  <c r="L137" i="8"/>
  <c r="Q137" i="8" s="1"/>
  <c r="L136" i="8"/>
  <c r="Q136" i="8" s="1"/>
  <c r="L135" i="8"/>
  <c r="Q135" i="8" s="1"/>
  <c r="L134" i="8"/>
  <c r="Q134" i="8" s="1"/>
  <c r="L133" i="8"/>
  <c r="Q133" i="8" s="1"/>
  <c r="L132" i="8"/>
  <c r="Q132" i="8" s="1"/>
  <c r="L131" i="8"/>
  <c r="Q131" i="8" s="1"/>
  <c r="L130" i="8"/>
  <c r="Q130" i="8" s="1"/>
  <c r="L129" i="8"/>
  <c r="Q129" i="8" s="1"/>
  <c r="L128" i="8"/>
  <c r="Q128" i="8" s="1"/>
  <c r="L127" i="8"/>
  <c r="Q127" i="8" s="1"/>
  <c r="Q126" i="8"/>
  <c r="L126" i="8"/>
  <c r="L125" i="8"/>
  <c r="Q125" i="8" s="1"/>
  <c r="L124" i="8"/>
  <c r="Q124" i="8" s="1"/>
  <c r="L123" i="8"/>
  <c r="Q123" i="8" s="1"/>
  <c r="L122" i="8"/>
  <c r="Q122" i="8" s="1"/>
  <c r="L121" i="8"/>
  <c r="Q121" i="8" s="1"/>
  <c r="L120" i="8"/>
  <c r="Q120" i="8" s="1"/>
  <c r="L119" i="8"/>
  <c r="Q119" i="8" s="1"/>
  <c r="Q118" i="8"/>
  <c r="L118" i="8"/>
  <c r="L117" i="8"/>
  <c r="Q117" i="8" s="1"/>
  <c r="L116" i="8"/>
  <c r="Q116" i="8" s="1"/>
  <c r="L115" i="8"/>
  <c r="Q115" i="8" s="1"/>
  <c r="Q114" i="8"/>
  <c r="L114" i="8"/>
  <c r="L113" i="8"/>
  <c r="Q113" i="8" s="1"/>
  <c r="L112" i="8"/>
  <c r="Q112" i="8" s="1"/>
  <c r="L111" i="8"/>
  <c r="Q111" i="8" s="1"/>
  <c r="L110" i="8"/>
  <c r="Q110" i="8" s="1"/>
  <c r="L109" i="8"/>
  <c r="Q109" i="8" s="1"/>
  <c r="L108" i="8"/>
  <c r="Q108" i="8" s="1"/>
  <c r="L107" i="8"/>
  <c r="Q107" i="8" s="1"/>
  <c r="L106" i="8"/>
  <c r="Q106" i="8" s="1"/>
  <c r="L105" i="8"/>
  <c r="Q105" i="8" s="1"/>
  <c r="L104" i="8"/>
  <c r="Q104" i="8" s="1"/>
  <c r="L103" i="8"/>
  <c r="Q103" i="8" s="1"/>
  <c r="L102" i="8"/>
  <c r="Q102" i="8" s="1"/>
  <c r="L101" i="8"/>
  <c r="Q101" i="8" s="1"/>
  <c r="L100" i="8"/>
  <c r="Q100" i="8" s="1"/>
  <c r="L99" i="8"/>
  <c r="Q99" i="8" s="1"/>
  <c r="L98" i="8"/>
  <c r="Q98" i="8" s="1"/>
  <c r="L97" i="8"/>
  <c r="Q97" i="8" s="1"/>
  <c r="L96" i="8"/>
  <c r="Q96" i="8" s="1"/>
  <c r="L95" i="8"/>
  <c r="Q95" i="8" s="1"/>
  <c r="Q94" i="8"/>
  <c r="L94" i="8"/>
  <c r="L93" i="8"/>
  <c r="Q93" i="8" s="1"/>
  <c r="L92" i="8"/>
  <c r="Q92" i="8" s="1"/>
  <c r="L91" i="8"/>
  <c r="Q91" i="8" s="1"/>
  <c r="L90" i="8"/>
  <c r="Q90" i="8" s="1"/>
  <c r="L89" i="8"/>
  <c r="Q89" i="8" s="1"/>
  <c r="L88" i="8"/>
  <c r="Q88" i="8" s="1"/>
  <c r="L87" i="8"/>
  <c r="Q87" i="8" s="1"/>
  <c r="Q86" i="8"/>
  <c r="L86" i="8"/>
  <c r="L85" i="8"/>
  <c r="Q85" i="8" s="1"/>
  <c r="L84" i="8"/>
  <c r="Q84" i="8" s="1"/>
  <c r="L83" i="8"/>
  <c r="Q83" i="8" s="1"/>
  <c r="Q82" i="8"/>
  <c r="L82" i="8"/>
  <c r="L81" i="8"/>
  <c r="Q81" i="8" s="1"/>
  <c r="L80" i="8"/>
  <c r="Q80" i="8" s="1"/>
  <c r="L79" i="8"/>
  <c r="Q79" i="8" s="1"/>
  <c r="L78" i="8"/>
  <c r="Q78" i="8" s="1"/>
  <c r="L77" i="8"/>
  <c r="Q77" i="8" s="1"/>
  <c r="L76" i="8"/>
  <c r="Q76" i="8" s="1"/>
  <c r="L75" i="8"/>
  <c r="Q75" i="8" s="1"/>
  <c r="L74" i="8"/>
  <c r="Q74" i="8" s="1"/>
  <c r="L73" i="8"/>
  <c r="Q73" i="8" s="1"/>
  <c r="L72" i="8"/>
  <c r="Q72" i="8" s="1"/>
  <c r="L71" i="8"/>
  <c r="Q71" i="8" s="1"/>
  <c r="L70" i="8"/>
  <c r="Q70" i="8" s="1"/>
  <c r="L69" i="8"/>
  <c r="Q69" i="8" s="1"/>
  <c r="L68" i="8"/>
  <c r="Q68" i="8" s="1"/>
  <c r="L67" i="8"/>
  <c r="Q67" i="8" s="1"/>
  <c r="L66" i="8"/>
  <c r="Q66" i="8" s="1"/>
  <c r="L65" i="8"/>
  <c r="Q65" i="8" s="1"/>
  <c r="L64" i="8"/>
  <c r="Q64" i="8" s="1"/>
  <c r="L63" i="8"/>
  <c r="Q63" i="8" s="1"/>
  <c r="Q62" i="8"/>
  <c r="L62" i="8"/>
  <c r="L61" i="8"/>
  <c r="Q61" i="8" s="1"/>
  <c r="L60" i="8"/>
  <c r="Q60" i="8" s="1"/>
  <c r="L59" i="8"/>
  <c r="Q59" i="8" s="1"/>
  <c r="L58" i="8"/>
  <c r="Q58" i="8" s="1"/>
  <c r="L57" i="8"/>
  <c r="Q57" i="8" s="1"/>
  <c r="L56" i="8"/>
  <c r="Q56" i="8" s="1"/>
  <c r="L55" i="8"/>
  <c r="Q55" i="8" s="1"/>
  <c r="Q54" i="8"/>
  <c r="L54" i="8"/>
  <c r="L53" i="8"/>
  <c r="Q53" i="8" s="1"/>
  <c r="L52" i="8"/>
  <c r="Q52" i="8" s="1"/>
  <c r="L51" i="8"/>
  <c r="Q51" i="8" s="1"/>
  <c r="Q50" i="8"/>
  <c r="L50" i="8"/>
  <c r="L49" i="8"/>
  <c r="Q49" i="8" s="1"/>
  <c r="L48" i="8"/>
  <c r="Q48" i="8" s="1"/>
  <c r="L47" i="8"/>
  <c r="Q47" i="8" s="1"/>
  <c r="L46" i="8"/>
  <c r="Q46" i="8" s="1"/>
  <c r="L45" i="8"/>
  <c r="Q45" i="8" s="1"/>
  <c r="L44" i="8"/>
  <c r="Q44" i="8" s="1"/>
  <c r="L43" i="8"/>
  <c r="Q43" i="8" s="1"/>
  <c r="L42" i="8"/>
  <c r="Q42" i="8" s="1"/>
  <c r="L41" i="8"/>
  <c r="Q41" i="8" s="1"/>
  <c r="L40" i="8"/>
  <c r="Q40" i="8" s="1"/>
  <c r="L39" i="8"/>
  <c r="Q39" i="8" s="1"/>
  <c r="L38" i="8"/>
  <c r="Q38" i="8" s="1"/>
  <c r="L37" i="8"/>
  <c r="Q37" i="8" s="1"/>
  <c r="L36" i="8"/>
  <c r="Q36" i="8" s="1"/>
  <c r="L35" i="8"/>
  <c r="Q35" i="8" s="1"/>
  <c r="L34" i="8"/>
  <c r="Q34" i="8" s="1"/>
  <c r="L33" i="8"/>
  <c r="Q33" i="8" s="1"/>
  <c r="L32" i="8"/>
  <c r="Q32" i="8" s="1"/>
  <c r="L31" i="8"/>
  <c r="Q31" i="8" s="1"/>
  <c r="L30" i="8"/>
  <c r="Q30" i="8" s="1"/>
  <c r="L29" i="8"/>
  <c r="Q29" i="8" s="1"/>
  <c r="L28" i="8"/>
  <c r="Q28" i="8" s="1"/>
  <c r="L27" i="8"/>
  <c r="Q27" i="8" s="1"/>
  <c r="L26" i="8"/>
  <c r="Q26" i="8" s="1"/>
  <c r="L25" i="8"/>
  <c r="Q25" i="8" s="1"/>
  <c r="L24" i="8"/>
  <c r="Q24" i="8" s="1"/>
  <c r="L23" i="8"/>
  <c r="Q23" i="8" s="1"/>
  <c r="L22" i="8"/>
  <c r="Q22" i="8" s="1"/>
  <c r="L21" i="8"/>
  <c r="Q21" i="8" s="1"/>
  <c r="L20" i="8"/>
  <c r="Q20" i="8" s="1"/>
  <c r="L19" i="8"/>
  <c r="Q19" i="8" s="1"/>
  <c r="L18" i="8"/>
  <c r="Q18" i="8" s="1"/>
  <c r="L17" i="8"/>
  <c r="Q17" i="8" s="1"/>
  <c r="L16" i="8"/>
  <c r="Q16" i="8" s="1"/>
  <c r="L15" i="8"/>
  <c r="Q15" i="8" s="1"/>
  <c r="L14" i="8"/>
  <c r="Q14" i="8" s="1"/>
  <c r="L13" i="8"/>
  <c r="Q13" i="8" s="1"/>
  <c r="L12" i="8"/>
  <c r="Q12" i="8" s="1"/>
  <c r="L11" i="8"/>
  <c r="Q11" i="8" s="1"/>
  <c r="L10" i="8"/>
  <c r="Q10" i="8" s="1"/>
  <c r="L9" i="8"/>
  <c r="Q9" i="8" s="1"/>
  <c r="L8" i="8"/>
  <c r="Q8" i="8" s="1"/>
  <c r="L7" i="8"/>
  <c r="Q7" i="8" s="1"/>
  <c r="L6" i="8"/>
  <c r="Q6" i="8" s="1"/>
  <c r="Q429" i="7" l="1"/>
  <c r="Q428" i="7"/>
  <c r="Q427" i="7"/>
  <c r="Q426" i="7"/>
  <c r="Q425" i="7"/>
  <c r="Q424" i="7"/>
  <c r="Q423" i="7"/>
  <c r="Q422" i="7"/>
  <c r="Q421" i="7"/>
  <c r="Q420" i="7"/>
  <c r="Q419" i="7"/>
  <c r="Q418" i="7"/>
  <c r="Q417" i="7"/>
  <c r="Q416" i="7"/>
  <c r="Q415" i="7"/>
  <c r="Q414" i="7"/>
  <c r="Q413" i="7"/>
  <c r="Q412" i="7"/>
  <c r="Q411" i="7"/>
  <c r="Q410" i="7"/>
  <c r="Q409" i="7"/>
  <c r="Q408" i="7"/>
  <c r="Q407" i="7"/>
  <c r="Q406" i="7"/>
  <c r="Q405" i="7"/>
  <c r="Q404" i="7"/>
  <c r="Q403" i="7"/>
  <c r="Q402" i="7"/>
  <c r="Q401" i="7"/>
  <c r="Q400" i="7"/>
  <c r="Q399" i="7"/>
  <c r="Q398" i="7"/>
  <c r="Q397" i="7"/>
  <c r="L396" i="7"/>
  <c r="Q396" i="7" s="1"/>
  <c r="L395" i="7"/>
  <c r="Q395" i="7" s="1"/>
  <c r="L394" i="7"/>
  <c r="Q394" i="7" s="1"/>
  <c r="L393" i="7"/>
  <c r="Q393" i="7" s="1"/>
  <c r="L392" i="7"/>
  <c r="Q392" i="7" s="1"/>
  <c r="L391" i="7"/>
  <c r="Q391" i="7" s="1"/>
  <c r="L390" i="7"/>
  <c r="Q390" i="7" s="1"/>
  <c r="Q389" i="7"/>
  <c r="L389" i="7"/>
  <c r="L388" i="7"/>
  <c r="Q388" i="7" s="1"/>
  <c r="L387" i="7"/>
  <c r="Q387" i="7" s="1"/>
  <c r="L386" i="7"/>
  <c r="Q386" i="7" s="1"/>
  <c r="Q385" i="7"/>
  <c r="L385" i="7"/>
  <c r="L384" i="7"/>
  <c r="Q384" i="7" s="1"/>
  <c r="L383" i="7"/>
  <c r="Q383" i="7" s="1"/>
  <c r="E383" i="7"/>
  <c r="L382" i="7"/>
  <c r="Q382" i="7" s="1"/>
  <c r="L381" i="7"/>
  <c r="Q381" i="7" s="1"/>
  <c r="Q380" i="7"/>
  <c r="L380" i="7"/>
  <c r="L379" i="7"/>
  <c r="Q379" i="7" s="1"/>
  <c r="L378" i="7"/>
  <c r="Q378" i="7" s="1"/>
  <c r="L377" i="7"/>
  <c r="Q377" i="7" s="1"/>
  <c r="L376" i="7"/>
  <c r="Q376" i="7" s="1"/>
  <c r="L375" i="7"/>
  <c r="Q375" i="7" s="1"/>
  <c r="L374" i="7"/>
  <c r="Q374" i="7" s="1"/>
  <c r="L373" i="7"/>
  <c r="Q373" i="7" s="1"/>
  <c r="L372" i="7"/>
  <c r="Q372" i="7" s="1"/>
  <c r="Q371" i="7"/>
  <c r="L371" i="7"/>
  <c r="L370" i="7"/>
  <c r="Q370" i="7" s="1"/>
  <c r="Q369" i="7"/>
  <c r="L369" i="7"/>
  <c r="L368" i="7"/>
  <c r="Q368" i="7" s="1"/>
  <c r="L367" i="7"/>
  <c r="Q367" i="7" s="1"/>
  <c r="L366" i="7"/>
  <c r="Q366" i="7" s="1"/>
  <c r="L365" i="7"/>
  <c r="Q365" i="7" s="1"/>
  <c r="L364" i="7"/>
  <c r="Q364" i="7" s="1"/>
  <c r="L363" i="7"/>
  <c r="Q363" i="7" s="1"/>
  <c r="L362" i="7"/>
  <c r="Q362" i="7" s="1"/>
  <c r="L361" i="7"/>
  <c r="Q361" i="7" s="1"/>
  <c r="Q360" i="7"/>
  <c r="L360" i="7"/>
  <c r="L359" i="7"/>
  <c r="Q359" i="7" s="1"/>
  <c r="L358" i="7"/>
  <c r="Q358" i="7" s="1"/>
  <c r="E358" i="7"/>
  <c r="L357" i="7"/>
  <c r="Q357" i="7" s="1"/>
  <c r="L356" i="7"/>
  <c r="Q356" i="7" s="1"/>
  <c r="L355" i="7"/>
  <c r="Q355" i="7" s="1"/>
  <c r="L354" i="7"/>
  <c r="Q354" i="7" s="1"/>
  <c r="L353" i="7"/>
  <c r="Q353" i="7" s="1"/>
  <c r="L352" i="7"/>
  <c r="Q352" i="7" s="1"/>
  <c r="L351" i="7"/>
  <c r="Q351" i="7" s="1"/>
  <c r="L350" i="7"/>
  <c r="Q350" i="7" s="1"/>
  <c r="L349" i="7"/>
  <c r="Q349" i="7" s="1"/>
  <c r="L348" i="7"/>
  <c r="Q348" i="7" s="1"/>
  <c r="L347" i="7"/>
  <c r="Q347" i="7" s="1"/>
  <c r="L346" i="7"/>
  <c r="Q346" i="7" s="1"/>
  <c r="L345" i="7"/>
  <c r="Q345" i="7" s="1"/>
  <c r="L344" i="7"/>
  <c r="Q344" i="7" s="1"/>
  <c r="L343" i="7"/>
  <c r="Q343" i="7" s="1"/>
  <c r="Q342" i="7"/>
  <c r="L342" i="7"/>
  <c r="L341" i="7"/>
  <c r="Q341" i="7" s="1"/>
  <c r="L340" i="7"/>
  <c r="Q340" i="7" s="1"/>
  <c r="L339" i="7"/>
  <c r="Q339" i="7" s="1"/>
  <c r="Q338" i="7"/>
  <c r="L338" i="7"/>
  <c r="L337" i="7"/>
  <c r="Q337" i="7" s="1"/>
  <c r="L336" i="7"/>
  <c r="Q336" i="7" s="1"/>
  <c r="L335" i="7"/>
  <c r="Q335" i="7" s="1"/>
  <c r="L334" i="7"/>
  <c r="Q334" i="7" s="1"/>
  <c r="L333" i="7"/>
  <c r="Q333" i="7" s="1"/>
  <c r="L332" i="7"/>
  <c r="Q332" i="7" s="1"/>
  <c r="L331" i="7"/>
  <c r="Q331" i="7" s="1"/>
  <c r="L330" i="7"/>
  <c r="Q330" i="7" s="1"/>
  <c r="L329" i="7"/>
  <c r="Q329" i="7" s="1"/>
  <c r="L328" i="7"/>
  <c r="Q328" i="7" s="1"/>
  <c r="L327" i="7"/>
  <c r="Q327" i="7" s="1"/>
  <c r="L326" i="7"/>
  <c r="Q326" i="7" s="1"/>
  <c r="L325" i="7"/>
  <c r="Q325" i="7" s="1"/>
  <c r="L324" i="7"/>
  <c r="Q324" i="7" s="1"/>
  <c r="L323" i="7"/>
  <c r="Q323" i="7" s="1"/>
  <c r="L322" i="7"/>
  <c r="Q322" i="7" s="1"/>
  <c r="L321" i="7"/>
  <c r="Q321" i="7" s="1"/>
  <c r="L320" i="7"/>
  <c r="Q320" i="7" s="1"/>
  <c r="L319" i="7"/>
  <c r="Q319" i="7" s="1"/>
  <c r="L318" i="7"/>
  <c r="Q318" i="7" s="1"/>
  <c r="L317" i="7"/>
  <c r="Q317" i="7" s="1"/>
  <c r="L316" i="7"/>
  <c r="Q316" i="7" s="1"/>
  <c r="L315" i="7"/>
  <c r="Q315" i="7" s="1"/>
  <c r="L314" i="7"/>
  <c r="Q314" i="7" s="1"/>
  <c r="L313" i="7"/>
  <c r="Q313" i="7" s="1"/>
  <c r="L312" i="7"/>
  <c r="Q312" i="7" s="1"/>
  <c r="L311" i="7"/>
  <c r="Q311" i="7" s="1"/>
  <c r="Q310" i="7"/>
  <c r="L310" i="7"/>
  <c r="L309" i="7"/>
  <c r="Q309" i="7" s="1"/>
  <c r="L308" i="7"/>
  <c r="Q308" i="7" s="1"/>
  <c r="L307" i="7"/>
  <c r="Q307" i="7" s="1"/>
  <c r="Q306" i="7"/>
  <c r="L306" i="7"/>
  <c r="L305" i="7"/>
  <c r="Q305" i="7" s="1"/>
  <c r="L304" i="7"/>
  <c r="Q304" i="7" s="1"/>
  <c r="L303" i="7"/>
  <c r="Q303" i="7" s="1"/>
  <c r="L302" i="7"/>
  <c r="Q302" i="7" s="1"/>
  <c r="L301" i="7"/>
  <c r="Q301" i="7" s="1"/>
  <c r="L300" i="7"/>
  <c r="Q300" i="7" s="1"/>
  <c r="L299" i="7"/>
  <c r="Q299" i="7" s="1"/>
  <c r="L298" i="7"/>
  <c r="Q298" i="7" s="1"/>
  <c r="L297" i="7"/>
  <c r="Q297" i="7" s="1"/>
  <c r="L296" i="7"/>
  <c r="Q296" i="7" s="1"/>
  <c r="L295" i="7"/>
  <c r="Q295" i="7" s="1"/>
  <c r="L294" i="7"/>
  <c r="Q294" i="7" s="1"/>
  <c r="L293" i="7"/>
  <c r="Q293" i="7" s="1"/>
  <c r="L292" i="7"/>
  <c r="Q292" i="7" s="1"/>
  <c r="L291" i="7"/>
  <c r="Q291" i="7" s="1"/>
  <c r="L290" i="7"/>
  <c r="Q290" i="7" s="1"/>
  <c r="L289" i="7"/>
  <c r="Q289" i="7" s="1"/>
  <c r="L288" i="7"/>
  <c r="Q288" i="7" s="1"/>
  <c r="L287" i="7"/>
  <c r="Q287" i="7" s="1"/>
  <c r="Q286" i="7"/>
  <c r="L286" i="7"/>
  <c r="L285" i="7"/>
  <c r="Q285" i="7" s="1"/>
  <c r="L284" i="7"/>
  <c r="Q284" i="7" s="1"/>
  <c r="L283" i="7"/>
  <c r="Q283" i="7" s="1"/>
  <c r="L282" i="7"/>
  <c r="Q282" i="7" s="1"/>
  <c r="L281" i="7"/>
  <c r="Q281" i="7" s="1"/>
  <c r="L280" i="7"/>
  <c r="Q280" i="7" s="1"/>
  <c r="L279" i="7"/>
  <c r="Q279" i="7" s="1"/>
  <c r="L278" i="7"/>
  <c r="Q278" i="7" s="1"/>
  <c r="L277" i="7"/>
  <c r="Q277" i="7" s="1"/>
  <c r="L276" i="7"/>
  <c r="Q276" i="7" s="1"/>
  <c r="L275" i="7"/>
  <c r="Q275" i="7" s="1"/>
  <c r="L274" i="7"/>
  <c r="Q274" i="7" s="1"/>
  <c r="L273" i="7"/>
  <c r="Q273" i="7" s="1"/>
  <c r="L272" i="7"/>
  <c r="Q272" i="7" s="1"/>
  <c r="L271" i="7"/>
  <c r="Q271" i="7" s="1"/>
  <c r="L270" i="7"/>
  <c r="Q270" i="7" s="1"/>
  <c r="L269" i="7"/>
  <c r="Q269" i="7" s="1"/>
  <c r="L268" i="7"/>
  <c r="Q268" i="7" s="1"/>
  <c r="L267" i="7"/>
  <c r="Q267" i="7" s="1"/>
  <c r="L266" i="7"/>
  <c r="Q266" i="7" s="1"/>
  <c r="L265" i="7"/>
  <c r="Q265" i="7" s="1"/>
  <c r="L264" i="7"/>
  <c r="Q264" i="7" s="1"/>
  <c r="L263" i="7"/>
  <c r="Q263" i="7" s="1"/>
  <c r="Q262" i="7"/>
  <c r="L262" i="7"/>
  <c r="L261" i="7"/>
  <c r="Q261" i="7" s="1"/>
  <c r="L260" i="7"/>
  <c r="Q260" i="7" s="1"/>
  <c r="L259" i="7"/>
  <c r="Q259" i="7" s="1"/>
  <c r="L258" i="7"/>
  <c r="Q258" i="7" s="1"/>
  <c r="L257" i="7"/>
  <c r="Q257" i="7" s="1"/>
  <c r="L256" i="7"/>
  <c r="Q256" i="7" s="1"/>
  <c r="L255" i="7"/>
  <c r="Q255" i="7" s="1"/>
  <c r="Q254" i="7"/>
  <c r="L254" i="7"/>
  <c r="L253" i="7"/>
  <c r="Q253" i="7" s="1"/>
  <c r="L252" i="7"/>
  <c r="Q252" i="7" s="1"/>
  <c r="L251" i="7"/>
  <c r="Q251" i="7" s="1"/>
  <c r="L250" i="7"/>
  <c r="Q250" i="7" s="1"/>
  <c r="L249" i="7"/>
  <c r="Q249" i="7" s="1"/>
  <c r="L248" i="7"/>
  <c r="Q248" i="7" s="1"/>
  <c r="L247" i="7"/>
  <c r="Q247" i="7" s="1"/>
  <c r="L246" i="7"/>
  <c r="Q246" i="7" s="1"/>
  <c r="L245" i="7"/>
  <c r="Q245" i="7" s="1"/>
  <c r="L244" i="7"/>
  <c r="Q244" i="7" s="1"/>
  <c r="L243" i="7"/>
  <c r="Q243" i="7" s="1"/>
  <c r="L242" i="7"/>
  <c r="Q242" i="7" s="1"/>
  <c r="L241" i="7"/>
  <c r="Q241" i="7" s="1"/>
  <c r="L240" i="7"/>
  <c r="Q240" i="7" s="1"/>
  <c r="L239" i="7"/>
  <c r="Q239" i="7" s="1"/>
  <c r="L238" i="7"/>
  <c r="Q238" i="7" s="1"/>
  <c r="L237" i="7"/>
  <c r="Q237" i="7" s="1"/>
  <c r="L236" i="7"/>
  <c r="Q236" i="7" s="1"/>
  <c r="L235" i="7"/>
  <c r="Q235" i="7" s="1"/>
  <c r="L234" i="7"/>
  <c r="Q234" i="7" s="1"/>
  <c r="L233" i="7"/>
  <c r="Q233" i="7" s="1"/>
  <c r="L232" i="7"/>
  <c r="Q232" i="7" s="1"/>
  <c r="L231" i="7"/>
  <c r="Q231" i="7" s="1"/>
  <c r="L230" i="7"/>
  <c r="Q230" i="7" s="1"/>
  <c r="L229" i="7"/>
  <c r="Q229" i="7" s="1"/>
  <c r="L228" i="7"/>
  <c r="Q228" i="7" s="1"/>
  <c r="L227" i="7"/>
  <c r="Q227" i="7" s="1"/>
  <c r="L226" i="7"/>
  <c r="Q226" i="7" s="1"/>
  <c r="L225" i="7"/>
  <c r="Q225" i="7" s="1"/>
  <c r="L224" i="7"/>
  <c r="Q224" i="7" s="1"/>
  <c r="L223" i="7"/>
  <c r="Q223" i="7" s="1"/>
  <c r="Q222" i="7"/>
  <c r="L222" i="7"/>
  <c r="L221" i="7"/>
  <c r="Q221" i="7" s="1"/>
  <c r="L220" i="7"/>
  <c r="Q220" i="7" s="1"/>
  <c r="L219" i="7"/>
  <c r="Q219" i="7" s="1"/>
  <c r="L218" i="7"/>
  <c r="Q218" i="7" s="1"/>
  <c r="L217" i="7"/>
  <c r="Q217" i="7" s="1"/>
  <c r="L216" i="7"/>
  <c r="Q216" i="7" s="1"/>
  <c r="L215" i="7"/>
  <c r="Q215" i="7" s="1"/>
  <c r="Q214" i="7"/>
  <c r="L214" i="7"/>
  <c r="L213" i="7"/>
  <c r="Q213" i="7" s="1"/>
  <c r="L212" i="7"/>
  <c r="Q212" i="7" s="1"/>
  <c r="L211" i="7"/>
  <c r="Q211" i="7" s="1"/>
  <c r="L210" i="7"/>
  <c r="Q210" i="7" s="1"/>
  <c r="L209" i="7"/>
  <c r="Q209" i="7" s="1"/>
  <c r="L208" i="7"/>
  <c r="Q208" i="7" s="1"/>
  <c r="L207" i="7"/>
  <c r="Q207" i="7" s="1"/>
  <c r="L206" i="7"/>
  <c r="Q206" i="7" s="1"/>
  <c r="L205" i="7"/>
  <c r="Q205" i="7" s="1"/>
  <c r="L204" i="7"/>
  <c r="Q204" i="7" s="1"/>
  <c r="L203" i="7"/>
  <c r="Q203" i="7" s="1"/>
  <c r="L202" i="7"/>
  <c r="Q202" i="7" s="1"/>
  <c r="L201" i="7"/>
  <c r="Q201" i="7" s="1"/>
  <c r="L200" i="7"/>
  <c r="Q200" i="7" s="1"/>
  <c r="L199" i="7"/>
  <c r="Q199" i="7" s="1"/>
  <c r="Q198" i="7"/>
  <c r="L198" i="7"/>
  <c r="L197" i="7"/>
  <c r="Q197" i="7" s="1"/>
  <c r="L196" i="7"/>
  <c r="Q196" i="7" s="1"/>
  <c r="L195" i="7"/>
  <c r="Q195" i="7" s="1"/>
  <c r="L194" i="7"/>
  <c r="Q194" i="7" s="1"/>
  <c r="L193" i="7"/>
  <c r="Q193" i="7" s="1"/>
  <c r="L192" i="7"/>
  <c r="Q192" i="7" s="1"/>
  <c r="L191" i="7"/>
  <c r="Q191" i="7" s="1"/>
  <c r="Q190" i="7"/>
  <c r="L190" i="7"/>
  <c r="L189" i="7"/>
  <c r="Q189" i="7" s="1"/>
  <c r="L188" i="7"/>
  <c r="Q188" i="7" s="1"/>
  <c r="L187" i="7"/>
  <c r="Q187" i="7" s="1"/>
  <c r="L186" i="7"/>
  <c r="Q186" i="7" s="1"/>
  <c r="L185" i="7"/>
  <c r="Q185" i="7" s="1"/>
  <c r="L184" i="7"/>
  <c r="Q184" i="7" s="1"/>
  <c r="L183" i="7"/>
  <c r="Q183" i="7" s="1"/>
  <c r="L182" i="7"/>
  <c r="Q182" i="7" s="1"/>
  <c r="L181" i="7"/>
  <c r="Q181" i="7" s="1"/>
  <c r="L180" i="7"/>
  <c r="Q180" i="7" s="1"/>
  <c r="L179" i="7"/>
  <c r="Q179" i="7" s="1"/>
  <c r="L178" i="7"/>
  <c r="Q178" i="7" s="1"/>
  <c r="L177" i="7"/>
  <c r="Q177" i="7" s="1"/>
  <c r="L176" i="7"/>
  <c r="Q176" i="7" s="1"/>
  <c r="L175" i="7"/>
  <c r="Q175" i="7" s="1"/>
  <c r="L174" i="7"/>
  <c r="Q174" i="7" s="1"/>
  <c r="L173" i="7"/>
  <c r="Q173" i="7" s="1"/>
  <c r="L172" i="7"/>
  <c r="Q172" i="7" s="1"/>
  <c r="L171" i="7"/>
  <c r="Q171" i="7" s="1"/>
  <c r="L170" i="7"/>
  <c r="Q170" i="7" s="1"/>
  <c r="L169" i="7"/>
  <c r="Q169" i="7" s="1"/>
  <c r="L168" i="7"/>
  <c r="Q168" i="7" s="1"/>
  <c r="L167" i="7"/>
  <c r="Q167" i="7" s="1"/>
  <c r="L166" i="7"/>
  <c r="Q166" i="7" s="1"/>
  <c r="L165" i="7"/>
  <c r="Q165" i="7" s="1"/>
  <c r="L164" i="7"/>
  <c r="Q164" i="7" s="1"/>
  <c r="L163" i="7"/>
  <c r="Q163" i="7" s="1"/>
  <c r="L162" i="7"/>
  <c r="Q162" i="7" s="1"/>
  <c r="L161" i="7"/>
  <c r="Q161" i="7" s="1"/>
  <c r="L160" i="7"/>
  <c r="Q160" i="7" s="1"/>
  <c r="L159" i="7"/>
  <c r="Q159" i="7" s="1"/>
  <c r="Q158" i="7"/>
  <c r="L158" i="7"/>
  <c r="L157" i="7"/>
  <c r="Q157" i="7" s="1"/>
  <c r="L156" i="7"/>
  <c r="Q156" i="7" s="1"/>
  <c r="L155" i="7"/>
  <c r="Q155" i="7" s="1"/>
  <c r="L154" i="7"/>
  <c r="Q154" i="7" s="1"/>
  <c r="L153" i="7"/>
  <c r="Q153" i="7" s="1"/>
  <c r="L152" i="7"/>
  <c r="Q152" i="7" s="1"/>
  <c r="L151" i="7"/>
  <c r="Q151" i="7" s="1"/>
  <c r="Q150" i="7"/>
  <c r="L150" i="7"/>
  <c r="L149" i="7"/>
  <c r="Q149" i="7" s="1"/>
  <c r="L148" i="7"/>
  <c r="Q148" i="7" s="1"/>
  <c r="L147" i="7"/>
  <c r="Q147" i="7" s="1"/>
  <c r="L146" i="7"/>
  <c r="Q146" i="7" s="1"/>
  <c r="L145" i="7"/>
  <c r="Q145" i="7" s="1"/>
  <c r="L144" i="7"/>
  <c r="Q144" i="7" s="1"/>
  <c r="L143" i="7"/>
  <c r="Q143" i="7" s="1"/>
  <c r="L142" i="7"/>
  <c r="Q142" i="7" s="1"/>
  <c r="L141" i="7"/>
  <c r="Q141" i="7" s="1"/>
  <c r="L140" i="7"/>
  <c r="Q140" i="7" s="1"/>
  <c r="L139" i="7"/>
  <c r="Q139" i="7" s="1"/>
  <c r="L138" i="7"/>
  <c r="Q138" i="7" s="1"/>
  <c r="L137" i="7"/>
  <c r="Q137" i="7" s="1"/>
  <c r="L136" i="7"/>
  <c r="Q136" i="7" s="1"/>
  <c r="L135" i="7"/>
  <c r="Q135" i="7" s="1"/>
  <c r="Q134" i="7"/>
  <c r="L134" i="7"/>
  <c r="L133" i="7"/>
  <c r="Q133" i="7" s="1"/>
  <c r="L132" i="7"/>
  <c r="Q132" i="7" s="1"/>
  <c r="L131" i="7"/>
  <c r="Q131" i="7" s="1"/>
  <c r="L130" i="7"/>
  <c r="Q130" i="7" s="1"/>
  <c r="L129" i="7"/>
  <c r="Q129" i="7" s="1"/>
  <c r="L128" i="7"/>
  <c r="Q128" i="7" s="1"/>
  <c r="L127" i="7"/>
  <c r="Q127" i="7" s="1"/>
  <c r="Q126" i="7"/>
  <c r="L126" i="7"/>
  <c r="L125" i="7"/>
  <c r="Q125" i="7" s="1"/>
  <c r="L124" i="7"/>
  <c r="Q124" i="7" s="1"/>
  <c r="L123" i="7"/>
  <c r="Q123" i="7" s="1"/>
  <c r="L122" i="7"/>
  <c r="Q122" i="7" s="1"/>
  <c r="L121" i="7"/>
  <c r="Q121" i="7" s="1"/>
  <c r="L120" i="7"/>
  <c r="Q120" i="7" s="1"/>
  <c r="L119" i="7"/>
  <c r="Q119" i="7" s="1"/>
  <c r="L118" i="7"/>
  <c r="Q118" i="7" s="1"/>
  <c r="L117" i="7"/>
  <c r="Q117" i="7" s="1"/>
  <c r="L116" i="7"/>
  <c r="Q116" i="7" s="1"/>
  <c r="L115" i="7"/>
  <c r="Q115" i="7" s="1"/>
  <c r="L114" i="7"/>
  <c r="Q114" i="7" s="1"/>
  <c r="L113" i="7"/>
  <c r="Q113" i="7" s="1"/>
  <c r="L112" i="7"/>
  <c r="Q112" i="7" s="1"/>
  <c r="L111" i="7"/>
  <c r="Q111" i="7" s="1"/>
  <c r="L110" i="7"/>
  <c r="Q110" i="7" s="1"/>
  <c r="L109" i="7"/>
  <c r="Q109" i="7" s="1"/>
  <c r="L108" i="7"/>
  <c r="Q108" i="7" s="1"/>
  <c r="L107" i="7"/>
  <c r="Q107" i="7" s="1"/>
  <c r="L106" i="7"/>
  <c r="Q106" i="7" s="1"/>
  <c r="L105" i="7"/>
  <c r="Q105" i="7" s="1"/>
  <c r="L104" i="7"/>
  <c r="Q104" i="7" s="1"/>
  <c r="L103" i="7"/>
  <c r="Q103" i="7" s="1"/>
  <c r="L102" i="7"/>
  <c r="Q102" i="7" s="1"/>
  <c r="L101" i="7"/>
  <c r="Q101" i="7" s="1"/>
  <c r="L100" i="7"/>
  <c r="Q100" i="7" s="1"/>
  <c r="L99" i="7"/>
  <c r="Q99" i="7" s="1"/>
  <c r="L98" i="7"/>
  <c r="Q98" i="7" s="1"/>
  <c r="L97" i="7"/>
  <c r="Q97" i="7" s="1"/>
  <c r="L96" i="7"/>
  <c r="Q96" i="7" s="1"/>
  <c r="L95" i="7"/>
  <c r="Q95" i="7" s="1"/>
  <c r="Q94" i="7"/>
  <c r="L94" i="7"/>
  <c r="L93" i="7"/>
  <c r="Q93" i="7" s="1"/>
  <c r="L92" i="7"/>
  <c r="Q92" i="7" s="1"/>
  <c r="L91" i="7"/>
  <c r="Q91" i="7" s="1"/>
  <c r="L90" i="7"/>
  <c r="Q90" i="7" s="1"/>
  <c r="L89" i="7"/>
  <c r="Q89" i="7" s="1"/>
  <c r="L88" i="7"/>
  <c r="Q88" i="7" s="1"/>
  <c r="L87" i="7"/>
  <c r="Q87" i="7" s="1"/>
  <c r="Q86" i="7"/>
  <c r="L86" i="7"/>
  <c r="L85" i="7"/>
  <c r="Q85" i="7" s="1"/>
  <c r="L84" i="7"/>
  <c r="Q84" i="7" s="1"/>
  <c r="L83" i="7"/>
  <c r="Q83" i="7" s="1"/>
  <c r="L82" i="7"/>
  <c r="Q82" i="7" s="1"/>
  <c r="L81" i="7"/>
  <c r="Q81" i="7" s="1"/>
  <c r="L80" i="7"/>
  <c r="Q80" i="7" s="1"/>
  <c r="L79" i="7"/>
  <c r="Q79" i="7" s="1"/>
  <c r="L78" i="7"/>
  <c r="Q78" i="7" s="1"/>
  <c r="L77" i="7"/>
  <c r="Q77" i="7" s="1"/>
  <c r="L76" i="7"/>
  <c r="Q76" i="7" s="1"/>
  <c r="L75" i="7"/>
  <c r="Q75" i="7" s="1"/>
  <c r="L74" i="7"/>
  <c r="Q74" i="7" s="1"/>
  <c r="L73" i="7"/>
  <c r="Q73" i="7" s="1"/>
  <c r="L72" i="7"/>
  <c r="Q72" i="7" s="1"/>
  <c r="L71" i="7"/>
  <c r="Q71" i="7" s="1"/>
  <c r="L70" i="7"/>
  <c r="Q70" i="7" s="1"/>
  <c r="L69" i="7"/>
  <c r="Q69" i="7" s="1"/>
  <c r="L68" i="7"/>
  <c r="Q68" i="7" s="1"/>
  <c r="L67" i="7"/>
  <c r="Q67" i="7" s="1"/>
  <c r="L66" i="7"/>
  <c r="Q66" i="7" s="1"/>
  <c r="L65" i="7"/>
  <c r="Q65" i="7" s="1"/>
  <c r="L64" i="7"/>
  <c r="Q64" i="7" s="1"/>
  <c r="L63" i="7"/>
  <c r="Q63" i="7" s="1"/>
  <c r="Q62" i="7"/>
  <c r="L62" i="7"/>
  <c r="L61" i="7"/>
  <c r="Q61" i="7" s="1"/>
  <c r="L60" i="7"/>
  <c r="Q60" i="7" s="1"/>
  <c r="L59" i="7"/>
  <c r="Q59" i="7" s="1"/>
  <c r="L58" i="7"/>
  <c r="Q58" i="7" s="1"/>
  <c r="L57" i="7"/>
  <c r="Q57" i="7" s="1"/>
  <c r="L56" i="7"/>
  <c r="Q56" i="7" s="1"/>
  <c r="L55" i="7"/>
  <c r="Q55" i="7" s="1"/>
  <c r="L54" i="7"/>
  <c r="Q54" i="7" s="1"/>
  <c r="L53" i="7"/>
  <c r="Q53" i="7" s="1"/>
  <c r="L52" i="7"/>
  <c r="Q52" i="7" s="1"/>
  <c r="L51" i="7"/>
  <c r="Q51" i="7" s="1"/>
  <c r="L50" i="7"/>
  <c r="Q50" i="7" s="1"/>
  <c r="L49" i="7"/>
  <c r="Q49" i="7" s="1"/>
  <c r="L48" i="7"/>
  <c r="Q48" i="7" s="1"/>
  <c r="L47" i="7"/>
  <c r="Q47" i="7" s="1"/>
  <c r="L46" i="7"/>
  <c r="Q46" i="7" s="1"/>
  <c r="L45" i="7"/>
  <c r="Q45" i="7" s="1"/>
  <c r="L44" i="7"/>
  <c r="Q44" i="7" s="1"/>
  <c r="L43" i="7"/>
  <c r="Q43" i="7" s="1"/>
  <c r="L42" i="7"/>
  <c r="Q42" i="7" s="1"/>
  <c r="L41" i="7"/>
  <c r="Q41" i="7" s="1"/>
  <c r="L40" i="7"/>
  <c r="Q40" i="7" s="1"/>
  <c r="L39" i="7"/>
  <c r="Q39" i="7" s="1"/>
  <c r="L38" i="7"/>
  <c r="Q38" i="7" s="1"/>
  <c r="L37" i="7"/>
  <c r="Q37" i="7" s="1"/>
  <c r="L36" i="7"/>
  <c r="Q36" i="7" s="1"/>
  <c r="L35" i="7"/>
  <c r="Q35" i="7" s="1"/>
  <c r="L34" i="7"/>
  <c r="Q34" i="7" s="1"/>
  <c r="L33" i="7"/>
  <c r="Q33" i="7" s="1"/>
  <c r="Q32" i="7"/>
  <c r="L32" i="7"/>
  <c r="L31" i="7"/>
  <c r="Q31" i="7" s="1"/>
  <c r="L30" i="7"/>
  <c r="Q30" i="7" s="1"/>
  <c r="L29" i="7"/>
  <c r="Q29" i="7" s="1"/>
  <c r="L28" i="7"/>
  <c r="Q28" i="7" s="1"/>
  <c r="Q27" i="7"/>
  <c r="L27" i="7"/>
  <c r="L26" i="7"/>
  <c r="Q26" i="7" s="1"/>
  <c r="Q25" i="7"/>
  <c r="L25" i="7"/>
  <c r="L24" i="7"/>
  <c r="Q24" i="7" s="1"/>
  <c r="Q23" i="7"/>
  <c r="L23" i="7"/>
  <c r="L22" i="7"/>
  <c r="Q22" i="7" s="1"/>
  <c r="L21" i="7"/>
  <c r="Q21" i="7" s="1"/>
  <c r="L20" i="7"/>
  <c r="Q20" i="7" s="1"/>
  <c r="L19" i="7"/>
  <c r="Q19" i="7" s="1"/>
  <c r="L18" i="7"/>
  <c r="Q18" i="7" s="1"/>
  <c r="L17" i="7"/>
  <c r="Q17" i="7" s="1"/>
  <c r="Q16" i="7"/>
  <c r="L16" i="7"/>
  <c r="L15" i="7"/>
  <c r="Q15" i="7" s="1"/>
  <c r="L14" i="7"/>
  <c r="Q14" i="7" s="1"/>
  <c r="Q13" i="7"/>
  <c r="L13" i="7"/>
  <c r="L12" i="7"/>
  <c r="Q12" i="7" s="1"/>
  <c r="L11" i="7"/>
  <c r="Q11" i="7" s="1"/>
  <c r="L10" i="7"/>
  <c r="Q10" i="7" s="1"/>
  <c r="Q9" i="7"/>
  <c r="L9" i="7"/>
  <c r="L8" i="7"/>
  <c r="Q8" i="7" s="1"/>
  <c r="Q7" i="7"/>
  <c r="L7" i="7"/>
  <c r="L6" i="7"/>
  <c r="Q6" i="7" s="1"/>
  <c r="L416" i="6" l="1"/>
  <c r="L415" i="6"/>
  <c r="L414" i="6"/>
  <c r="L413" i="6"/>
  <c r="L412" i="6"/>
  <c r="L411" i="6"/>
  <c r="L410" i="6"/>
  <c r="L409" i="6"/>
  <c r="L408" i="6"/>
  <c r="L407" i="6"/>
  <c r="L406" i="6"/>
  <c r="E406" i="6"/>
  <c r="L405" i="6"/>
  <c r="L404" i="6"/>
  <c r="L403" i="6"/>
  <c r="L402" i="6"/>
  <c r="L401" i="6"/>
  <c r="L400" i="6"/>
  <c r="L399" i="6"/>
  <c r="L398" i="6"/>
  <c r="L397" i="6"/>
  <c r="L396" i="6"/>
  <c r="L395" i="6"/>
  <c r="L394" i="6"/>
  <c r="L393" i="6"/>
  <c r="L392" i="6"/>
  <c r="L391" i="6"/>
  <c r="L390" i="6"/>
  <c r="L389" i="6"/>
  <c r="L388" i="6"/>
  <c r="L387" i="6"/>
  <c r="L386" i="6"/>
  <c r="L385" i="6"/>
  <c r="L384" i="6"/>
  <c r="L383" i="6"/>
  <c r="L382" i="6"/>
  <c r="L381" i="6"/>
  <c r="L380" i="6"/>
  <c r="L379" i="6"/>
  <c r="L378" i="6"/>
  <c r="L377" i="6"/>
  <c r="L376" i="6"/>
  <c r="L375" i="6"/>
  <c r="L374" i="6"/>
  <c r="L373" i="6"/>
  <c r="L372" i="6"/>
  <c r="L371" i="6"/>
  <c r="L370" i="6"/>
  <c r="E370" i="6"/>
  <c r="L369" i="6"/>
  <c r="L368" i="6"/>
  <c r="L367" i="6"/>
  <c r="L366" i="6"/>
  <c r="L365" i="6"/>
  <c r="L364" i="6"/>
  <c r="L363" i="6"/>
  <c r="E363" i="6"/>
  <c r="L362" i="6"/>
  <c r="L361" i="6"/>
  <c r="L360" i="6"/>
  <c r="L359" i="6"/>
  <c r="L358" i="6"/>
  <c r="L357" i="6"/>
  <c r="L356" i="6"/>
  <c r="L355" i="6"/>
  <c r="L354" i="6"/>
  <c r="E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Q312" i="6" s="1"/>
  <c r="L311" i="6"/>
  <c r="Q311" i="6" s="1"/>
  <c r="L310" i="6"/>
  <c r="Q310" i="6" s="1"/>
  <c r="L309" i="6"/>
  <c r="Q309" i="6" s="1"/>
  <c r="L308" i="6"/>
  <c r="Q308" i="6" s="1"/>
  <c r="L307" i="6"/>
  <c r="Q307" i="6" s="1"/>
  <c r="L306" i="6"/>
  <c r="Q306" i="6" s="1"/>
  <c r="L305" i="6"/>
  <c r="Q305" i="6" s="1"/>
  <c r="L304" i="6"/>
  <c r="Q304" i="6" s="1"/>
  <c r="L303" i="6"/>
  <c r="Q303" i="6" s="1"/>
  <c r="L302" i="6"/>
  <c r="Q302" i="6" s="1"/>
  <c r="L301" i="6"/>
  <c r="Q301" i="6" s="1"/>
  <c r="L300" i="6"/>
  <c r="Q300" i="6" s="1"/>
  <c r="L299" i="6"/>
  <c r="Q299" i="6" s="1"/>
  <c r="L298" i="6"/>
  <c r="Q298" i="6" s="1"/>
  <c r="L297" i="6"/>
  <c r="Q297" i="6" s="1"/>
  <c r="Q296" i="6"/>
  <c r="L296" i="6"/>
  <c r="L295" i="6"/>
  <c r="Q295" i="6" s="1"/>
  <c r="L294" i="6"/>
  <c r="Q294" i="6" s="1"/>
  <c r="L293" i="6"/>
  <c r="Q293" i="6" s="1"/>
  <c r="L292" i="6"/>
  <c r="Q292" i="6" s="1"/>
  <c r="L291" i="6"/>
  <c r="Q291" i="6" s="1"/>
  <c r="L290" i="6"/>
  <c r="Q290" i="6" s="1"/>
  <c r="L289" i="6"/>
  <c r="Q289" i="6" s="1"/>
  <c r="L288" i="6"/>
  <c r="Q288" i="6" s="1"/>
  <c r="L287" i="6"/>
  <c r="Q287" i="6" s="1"/>
  <c r="L286" i="6"/>
  <c r="Q286" i="6" s="1"/>
  <c r="L285" i="6"/>
  <c r="Q285" i="6" s="1"/>
  <c r="L284" i="6"/>
  <c r="Q284" i="6" s="1"/>
  <c r="L283" i="6"/>
  <c r="Q283" i="6" s="1"/>
  <c r="L282" i="6"/>
  <c r="Q282" i="6" s="1"/>
  <c r="L281" i="6"/>
  <c r="Q281" i="6" s="1"/>
  <c r="L280" i="6"/>
  <c r="Q280" i="6" s="1"/>
  <c r="L279" i="6"/>
  <c r="Q279" i="6" s="1"/>
  <c r="L278" i="6"/>
  <c r="Q278" i="6" s="1"/>
  <c r="L277" i="6"/>
  <c r="Q277" i="6" s="1"/>
  <c r="L276" i="6"/>
  <c r="Q276" i="6" s="1"/>
  <c r="L275" i="6"/>
  <c r="Q275" i="6" s="1"/>
  <c r="L274" i="6"/>
  <c r="Q274" i="6" s="1"/>
  <c r="L273" i="6"/>
  <c r="Q273" i="6" s="1"/>
  <c r="L272" i="6"/>
  <c r="Q272" i="6" s="1"/>
  <c r="L271" i="6"/>
  <c r="Q271" i="6" s="1"/>
  <c r="L270" i="6"/>
  <c r="Q270" i="6" s="1"/>
  <c r="L269" i="6"/>
  <c r="Q269" i="6" s="1"/>
  <c r="L268" i="6"/>
  <c r="Q268" i="6" s="1"/>
  <c r="L267" i="6"/>
  <c r="Q267" i="6" s="1"/>
  <c r="L266" i="6"/>
  <c r="Q266" i="6" s="1"/>
  <c r="L265" i="6"/>
  <c r="Q265" i="6" s="1"/>
  <c r="L264" i="6"/>
  <c r="Q264" i="6" s="1"/>
  <c r="L263" i="6"/>
  <c r="Q263" i="6" s="1"/>
  <c r="L262" i="6"/>
  <c r="Q262" i="6" s="1"/>
  <c r="L261" i="6"/>
  <c r="Q261" i="6" s="1"/>
  <c r="L260" i="6"/>
  <c r="Q260" i="6" s="1"/>
  <c r="L259" i="6"/>
  <c r="Q259" i="6" s="1"/>
  <c r="L258" i="6"/>
  <c r="Q258" i="6" s="1"/>
  <c r="L257" i="6"/>
  <c r="Q257" i="6" s="1"/>
  <c r="L256" i="6"/>
  <c r="Q256" i="6" s="1"/>
  <c r="L255" i="6"/>
  <c r="Q255" i="6" s="1"/>
  <c r="L254" i="6"/>
  <c r="Q254" i="6" s="1"/>
  <c r="L253" i="6"/>
  <c r="Q253" i="6" s="1"/>
  <c r="L252" i="6"/>
  <c r="Q252" i="6" s="1"/>
  <c r="L251" i="6"/>
  <c r="Q251" i="6" s="1"/>
  <c r="L250" i="6"/>
  <c r="Q250" i="6" s="1"/>
  <c r="L249" i="6"/>
  <c r="Q249" i="6" s="1"/>
  <c r="L248" i="6"/>
  <c r="Q248" i="6" s="1"/>
  <c r="L247" i="6"/>
  <c r="Q247" i="6" s="1"/>
  <c r="L246" i="6"/>
  <c r="Q246" i="6" s="1"/>
  <c r="L245" i="6"/>
  <c r="Q245" i="6" s="1"/>
  <c r="L244" i="6"/>
  <c r="Q244" i="6" s="1"/>
  <c r="L243" i="6"/>
  <c r="Q243" i="6" s="1"/>
  <c r="L242" i="6"/>
  <c r="Q242" i="6" s="1"/>
  <c r="L241" i="6"/>
  <c r="Q241" i="6" s="1"/>
  <c r="L240" i="6"/>
  <c r="Q240" i="6" s="1"/>
  <c r="L239" i="6"/>
  <c r="Q239" i="6" s="1"/>
  <c r="L238" i="6"/>
  <c r="Q238" i="6" s="1"/>
  <c r="L237" i="6"/>
  <c r="Q237" i="6" s="1"/>
  <c r="L236" i="6"/>
  <c r="Q236" i="6" s="1"/>
  <c r="L235" i="6"/>
  <c r="Q235" i="6" s="1"/>
  <c r="L234" i="6"/>
  <c r="Q234" i="6" s="1"/>
  <c r="L233" i="6"/>
  <c r="Q233" i="6" s="1"/>
  <c r="L232" i="6"/>
  <c r="Q232" i="6" s="1"/>
  <c r="L231" i="6"/>
  <c r="Q231" i="6" s="1"/>
  <c r="L230" i="6"/>
  <c r="Q230" i="6" s="1"/>
  <c r="L229" i="6"/>
  <c r="Q229" i="6" s="1"/>
  <c r="L228" i="6"/>
  <c r="Q228" i="6" s="1"/>
  <c r="L227" i="6"/>
  <c r="Q227" i="6" s="1"/>
  <c r="L226" i="6"/>
  <c r="Q226" i="6" s="1"/>
  <c r="L225" i="6"/>
  <c r="Q225" i="6" s="1"/>
  <c r="L224" i="6"/>
  <c r="Q224" i="6" s="1"/>
  <c r="L223" i="6"/>
  <c r="Q223" i="6" s="1"/>
  <c r="L222" i="6"/>
  <c r="Q222" i="6" s="1"/>
  <c r="L221" i="6"/>
  <c r="Q221" i="6" s="1"/>
  <c r="L220" i="6"/>
  <c r="Q220" i="6" s="1"/>
  <c r="L219" i="6"/>
  <c r="Q219" i="6" s="1"/>
  <c r="L218" i="6"/>
  <c r="Q218" i="6" s="1"/>
  <c r="L217" i="6"/>
  <c r="Q217" i="6" s="1"/>
  <c r="L216" i="6"/>
  <c r="Q216" i="6" s="1"/>
  <c r="L215" i="6"/>
  <c r="Q215" i="6" s="1"/>
  <c r="L214" i="6"/>
  <c r="Q214" i="6" s="1"/>
  <c r="L213" i="6"/>
  <c r="Q213" i="6" s="1"/>
  <c r="L212" i="6"/>
  <c r="Q212" i="6" s="1"/>
  <c r="L211" i="6"/>
  <c r="Q211" i="6" s="1"/>
  <c r="L210" i="6"/>
  <c r="Q210" i="6" s="1"/>
  <c r="L209" i="6"/>
  <c r="Q209" i="6" s="1"/>
  <c r="L208" i="6"/>
  <c r="Q208" i="6" s="1"/>
  <c r="L207" i="6"/>
  <c r="Q207" i="6" s="1"/>
  <c r="L206" i="6"/>
  <c r="Q206" i="6" s="1"/>
  <c r="L205" i="6"/>
  <c r="Q205" i="6" s="1"/>
  <c r="L204" i="6"/>
  <c r="Q204" i="6" s="1"/>
  <c r="L203" i="6"/>
  <c r="Q203" i="6" s="1"/>
  <c r="L202" i="6"/>
  <c r="Q202" i="6" s="1"/>
  <c r="L201" i="6"/>
  <c r="Q201" i="6" s="1"/>
  <c r="L200" i="6"/>
  <c r="Q200" i="6" s="1"/>
  <c r="L199" i="6"/>
  <c r="Q199" i="6" s="1"/>
  <c r="L198" i="6"/>
  <c r="Q198" i="6" s="1"/>
  <c r="L197" i="6"/>
  <c r="Q197" i="6" s="1"/>
  <c r="L196" i="6"/>
  <c r="Q196" i="6" s="1"/>
  <c r="L195" i="6"/>
  <c r="Q195" i="6" s="1"/>
  <c r="L194" i="6"/>
  <c r="Q194" i="6" s="1"/>
  <c r="L193" i="6"/>
  <c r="Q193" i="6" s="1"/>
  <c r="L192" i="6"/>
  <c r="Q192" i="6" s="1"/>
  <c r="L191" i="6"/>
  <c r="Q191" i="6" s="1"/>
  <c r="L190" i="6"/>
  <c r="Q190" i="6" s="1"/>
  <c r="L189" i="6"/>
  <c r="Q189" i="6" s="1"/>
  <c r="L188" i="6"/>
  <c r="Q188" i="6" s="1"/>
  <c r="L187" i="6"/>
  <c r="Q187" i="6" s="1"/>
  <c r="L186" i="6"/>
  <c r="Q186" i="6" s="1"/>
  <c r="L185" i="6"/>
  <c r="Q185" i="6" s="1"/>
  <c r="L184" i="6"/>
  <c r="Q184" i="6" s="1"/>
  <c r="L183" i="6"/>
  <c r="Q183" i="6" s="1"/>
  <c r="L182" i="6"/>
  <c r="Q182" i="6" s="1"/>
  <c r="L181" i="6"/>
  <c r="Q181" i="6" s="1"/>
  <c r="L180" i="6"/>
  <c r="Q180" i="6" s="1"/>
  <c r="L179" i="6"/>
  <c r="Q179" i="6" s="1"/>
  <c r="L178" i="6"/>
  <c r="Q178" i="6" s="1"/>
  <c r="L177" i="6"/>
  <c r="Q177" i="6" s="1"/>
  <c r="L176" i="6"/>
  <c r="Q176" i="6" s="1"/>
  <c r="L175" i="6"/>
  <c r="Q175" i="6" s="1"/>
  <c r="L174" i="6"/>
  <c r="Q174" i="6" s="1"/>
  <c r="L173" i="6"/>
  <c r="Q173" i="6" s="1"/>
  <c r="L172" i="6"/>
  <c r="Q172" i="6" s="1"/>
  <c r="L171" i="6"/>
  <c r="Q171" i="6" s="1"/>
  <c r="L170" i="6"/>
  <c r="Q170" i="6" s="1"/>
  <c r="L169" i="6"/>
  <c r="Q169" i="6" s="1"/>
  <c r="L168" i="6"/>
  <c r="Q168" i="6" s="1"/>
  <c r="L167" i="6"/>
  <c r="Q167" i="6" s="1"/>
  <c r="L166" i="6"/>
  <c r="Q166" i="6" s="1"/>
  <c r="L165" i="6"/>
  <c r="Q165" i="6" s="1"/>
  <c r="L164" i="6"/>
  <c r="Q164" i="6" s="1"/>
  <c r="L163" i="6"/>
  <c r="Q163" i="6" s="1"/>
  <c r="L162" i="6"/>
  <c r="Q162" i="6" s="1"/>
  <c r="L161" i="6"/>
  <c r="Q161" i="6" s="1"/>
  <c r="L160" i="6"/>
  <c r="Q160" i="6" s="1"/>
  <c r="L159" i="6"/>
  <c r="Q159" i="6" s="1"/>
  <c r="L158" i="6"/>
  <c r="Q158" i="6" s="1"/>
  <c r="L157" i="6"/>
  <c r="Q157" i="6" s="1"/>
  <c r="L156" i="6"/>
  <c r="Q156" i="6" s="1"/>
  <c r="L155" i="6"/>
  <c r="Q155" i="6" s="1"/>
  <c r="L154" i="6"/>
  <c r="Q154" i="6" s="1"/>
  <c r="L153" i="6"/>
  <c r="Q153" i="6" s="1"/>
  <c r="L152" i="6"/>
  <c r="Q152" i="6" s="1"/>
  <c r="L151" i="6"/>
  <c r="Q151" i="6" s="1"/>
  <c r="L150" i="6"/>
  <c r="Q150" i="6" s="1"/>
  <c r="L149" i="6"/>
  <c r="Q149" i="6" s="1"/>
  <c r="L148" i="6"/>
  <c r="Q148" i="6" s="1"/>
  <c r="L147" i="6"/>
  <c r="Q147" i="6" s="1"/>
  <c r="L146" i="6"/>
  <c r="Q146" i="6" s="1"/>
  <c r="L145" i="6"/>
  <c r="Q145" i="6" s="1"/>
  <c r="L144" i="6"/>
  <c r="Q144" i="6" s="1"/>
  <c r="L143" i="6"/>
  <c r="Q143" i="6" s="1"/>
  <c r="L142" i="6"/>
  <c r="Q142" i="6" s="1"/>
  <c r="L141" i="6"/>
  <c r="Q141" i="6" s="1"/>
  <c r="L140" i="6"/>
  <c r="Q140" i="6" s="1"/>
  <c r="L139" i="6"/>
  <c r="Q139" i="6" s="1"/>
  <c r="L138" i="6"/>
  <c r="Q138" i="6" s="1"/>
  <c r="L137" i="6"/>
  <c r="Q137" i="6" s="1"/>
  <c r="L136" i="6"/>
  <c r="Q136" i="6" s="1"/>
  <c r="L135" i="6"/>
  <c r="Q135" i="6" s="1"/>
  <c r="L134" i="6"/>
  <c r="Q134" i="6" s="1"/>
  <c r="L133" i="6"/>
  <c r="Q133" i="6" s="1"/>
  <c r="L132" i="6"/>
  <c r="Q132" i="6" s="1"/>
  <c r="L131" i="6"/>
  <c r="Q131" i="6" s="1"/>
  <c r="L130" i="6"/>
  <c r="Q130" i="6" s="1"/>
  <c r="L129" i="6"/>
  <c r="Q129" i="6" s="1"/>
  <c r="L128" i="6"/>
  <c r="Q128" i="6" s="1"/>
  <c r="L127" i="6"/>
  <c r="Q127" i="6" s="1"/>
  <c r="L126" i="6"/>
  <c r="Q126" i="6" s="1"/>
  <c r="L125" i="6"/>
  <c r="Q125" i="6" s="1"/>
  <c r="L124" i="6"/>
  <c r="Q124" i="6" s="1"/>
  <c r="L123" i="6"/>
  <c r="Q123" i="6" s="1"/>
  <c r="L122" i="6"/>
  <c r="Q122" i="6" s="1"/>
  <c r="L121" i="6"/>
  <c r="Q121" i="6" s="1"/>
  <c r="L120" i="6"/>
  <c r="Q120" i="6" s="1"/>
  <c r="L119" i="6"/>
  <c r="Q119" i="6" s="1"/>
  <c r="L118" i="6"/>
  <c r="Q118" i="6" s="1"/>
  <c r="L117" i="6"/>
  <c r="Q117" i="6" s="1"/>
  <c r="L116" i="6"/>
  <c r="Q116" i="6" s="1"/>
  <c r="L115" i="6"/>
  <c r="Q115" i="6" s="1"/>
  <c r="L114" i="6"/>
  <c r="Q114" i="6" s="1"/>
  <c r="L113" i="6"/>
  <c r="Q113" i="6" s="1"/>
  <c r="L112" i="6"/>
  <c r="Q112" i="6" s="1"/>
  <c r="L111" i="6"/>
  <c r="Q111" i="6" s="1"/>
  <c r="L110" i="6"/>
  <c r="Q110" i="6" s="1"/>
  <c r="L109" i="6"/>
  <c r="Q109" i="6" s="1"/>
  <c r="L108" i="6"/>
  <c r="Q108" i="6" s="1"/>
  <c r="L107" i="6"/>
  <c r="Q107" i="6" s="1"/>
  <c r="L106" i="6"/>
  <c r="Q106" i="6" s="1"/>
  <c r="L105" i="6"/>
  <c r="Q105" i="6" s="1"/>
  <c r="L104" i="6"/>
  <c r="Q104" i="6" s="1"/>
  <c r="L103" i="6"/>
  <c r="Q103" i="6" s="1"/>
  <c r="L102" i="6"/>
  <c r="Q102" i="6" s="1"/>
  <c r="L101" i="6"/>
  <c r="Q101" i="6" s="1"/>
  <c r="L100" i="6"/>
  <c r="Q100" i="6" s="1"/>
  <c r="L99" i="6"/>
  <c r="Q99" i="6" s="1"/>
  <c r="L98" i="6"/>
  <c r="Q98" i="6" s="1"/>
  <c r="L97" i="6"/>
  <c r="Q97" i="6" s="1"/>
  <c r="L96" i="6"/>
  <c r="Q96" i="6" s="1"/>
  <c r="L95" i="6"/>
  <c r="Q95" i="6" s="1"/>
  <c r="L94" i="6"/>
  <c r="Q94" i="6" s="1"/>
  <c r="L93" i="6"/>
  <c r="Q93" i="6" s="1"/>
  <c r="L92" i="6"/>
  <c r="Q92" i="6" s="1"/>
  <c r="L91" i="6"/>
  <c r="Q91" i="6" s="1"/>
  <c r="L90" i="6"/>
  <c r="Q90" i="6" s="1"/>
  <c r="L89" i="6"/>
  <c r="Q89" i="6" s="1"/>
  <c r="L88" i="6"/>
  <c r="Q88" i="6" s="1"/>
  <c r="L87" i="6"/>
  <c r="Q87" i="6" s="1"/>
  <c r="L86" i="6"/>
  <c r="Q86" i="6" s="1"/>
  <c r="L85" i="6"/>
  <c r="Q85" i="6" s="1"/>
  <c r="L84" i="6"/>
  <c r="Q84" i="6" s="1"/>
  <c r="L83" i="6"/>
  <c r="Q83" i="6" s="1"/>
  <c r="L82" i="6"/>
  <c r="Q82" i="6" s="1"/>
  <c r="L81" i="6"/>
  <c r="Q81" i="6" s="1"/>
  <c r="L80" i="6"/>
  <c r="Q80" i="6" s="1"/>
  <c r="L79" i="6"/>
  <c r="Q79" i="6" s="1"/>
  <c r="L78" i="6"/>
  <c r="Q78" i="6" s="1"/>
  <c r="L77" i="6"/>
  <c r="Q77" i="6" s="1"/>
  <c r="L76" i="6"/>
  <c r="Q76" i="6" s="1"/>
  <c r="L75" i="6"/>
  <c r="Q75" i="6" s="1"/>
  <c r="L74" i="6"/>
  <c r="Q74" i="6" s="1"/>
  <c r="L73" i="6"/>
  <c r="Q73" i="6" s="1"/>
  <c r="L72" i="6"/>
  <c r="Q72" i="6" s="1"/>
  <c r="L71" i="6"/>
  <c r="Q71" i="6" s="1"/>
  <c r="L70" i="6"/>
  <c r="Q70" i="6" s="1"/>
  <c r="L69" i="6"/>
  <c r="Q69" i="6" s="1"/>
  <c r="L68" i="6"/>
  <c r="Q68" i="6" s="1"/>
  <c r="L67" i="6"/>
  <c r="Q67" i="6" s="1"/>
  <c r="L66" i="6"/>
  <c r="Q66" i="6" s="1"/>
  <c r="L65" i="6"/>
  <c r="Q65" i="6" s="1"/>
  <c r="L64" i="6"/>
  <c r="Q64" i="6" s="1"/>
  <c r="L63" i="6"/>
  <c r="Q63" i="6" s="1"/>
  <c r="L62" i="6"/>
  <c r="Q62" i="6" s="1"/>
  <c r="L61" i="6"/>
  <c r="Q61" i="6" s="1"/>
  <c r="L60" i="6"/>
  <c r="Q60" i="6" s="1"/>
  <c r="L59" i="6"/>
  <c r="Q59" i="6" s="1"/>
  <c r="L58" i="6"/>
  <c r="Q58" i="6" s="1"/>
  <c r="L57" i="6"/>
  <c r="Q57" i="6" s="1"/>
  <c r="L56" i="6"/>
  <c r="Q56" i="6" s="1"/>
  <c r="L55" i="6"/>
  <c r="Q55" i="6" s="1"/>
  <c r="L54" i="6"/>
  <c r="Q54" i="6" s="1"/>
  <c r="L53" i="6"/>
  <c r="Q53" i="6" s="1"/>
  <c r="L52" i="6"/>
  <c r="Q52" i="6" s="1"/>
  <c r="L51" i="6"/>
  <c r="Q51" i="6" s="1"/>
  <c r="L50" i="6"/>
  <c r="Q50" i="6" s="1"/>
  <c r="L49" i="6"/>
  <c r="Q49" i="6" s="1"/>
  <c r="L48" i="6"/>
  <c r="Q48" i="6" s="1"/>
  <c r="L47" i="6"/>
  <c r="Q47" i="6" s="1"/>
  <c r="L46" i="6"/>
  <c r="Q46" i="6" s="1"/>
  <c r="L45" i="6"/>
  <c r="Q45" i="6" s="1"/>
  <c r="L44" i="6"/>
  <c r="Q44" i="6" s="1"/>
  <c r="L43" i="6"/>
  <c r="Q43" i="6" s="1"/>
  <c r="L42" i="6"/>
  <c r="Q42" i="6" s="1"/>
  <c r="L41" i="6"/>
  <c r="Q41" i="6" s="1"/>
  <c r="L40" i="6"/>
  <c r="Q40" i="6" s="1"/>
  <c r="L39" i="6"/>
  <c r="Q39" i="6" s="1"/>
  <c r="L38" i="6"/>
  <c r="Q38" i="6" s="1"/>
  <c r="L37" i="6"/>
  <c r="Q37" i="6" s="1"/>
  <c r="L36" i="6"/>
  <c r="Q36" i="6" s="1"/>
  <c r="L35" i="6"/>
  <c r="Q35" i="6" s="1"/>
  <c r="L34" i="6"/>
  <c r="Q34" i="6" s="1"/>
  <c r="L33" i="6"/>
  <c r="Q33" i="6" s="1"/>
  <c r="L32" i="6"/>
  <c r="Q32" i="6" s="1"/>
  <c r="L31" i="6"/>
  <c r="Q31" i="6" s="1"/>
  <c r="L30" i="6"/>
  <c r="Q30" i="6" s="1"/>
  <c r="L29" i="6"/>
  <c r="Q29" i="6" s="1"/>
  <c r="L28" i="6"/>
  <c r="Q28" i="6" s="1"/>
  <c r="L27" i="6"/>
  <c r="Q27" i="6" s="1"/>
  <c r="L26" i="6"/>
  <c r="Q26" i="6" s="1"/>
  <c r="L25" i="6"/>
  <c r="Q25" i="6" s="1"/>
  <c r="L24" i="6"/>
  <c r="Q24" i="6" s="1"/>
  <c r="L23" i="6"/>
  <c r="Q23" i="6" s="1"/>
  <c r="L22" i="6"/>
  <c r="Q22" i="6" s="1"/>
  <c r="L21" i="6"/>
  <c r="Q21" i="6" s="1"/>
  <c r="L20" i="6"/>
  <c r="Q20" i="6" s="1"/>
  <c r="L19" i="6"/>
  <c r="Q19" i="6" s="1"/>
  <c r="L18" i="6"/>
  <c r="Q18" i="6" s="1"/>
  <c r="L17" i="6"/>
  <c r="Q17" i="6" s="1"/>
  <c r="L16" i="6"/>
  <c r="Q16" i="6" s="1"/>
  <c r="L15" i="6"/>
  <c r="Q15" i="6" s="1"/>
  <c r="L14" i="6"/>
  <c r="Q14" i="6" s="1"/>
  <c r="L13" i="6"/>
  <c r="Q13" i="6" s="1"/>
  <c r="L12" i="6"/>
  <c r="Q12" i="6" s="1"/>
  <c r="L11" i="6"/>
  <c r="Q11" i="6" s="1"/>
  <c r="L10" i="6"/>
  <c r="Q10" i="6" s="1"/>
  <c r="L9" i="6"/>
  <c r="Q9" i="6" s="1"/>
  <c r="L8" i="6"/>
  <c r="Q8" i="6" s="1"/>
  <c r="L7" i="6"/>
  <c r="Q7" i="6" s="1"/>
  <c r="L6" i="6"/>
  <c r="Q6" i="6" s="1"/>
  <c r="Q419" i="5" l="1"/>
  <c r="Q418" i="5"/>
  <c r="Q417" i="5"/>
  <c r="Q416" i="5"/>
  <c r="Q415" i="5"/>
  <c r="Q414" i="5"/>
  <c r="Q413" i="5"/>
  <c r="Q412" i="5"/>
  <c r="Q411" i="5"/>
  <c r="Q410" i="5"/>
  <c r="Q409" i="5"/>
  <c r="Q408" i="5"/>
  <c r="Q407" i="5"/>
  <c r="Q406" i="5"/>
  <c r="Q405" i="5"/>
  <c r="Q404" i="5"/>
  <c r="Q403" i="5"/>
  <c r="Q402" i="5"/>
  <c r="Q401" i="5"/>
  <c r="Q400" i="5"/>
  <c r="Q399" i="5"/>
  <c r="Q398" i="5"/>
  <c r="Q397" i="5"/>
  <c r="Q396" i="5"/>
  <c r="Q395" i="5"/>
  <c r="Q394" i="5"/>
  <c r="Q393" i="5"/>
  <c r="Q392" i="5"/>
  <c r="Q391" i="5"/>
  <c r="Q390" i="5"/>
  <c r="Q389" i="5"/>
  <c r="Q388" i="5"/>
  <c r="Q387" i="5"/>
  <c r="Q386" i="5"/>
  <c r="Q385" i="5"/>
  <c r="L384" i="5"/>
  <c r="Q384" i="5" s="1"/>
  <c r="L383" i="5"/>
  <c r="Q383" i="5" s="1"/>
  <c r="L382" i="5"/>
  <c r="Q382" i="5" s="1"/>
  <c r="L381" i="5"/>
  <c r="Q381" i="5" s="1"/>
  <c r="L380" i="5"/>
  <c r="Q380" i="5" s="1"/>
  <c r="L379" i="5"/>
  <c r="Q379" i="5" s="1"/>
  <c r="L378" i="5"/>
  <c r="Q378" i="5" s="1"/>
  <c r="L377" i="5"/>
  <c r="Q377" i="5" s="1"/>
  <c r="L376" i="5"/>
  <c r="Q376" i="5" s="1"/>
  <c r="L375" i="5"/>
  <c r="Q375" i="5" s="1"/>
  <c r="L374" i="5"/>
  <c r="Q374" i="5" s="1"/>
  <c r="L373" i="5"/>
  <c r="Q373" i="5" s="1"/>
  <c r="L372" i="5"/>
  <c r="Q372" i="5" s="1"/>
  <c r="L371" i="5"/>
  <c r="Q371" i="5" s="1"/>
  <c r="L370" i="5"/>
  <c r="Q370" i="5" s="1"/>
  <c r="E370" i="5"/>
  <c r="L369" i="5"/>
  <c r="Q369" i="5" s="1"/>
  <c r="Q368" i="5"/>
  <c r="L368" i="5"/>
  <c r="L367" i="5"/>
  <c r="Q367" i="5" s="1"/>
  <c r="L366" i="5"/>
  <c r="Q366" i="5" s="1"/>
  <c r="Q365" i="5"/>
  <c r="L365" i="5"/>
  <c r="Q364" i="5"/>
  <c r="L364" i="5"/>
  <c r="L363" i="5"/>
  <c r="Q363" i="5" s="1"/>
  <c r="Q362" i="5"/>
  <c r="L362" i="5"/>
  <c r="L361" i="5"/>
  <c r="Q361" i="5" s="1"/>
  <c r="L360" i="5"/>
  <c r="Q360" i="5" s="1"/>
  <c r="L359" i="5"/>
  <c r="Q359" i="5" s="1"/>
  <c r="L358" i="5"/>
  <c r="Q358" i="5" s="1"/>
  <c r="L357" i="5"/>
  <c r="Q357" i="5" s="1"/>
  <c r="Q356" i="5"/>
  <c r="L356" i="5"/>
  <c r="L355" i="5"/>
  <c r="Q355" i="5" s="1"/>
  <c r="Q354" i="5"/>
  <c r="L354" i="5"/>
  <c r="Q353" i="5"/>
  <c r="L353" i="5"/>
  <c r="L352" i="5"/>
  <c r="Q352" i="5" s="1"/>
  <c r="L351" i="5"/>
  <c r="Q351" i="5" s="1"/>
  <c r="Q350" i="5"/>
  <c r="L350" i="5"/>
  <c r="L349" i="5"/>
  <c r="Q349" i="5" s="1"/>
  <c r="L348" i="5"/>
  <c r="Q348" i="5" s="1"/>
  <c r="L347" i="5"/>
  <c r="Q347" i="5" s="1"/>
  <c r="L346" i="5"/>
  <c r="Q346" i="5" s="1"/>
  <c r="Q345" i="5"/>
  <c r="L345" i="5"/>
  <c r="Q344" i="5"/>
  <c r="L344" i="5"/>
  <c r="L343" i="5"/>
  <c r="Q343" i="5" s="1"/>
  <c r="E343" i="5"/>
  <c r="L342" i="5"/>
  <c r="Q342" i="5" s="1"/>
  <c r="L341" i="5"/>
  <c r="Q341" i="5" s="1"/>
  <c r="Q340" i="5"/>
  <c r="L340" i="5"/>
  <c r="Q339" i="5"/>
  <c r="L339" i="5"/>
  <c r="L338" i="5"/>
  <c r="Q338" i="5" s="1"/>
  <c r="L337" i="5"/>
  <c r="Q337" i="5" s="1"/>
  <c r="L336" i="5"/>
  <c r="Q336" i="5" s="1"/>
  <c r="Q335" i="5"/>
  <c r="L335" i="5"/>
  <c r="L334" i="5"/>
  <c r="Q334" i="5" s="1"/>
  <c r="L333" i="5"/>
  <c r="Q333" i="5" s="1"/>
  <c r="L332" i="5"/>
  <c r="Q332" i="5" s="1"/>
  <c r="L331" i="5"/>
  <c r="Q331" i="5" s="1"/>
  <c r="L330" i="5"/>
  <c r="Q330" i="5" s="1"/>
  <c r="L329" i="5"/>
  <c r="Q329" i="5" s="1"/>
  <c r="L328" i="5"/>
  <c r="Q328" i="5" s="1"/>
  <c r="L327" i="5"/>
  <c r="Q327" i="5" s="1"/>
  <c r="L326" i="5"/>
  <c r="Q326" i="5" s="1"/>
  <c r="L325" i="5"/>
  <c r="Q325" i="5" s="1"/>
  <c r="L324" i="5"/>
  <c r="Q324" i="5" s="1"/>
  <c r="L323" i="5"/>
  <c r="Q323" i="5" s="1"/>
  <c r="L322" i="5"/>
  <c r="Q322" i="5" s="1"/>
  <c r="L321" i="5"/>
  <c r="Q321" i="5" s="1"/>
  <c r="L320" i="5"/>
  <c r="Q320" i="5" s="1"/>
  <c r="Q319" i="5"/>
  <c r="L319" i="5"/>
  <c r="L318" i="5"/>
  <c r="Q318" i="5" s="1"/>
  <c r="L317" i="5"/>
  <c r="Q317" i="5" s="1"/>
  <c r="L316" i="5"/>
  <c r="Q316" i="5" s="1"/>
  <c r="Q315" i="5"/>
  <c r="L315" i="5"/>
  <c r="L314" i="5"/>
  <c r="Q314" i="5" s="1"/>
  <c r="L313" i="5"/>
  <c r="Q313" i="5" s="1"/>
  <c r="L312" i="5"/>
  <c r="Q312" i="5" s="1"/>
  <c r="Q311" i="5"/>
  <c r="L311" i="5"/>
  <c r="L310" i="5"/>
  <c r="Q310" i="5" s="1"/>
  <c r="L309" i="5"/>
  <c r="Q309" i="5" s="1"/>
  <c r="L308" i="5"/>
  <c r="Q308" i="5" s="1"/>
  <c r="L307" i="5"/>
  <c r="Q307" i="5" s="1"/>
  <c r="L306" i="5"/>
  <c r="Q306" i="5" s="1"/>
  <c r="L305" i="5"/>
  <c r="Q305" i="5" s="1"/>
  <c r="L304" i="5"/>
  <c r="Q304" i="5" s="1"/>
  <c r="L303" i="5"/>
  <c r="Q303" i="5" s="1"/>
  <c r="L302" i="5"/>
  <c r="Q302" i="5" s="1"/>
  <c r="L301" i="5"/>
  <c r="Q301" i="5" s="1"/>
  <c r="L300" i="5"/>
  <c r="Q300" i="5" s="1"/>
  <c r="L299" i="5"/>
  <c r="Q299" i="5" s="1"/>
  <c r="L298" i="5"/>
  <c r="Q298" i="5" s="1"/>
  <c r="L297" i="5"/>
  <c r="Q297" i="5" s="1"/>
  <c r="L296" i="5"/>
  <c r="Q296" i="5" s="1"/>
  <c r="L295" i="5"/>
  <c r="Q295" i="5" s="1"/>
  <c r="L294" i="5"/>
  <c r="Q294" i="5" s="1"/>
  <c r="L293" i="5"/>
  <c r="Q293" i="5" s="1"/>
  <c r="L292" i="5"/>
  <c r="Q292" i="5" s="1"/>
  <c r="L291" i="5"/>
  <c r="Q291" i="5" s="1"/>
  <c r="L290" i="5"/>
  <c r="Q290" i="5" s="1"/>
  <c r="L289" i="5"/>
  <c r="Q289" i="5" s="1"/>
  <c r="L288" i="5"/>
  <c r="Q288" i="5" s="1"/>
  <c r="Q287" i="5"/>
  <c r="L287" i="5"/>
  <c r="L286" i="5"/>
  <c r="Q286" i="5" s="1"/>
  <c r="L285" i="5"/>
  <c r="Q285" i="5" s="1"/>
  <c r="L284" i="5"/>
  <c r="Q284" i="5" s="1"/>
  <c r="Q283" i="5"/>
  <c r="L283" i="5"/>
  <c r="L282" i="5"/>
  <c r="Q282" i="5" s="1"/>
  <c r="L281" i="5"/>
  <c r="Q281" i="5" s="1"/>
  <c r="L280" i="5"/>
  <c r="Q280" i="5" s="1"/>
  <c r="Q279" i="5"/>
  <c r="L279" i="5"/>
  <c r="L278" i="5"/>
  <c r="Q278" i="5" s="1"/>
  <c r="L277" i="5"/>
  <c r="Q277" i="5" s="1"/>
  <c r="L276" i="5"/>
  <c r="Q276" i="5" s="1"/>
  <c r="L275" i="5"/>
  <c r="Q275" i="5" s="1"/>
  <c r="L274" i="5"/>
  <c r="Q274" i="5" s="1"/>
  <c r="L273" i="5"/>
  <c r="Q273" i="5" s="1"/>
  <c r="L272" i="5"/>
  <c r="Q272" i="5" s="1"/>
  <c r="L271" i="5"/>
  <c r="Q271" i="5" s="1"/>
  <c r="L270" i="5"/>
  <c r="Q270" i="5" s="1"/>
  <c r="L269" i="5"/>
  <c r="Q269" i="5" s="1"/>
  <c r="L268" i="5"/>
  <c r="Q268" i="5" s="1"/>
  <c r="L267" i="5"/>
  <c r="Q267" i="5" s="1"/>
  <c r="L266" i="5"/>
  <c r="Q266" i="5" s="1"/>
  <c r="L265" i="5"/>
  <c r="Q265" i="5" s="1"/>
  <c r="L264" i="5"/>
  <c r="Q264" i="5" s="1"/>
  <c r="L263" i="5"/>
  <c r="Q263" i="5" s="1"/>
  <c r="L262" i="5"/>
  <c r="Q262" i="5" s="1"/>
  <c r="L261" i="5"/>
  <c r="Q261" i="5" s="1"/>
  <c r="L260" i="5"/>
  <c r="Q260" i="5" s="1"/>
  <c r="Q259" i="5"/>
  <c r="L259" i="5"/>
  <c r="L258" i="5"/>
  <c r="Q258" i="5" s="1"/>
  <c r="L257" i="5"/>
  <c r="Q257" i="5" s="1"/>
  <c r="L256" i="5"/>
  <c r="Q256" i="5" s="1"/>
  <c r="L255" i="5"/>
  <c r="Q255" i="5" s="1"/>
  <c r="L254" i="5"/>
  <c r="Q254" i="5" s="1"/>
  <c r="L253" i="5"/>
  <c r="Q253" i="5" s="1"/>
  <c r="L252" i="5"/>
  <c r="Q252" i="5" s="1"/>
  <c r="L251" i="5"/>
  <c r="Q251" i="5" s="1"/>
  <c r="L250" i="5"/>
  <c r="Q250" i="5" s="1"/>
  <c r="L249" i="5"/>
  <c r="Q249" i="5" s="1"/>
  <c r="L248" i="5"/>
  <c r="Q248" i="5" s="1"/>
  <c r="L247" i="5"/>
  <c r="Q247" i="5" s="1"/>
  <c r="L246" i="5"/>
  <c r="Q246" i="5" s="1"/>
  <c r="L245" i="5"/>
  <c r="Q245" i="5" s="1"/>
  <c r="L244" i="5"/>
  <c r="Q244" i="5" s="1"/>
  <c r="L243" i="5"/>
  <c r="Q243" i="5" s="1"/>
  <c r="L242" i="5"/>
  <c r="Q242" i="5" s="1"/>
  <c r="L241" i="5"/>
  <c r="Q241" i="5" s="1"/>
  <c r="L240" i="5"/>
  <c r="Q240" i="5" s="1"/>
  <c r="L239" i="5"/>
  <c r="Q239" i="5" s="1"/>
  <c r="L238" i="5"/>
  <c r="Q238" i="5" s="1"/>
  <c r="L237" i="5"/>
  <c r="Q237" i="5" s="1"/>
  <c r="L236" i="5"/>
  <c r="Q236" i="5" s="1"/>
  <c r="L235" i="5"/>
  <c r="Q235" i="5" s="1"/>
  <c r="L234" i="5"/>
  <c r="Q234" i="5" s="1"/>
  <c r="L233" i="5"/>
  <c r="Q233" i="5" s="1"/>
  <c r="L232" i="5"/>
  <c r="Q232" i="5" s="1"/>
  <c r="L231" i="5"/>
  <c r="Q231" i="5" s="1"/>
  <c r="L230" i="5"/>
  <c r="Q230" i="5" s="1"/>
  <c r="L229" i="5"/>
  <c r="Q229" i="5" s="1"/>
  <c r="L228" i="5"/>
  <c r="Q228" i="5" s="1"/>
  <c r="L227" i="5"/>
  <c r="Q227" i="5" s="1"/>
  <c r="L226" i="5"/>
  <c r="Q226" i="5" s="1"/>
  <c r="L225" i="5"/>
  <c r="Q225" i="5" s="1"/>
  <c r="L224" i="5"/>
  <c r="Q224" i="5" s="1"/>
  <c r="Q223" i="5"/>
  <c r="L223" i="5"/>
  <c r="L222" i="5"/>
  <c r="Q222" i="5" s="1"/>
  <c r="L221" i="5"/>
  <c r="Q221" i="5" s="1"/>
  <c r="L220" i="5"/>
  <c r="Q220" i="5" s="1"/>
  <c r="L219" i="5"/>
  <c r="Q219" i="5" s="1"/>
  <c r="L218" i="5"/>
  <c r="Q218" i="5" s="1"/>
  <c r="L217" i="5"/>
  <c r="Q217" i="5" s="1"/>
  <c r="L216" i="5"/>
  <c r="Q216" i="5" s="1"/>
  <c r="L215" i="5"/>
  <c r="Q215" i="5" s="1"/>
  <c r="L214" i="5"/>
  <c r="Q214" i="5" s="1"/>
  <c r="L213" i="5"/>
  <c r="Q213" i="5" s="1"/>
  <c r="L212" i="5"/>
  <c r="Q212" i="5" s="1"/>
  <c r="L211" i="5"/>
  <c r="Q211" i="5" s="1"/>
  <c r="L210" i="5"/>
  <c r="Q210" i="5" s="1"/>
  <c r="L209" i="5"/>
  <c r="Q209" i="5" s="1"/>
  <c r="L208" i="5"/>
  <c r="Q208" i="5" s="1"/>
  <c r="L207" i="5"/>
  <c r="Q207" i="5" s="1"/>
  <c r="L206" i="5"/>
  <c r="Q206" i="5" s="1"/>
  <c r="L205" i="5"/>
  <c r="Q205" i="5" s="1"/>
  <c r="L204" i="5"/>
  <c r="Q204" i="5" s="1"/>
  <c r="L203" i="5"/>
  <c r="Q203" i="5" s="1"/>
  <c r="L202" i="5"/>
  <c r="Q202" i="5" s="1"/>
  <c r="L201" i="5"/>
  <c r="Q201" i="5" s="1"/>
  <c r="L200" i="5"/>
  <c r="Q200" i="5" s="1"/>
  <c r="L199" i="5"/>
  <c r="Q199" i="5" s="1"/>
  <c r="L198" i="5"/>
  <c r="Q198" i="5" s="1"/>
  <c r="L197" i="5"/>
  <c r="Q197" i="5" s="1"/>
  <c r="L196" i="5"/>
  <c r="Q196" i="5" s="1"/>
  <c r="Q195" i="5"/>
  <c r="L195" i="5"/>
  <c r="L194" i="5"/>
  <c r="Q194" i="5" s="1"/>
  <c r="L193" i="5"/>
  <c r="Q193" i="5" s="1"/>
  <c r="L192" i="5"/>
  <c r="Q192" i="5" s="1"/>
  <c r="L191" i="5"/>
  <c r="Q191" i="5" s="1"/>
  <c r="L190" i="5"/>
  <c r="Q190" i="5" s="1"/>
  <c r="L189" i="5"/>
  <c r="Q189" i="5" s="1"/>
  <c r="L188" i="5"/>
  <c r="Q188" i="5" s="1"/>
  <c r="L187" i="5"/>
  <c r="Q187" i="5" s="1"/>
  <c r="L186" i="5"/>
  <c r="Q186" i="5" s="1"/>
  <c r="L185" i="5"/>
  <c r="Q185" i="5" s="1"/>
  <c r="L184" i="5"/>
  <c r="Q184" i="5" s="1"/>
  <c r="L183" i="5"/>
  <c r="Q183" i="5" s="1"/>
  <c r="L182" i="5"/>
  <c r="Q182" i="5" s="1"/>
  <c r="L181" i="5"/>
  <c r="Q181" i="5" s="1"/>
  <c r="L180" i="5"/>
  <c r="Q180" i="5" s="1"/>
  <c r="L179" i="5"/>
  <c r="Q179" i="5" s="1"/>
  <c r="L178" i="5"/>
  <c r="Q178" i="5" s="1"/>
  <c r="L177" i="5"/>
  <c r="Q177" i="5" s="1"/>
  <c r="L176" i="5"/>
  <c r="Q176" i="5" s="1"/>
  <c r="L175" i="5"/>
  <c r="Q175" i="5" s="1"/>
  <c r="L174" i="5"/>
  <c r="Q174" i="5" s="1"/>
  <c r="L173" i="5"/>
  <c r="Q173" i="5" s="1"/>
  <c r="L172" i="5"/>
  <c r="Q172" i="5" s="1"/>
  <c r="Q171" i="5"/>
  <c r="L171" i="5"/>
  <c r="L170" i="5"/>
  <c r="Q170" i="5" s="1"/>
  <c r="L169" i="5"/>
  <c r="Q169" i="5" s="1"/>
  <c r="L168" i="5"/>
  <c r="Q168" i="5" s="1"/>
  <c r="L167" i="5"/>
  <c r="Q167" i="5" s="1"/>
  <c r="L166" i="5"/>
  <c r="Q166" i="5" s="1"/>
  <c r="L165" i="5"/>
  <c r="Q165" i="5" s="1"/>
  <c r="L164" i="5"/>
  <c r="Q164" i="5" s="1"/>
  <c r="L163" i="5"/>
  <c r="Q163" i="5" s="1"/>
  <c r="L162" i="5"/>
  <c r="Q162" i="5" s="1"/>
  <c r="L161" i="5"/>
  <c r="Q161" i="5" s="1"/>
  <c r="L160" i="5"/>
  <c r="Q160" i="5" s="1"/>
  <c r="Q159" i="5"/>
  <c r="L159" i="5"/>
  <c r="L158" i="5"/>
  <c r="Q158" i="5" s="1"/>
  <c r="L157" i="5"/>
  <c r="Q157" i="5" s="1"/>
  <c r="L156" i="5"/>
  <c r="Q156" i="5" s="1"/>
  <c r="L155" i="5"/>
  <c r="Q155" i="5" s="1"/>
  <c r="L154" i="5"/>
  <c r="Q154" i="5" s="1"/>
  <c r="L153" i="5"/>
  <c r="Q153" i="5" s="1"/>
  <c r="L152" i="5"/>
  <c r="Q152" i="5" s="1"/>
  <c r="L151" i="5"/>
  <c r="Q151" i="5" s="1"/>
  <c r="L150" i="5"/>
  <c r="Q150" i="5" s="1"/>
  <c r="L149" i="5"/>
  <c r="Q149" i="5" s="1"/>
  <c r="L148" i="5"/>
  <c r="Q148" i="5" s="1"/>
  <c r="L147" i="5"/>
  <c r="Q147" i="5" s="1"/>
  <c r="L146" i="5"/>
  <c r="Q146" i="5" s="1"/>
  <c r="L145" i="5"/>
  <c r="Q145" i="5" s="1"/>
  <c r="L144" i="5"/>
  <c r="Q144" i="5" s="1"/>
  <c r="L143" i="5"/>
  <c r="Q143" i="5" s="1"/>
  <c r="L142" i="5"/>
  <c r="Q142" i="5" s="1"/>
  <c r="L141" i="5"/>
  <c r="Q141" i="5" s="1"/>
  <c r="L140" i="5"/>
  <c r="Q140" i="5" s="1"/>
  <c r="L139" i="5"/>
  <c r="Q139" i="5" s="1"/>
  <c r="L138" i="5"/>
  <c r="Q138" i="5" s="1"/>
  <c r="L137" i="5"/>
  <c r="Q137" i="5" s="1"/>
  <c r="L136" i="5"/>
  <c r="Q136" i="5" s="1"/>
  <c r="L135" i="5"/>
  <c r="Q135" i="5" s="1"/>
  <c r="L134" i="5"/>
  <c r="Q134" i="5" s="1"/>
  <c r="L133" i="5"/>
  <c r="Q133" i="5" s="1"/>
  <c r="L132" i="5"/>
  <c r="Q132" i="5" s="1"/>
  <c r="L131" i="5"/>
  <c r="Q131" i="5" s="1"/>
  <c r="L130" i="5"/>
  <c r="Q130" i="5" s="1"/>
  <c r="L129" i="5"/>
  <c r="Q129" i="5" s="1"/>
  <c r="L128" i="5"/>
  <c r="Q128" i="5" s="1"/>
  <c r="L127" i="5"/>
  <c r="Q127" i="5" s="1"/>
  <c r="L126" i="5"/>
  <c r="Q126" i="5" s="1"/>
  <c r="L125" i="5"/>
  <c r="Q125" i="5" s="1"/>
  <c r="L124" i="5"/>
  <c r="Q124" i="5" s="1"/>
  <c r="L123" i="5"/>
  <c r="Q123" i="5" s="1"/>
  <c r="L122" i="5"/>
  <c r="Q122" i="5" s="1"/>
  <c r="L121" i="5"/>
  <c r="Q121" i="5" s="1"/>
  <c r="L120" i="5"/>
  <c r="Q120" i="5" s="1"/>
  <c r="L119" i="5"/>
  <c r="Q119" i="5" s="1"/>
  <c r="L118" i="5"/>
  <c r="Q118" i="5" s="1"/>
  <c r="L117" i="5"/>
  <c r="Q117" i="5" s="1"/>
  <c r="L116" i="5"/>
  <c r="Q116" i="5" s="1"/>
  <c r="L115" i="5"/>
  <c r="Q115" i="5" s="1"/>
  <c r="L114" i="5"/>
  <c r="Q114" i="5" s="1"/>
  <c r="L113" i="5"/>
  <c r="Q113" i="5" s="1"/>
  <c r="L112" i="5"/>
  <c r="Q112" i="5" s="1"/>
  <c r="L111" i="5"/>
  <c r="Q111" i="5" s="1"/>
  <c r="L110" i="5"/>
  <c r="Q110" i="5" s="1"/>
  <c r="L109" i="5"/>
  <c r="Q109" i="5" s="1"/>
  <c r="L108" i="5"/>
  <c r="Q108" i="5" s="1"/>
  <c r="Q107" i="5"/>
  <c r="L107" i="5"/>
  <c r="L106" i="5"/>
  <c r="Q106" i="5" s="1"/>
  <c r="L105" i="5"/>
  <c r="Q105" i="5" s="1"/>
  <c r="L104" i="5"/>
  <c r="Q104" i="5" s="1"/>
  <c r="L103" i="5"/>
  <c r="Q103" i="5" s="1"/>
  <c r="L102" i="5"/>
  <c r="Q102" i="5" s="1"/>
  <c r="L101" i="5"/>
  <c r="Q101" i="5" s="1"/>
  <c r="L100" i="5"/>
  <c r="Q100" i="5" s="1"/>
  <c r="L99" i="5"/>
  <c r="Q99" i="5" s="1"/>
  <c r="L98" i="5"/>
  <c r="Q98" i="5" s="1"/>
  <c r="L97" i="5"/>
  <c r="Q97" i="5" s="1"/>
  <c r="L96" i="5"/>
  <c r="Q96" i="5" s="1"/>
  <c r="Q95" i="5"/>
  <c r="L95" i="5"/>
  <c r="L94" i="5"/>
  <c r="Q94" i="5" s="1"/>
  <c r="L93" i="5"/>
  <c r="Q93" i="5" s="1"/>
  <c r="L92" i="5"/>
  <c r="Q92" i="5" s="1"/>
  <c r="L91" i="5"/>
  <c r="Q91" i="5" s="1"/>
  <c r="L90" i="5"/>
  <c r="Q90" i="5" s="1"/>
  <c r="L89" i="5"/>
  <c r="Q89" i="5" s="1"/>
  <c r="L88" i="5"/>
  <c r="Q88" i="5" s="1"/>
  <c r="L87" i="5"/>
  <c r="Q87" i="5" s="1"/>
  <c r="L86" i="5"/>
  <c r="Q86" i="5" s="1"/>
  <c r="L85" i="5"/>
  <c r="Q85" i="5" s="1"/>
  <c r="L84" i="5"/>
  <c r="Q84" i="5" s="1"/>
  <c r="L83" i="5"/>
  <c r="Q83" i="5" s="1"/>
  <c r="L82" i="5"/>
  <c r="Q82" i="5" s="1"/>
  <c r="L81" i="5"/>
  <c r="Q81" i="5" s="1"/>
  <c r="L80" i="5"/>
  <c r="Q80" i="5" s="1"/>
  <c r="L79" i="5"/>
  <c r="Q79" i="5" s="1"/>
  <c r="L78" i="5"/>
  <c r="Q78" i="5" s="1"/>
  <c r="L77" i="5"/>
  <c r="Q77" i="5" s="1"/>
  <c r="L76" i="5"/>
  <c r="Q76" i="5" s="1"/>
  <c r="L75" i="5"/>
  <c r="Q75" i="5" s="1"/>
  <c r="L74" i="5"/>
  <c r="Q74" i="5" s="1"/>
  <c r="L73" i="5"/>
  <c r="Q73" i="5" s="1"/>
  <c r="L72" i="5"/>
  <c r="Q72" i="5" s="1"/>
  <c r="L71" i="5"/>
  <c r="Q71" i="5" s="1"/>
  <c r="L70" i="5"/>
  <c r="Q70" i="5" s="1"/>
  <c r="L69" i="5"/>
  <c r="Q69" i="5" s="1"/>
  <c r="L68" i="5"/>
  <c r="Q68" i="5" s="1"/>
  <c r="L67" i="5"/>
  <c r="Q67" i="5" s="1"/>
  <c r="L66" i="5"/>
  <c r="Q66" i="5" s="1"/>
  <c r="L65" i="5"/>
  <c r="Q65" i="5" s="1"/>
  <c r="L64" i="5"/>
  <c r="Q64" i="5" s="1"/>
  <c r="L63" i="5"/>
  <c r="Q63" i="5" s="1"/>
  <c r="L62" i="5"/>
  <c r="Q62" i="5" s="1"/>
  <c r="L61" i="5"/>
  <c r="Q61" i="5" s="1"/>
  <c r="L60" i="5"/>
  <c r="Q60" i="5" s="1"/>
  <c r="L59" i="5"/>
  <c r="Q59" i="5" s="1"/>
  <c r="L58" i="5"/>
  <c r="Q58" i="5" s="1"/>
  <c r="L57" i="5"/>
  <c r="Q57" i="5" s="1"/>
  <c r="L56" i="5"/>
  <c r="Q56" i="5" s="1"/>
  <c r="L55" i="5"/>
  <c r="Q55" i="5" s="1"/>
  <c r="L54" i="5"/>
  <c r="Q54" i="5" s="1"/>
  <c r="L53" i="5"/>
  <c r="Q53" i="5" s="1"/>
  <c r="L52" i="5"/>
  <c r="Q52" i="5" s="1"/>
  <c r="L51" i="5"/>
  <c r="Q51" i="5" s="1"/>
  <c r="L50" i="5"/>
  <c r="Q50" i="5" s="1"/>
  <c r="L49" i="5"/>
  <c r="Q49" i="5" s="1"/>
  <c r="L48" i="5"/>
  <c r="Q48" i="5" s="1"/>
  <c r="L47" i="5"/>
  <c r="Q47" i="5" s="1"/>
  <c r="L46" i="5"/>
  <c r="Q46" i="5" s="1"/>
  <c r="L45" i="5"/>
  <c r="Q45" i="5" s="1"/>
  <c r="L44" i="5"/>
  <c r="Q44" i="5" s="1"/>
  <c r="Q43" i="5"/>
  <c r="L43" i="5"/>
  <c r="L42" i="5"/>
  <c r="Q42" i="5" s="1"/>
  <c r="L41" i="5"/>
  <c r="Q41" i="5" s="1"/>
  <c r="L40" i="5"/>
  <c r="Q40" i="5" s="1"/>
  <c r="L39" i="5"/>
  <c r="Q39" i="5" s="1"/>
  <c r="L38" i="5"/>
  <c r="Q38" i="5" s="1"/>
  <c r="L37" i="5"/>
  <c r="Q37" i="5" s="1"/>
  <c r="L36" i="5"/>
  <c r="Q36" i="5" s="1"/>
  <c r="L35" i="5"/>
  <c r="Q35" i="5" s="1"/>
  <c r="L34" i="5"/>
  <c r="Q34" i="5" s="1"/>
  <c r="L33" i="5"/>
  <c r="Q33" i="5" s="1"/>
  <c r="L32" i="5"/>
  <c r="Q32" i="5" s="1"/>
  <c r="Q31" i="5"/>
  <c r="L31" i="5"/>
  <c r="L30" i="5"/>
  <c r="Q30" i="5" s="1"/>
  <c r="L29" i="5"/>
  <c r="Q29" i="5" s="1"/>
  <c r="L28" i="5"/>
  <c r="Q28" i="5" s="1"/>
  <c r="L27" i="5"/>
  <c r="Q27" i="5" s="1"/>
  <c r="L26" i="5"/>
  <c r="Q26" i="5" s="1"/>
  <c r="L25" i="5"/>
  <c r="Q25" i="5" s="1"/>
  <c r="L24" i="5"/>
  <c r="Q24" i="5" s="1"/>
  <c r="L23" i="5"/>
  <c r="Q23" i="5" s="1"/>
  <c r="L22" i="5"/>
  <c r="Q22" i="5" s="1"/>
  <c r="L21" i="5"/>
  <c r="Q21" i="5" s="1"/>
  <c r="L20" i="5"/>
  <c r="Q20" i="5" s="1"/>
  <c r="L19" i="5"/>
  <c r="Q19" i="5" s="1"/>
  <c r="L18" i="5"/>
  <c r="Q18" i="5" s="1"/>
  <c r="L17" i="5"/>
  <c r="Q17" i="5" s="1"/>
  <c r="L16" i="5"/>
  <c r="Q16" i="5" s="1"/>
  <c r="L15" i="5"/>
  <c r="Q15" i="5" s="1"/>
  <c r="L14" i="5"/>
  <c r="Q14" i="5" s="1"/>
  <c r="L13" i="5"/>
  <c r="Q13" i="5" s="1"/>
  <c r="Q12" i="5"/>
  <c r="L12" i="5"/>
  <c r="L11" i="5"/>
  <c r="Q11" i="5" s="1"/>
  <c r="L10" i="5"/>
  <c r="Q10" i="5" s="1"/>
  <c r="Q9" i="5"/>
  <c r="L9" i="5"/>
  <c r="L8" i="5"/>
  <c r="Q8" i="5" s="1"/>
  <c r="L7" i="5"/>
  <c r="Q7" i="5" s="1"/>
  <c r="L511" i="3" l="1"/>
  <c r="Q511" i="3" s="1"/>
  <c r="L510" i="3"/>
  <c r="Q510" i="3" s="1"/>
  <c r="L509" i="3"/>
  <c r="Q509" i="3" s="1"/>
  <c r="L508" i="3"/>
  <c r="Q508" i="3" s="1"/>
  <c r="L507" i="3"/>
  <c r="Q507" i="3" s="1"/>
  <c r="L506" i="3"/>
  <c r="Q506" i="3" s="1"/>
  <c r="L505" i="3"/>
  <c r="Q505" i="3" s="1"/>
  <c r="L504" i="3"/>
  <c r="Q504" i="3" s="1"/>
  <c r="L503" i="3"/>
  <c r="Q503" i="3" s="1"/>
  <c r="L502" i="3"/>
  <c r="Q502" i="3" s="1"/>
  <c r="L501" i="3"/>
  <c r="Q501" i="3" s="1"/>
  <c r="L500" i="3"/>
  <c r="Q500" i="3" s="1"/>
  <c r="L499" i="3"/>
  <c r="Q499" i="3" s="1"/>
  <c r="L498" i="3"/>
  <c r="Q498" i="3" s="1"/>
  <c r="L497" i="3"/>
  <c r="Q497" i="3" s="1"/>
  <c r="L496" i="3"/>
  <c r="Q496" i="3" s="1"/>
  <c r="L495" i="3"/>
  <c r="Q495" i="3" s="1"/>
  <c r="L494" i="3"/>
  <c r="Q494" i="3" s="1"/>
  <c r="L493" i="3"/>
  <c r="Q493" i="3" s="1"/>
  <c r="L492" i="3"/>
  <c r="Q492" i="3" s="1"/>
  <c r="L491" i="3"/>
  <c r="Q491" i="3" s="1"/>
  <c r="L490" i="3"/>
  <c r="Q490" i="3" s="1"/>
  <c r="E490" i="3"/>
  <c r="L489" i="3"/>
  <c r="Q489" i="3" s="1"/>
  <c r="L488" i="3"/>
  <c r="Q488" i="3" s="1"/>
  <c r="L487" i="3"/>
  <c r="Q487" i="3" s="1"/>
  <c r="L486" i="3"/>
  <c r="Q486" i="3" s="1"/>
  <c r="L485" i="3"/>
  <c r="Q485" i="3" s="1"/>
  <c r="L484" i="3"/>
  <c r="Q484" i="3" s="1"/>
  <c r="L483" i="3"/>
  <c r="Q483" i="3" s="1"/>
  <c r="L482" i="3"/>
  <c r="Q482" i="3" s="1"/>
  <c r="L481" i="3"/>
  <c r="Q481" i="3" s="1"/>
  <c r="L480" i="3"/>
  <c r="Q480" i="3" s="1"/>
  <c r="L479" i="3"/>
  <c r="Q479" i="3" s="1"/>
  <c r="L478" i="3"/>
  <c r="Q478" i="3" s="1"/>
  <c r="L477" i="3"/>
  <c r="Q477" i="3" s="1"/>
  <c r="L476" i="3"/>
  <c r="Q476" i="3" s="1"/>
  <c r="L475" i="3"/>
  <c r="Q475" i="3" s="1"/>
  <c r="L474" i="3"/>
  <c r="Q474" i="3" s="1"/>
  <c r="L473" i="3"/>
  <c r="Q473" i="3" s="1"/>
  <c r="L472" i="3"/>
  <c r="Q472" i="3" s="1"/>
  <c r="L471" i="3"/>
  <c r="Q471" i="3" s="1"/>
  <c r="L470" i="3"/>
  <c r="Q470" i="3" s="1"/>
  <c r="L469" i="3"/>
  <c r="Q469" i="3" s="1"/>
  <c r="L468" i="3"/>
  <c r="Q468" i="3" s="1"/>
  <c r="L467" i="3"/>
  <c r="Q467" i="3" s="1"/>
  <c r="L466" i="3"/>
  <c r="Q466" i="3" s="1"/>
  <c r="L465" i="3"/>
  <c r="Q465" i="3" s="1"/>
  <c r="L464" i="3"/>
  <c r="Q464" i="3" s="1"/>
  <c r="L463" i="3"/>
  <c r="Q463" i="3" s="1"/>
  <c r="L462" i="3"/>
  <c r="Q462" i="3" s="1"/>
  <c r="L461" i="3"/>
  <c r="Q461" i="3" s="1"/>
  <c r="L460" i="3"/>
  <c r="Q460" i="3" s="1"/>
  <c r="L459" i="3"/>
  <c r="Q459" i="3" s="1"/>
  <c r="L458" i="3"/>
  <c r="Q458" i="3" s="1"/>
  <c r="L457" i="3"/>
  <c r="Q457" i="3" s="1"/>
  <c r="L456" i="3"/>
  <c r="Q456" i="3" s="1"/>
  <c r="L455" i="3"/>
  <c r="Q455" i="3" s="1"/>
  <c r="L454" i="3"/>
  <c r="Q454" i="3" s="1"/>
  <c r="L453" i="3"/>
  <c r="Q453" i="3" s="1"/>
  <c r="L452" i="3"/>
  <c r="Q452" i="3" s="1"/>
  <c r="L451" i="3"/>
  <c r="Q451" i="3" s="1"/>
  <c r="L450" i="3"/>
  <c r="Q450" i="3" s="1"/>
  <c r="Q449" i="3"/>
  <c r="L449" i="3"/>
  <c r="L448" i="3"/>
  <c r="Q448" i="3" s="1"/>
  <c r="L447" i="3"/>
  <c r="Q447" i="3" s="1"/>
  <c r="L446" i="3"/>
  <c r="Q446" i="3" s="1"/>
  <c r="L445" i="3"/>
  <c r="Q445" i="3" s="1"/>
  <c r="L444" i="3"/>
  <c r="Q444" i="3" s="1"/>
  <c r="L443" i="3"/>
  <c r="Q443" i="3" s="1"/>
  <c r="L442" i="3"/>
  <c r="Q442" i="3" s="1"/>
  <c r="L441" i="3"/>
  <c r="Q441" i="3" s="1"/>
  <c r="L440" i="3"/>
  <c r="Q440" i="3" s="1"/>
  <c r="L439" i="3"/>
  <c r="Q439" i="3" s="1"/>
  <c r="L438" i="3"/>
  <c r="Q438" i="3" s="1"/>
  <c r="L437" i="3"/>
  <c r="Q437" i="3" s="1"/>
  <c r="L436" i="3"/>
  <c r="Q436" i="3" s="1"/>
  <c r="L435" i="3"/>
  <c r="Q435" i="3" s="1"/>
  <c r="L434" i="3"/>
  <c r="Q434" i="3" s="1"/>
  <c r="L433" i="3"/>
  <c r="Q433" i="3" s="1"/>
  <c r="L432" i="3"/>
  <c r="Q432" i="3" s="1"/>
  <c r="L431" i="3"/>
  <c r="Q431" i="3" s="1"/>
  <c r="L430" i="3"/>
  <c r="Q430" i="3" s="1"/>
  <c r="L429" i="3"/>
  <c r="Q429" i="3" s="1"/>
  <c r="L428" i="3"/>
  <c r="Q428" i="3" s="1"/>
  <c r="L427" i="3"/>
  <c r="Q427" i="3" s="1"/>
  <c r="L426" i="3"/>
  <c r="Q426" i="3" s="1"/>
  <c r="L425" i="3"/>
  <c r="Q425" i="3" s="1"/>
  <c r="L424" i="3"/>
  <c r="Q424" i="3" s="1"/>
  <c r="L423" i="3"/>
  <c r="Q423" i="3" s="1"/>
  <c r="L422" i="3"/>
  <c r="Q422" i="3" s="1"/>
  <c r="L421" i="3"/>
  <c r="Q421" i="3" s="1"/>
  <c r="L420" i="3"/>
  <c r="Q420" i="3" s="1"/>
  <c r="L419" i="3"/>
  <c r="Q419" i="3" s="1"/>
  <c r="L418" i="3"/>
  <c r="Q418" i="3" s="1"/>
  <c r="L417" i="3"/>
  <c r="Q417" i="3" s="1"/>
  <c r="L416" i="3"/>
  <c r="Q416" i="3" s="1"/>
  <c r="L415" i="3"/>
  <c r="Q415" i="3" s="1"/>
  <c r="L414" i="3"/>
  <c r="Q414" i="3" s="1"/>
  <c r="L413" i="3"/>
  <c r="Q413" i="3" s="1"/>
  <c r="L412" i="3"/>
  <c r="Q412" i="3" s="1"/>
  <c r="L411" i="3"/>
  <c r="Q411" i="3" s="1"/>
  <c r="L410" i="3"/>
  <c r="Q410" i="3" s="1"/>
  <c r="L409" i="3"/>
  <c r="Q409" i="3" s="1"/>
  <c r="L408" i="3"/>
  <c r="Q408" i="3" s="1"/>
  <c r="L407" i="3"/>
  <c r="Q407" i="3" s="1"/>
  <c r="L406" i="3"/>
  <c r="Q406" i="3" s="1"/>
  <c r="L405" i="3"/>
  <c r="Q405" i="3" s="1"/>
  <c r="L404" i="3"/>
  <c r="Q404" i="3" s="1"/>
  <c r="L403" i="3"/>
  <c r="Q403" i="3" s="1"/>
  <c r="L402" i="3"/>
  <c r="Q402" i="3" s="1"/>
  <c r="L401" i="3"/>
  <c r="Q401" i="3" s="1"/>
  <c r="L400" i="3"/>
  <c r="Q400" i="3" s="1"/>
  <c r="L399" i="3"/>
  <c r="Q399" i="3" s="1"/>
  <c r="L398" i="3"/>
  <c r="Q398" i="3" s="1"/>
  <c r="L397" i="3"/>
  <c r="Q397" i="3" s="1"/>
  <c r="L396" i="3"/>
  <c r="Q396" i="3" s="1"/>
  <c r="L395" i="3"/>
  <c r="Q395" i="3" s="1"/>
  <c r="L394" i="3"/>
  <c r="Q394" i="3" s="1"/>
  <c r="L393" i="3"/>
  <c r="Q393" i="3" s="1"/>
  <c r="L392" i="3"/>
  <c r="Q392" i="3" s="1"/>
  <c r="L391" i="3"/>
  <c r="Q391" i="3" s="1"/>
  <c r="L390" i="3"/>
  <c r="Q390" i="3" s="1"/>
  <c r="L389" i="3"/>
  <c r="Q389" i="3" s="1"/>
  <c r="L388" i="3"/>
  <c r="Q388" i="3" s="1"/>
  <c r="L387" i="3"/>
  <c r="Q387" i="3" s="1"/>
  <c r="L386" i="3"/>
  <c r="Q386" i="3" s="1"/>
  <c r="L385" i="3"/>
  <c r="Q385" i="3" s="1"/>
  <c r="L384" i="3"/>
  <c r="Q384" i="3" s="1"/>
  <c r="L383" i="3"/>
  <c r="Q383" i="3" s="1"/>
  <c r="L382" i="3"/>
  <c r="Q382" i="3" s="1"/>
  <c r="L381" i="3"/>
  <c r="Q381" i="3" s="1"/>
  <c r="L380" i="3"/>
  <c r="Q380" i="3" s="1"/>
  <c r="L379" i="3"/>
  <c r="Q379" i="3" s="1"/>
  <c r="L378" i="3"/>
  <c r="Q378" i="3" s="1"/>
  <c r="L377" i="3"/>
  <c r="Q377" i="3" s="1"/>
  <c r="L376" i="3"/>
  <c r="Q376" i="3" s="1"/>
  <c r="L375" i="3"/>
  <c r="Q375" i="3" s="1"/>
  <c r="L374" i="3"/>
  <c r="Q374" i="3" s="1"/>
  <c r="L373" i="3"/>
  <c r="Q373" i="3" s="1"/>
  <c r="L372" i="3"/>
  <c r="Q372" i="3" s="1"/>
  <c r="L371" i="3"/>
  <c r="Q371" i="3" s="1"/>
  <c r="L370" i="3"/>
  <c r="Q370" i="3" s="1"/>
  <c r="L369" i="3"/>
  <c r="Q369" i="3" s="1"/>
  <c r="L368" i="3"/>
  <c r="Q368" i="3" s="1"/>
  <c r="L367" i="3"/>
  <c r="Q367" i="3" s="1"/>
  <c r="L366" i="3"/>
  <c r="Q366" i="3" s="1"/>
  <c r="L365" i="3"/>
  <c r="Q365" i="3" s="1"/>
  <c r="L364" i="3"/>
  <c r="Q364" i="3" s="1"/>
  <c r="L363" i="3"/>
  <c r="Q363" i="3" s="1"/>
  <c r="L362" i="3"/>
  <c r="Q362" i="3" s="1"/>
  <c r="L361" i="3"/>
  <c r="Q361" i="3" s="1"/>
  <c r="L360" i="3"/>
  <c r="Q360" i="3" s="1"/>
  <c r="L359" i="3"/>
  <c r="Q359" i="3" s="1"/>
  <c r="L358" i="3"/>
  <c r="Q358" i="3" s="1"/>
  <c r="L357" i="3"/>
  <c r="Q357" i="3" s="1"/>
  <c r="L356" i="3"/>
  <c r="Q356" i="3" s="1"/>
  <c r="L355" i="3"/>
  <c r="Q355" i="3" s="1"/>
  <c r="L354" i="3"/>
  <c r="Q354" i="3" s="1"/>
  <c r="L353" i="3"/>
  <c r="Q353" i="3" s="1"/>
  <c r="Q352" i="3"/>
  <c r="L352" i="3"/>
  <c r="L351" i="3"/>
  <c r="Q351" i="3" s="1"/>
  <c r="L350" i="3"/>
  <c r="Q350" i="3" s="1"/>
  <c r="L349" i="3"/>
  <c r="Q349" i="3" s="1"/>
  <c r="L348" i="3"/>
  <c r="Q348" i="3" s="1"/>
  <c r="L347" i="3"/>
  <c r="Q347" i="3" s="1"/>
  <c r="L346" i="3"/>
  <c r="Q346" i="3" s="1"/>
  <c r="L345" i="3"/>
  <c r="Q345" i="3" s="1"/>
  <c r="L344" i="3"/>
  <c r="Q344" i="3" s="1"/>
  <c r="L343" i="3"/>
  <c r="Q343" i="3" s="1"/>
  <c r="L342" i="3"/>
  <c r="Q342" i="3" s="1"/>
  <c r="L341" i="3"/>
  <c r="Q341" i="3" s="1"/>
  <c r="L340" i="3"/>
  <c r="Q340" i="3" s="1"/>
  <c r="L339" i="3"/>
  <c r="Q339" i="3" s="1"/>
  <c r="L338" i="3"/>
  <c r="Q338" i="3" s="1"/>
  <c r="L337" i="3"/>
  <c r="Q337" i="3" s="1"/>
  <c r="L336" i="3"/>
  <c r="Q336" i="3" s="1"/>
  <c r="L335" i="3"/>
  <c r="Q335" i="3" s="1"/>
  <c r="L334" i="3"/>
  <c r="Q334" i="3" s="1"/>
  <c r="L333" i="3"/>
  <c r="Q333" i="3" s="1"/>
  <c r="L332" i="3"/>
  <c r="Q332" i="3" s="1"/>
  <c r="L331" i="3"/>
  <c r="Q331" i="3" s="1"/>
  <c r="L330" i="3"/>
  <c r="Q330" i="3" s="1"/>
  <c r="L329" i="3"/>
  <c r="Q329" i="3" s="1"/>
  <c r="L328" i="3"/>
  <c r="Q328" i="3" s="1"/>
  <c r="L327" i="3"/>
  <c r="Q327" i="3" s="1"/>
  <c r="L326" i="3"/>
  <c r="Q326" i="3" s="1"/>
  <c r="L325" i="3"/>
  <c r="Q325" i="3" s="1"/>
  <c r="L324" i="3"/>
  <c r="Q324" i="3" s="1"/>
  <c r="L323" i="3"/>
  <c r="Q323" i="3" s="1"/>
  <c r="L322" i="3"/>
  <c r="Q322" i="3" s="1"/>
  <c r="L321" i="3"/>
  <c r="Q321" i="3" s="1"/>
  <c r="L320" i="3"/>
  <c r="Q320" i="3" s="1"/>
  <c r="L319" i="3"/>
  <c r="Q319" i="3" s="1"/>
  <c r="L318" i="3"/>
  <c r="Q318" i="3" s="1"/>
  <c r="L317" i="3"/>
  <c r="Q317" i="3" s="1"/>
  <c r="L316" i="3"/>
  <c r="Q316" i="3" s="1"/>
  <c r="L315" i="3"/>
  <c r="Q315" i="3" s="1"/>
  <c r="L314" i="3"/>
  <c r="Q314" i="3" s="1"/>
  <c r="L313" i="3"/>
  <c r="Q313" i="3" s="1"/>
  <c r="L312" i="3"/>
  <c r="Q312" i="3" s="1"/>
  <c r="L311" i="3"/>
  <c r="Q311" i="3" s="1"/>
  <c r="L310" i="3"/>
  <c r="Q310" i="3" s="1"/>
  <c r="L309" i="3"/>
  <c r="Q309" i="3" s="1"/>
  <c r="L308" i="3"/>
  <c r="Q308" i="3" s="1"/>
  <c r="L307" i="3"/>
  <c r="Q307" i="3" s="1"/>
  <c r="L306" i="3"/>
  <c r="Q306" i="3" s="1"/>
  <c r="L305" i="3"/>
  <c r="Q305" i="3" s="1"/>
  <c r="L304" i="3"/>
  <c r="Q304" i="3" s="1"/>
  <c r="L303" i="3"/>
  <c r="Q303" i="3" s="1"/>
  <c r="L302" i="3"/>
  <c r="Q302" i="3" s="1"/>
  <c r="L301" i="3"/>
  <c r="Q301" i="3" s="1"/>
  <c r="L300" i="3"/>
  <c r="Q300" i="3" s="1"/>
  <c r="L299" i="3"/>
  <c r="Q299" i="3" s="1"/>
  <c r="L298" i="3"/>
  <c r="Q298" i="3" s="1"/>
  <c r="L297" i="3"/>
  <c r="Q297" i="3" s="1"/>
  <c r="L296" i="3"/>
  <c r="Q296" i="3" s="1"/>
  <c r="L295" i="3"/>
  <c r="Q295" i="3" s="1"/>
  <c r="L294" i="3"/>
  <c r="Q294" i="3" s="1"/>
  <c r="L293" i="3"/>
  <c r="Q293" i="3" s="1"/>
  <c r="L292" i="3"/>
  <c r="Q292" i="3" s="1"/>
  <c r="L291" i="3"/>
  <c r="Q291" i="3" s="1"/>
  <c r="L290" i="3"/>
  <c r="Q290" i="3" s="1"/>
  <c r="L289" i="3"/>
  <c r="Q289" i="3" s="1"/>
  <c r="L288" i="3"/>
  <c r="Q288" i="3" s="1"/>
  <c r="L287" i="3"/>
  <c r="Q287" i="3" s="1"/>
  <c r="L286" i="3"/>
  <c r="Q286" i="3" s="1"/>
  <c r="L285" i="3"/>
  <c r="Q285" i="3" s="1"/>
  <c r="L284" i="3"/>
  <c r="Q284" i="3" s="1"/>
  <c r="L283" i="3"/>
  <c r="Q283" i="3" s="1"/>
  <c r="L282" i="3"/>
  <c r="Q282" i="3" s="1"/>
  <c r="L281" i="3"/>
  <c r="Q281" i="3" s="1"/>
  <c r="L280" i="3"/>
  <c r="Q280" i="3" s="1"/>
  <c r="L279" i="3"/>
  <c r="Q279" i="3" s="1"/>
  <c r="L278" i="3"/>
  <c r="Q278" i="3" s="1"/>
  <c r="L277" i="3"/>
  <c r="Q277" i="3" s="1"/>
  <c r="L276" i="3"/>
  <c r="Q276" i="3" s="1"/>
  <c r="L275" i="3"/>
  <c r="Q275" i="3" s="1"/>
  <c r="L274" i="3"/>
  <c r="Q274" i="3" s="1"/>
  <c r="L273" i="3"/>
  <c r="Q273" i="3" s="1"/>
  <c r="L272" i="3"/>
  <c r="Q272" i="3" s="1"/>
  <c r="L271" i="3"/>
  <c r="Q271" i="3" s="1"/>
  <c r="L270" i="3"/>
  <c r="Q270" i="3" s="1"/>
  <c r="L269" i="3"/>
  <c r="Q269" i="3" s="1"/>
  <c r="L268" i="3"/>
  <c r="Q268" i="3" s="1"/>
  <c r="L267" i="3"/>
  <c r="Q267" i="3" s="1"/>
  <c r="L266" i="3"/>
  <c r="Q266" i="3" s="1"/>
  <c r="L265" i="3"/>
  <c r="Q265" i="3" s="1"/>
  <c r="L264" i="3"/>
  <c r="Q264" i="3" s="1"/>
  <c r="L263" i="3"/>
  <c r="Q263" i="3" s="1"/>
  <c r="L262" i="3"/>
  <c r="Q262" i="3" s="1"/>
  <c r="L261" i="3"/>
  <c r="Q261" i="3" s="1"/>
  <c r="L260" i="3"/>
  <c r="Q260" i="3" s="1"/>
  <c r="L259" i="3"/>
  <c r="Q259" i="3" s="1"/>
  <c r="L258" i="3"/>
  <c r="Q258" i="3" s="1"/>
  <c r="L257" i="3"/>
  <c r="Q257" i="3" s="1"/>
  <c r="L256" i="3"/>
  <c r="Q256" i="3" s="1"/>
  <c r="L255" i="3"/>
  <c r="Q255" i="3" s="1"/>
  <c r="L254" i="3"/>
  <c r="Q254" i="3" s="1"/>
  <c r="L253" i="3"/>
  <c r="Q253" i="3" s="1"/>
  <c r="L252" i="3"/>
  <c r="Q252" i="3" s="1"/>
  <c r="L251" i="3"/>
  <c r="Q251" i="3" s="1"/>
  <c r="L250" i="3"/>
  <c r="Q250" i="3" s="1"/>
  <c r="L249" i="3"/>
  <c r="Q249" i="3" s="1"/>
  <c r="L248" i="3"/>
  <c r="Q248" i="3" s="1"/>
  <c r="L247" i="3"/>
  <c r="Q247" i="3" s="1"/>
  <c r="L246" i="3"/>
  <c r="Q246" i="3" s="1"/>
  <c r="L245" i="3"/>
  <c r="Q245" i="3" s="1"/>
  <c r="L244" i="3"/>
  <c r="Q244" i="3" s="1"/>
  <c r="L243" i="3"/>
  <c r="Q243" i="3" s="1"/>
  <c r="L242" i="3"/>
  <c r="Q242" i="3" s="1"/>
  <c r="L241" i="3"/>
  <c r="Q241" i="3" s="1"/>
  <c r="L240" i="3"/>
  <c r="Q240" i="3" s="1"/>
  <c r="L239" i="3"/>
  <c r="Q239" i="3" s="1"/>
  <c r="L238" i="3"/>
  <c r="Q238" i="3" s="1"/>
  <c r="L237" i="3"/>
  <c r="Q237" i="3" s="1"/>
  <c r="L236" i="3"/>
  <c r="Q236" i="3" s="1"/>
  <c r="L235" i="3"/>
  <c r="Q235" i="3" s="1"/>
  <c r="L234" i="3"/>
  <c r="Q234" i="3" s="1"/>
  <c r="L233" i="3"/>
  <c r="Q233" i="3" s="1"/>
  <c r="L232" i="3"/>
  <c r="Q232" i="3" s="1"/>
  <c r="L231" i="3"/>
  <c r="Q231" i="3" s="1"/>
  <c r="L230" i="3"/>
  <c r="Q230" i="3" s="1"/>
  <c r="L229" i="3"/>
  <c r="Q229" i="3" s="1"/>
  <c r="L228" i="3"/>
  <c r="Q228" i="3" s="1"/>
  <c r="L227" i="3"/>
  <c r="Q227" i="3" s="1"/>
  <c r="L226" i="3"/>
  <c r="Q226" i="3" s="1"/>
  <c r="L225" i="3"/>
  <c r="Q225" i="3" s="1"/>
  <c r="L224" i="3"/>
  <c r="Q224" i="3" s="1"/>
  <c r="L223" i="3"/>
  <c r="Q223" i="3" s="1"/>
  <c r="L222" i="3"/>
  <c r="Q222" i="3" s="1"/>
  <c r="L221" i="3"/>
  <c r="Q221" i="3" s="1"/>
  <c r="L220" i="3"/>
  <c r="Q220" i="3" s="1"/>
  <c r="L219" i="3"/>
  <c r="Q219" i="3" s="1"/>
  <c r="L218" i="3"/>
  <c r="Q218" i="3" s="1"/>
  <c r="L217" i="3"/>
  <c r="Q217" i="3" s="1"/>
  <c r="L216" i="3"/>
  <c r="Q216" i="3" s="1"/>
  <c r="L215" i="3"/>
  <c r="Q215" i="3" s="1"/>
  <c r="L214" i="3"/>
  <c r="Q214" i="3" s="1"/>
  <c r="L213" i="3"/>
  <c r="Q213" i="3" s="1"/>
  <c r="L212" i="3"/>
  <c r="Q212" i="3" s="1"/>
  <c r="L211" i="3"/>
  <c r="Q211" i="3" s="1"/>
  <c r="L210" i="3"/>
  <c r="Q210" i="3" s="1"/>
  <c r="L209" i="3"/>
  <c r="Q209" i="3" s="1"/>
  <c r="L208" i="3"/>
  <c r="Q208" i="3" s="1"/>
  <c r="L207" i="3"/>
  <c r="Q207" i="3" s="1"/>
  <c r="L206" i="3"/>
  <c r="Q206" i="3" s="1"/>
  <c r="L205" i="3"/>
  <c r="Q205" i="3" s="1"/>
  <c r="L204" i="3"/>
  <c r="Q204" i="3" s="1"/>
  <c r="L203" i="3"/>
  <c r="Q203" i="3" s="1"/>
  <c r="L202" i="3"/>
  <c r="Q202" i="3" s="1"/>
  <c r="L201" i="3"/>
  <c r="Q201" i="3" s="1"/>
  <c r="L200" i="3"/>
  <c r="Q200" i="3" s="1"/>
  <c r="L199" i="3"/>
  <c r="Q199" i="3" s="1"/>
  <c r="L198" i="3"/>
  <c r="Q198" i="3" s="1"/>
  <c r="L197" i="3"/>
  <c r="Q197" i="3" s="1"/>
  <c r="L196" i="3"/>
  <c r="Q196" i="3" s="1"/>
  <c r="L195" i="3"/>
  <c r="Q195" i="3" s="1"/>
  <c r="L194" i="3"/>
  <c r="Q194" i="3" s="1"/>
  <c r="L193" i="3"/>
  <c r="Q193" i="3" s="1"/>
  <c r="L192" i="3"/>
  <c r="Q192" i="3" s="1"/>
  <c r="L191" i="3"/>
  <c r="Q191" i="3" s="1"/>
  <c r="L190" i="3"/>
  <c r="Q190" i="3" s="1"/>
  <c r="L189" i="3"/>
  <c r="Q189" i="3" s="1"/>
  <c r="L188" i="3"/>
  <c r="Q188" i="3" s="1"/>
  <c r="L187" i="3"/>
  <c r="Q187" i="3" s="1"/>
  <c r="L186" i="3"/>
  <c r="Q186" i="3" s="1"/>
  <c r="L185" i="3"/>
  <c r="Q185" i="3" s="1"/>
  <c r="L184" i="3"/>
  <c r="Q184" i="3" s="1"/>
  <c r="L183" i="3"/>
  <c r="Q183" i="3" s="1"/>
  <c r="L182" i="3"/>
  <c r="Q182" i="3" s="1"/>
  <c r="L181" i="3"/>
  <c r="Q181" i="3" s="1"/>
  <c r="L180" i="3"/>
  <c r="Q180" i="3" s="1"/>
  <c r="L179" i="3"/>
  <c r="Q179" i="3" s="1"/>
  <c r="L178" i="3"/>
  <c r="Q178" i="3" s="1"/>
  <c r="L177" i="3"/>
  <c r="Q177" i="3" s="1"/>
  <c r="L176" i="3"/>
  <c r="Q176" i="3" s="1"/>
  <c r="L175" i="3"/>
  <c r="Q175" i="3" s="1"/>
  <c r="L174" i="3"/>
  <c r="Q174" i="3" s="1"/>
  <c r="L173" i="3"/>
  <c r="Q173" i="3" s="1"/>
  <c r="L172" i="3"/>
  <c r="Q172" i="3" s="1"/>
  <c r="L171" i="3"/>
  <c r="Q171" i="3" s="1"/>
  <c r="L170" i="3"/>
  <c r="Q170" i="3" s="1"/>
  <c r="L169" i="3"/>
  <c r="Q169" i="3" s="1"/>
  <c r="L168" i="3"/>
  <c r="Q168" i="3" s="1"/>
  <c r="L167" i="3"/>
  <c r="Q167" i="3" s="1"/>
  <c r="L166" i="3"/>
  <c r="Q166" i="3" s="1"/>
  <c r="L165" i="3"/>
  <c r="Q165" i="3" s="1"/>
  <c r="L164" i="3"/>
  <c r="Q164" i="3" s="1"/>
  <c r="L163" i="3"/>
  <c r="Q163" i="3" s="1"/>
  <c r="L162" i="3"/>
  <c r="Q162" i="3" s="1"/>
  <c r="L161" i="3"/>
  <c r="Q161" i="3" s="1"/>
  <c r="Q160" i="3"/>
  <c r="L160" i="3"/>
  <c r="L159" i="3"/>
  <c r="Q159" i="3" s="1"/>
  <c r="L158" i="3"/>
  <c r="Q158" i="3" s="1"/>
  <c r="L157" i="3"/>
  <c r="Q157" i="3" s="1"/>
  <c r="L156" i="3"/>
  <c r="Q156" i="3" s="1"/>
  <c r="L155" i="3"/>
  <c r="Q155" i="3" s="1"/>
  <c r="L154" i="3"/>
  <c r="Q154" i="3" s="1"/>
  <c r="L153" i="3"/>
  <c r="Q153" i="3" s="1"/>
  <c r="L152" i="3"/>
  <c r="Q152" i="3" s="1"/>
  <c r="L151" i="3"/>
  <c r="Q151" i="3" s="1"/>
  <c r="L150" i="3"/>
  <c r="Q150" i="3" s="1"/>
  <c r="L149" i="3"/>
  <c r="Q149" i="3" s="1"/>
  <c r="L148" i="3"/>
  <c r="Q148" i="3" s="1"/>
  <c r="L147" i="3"/>
  <c r="Q147" i="3" s="1"/>
  <c r="L146" i="3"/>
  <c r="Q146" i="3" s="1"/>
  <c r="L145" i="3"/>
  <c r="Q145" i="3" s="1"/>
  <c r="L144" i="3"/>
  <c r="Q144" i="3" s="1"/>
  <c r="L143" i="3"/>
  <c r="Q143" i="3" s="1"/>
  <c r="L142" i="3"/>
  <c r="Q142" i="3" s="1"/>
  <c r="L141" i="3"/>
  <c r="Q141" i="3" s="1"/>
  <c r="L140" i="3"/>
  <c r="Q140" i="3" s="1"/>
  <c r="L139" i="3"/>
  <c r="Q139" i="3" s="1"/>
  <c r="L138" i="3"/>
  <c r="Q138" i="3" s="1"/>
  <c r="L137" i="3"/>
  <c r="Q137" i="3" s="1"/>
  <c r="L136" i="3"/>
  <c r="Q136" i="3" s="1"/>
  <c r="L135" i="3"/>
  <c r="Q135" i="3" s="1"/>
  <c r="L134" i="3"/>
  <c r="Q134" i="3" s="1"/>
  <c r="L133" i="3"/>
  <c r="Q133" i="3" s="1"/>
  <c r="L132" i="3"/>
  <c r="Q132" i="3" s="1"/>
  <c r="L131" i="3"/>
  <c r="Q131" i="3" s="1"/>
  <c r="L130" i="3"/>
  <c r="Q130" i="3" s="1"/>
  <c r="L129" i="3"/>
  <c r="Q129" i="3" s="1"/>
  <c r="L128" i="3"/>
  <c r="Q128" i="3" s="1"/>
  <c r="L127" i="3"/>
  <c r="Q127" i="3" s="1"/>
  <c r="L126" i="3"/>
  <c r="Q126" i="3" s="1"/>
  <c r="L125" i="3"/>
  <c r="Q125" i="3" s="1"/>
  <c r="L124" i="3"/>
  <c r="Q124" i="3" s="1"/>
  <c r="L123" i="3"/>
  <c r="Q123" i="3" s="1"/>
  <c r="L122" i="3"/>
  <c r="Q122" i="3" s="1"/>
  <c r="L121" i="3"/>
  <c r="Q121" i="3" s="1"/>
  <c r="L120" i="3"/>
  <c r="Q120" i="3" s="1"/>
  <c r="L119" i="3"/>
  <c r="Q119" i="3" s="1"/>
  <c r="Q118" i="3"/>
  <c r="L118" i="3"/>
  <c r="L117" i="3"/>
  <c r="Q117" i="3" s="1"/>
  <c r="L116" i="3"/>
  <c r="Q116" i="3" s="1"/>
  <c r="L115" i="3"/>
  <c r="Q115" i="3" s="1"/>
  <c r="L114" i="3"/>
  <c r="Q114" i="3" s="1"/>
  <c r="L113" i="3"/>
  <c r="Q113" i="3" s="1"/>
  <c r="L112" i="3"/>
  <c r="Q112" i="3" s="1"/>
  <c r="L111" i="3"/>
  <c r="Q111" i="3" s="1"/>
  <c r="L110" i="3"/>
  <c r="Q110" i="3" s="1"/>
  <c r="L109" i="3"/>
  <c r="Q109" i="3" s="1"/>
  <c r="L108" i="3"/>
  <c r="Q108" i="3" s="1"/>
  <c r="L107" i="3"/>
  <c r="Q107" i="3" s="1"/>
  <c r="L106" i="3"/>
  <c r="Q106" i="3" s="1"/>
  <c r="L105" i="3"/>
  <c r="Q105" i="3" s="1"/>
  <c r="L104" i="3"/>
  <c r="Q104" i="3" s="1"/>
  <c r="L103" i="3"/>
  <c r="Q103" i="3" s="1"/>
  <c r="L102" i="3"/>
  <c r="Q102" i="3" s="1"/>
  <c r="L101" i="3"/>
  <c r="Q101" i="3" s="1"/>
  <c r="L100" i="3"/>
  <c r="Q100" i="3" s="1"/>
  <c r="L99" i="3"/>
  <c r="Q99" i="3" s="1"/>
  <c r="L98" i="3"/>
  <c r="Q98" i="3" s="1"/>
  <c r="L97" i="3"/>
  <c r="Q97" i="3" s="1"/>
  <c r="L96" i="3"/>
  <c r="Q96" i="3" s="1"/>
  <c r="L95" i="3"/>
  <c r="Q95" i="3" s="1"/>
  <c r="L94" i="3"/>
  <c r="Q94" i="3" s="1"/>
  <c r="L93" i="3"/>
  <c r="Q93" i="3" s="1"/>
  <c r="L92" i="3"/>
  <c r="Q92" i="3" s="1"/>
  <c r="L91" i="3"/>
  <c r="Q91" i="3" s="1"/>
  <c r="L90" i="3"/>
  <c r="Q90" i="3" s="1"/>
  <c r="L89" i="3"/>
  <c r="Q89" i="3" s="1"/>
  <c r="L88" i="3"/>
  <c r="Q88" i="3" s="1"/>
  <c r="L87" i="3"/>
  <c r="Q87" i="3" s="1"/>
  <c r="Q86" i="3"/>
  <c r="L86" i="3"/>
  <c r="L85" i="3"/>
  <c r="Q85" i="3" s="1"/>
  <c r="L84" i="3"/>
  <c r="Q84" i="3" s="1"/>
  <c r="L83" i="3"/>
  <c r="Q83" i="3" s="1"/>
  <c r="L82" i="3"/>
  <c r="Q82" i="3" s="1"/>
  <c r="L81" i="3"/>
  <c r="Q81" i="3" s="1"/>
  <c r="L80" i="3"/>
  <c r="Q80" i="3" s="1"/>
  <c r="L79" i="3"/>
  <c r="Q79" i="3" s="1"/>
  <c r="L78" i="3"/>
  <c r="Q78" i="3" s="1"/>
  <c r="L77" i="3"/>
  <c r="Q77" i="3" s="1"/>
  <c r="L76" i="3"/>
  <c r="Q76" i="3" s="1"/>
  <c r="L75" i="3"/>
  <c r="Q75" i="3" s="1"/>
  <c r="L74" i="3"/>
  <c r="Q74" i="3" s="1"/>
  <c r="L73" i="3"/>
  <c r="Q73" i="3" s="1"/>
  <c r="L72" i="3"/>
  <c r="Q72" i="3" s="1"/>
  <c r="L71" i="3"/>
  <c r="Q71" i="3" s="1"/>
  <c r="L70" i="3"/>
  <c r="Q70" i="3" s="1"/>
  <c r="L69" i="3"/>
  <c r="Q69" i="3" s="1"/>
  <c r="L68" i="3"/>
  <c r="Q68" i="3" s="1"/>
  <c r="L67" i="3"/>
  <c r="Q67" i="3" s="1"/>
  <c r="L66" i="3"/>
  <c r="Q66" i="3" s="1"/>
  <c r="L65" i="3"/>
  <c r="Q65" i="3" s="1"/>
  <c r="L64" i="3"/>
  <c r="Q64" i="3" s="1"/>
  <c r="L63" i="3"/>
  <c r="Q63" i="3" s="1"/>
  <c r="L62" i="3"/>
  <c r="Q62" i="3" s="1"/>
  <c r="L61" i="3"/>
  <c r="Q61" i="3" s="1"/>
  <c r="L60" i="3"/>
  <c r="Q60" i="3" s="1"/>
  <c r="L59" i="3"/>
  <c r="Q59" i="3" s="1"/>
  <c r="L58" i="3"/>
  <c r="Q58" i="3" s="1"/>
  <c r="L57" i="3"/>
  <c r="Q57" i="3" s="1"/>
  <c r="L56" i="3"/>
  <c r="Q56" i="3" s="1"/>
  <c r="L55" i="3"/>
  <c r="Q55" i="3" s="1"/>
  <c r="L54" i="3"/>
  <c r="Q54" i="3" s="1"/>
  <c r="L53" i="3"/>
  <c r="Q53" i="3" s="1"/>
  <c r="L52" i="3"/>
  <c r="Q52" i="3" s="1"/>
  <c r="L51" i="3"/>
  <c r="Q51" i="3" s="1"/>
  <c r="L50" i="3"/>
  <c r="Q50" i="3" s="1"/>
  <c r="L49" i="3"/>
  <c r="Q49" i="3" s="1"/>
  <c r="L48" i="3"/>
  <c r="Q48" i="3" s="1"/>
  <c r="L47" i="3"/>
  <c r="Q47" i="3" s="1"/>
  <c r="L46" i="3"/>
  <c r="Q46" i="3" s="1"/>
  <c r="L45" i="3"/>
  <c r="Q45" i="3" s="1"/>
  <c r="L44" i="3"/>
  <c r="Q44" i="3" s="1"/>
  <c r="L43" i="3"/>
  <c r="Q43" i="3" s="1"/>
  <c r="L42" i="3"/>
  <c r="Q42" i="3" s="1"/>
  <c r="L41" i="3"/>
  <c r="Q41" i="3" s="1"/>
  <c r="L40" i="3"/>
  <c r="Q40" i="3" s="1"/>
  <c r="L39" i="3"/>
  <c r="Q39" i="3" s="1"/>
  <c r="L38" i="3"/>
  <c r="Q38" i="3" s="1"/>
  <c r="L37" i="3"/>
  <c r="Q37" i="3" s="1"/>
  <c r="L36" i="3"/>
  <c r="Q36" i="3" s="1"/>
  <c r="L35" i="3"/>
  <c r="Q35" i="3" s="1"/>
  <c r="L34" i="3"/>
  <c r="Q34" i="3" s="1"/>
  <c r="L33" i="3"/>
  <c r="Q33" i="3" s="1"/>
  <c r="L32" i="3"/>
  <c r="Q32" i="3" s="1"/>
  <c r="L31" i="3"/>
  <c r="Q31" i="3" s="1"/>
  <c r="L30" i="3"/>
  <c r="Q30" i="3" s="1"/>
  <c r="L29" i="3"/>
  <c r="Q29" i="3" s="1"/>
  <c r="L28" i="3"/>
  <c r="Q28" i="3" s="1"/>
  <c r="L27" i="3"/>
  <c r="Q27" i="3" s="1"/>
  <c r="Q26" i="3"/>
  <c r="L26" i="3"/>
  <c r="L25" i="3"/>
  <c r="Q25" i="3" s="1"/>
  <c r="L24" i="3"/>
  <c r="Q24" i="3" s="1"/>
  <c r="L23" i="3"/>
  <c r="Q23" i="3" s="1"/>
  <c r="L22" i="3"/>
  <c r="Q22" i="3" s="1"/>
  <c r="L21" i="3"/>
  <c r="Q21" i="3" s="1"/>
  <c r="L20" i="3"/>
  <c r="Q20" i="3" s="1"/>
  <c r="L19" i="3"/>
  <c r="Q19" i="3" s="1"/>
  <c r="L18" i="3"/>
  <c r="Q18" i="3" s="1"/>
  <c r="L17" i="3"/>
  <c r="Q17" i="3" s="1"/>
  <c r="L16" i="3"/>
  <c r="Q16" i="3" s="1"/>
  <c r="L15" i="3"/>
  <c r="Q15" i="3" s="1"/>
  <c r="L14" i="3"/>
  <c r="Q14" i="3" s="1"/>
  <c r="L13" i="3"/>
  <c r="Q13" i="3" s="1"/>
  <c r="L12" i="3"/>
  <c r="Q12" i="3" s="1"/>
  <c r="L11" i="3"/>
  <c r="Q11" i="3" s="1"/>
  <c r="L10" i="3"/>
  <c r="Q10" i="3" s="1"/>
  <c r="L9" i="3"/>
  <c r="Q9" i="3" s="1"/>
  <c r="L8" i="3"/>
  <c r="Q8" i="3" s="1"/>
  <c r="L7" i="3"/>
  <c r="Q7" i="3" s="1"/>
  <c r="L7" i="2" l="1"/>
  <c r="Q7" i="2" s="1"/>
  <c r="L348" i="2"/>
  <c r="Q348" i="2" s="1"/>
  <c r="L347" i="2"/>
  <c r="Q347" i="2" s="1"/>
  <c r="L346" i="2"/>
  <c r="Q346" i="2" s="1"/>
  <c r="L345" i="2"/>
  <c r="Q345" i="2" s="1"/>
  <c r="L344" i="2"/>
  <c r="Q344" i="2" s="1"/>
  <c r="L343" i="2"/>
  <c r="Q343" i="2" s="1"/>
  <c r="L342" i="2"/>
  <c r="Q342" i="2" s="1"/>
  <c r="L341" i="2"/>
  <c r="Q341" i="2" s="1"/>
  <c r="L340" i="2"/>
  <c r="Q340" i="2" s="1"/>
  <c r="L339" i="2"/>
  <c r="Q339" i="2" s="1"/>
  <c r="L338" i="2"/>
  <c r="Q338" i="2" s="1"/>
  <c r="L337" i="2"/>
  <c r="Q337" i="2" s="1"/>
  <c r="L336" i="2"/>
  <c r="Q336" i="2" s="1"/>
  <c r="L335" i="2"/>
  <c r="Q335" i="2" s="1"/>
  <c r="L334" i="2"/>
  <c r="Q334" i="2" s="1"/>
  <c r="Q333" i="2"/>
  <c r="L333" i="2"/>
  <c r="L332" i="2"/>
  <c r="Q332" i="2" s="1"/>
  <c r="L331" i="2"/>
  <c r="Q331" i="2" s="1"/>
  <c r="L330" i="2"/>
  <c r="Q330" i="2" s="1"/>
  <c r="Q329" i="2"/>
  <c r="L329" i="2"/>
  <c r="L328" i="2"/>
  <c r="Q328" i="2" s="1"/>
  <c r="L327" i="2"/>
  <c r="Q327" i="2" s="1"/>
  <c r="L326" i="2"/>
  <c r="Q326" i="2" s="1"/>
  <c r="L325" i="2"/>
  <c r="Q325" i="2" s="1"/>
  <c r="L324" i="2"/>
  <c r="Q324" i="2" s="1"/>
  <c r="L323" i="2"/>
  <c r="Q323" i="2" s="1"/>
  <c r="L322" i="2"/>
  <c r="Q322" i="2" s="1"/>
  <c r="L321" i="2"/>
  <c r="Q321" i="2" s="1"/>
  <c r="L320" i="2"/>
  <c r="Q320" i="2" s="1"/>
  <c r="L319" i="2"/>
  <c r="Q319" i="2" s="1"/>
  <c r="L318" i="2"/>
  <c r="Q318" i="2" s="1"/>
  <c r="Q317" i="2"/>
  <c r="L317" i="2"/>
  <c r="L316" i="2"/>
  <c r="Q316" i="2" s="1"/>
  <c r="L315" i="2"/>
  <c r="Q315" i="2" s="1"/>
  <c r="L314" i="2"/>
  <c r="Q314" i="2" s="1"/>
  <c r="Q313" i="2"/>
  <c r="L313" i="2"/>
  <c r="L312" i="2"/>
  <c r="Q312" i="2" s="1"/>
  <c r="L311" i="2"/>
  <c r="Q311" i="2" s="1"/>
  <c r="L310" i="2"/>
  <c r="Q310" i="2" s="1"/>
  <c r="L309" i="2"/>
  <c r="Q309" i="2" s="1"/>
  <c r="L308" i="2"/>
  <c r="Q308" i="2" s="1"/>
  <c r="L307" i="2"/>
  <c r="Q307" i="2" s="1"/>
  <c r="L306" i="2"/>
  <c r="Q306" i="2" s="1"/>
  <c r="L305" i="2"/>
  <c r="Q305" i="2" s="1"/>
  <c r="L304" i="2"/>
  <c r="Q304" i="2" s="1"/>
  <c r="L303" i="2"/>
  <c r="Q303" i="2" s="1"/>
  <c r="L302" i="2"/>
  <c r="Q302" i="2" s="1"/>
  <c r="L301" i="2"/>
  <c r="Q301" i="2" s="1"/>
  <c r="L300" i="2"/>
  <c r="Q300" i="2" s="1"/>
  <c r="L299" i="2"/>
  <c r="Q299" i="2" s="1"/>
  <c r="L298" i="2"/>
  <c r="Q298" i="2" s="1"/>
  <c r="Q297" i="2"/>
  <c r="L297" i="2"/>
  <c r="L296" i="2"/>
  <c r="Q296" i="2" s="1"/>
  <c r="L295" i="2"/>
  <c r="Q295" i="2" s="1"/>
  <c r="L294" i="2"/>
  <c r="Q294" i="2" s="1"/>
  <c r="L293" i="2"/>
  <c r="Q293" i="2" s="1"/>
  <c r="L292" i="2"/>
  <c r="Q292" i="2" s="1"/>
  <c r="L291" i="2"/>
  <c r="Q291" i="2" s="1"/>
  <c r="L290" i="2"/>
  <c r="Q290" i="2" s="1"/>
  <c r="L289" i="2"/>
  <c r="Q289" i="2" s="1"/>
  <c r="L288" i="2"/>
  <c r="Q288" i="2" s="1"/>
  <c r="L287" i="2"/>
  <c r="Q287" i="2" s="1"/>
  <c r="L286" i="2"/>
  <c r="Q286" i="2" s="1"/>
  <c r="L285" i="2"/>
  <c r="Q285" i="2" s="1"/>
  <c r="L284" i="2"/>
  <c r="Q284" i="2" s="1"/>
  <c r="L283" i="2"/>
  <c r="Q283" i="2" s="1"/>
  <c r="L282" i="2"/>
  <c r="Q282" i="2" s="1"/>
  <c r="L281" i="2"/>
  <c r="Q281" i="2" s="1"/>
  <c r="L280" i="2"/>
  <c r="Q280" i="2" s="1"/>
  <c r="L279" i="2"/>
  <c r="Q279" i="2" s="1"/>
  <c r="L278" i="2"/>
  <c r="Q278" i="2" s="1"/>
  <c r="L277" i="2"/>
  <c r="Q277" i="2" s="1"/>
  <c r="L276" i="2"/>
  <c r="Q276" i="2" s="1"/>
  <c r="L275" i="2"/>
  <c r="Q275" i="2" s="1"/>
  <c r="L274" i="2"/>
  <c r="Q274" i="2" s="1"/>
  <c r="L273" i="2"/>
  <c r="Q273" i="2" s="1"/>
  <c r="L272" i="2"/>
  <c r="Q272" i="2" s="1"/>
  <c r="L271" i="2"/>
  <c r="Q271" i="2" s="1"/>
  <c r="L270" i="2"/>
  <c r="Q270" i="2" s="1"/>
  <c r="L269" i="2"/>
  <c r="Q269" i="2" s="1"/>
  <c r="L268" i="2"/>
  <c r="Q268" i="2" s="1"/>
  <c r="L267" i="2"/>
  <c r="Q267" i="2" s="1"/>
  <c r="L266" i="2"/>
  <c r="Q266" i="2" s="1"/>
  <c r="Q265" i="2"/>
  <c r="L265" i="2"/>
  <c r="L264" i="2"/>
  <c r="Q264" i="2" s="1"/>
  <c r="L263" i="2"/>
  <c r="Q263" i="2" s="1"/>
  <c r="L262" i="2"/>
  <c r="Q262" i="2" s="1"/>
  <c r="Q261" i="2"/>
  <c r="L261" i="2"/>
  <c r="L260" i="2"/>
  <c r="Q260" i="2" s="1"/>
  <c r="L259" i="2"/>
  <c r="Q259" i="2" s="1"/>
  <c r="L258" i="2"/>
  <c r="Q258" i="2" s="1"/>
  <c r="L257" i="2"/>
  <c r="Q257" i="2" s="1"/>
  <c r="L256" i="2"/>
  <c r="Q256" i="2" s="1"/>
  <c r="L255" i="2"/>
  <c r="Q255" i="2" s="1"/>
  <c r="L254" i="2"/>
  <c r="Q254" i="2" s="1"/>
  <c r="L253" i="2"/>
  <c r="Q253" i="2" s="1"/>
  <c r="L252" i="2"/>
  <c r="Q252" i="2" s="1"/>
  <c r="L251" i="2"/>
  <c r="Q251" i="2" s="1"/>
  <c r="L250" i="2"/>
  <c r="Q250" i="2" s="1"/>
  <c r="L249" i="2"/>
  <c r="Q249" i="2" s="1"/>
  <c r="L248" i="2"/>
  <c r="Q248" i="2" s="1"/>
  <c r="L247" i="2"/>
  <c r="Q247" i="2" s="1"/>
  <c r="L246" i="2"/>
  <c r="Q246" i="2" s="1"/>
  <c r="L245" i="2"/>
  <c r="Q245" i="2" s="1"/>
  <c r="L244" i="2"/>
  <c r="Q244" i="2" s="1"/>
  <c r="L243" i="2"/>
  <c r="Q243" i="2" s="1"/>
  <c r="L242" i="2"/>
  <c r="Q242" i="2" s="1"/>
  <c r="L241" i="2"/>
  <c r="Q241" i="2" s="1"/>
  <c r="L240" i="2"/>
  <c r="Q240" i="2" s="1"/>
  <c r="L239" i="2"/>
  <c r="Q239" i="2" s="1"/>
  <c r="L238" i="2"/>
  <c r="Q238" i="2" s="1"/>
  <c r="L237" i="2"/>
  <c r="Q237" i="2" s="1"/>
  <c r="L236" i="2"/>
  <c r="Q236" i="2" s="1"/>
  <c r="L235" i="2"/>
  <c r="Q235" i="2" s="1"/>
  <c r="L234" i="2"/>
  <c r="Q234" i="2" s="1"/>
  <c r="Q233" i="2"/>
  <c r="L233" i="2"/>
  <c r="L232" i="2"/>
  <c r="Q232" i="2" s="1"/>
  <c r="L231" i="2"/>
  <c r="Q231" i="2" s="1"/>
  <c r="L230" i="2"/>
  <c r="Q230" i="2" s="1"/>
  <c r="Q229" i="2"/>
  <c r="L229" i="2"/>
  <c r="L228" i="2"/>
  <c r="Q228" i="2" s="1"/>
  <c r="L227" i="2"/>
  <c r="Q227" i="2" s="1"/>
  <c r="L226" i="2"/>
  <c r="Q226" i="2" s="1"/>
  <c r="Q225" i="2"/>
  <c r="L225" i="2"/>
  <c r="L224" i="2"/>
  <c r="Q224" i="2" s="1"/>
  <c r="L223" i="2"/>
  <c r="Q223" i="2" s="1"/>
  <c r="L222" i="2"/>
  <c r="Q222" i="2" s="1"/>
  <c r="L221" i="2"/>
  <c r="Q221" i="2" s="1"/>
  <c r="L220" i="2"/>
  <c r="Q220" i="2" s="1"/>
  <c r="L219" i="2"/>
  <c r="Q219" i="2" s="1"/>
  <c r="L218" i="2"/>
  <c r="Q218" i="2" s="1"/>
  <c r="L217" i="2"/>
  <c r="Q217" i="2" s="1"/>
  <c r="L216" i="2"/>
  <c r="Q216" i="2" s="1"/>
  <c r="L215" i="2"/>
  <c r="Q215" i="2" s="1"/>
  <c r="L214" i="2"/>
  <c r="Q214" i="2" s="1"/>
  <c r="L213" i="2"/>
  <c r="Q213" i="2" s="1"/>
  <c r="L212" i="2"/>
  <c r="Q212" i="2" s="1"/>
  <c r="L211" i="2"/>
  <c r="Q211" i="2" s="1"/>
  <c r="L210" i="2"/>
  <c r="Q210" i="2" s="1"/>
  <c r="L209" i="2"/>
  <c r="Q209" i="2" s="1"/>
  <c r="L208" i="2"/>
  <c r="Q208" i="2" s="1"/>
  <c r="L207" i="2"/>
  <c r="Q207" i="2" s="1"/>
  <c r="L206" i="2"/>
  <c r="Q206" i="2" s="1"/>
  <c r="L205" i="2"/>
  <c r="Q205" i="2" s="1"/>
  <c r="L204" i="2"/>
  <c r="Q204" i="2" s="1"/>
  <c r="L203" i="2"/>
  <c r="Q203" i="2" s="1"/>
  <c r="L202" i="2"/>
  <c r="Q202" i="2" s="1"/>
  <c r="Q201" i="2"/>
  <c r="L201" i="2"/>
  <c r="L200" i="2"/>
  <c r="Q200" i="2" s="1"/>
  <c r="L199" i="2"/>
  <c r="Q199" i="2" s="1"/>
  <c r="L198" i="2"/>
  <c r="Q198" i="2" s="1"/>
  <c r="Q197" i="2"/>
  <c r="L197" i="2"/>
  <c r="L196" i="2"/>
  <c r="Q196" i="2" s="1"/>
  <c r="L195" i="2"/>
  <c r="Q195" i="2" s="1"/>
  <c r="L194" i="2"/>
  <c r="Q194" i="2" s="1"/>
  <c r="L193" i="2"/>
  <c r="Q193" i="2" s="1"/>
  <c r="L192" i="2"/>
  <c r="Q192" i="2" s="1"/>
  <c r="L191" i="2"/>
  <c r="Q191" i="2" s="1"/>
  <c r="L190" i="2"/>
  <c r="Q190" i="2" s="1"/>
  <c r="L189" i="2"/>
  <c r="Q189" i="2" s="1"/>
  <c r="L188" i="2"/>
  <c r="Q188" i="2" s="1"/>
  <c r="L187" i="2"/>
  <c r="Q187" i="2" s="1"/>
  <c r="L186" i="2"/>
  <c r="Q186" i="2" s="1"/>
  <c r="L185" i="2"/>
  <c r="Q185" i="2" s="1"/>
  <c r="L184" i="2"/>
  <c r="Q184" i="2" s="1"/>
  <c r="L183" i="2"/>
  <c r="Q183" i="2" s="1"/>
  <c r="L182" i="2"/>
  <c r="Q182" i="2" s="1"/>
  <c r="L181" i="2"/>
  <c r="Q181" i="2" s="1"/>
  <c r="L180" i="2"/>
  <c r="Q180" i="2" s="1"/>
  <c r="L179" i="2"/>
  <c r="Q179" i="2" s="1"/>
  <c r="L178" i="2"/>
  <c r="Q178" i="2" s="1"/>
  <c r="L177" i="2"/>
  <c r="Q177" i="2" s="1"/>
  <c r="L176" i="2"/>
  <c r="Q176" i="2" s="1"/>
  <c r="L175" i="2"/>
  <c r="Q175" i="2" s="1"/>
  <c r="L174" i="2"/>
  <c r="Q174" i="2" s="1"/>
  <c r="L173" i="2"/>
  <c r="Q173" i="2" s="1"/>
  <c r="L172" i="2"/>
  <c r="Q172" i="2" s="1"/>
  <c r="L171" i="2"/>
  <c r="Q171" i="2" s="1"/>
  <c r="L170" i="2"/>
  <c r="Q170" i="2" s="1"/>
  <c r="Q169" i="2"/>
  <c r="L169" i="2"/>
  <c r="L168" i="2"/>
  <c r="Q168" i="2" s="1"/>
  <c r="L167" i="2"/>
  <c r="Q167" i="2" s="1"/>
  <c r="L166" i="2"/>
  <c r="Q166" i="2" s="1"/>
  <c r="L165" i="2"/>
  <c r="Q165" i="2" s="1"/>
  <c r="L164" i="2"/>
  <c r="Q164" i="2" s="1"/>
  <c r="L163" i="2"/>
  <c r="Q163" i="2" s="1"/>
  <c r="L162" i="2"/>
  <c r="Q162" i="2" s="1"/>
  <c r="Q161" i="2"/>
  <c r="L161" i="2"/>
  <c r="L160" i="2"/>
  <c r="Q160" i="2" s="1"/>
  <c r="L159" i="2"/>
  <c r="Q159" i="2" s="1"/>
  <c r="L158" i="2"/>
  <c r="Q158" i="2" s="1"/>
  <c r="L157" i="2"/>
  <c r="Q157" i="2" s="1"/>
  <c r="L156" i="2"/>
  <c r="Q156" i="2" s="1"/>
  <c r="L155" i="2"/>
  <c r="Q155" i="2" s="1"/>
  <c r="L154" i="2"/>
  <c r="Q154" i="2" s="1"/>
  <c r="L153" i="2"/>
  <c r="Q153" i="2" s="1"/>
  <c r="L152" i="2"/>
  <c r="Q152" i="2" s="1"/>
  <c r="L151" i="2"/>
  <c r="Q151" i="2" s="1"/>
  <c r="L150" i="2"/>
  <c r="Q150" i="2" s="1"/>
  <c r="L149" i="2"/>
  <c r="Q149" i="2" s="1"/>
  <c r="L148" i="2"/>
  <c r="Q148" i="2" s="1"/>
  <c r="L147" i="2"/>
  <c r="Q147" i="2" s="1"/>
  <c r="L146" i="2"/>
  <c r="Q146" i="2" s="1"/>
  <c r="L145" i="2"/>
  <c r="Q145" i="2" s="1"/>
  <c r="L144" i="2"/>
  <c r="Q144" i="2" s="1"/>
  <c r="L143" i="2"/>
  <c r="Q143" i="2" s="1"/>
  <c r="L142" i="2"/>
  <c r="Q142" i="2" s="1"/>
  <c r="L141" i="2"/>
  <c r="Q141" i="2" s="1"/>
  <c r="L140" i="2"/>
  <c r="Q140" i="2" s="1"/>
  <c r="L139" i="2"/>
  <c r="Q139" i="2" s="1"/>
  <c r="L138" i="2"/>
  <c r="Q138" i="2" s="1"/>
  <c r="Q137" i="2"/>
  <c r="L137" i="2"/>
  <c r="L136" i="2"/>
  <c r="Q136" i="2" s="1"/>
  <c r="L135" i="2"/>
  <c r="Q135" i="2" s="1"/>
  <c r="L134" i="2"/>
  <c r="Q134" i="2" s="1"/>
  <c r="Q133" i="2"/>
  <c r="L133" i="2"/>
  <c r="L132" i="2"/>
  <c r="Q132" i="2" s="1"/>
  <c r="L131" i="2"/>
  <c r="Q131" i="2" s="1"/>
  <c r="L130" i="2"/>
  <c r="Q130" i="2" s="1"/>
  <c r="L129" i="2"/>
  <c r="Q129" i="2" s="1"/>
  <c r="L128" i="2"/>
  <c r="Q128" i="2" s="1"/>
  <c r="L127" i="2"/>
  <c r="Q127" i="2" s="1"/>
  <c r="L126" i="2"/>
  <c r="Q126" i="2" s="1"/>
  <c r="L125" i="2"/>
  <c r="Q125" i="2" s="1"/>
  <c r="L124" i="2"/>
  <c r="Q124" i="2" s="1"/>
  <c r="L123" i="2"/>
  <c r="Q123" i="2" s="1"/>
  <c r="L122" i="2"/>
  <c r="Q122" i="2" s="1"/>
  <c r="L121" i="2"/>
  <c r="Q121" i="2" s="1"/>
  <c r="L120" i="2"/>
  <c r="Q120" i="2" s="1"/>
  <c r="L119" i="2"/>
  <c r="Q119" i="2" s="1"/>
  <c r="L118" i="2"/>
  <c r="Q118" i="2" s="1"/>
  <c r="L117" i="2"/>
  <c r="Q117" i="2" s="1"/>
  <c r="L116" i="2"/>
  <c r="Q116" i="2" s="1"/>
  <c r="L115" i="2"/>
  <c r="Q115" i="2" s="1"/>
  <c r="L114" i="2"/>
  <c r="Q114" i="2" s="1"/>
  <c r="L113" i="2"/>
  <c r="Q113" i="2" s="1"/>
  <c r="L112" i="2"/>
  <c r="Q112" i="2" s="1"/>
  <c r="L111" i="2"/>
  <c r="Q111" i="2" s="1"/>
  <c r="L110" i="2"/>
  <c r="Q110" i="2" s="1"/>
  <c r="L109" i="2"/>
  <c r="Q109" i="2" s="1"/>
  <c r="L108" i="2"/>
  <c r="Q108" i="2" s="1"/>
  <c r="L107" i="2"/>
  <c r="Q107" i="2" s="1"/>
  <c r="L106" i="2"/>
  <c r="Q106" i="2" s="1"/>
  <c r="L105" i="2"/>
  <c r="Q105" i="2" s="1"/>
  <c r="L104" i="2"/>
  <c r="Q104" i="2" s="1"/>
  <c r="L103" i="2"/>
  <c r="Q103" i="2" s="1"/>
  <c r="L102" i="2"/>
  <c r="Q102" i="2" s="1"/>
  <c r="L101" i="2"/>
  <c r="Q101" i="2" s="1"/>
  <c r="L100" i="2"/>
  <c r="Q100" i="2" s="1"/>
  <c r="L99" i="2"/>
  <c r="Q99" i="2" s="1"/>
  <c r="L98" i="2"/>
  <c r="Q98" i="2" s="1"/>
  <c r="Q97" i="2"/>
  <c r="L97" i="2"/>
  <c r="L96" i="2"/>
  <c r="Q96" i="2" s="1"/>
  <c r="L95" i="2"/>
  <c r="Q95" i="2" s="1"/>
  <c r="L94" i="2"/>
  <c r="Q94" i="2" s="1"/>
  <c r="L93" i="2"/>
  <c r="Q93" i="2" s="1"/>
  <c r="L92" i="2"/>
  <c r="Q92" i="2" s="1"/>
  <c r="L91" i="2"/>
  <c r="Q91" i="2" s="1"/>
  <c r="L90" i="2"/>
  <c r="Q90" i="2" s="1"/>
  <c r="L89" i="2"/>
  <c r="Q89" i="2" s="1"/>
  <c r="L88" i="2"/>
  <c r="Q88" i="2" s="1"/>
  <c r="L87" i="2"/>
  <c r="Q87" i="2" s="1"/>
  <c r="L86" i="2"/>
  <c r="Q86" i="2" s="1"/>
  <c r="L85" i="2"/>
  <c r="Q85" i="2" s="1"/>
  <c r="L84" i="2"/>
  <c r="Q84" i="2" s="1"/>
  <c r="L83" i="2"/>
  <c r="Q83" i="2" s="1"/>
  <c r="L82" i="2"/>
  <c r="Q82" i="2" s="1"/>
  <c r="L81" i="2"/>
  <c r="Q81" i="2" s="1"/>
  <c r="L80" i="2"/>
  <c r="Q80" i="2" s="1"/>
  <c r="L79" i="2"/>
  <c r="Q79" i="2" s="1"/>
  <c r="L78" i="2"/>
  <c r="Q78" i="2" s="1"/>
  <c r="L77" i="2"/>
  <c r="Q77" i="2" s="1"/>
  <c r="L76" i="2"/>
  <c r="Q76" i="2" s="1"/>
  <c r="L75" i="2"/>
  <c r="Q75" i="2" s="1"/>
  <c r="L74" i="2"/>
  <c r="Q74" i="2" s="1"/>
  <c r="L73" i="2"/>
  <c r="Q73" i="2" s="1"/>
  <c r="L72" i="2"/>
  <c r="Q72" i="2" s="1"/>
  <c r="L71" i="2"/>
  <c r="Q71" i="2" s="1"/>
  <c r="L70" i="2"/>
  <c r="Q70" i="2" s="1"/>
  <c r="L69" i="2"/>
  <c r="Q69" i="2" s="1"/>
  <c r="L68" i="2"/>
  <c r="Q68" i="2" s="1"/>
  <c r="L67" i="2"/>
  <c r="Q67" i="2" s="1"/>
  <c r="L66" i="2"/>
  <c r="Q66" i="2" s="1"/>
  <c r="L65" i="2"/>
  <c r="Q65" i="2" s="1"/>
  <c r="L64" i="2"/>
  <c r="Q64" i="2" s="1"/>
  <c r="L63" i="2"/>
  <c r="Q63" i="2" s="1"/>
  <c r="L62" i="2"/>
  <c r="Q62" i="2" s="1"/>
  <c r="L61" i="2"/>
  <c r="Q61" i="2" s="1"/>
  <c r="L60" i="2"/>
  <c r="Q60" i="2" s="1"/>
  <c r="L59" i="2"/>
  <c r="Q59" i="2" s="1"/>
  <c r="L58" i="2"/>
  <c r="Q58" i="2" s="1"/>
  <c r="L57" i="2"/>
  <c r="Q57" i="2" s="1"/>
  <c r="L56" i="2"/>
  <c r="Q56" i="2" s="1"/>
  <c r="L55" i="2"/>
  <c r="Q55" i="2" s="1"/>
  <c r="L54" i="2"/>
  <c r="Q54" i="2" s="1"/>
  <c r="L53" i="2"/>
  <c r="Q53" i="2" s="1"/>
  <c r="L52" i="2"/>
  <c r="Q52" i="2" s="1"/>
  <c r="L51" i="2"/>
  <c r="Q51" i="2" s="1"/>
  <c r="L50" i="2"/>
  <c r="Q50" i="2" s="1"/>
  <c r="L49" i="2"/>
  <c r="Q49" i="2" s="1"/>
  <c r="L48" i="2"/>
  <c r="Q48" i="2" s="1"/>
  <c r="L47" i="2"/>
  <c r="Q47" i="2" s="1"/>
  <c r="L46" i="2"/>
  <c r="Q46" i="2" s="1"/>
  <c r="L45" i="2"/>
  <c r="Q45" i="2" s="1"/>
  <c r="L44" i="2"/>
  <c r="Q44" i="2" s="1"/>
  <c r="L43" i="2"/>
  <c r="Q43" i="2" s="1"/>
  <c r="L42" i="2"/>
  <c r="Q42" i="2" s="1"/>
  <c r="L41" i="2"/>
  <c r="Q41" i="2" s="1"/>
  <c r="L40" i="2"/>
  <c r="Q40" i="2" s="1"/>
  <c r="L39" i="2"/>
  <c r="Q39" i="2" s="1"/>
  <c r="L38" i="2"/>
  <c r="Q38" i="2" s="1"/>
  <c r="L37" i="2"/>
  <c r="Q37" i="2" s="1"/>
  <c r="L36" i="2"/>
  <c r="Q36" i="2" s="1"/>
  <c r="L35" i="2"/>
  <c r="Q35" i="2" s="1"/>
  <c r="L34" i="2"/>
  <c r="Q34" i="2" s="1"/>
  <c r="L33" i="2"/>
  <c r="Q33" i="2" s="1"/>
  <c r="L32" i="2"/>
  <c r="Q32" i="2" s="1"/>
  <c r="L31" i="2"/>
  <c r="Q31" i="2" s="1"/>
  <c r="L30" i="2"/>
  <c r="Q30" i="2" s="1"/>
  <c r="L29" i="2"/>
  <c r="Q29" i="2" s="1"/>
  <c r="L28" i="2"/>
  <c r="Q28" i="2" s="1"/>
  <c r="L27" i="2"/>
  <c r="Q27" i="2" s="1"/>
  <c r="L26" i="2"/>
  <c r="Q26" i="2" s="1"/>
  <c r="L25" i="2"/>
  <c r="Q25" i="2" s="1"/>
  <c r="L24" i="2"/>
  <c r="Q24" i="2" s="1"/>
  <c r="L23" i="2"/>
  <c r="Q23" i="2" s="1"/>
  <c r="L22" i="2"/>
  <c r="Q22" i="2" s="1"/>
  <c r="L21" i="2"/>
  <c r="Q21" i="2" s="1"/>
  <c r="L20" i="2"/>
  <c r="Q20" i="2" s="1"/>
  <c r="L19" i="2"/>
  <c r="Q19" i="2" s="1"/>
  <c r="L18" i="2"/>
  <c r="Q18" i="2" s="1"/>
  <c r="L17" i="2"/>
  <c r="Q17" i="2" s="1"/>
  <c r="L16" i="2"/>
  <c r="Q16" i="2" s="1"/>
  <c r="L15" i="2"/>
  <c r="Q15" i="2" s="1"/>
  <c r="L14" i="2"/>
  <c r="Q14" i="2" s="1"/>
  <c r="L13" i="2"/>
  <c r="Q13" i="2" s="1"/>
  <c r="L12" i="2"/>
  <c r="Q12" i="2" s="1"/>
  <c r="L11" i="2"/>
  <c r="Q11" i="2" s="1"/>
  <c r="L10" i="2"/>
  <c r="Q10" i="2" s="1"/>
  <c r="L9" i="2"/>
  <c r="Q9" i="2" s="1"/>
  <c r="L8" i="2"/>
  <c r="Q8" i="2" s="1"/>
  <c r="L496" i="1" l="1"/>
  <c r="Q496" i="1" s="1"/>
  <c r="L495" i="1"/>
  <c r="Q495" i="1" s="1"/>
  <c r="L494" i="1"/>
  <c r="Q494" i="1" s="1"/>
  <c r="L493" i="1"/>
  <c r="Q493" i="1" s="1"/>
  <c r="L492" i="1"/>
  <c r="Q492" i="1" s="1"/>
  <c r="L491" i="1"/>
  <c r="Q491" i="1" s="1"/>
  <c r="L490" i="1"/>
  <c r="Q490" i="1" s="1"/>
  <c r="L489" i="1"/>
  <c r="Q489" i="1" s="1"/>
  <c r="L488" i="1"/>
  <c r="Q488" i="1" s="1"/>
  <c r="L487" i="1"/>
  <c r="Q487" i="1" s="1"/>
  <c r="L486" i="1"/>
  <c r="Q486" i="1" s="1"/>
  <c r="L485" i="1"/>
  <c r="Q485" i="1" s="1"/>
  <c r="L484" i="1"/>
  <c r="Q484" i="1" s="1"/>
  <c r="L483" i="1"/>
  <c r="Q483" i="1" s="1"/>
  <c r="L482" i="1"/>
  <c r="Q482" i="1" s="1"/>
  <c r="L481" i="1"/>
  <c r="Q481" i="1" s="1"/>
  <c r="L480" i="1"/>
  <c r="Q480" i="1" s="1"/>
  <c r="L479" i="1"/>
  <c r="Q479" i="1" s="1"/>
  <c r="L478" i="1"/>
  <c r="Q478" i="1" s="1"/>
  <c r="L477" i="1"/>
  <c r="Q477" i="1" s="1"/>
  <c r="L476" i="1"/>
  <c r="Q476" i="1" s="1"/>
  <c r="L475" i="1"/>
  <c r="Q475" i="1" s="1"/>
  <c r="L474" i="1"/>
  <c r="Q474" i="1" s="1"/>
  <c r="L473" i="1"/>
  <c r="Q473" i="1" s="1"/>
  <c r="L472" i="1"/>
  <c r="Q472" i="1" s="1"/>
  <c r="L471" i="1"/>
  <c r="Q471" i="1" s="1"/>
  <c r="L470" i="1"/>
  <c r="Q470" i="1" s="1"/>
  <c r="L469" i="1"/>
  <c r="Q469" i="1" s="1"/>
  <c r="L468" i="1"/>
  <c r="Q468" i="1" s="1"/>
  <c r="L467" i="1"/>
  <c r="Q467" i="1" s="1"/>
  <c r="L466" i="1"/>
  <c r="Q466" i="1" s="1"/>
  <c r="L465" i="1"/>
  <c r="Q465" i="1" s="1"/>
  <c r="L464" i="1"/>
  <c r="Q464" i="1" s="1"/>
  <c r="L463" i="1"/>
  <c r="Q463" i="1" s="1"/>
  <c r="L462" i="1"/>
  <c r="Q462" i="1" s="1"/>
  <c r="L461" i="1"/>
  <c r="Q461" i="1" s="1"/>
  <c r="L460" i="1"/>
  <c r="Q460" i="1" s="1"/>
  <c r="L459" i="1"/>
  <c r="Q459" i="1" s="1"/>
  <c r="L458" i="1"/>
  <c r="Q458" i="1" s="1"/>
  <c r="L457" i="1"/>
  <c r="Q457" i="1" s="1"/>
  <c r="L456" i="1"/>
  <c r="Q456" i="1" s="1"/>
  <c r="L455" i="1"/>
  <c r="Q455" i="1" s="1"/>
  <c r="L454" i="1"/>
  <c r="Q454" i="1" s="1"/>
  <c r="L453" i="1"/>
  <c r="Q453" i="1" s="1"/>
  <c r="L452" i="1"/>
  <c r="Q452" i="1" s="1"/>
  <c r="L451" i="1"/>
  <c r="Q451" i="1" s="1"/>
  <c r="L450" i="1"/>
  <c r="Q450" i="1" s="1"/>
  <c r="L449" i="1"/>
  <c r="Q449" i="1" s="1"/>
  <c r="L448" i="1"/>
  <c r="Q448" i="1" s="1"/>
  <c r="L447" i="1"/>
  <c r="Q447" i="1" s="1"/>
  <c r="L446" i="1"/>
  <c r="Q446" i="1" s="1"/>
  <c r="L445" i="1"/>
  <c r="Q445" i="1" s="1"/>
  <c r="L444" i="1"/>
  <c r="Q444" i="1" s="1"/>
  <c r="L443" i="1"/>
  <c r="Q443" i="1" s="1"/>
  <c r="L442" i="1"/>
  <c r="Q442" i="1" s="1"/>
  <c r="L441" i="1"/>
  <c r="Q441" i="1" s="1"/>
  <c r="L440" i="1"/>
  <c r="Q440" i="1" s="1"/>
  <c r="L439" i="1"/>
  <c r="Q439" i="1" s="1"/>
  <c r="L438" i="1"/>
  <c r="Q438" i="1" s="1"/>
  <c r="L437" i="1"/>
  <c r="Q437" i="1" s="1"/>
  <c r="L436" i="1"/>
  <c r="Q436" i="1" s="1"/>
  <c r="L435" i="1"/>
  <c r="Q435" i="1" s="1"/>
  <c r="L434" i="1"/>
  <c r="Q434" i="1" s="1"/>
  <c r="L433" i="1"/>
  <c r="Q433" i="1" s="1"/>
  <c r="L432" i="1"/>
  <c r="Q432" i="1" s="1"/>
  <c r="L431" i="1"/>
  <c r="Q431" i="1" s="1"/>
  <c r="L430" i="1"/>
  <c r="Q430" i="1" s="1"/>
  <c r="L429" i="1"/>
  <c r="Q429" i="1" s="1"/>
  <c r="E429" i="1"/>
  <c r="Q428" i="1"/>
  <c r="L428" i="1"/>
  <c r="Q427" i="1"/>
  <c r="L427" i="1"/>
  <c r="Q426" i="1"/>
  <c r="L426" i="1"/>
  <c r="Q425" i="1"/>
  <c r="L425" i="1"/>
  <c r="Q424" i="1"/>
  <c r="L424" i="1"/>
  <c r="Q423" i="1"/>
  <c r="L423" i="1"/>
  <c r="Q422" i="1"/>
  <c r="L422" i="1"/>
  <c r="Q421" i="1"/>
  <c r="L421" i="1"/>
  <c r="Q420" i="1"/>
  <c r="L420" i="1"/>
  <c r="Q419" i="1"/>
  <c r="L419" i="1"/>
  <c r="Q418" i="1"/>
  <c r="L418" i="1"/>
  <c r="Q417" i="1"/>
  <c r="L417" i="1"/>
  <c r="Q416" i="1"/>
  <c r="L416" i="1"/>
  <c r="Q415" i="1"/>
  <c r="L415" i="1"/>
  <c r="Q414" i="1"/>
  <c r="L414" i="1"/>
  <c r="Q413" i="1"/>
  <c r="L413" i="1"/>
  <c r="Q412" i="1"/>
  <c r="L412" i="1"/>
  <c r="Q411" i="1"/>
  <c r="L411" i="1"/>
  <c r="Q410" i="1"/>
  <c r="L410" i="1"/>
  <c r="Q409" i="1"/>
  <c r="L409" i="1"/>
  <c r="Q408" i="1"/>
  <c r="L408" i="1"/>
  <c r="Q407" i="1"/>
  <c r="L407" i="1"/>
  <c r="Q406" i="1"/>
  <c r="L406" i="1"/>
  <c r="Q405" i="1"/>
  <c r="L405" i="1"/>
  <c r="Q404" i="1"/>
  <c r="L404" i="1"/>
  <c r="Q403" i="1"/>
  <c r="L403" i="1"/>
  <c r="Q402" i="1"/>
  <c r="L402" i="1"/>
  <c r="Q401" i="1"/>
  <c r="L401" i="1"/>
  <c r="Q400" i="1"/>
  <c r="L400" i="1"/>
  <c r="Q399" i="1"/>
  <c r="L399" i="1"/>
  <c r="Q398" i="1"/>
  <c r="L398" i="1"/>
  <c r="Q397" i="1"/>
  <c r="L397" i="1"/>
  <c r="Q396" i="1"/>
  <c r="L396" i="1"/>
  <c r="Q395" i="1"/>
  <c r="L395" i="1"/>
  <c r="Q394" i="1"/>
  <c r="L394" i="1"/>
  <c r="Q393" i="1"/>
  <c r="L393" i="1"/>
  <c r="Q392" i="1"/>
  <c r="L392" i="1"/>
  <c r="Q391" i="1"/>
  <c r="L391" i="1"/>
  <c r="Q390" i="1"/>
  <c r="L390" i="1"/>
  <c r="Q389" i="1"/>
  <c r="L389" i="1"/>
  <c r="Q388" i="1"/>
  <c r="L388" i="1"/>
  <c r="Q387" i="1"/>
  <c r="L387" i="1"/>
  <c r="Q386" i="1"/>
  <c r="L386" i="1"/>
  <c r="Q385" i="1"/>
  <c r="L385" i="1"/>
  <c r="Q384" i="1"/>
  <c r="L384" i="1"/>
  <c r="Q383" i="1"/>
  <c r="L383" i="1"/>
  <c r="Q382" i="1"/>
  <c r="L382" i="1"/>
  <c r="Q381" i="1"/>
  <c r="L381" i="1"/>
  <c r="Q380" i="1"/>
  <c r="L380" i="1"/>
  <c r="Q379" i="1"/>
  <c r="L379" i="1"/>
  <c r="Q378" i="1"/>
  <c r="L378" i="1"/>
  <c r="Q377" i="1"/>
  <c r="L377" i="1"/>
  <c r="Q376" i="1"/>
  <c r="L376" i="1"/>
  <c r="Q375" i="1"/>
  <c r="L375" i="1"/>
  <c r="Q374" i="1"/>
  <c r="L374" i="1"/>
  <c r="Q373" i="1"/>
  <c r="L373" i="1"/>
  <c r="Q372" i="1"/>
  <c r="L372" i="1"/>
  <c r="Q371" i="1"/>
  <c r="L371" i="1"/>
  <c r="Q370" i="1"/>
  <c r="L370" i="1"/>
  <c r="Q369" i="1"/>
  <c r="L369" i="1"/>
  <c r="Q368" i="1"/>
  <c r="L368" i="1"/>
  <c r="Q367" i="1"/>
  <c r="L367" i="1"/>
  <c r="Q366" i="1"/>
  <c r="L366" i="1"/>
  <c r="Q365" i="1"/>
  <c r="L365" i="1"/>
  <c r="Q364" i="1"/>
  <c r="L364" i="1"/>
  <c r="L363" i="1"/>
  <c r="Q363" i="1" s="1"/>
  <c r="L362" i="1"/>
  <c r="Q362" i="1" s="1"/>
  <c r="Q361" i="1"/>
  <c r="L361" i="1"/>
  <c r="Q360" i="1"/>
  <c r="L360" i="1"/>
  <c r="L359" i="1"/>
  <c r="Q359" i="1" s="1"/>
  <c r="L358" i="1"/>
  <c r="Q358" i="1" s="1"/>
  <c r="Q357" i="1"/>
  <c r="L357" i="1"/>
  <c r="Q356" i="1"/>
  <c r="L356" i="1"/>
  <c r="L355" i="1"/>
  <c r="Q355" i="1" s="1"/>
  <c r="L354" i="1"/>
  <c r="Q354" i="1" s="1"/>
  <c r="Q353" i="1"/>
  <c r="L353" i="1"/>
  <c r="Q352" i="1"/>
  <c r="L352" i="1"/>
  <c r="L351" i="1"/>
  <c r="Q351" i="1" s="1"/>
  <c r="L350" i="1"/>
  <c r="Q350" i="1" s="1"/>
  <c r="Q349" i="1"/>
  <c r="L349" i="1"/>
  <c r="Q348" i="1"/>
  <c r="L348" i="1"/>
  <c r="L347" i="1"/>
  <c r="Q347" i="1" s="1"/>
  <c r="L346" i="1"/>
  <c r="Q346" i="1" s="1"/>
  <c r="Q345" i="1"/>
  <c r="L345" i="1"/>
  <c r="Q344" i="1"/>
  <c r="L344" i="1"/>
  <c r="L343" i="1"/>
  <c r="Q343" i="1" s="1"/>
  <c r="L342" i="1"/>
  <c r="Q342" i="1" s="1"/>
  <c r="Q341" i="1"/>
  <c r="L341" i="1"/>
  <c r="Q340" i="1"/>
  <c r="L340" i="1"/>
  <c r="L339" i="1"/>
  <c r="Q339" i="1" s="1"/>
  <c r="L338" i="1"/>
  <c r="Q338" i="1" s="1"/>
  <c r="Q337" i="1"/>
  <c r="L337" i="1"/>
  <c r="Q336" i="1"/>
  <c r="L336" i="1"/>
  <c r="L335" i="1"/>
  <c r="Q335" i="1" s="1"/>
  <c r="L334" i="1"/>
  <c r="Q334" i="1" s="1"/>
  <c r="Q333" i="1"/>
  <c r="L333" i="1"/>
  <c r="Q332" i="1"/>
  <c r="L332" i="1"/>
  <c r="L331" i="1"/>
  <c r="Q331" i="1" s="1"/>
  <c r="L330" i="1"/>
  <c r="Q330" i="1" s="1"/>
  <c r="Q329" i="1"/>
  <c r="L329" i="1"/>
  <c r="Q328" i="1"/>
  <c r="L328" i="1"/>
  <c r="L327" i="1"/>
  <c r="Q327" i="1" s="1"/>
  <c r="L326" i="1"/>
  <c r="Q326" i="1" s="1"/>
  <c r="Q325" i="1"/>
  <c r="L325" i="1"/>
  <c r="Q324" i="1"/>
  <c r="L324" i="1"/>
  <c r="L323" i="1"/>
  <c r="Q323" i="1" s="1"/>
  <c r="L322" i="1"/>
  <c r="Q322" i="1" s="1"/>
  <c r="Q321" i="1"/>
  <c r="L321" i="1"/>
  <c r="Q320" i="1"/>
  <c r="L320" i="1"/>
  <c r="L319" i="1"/>
  <c r="Q319" i="1" s="1"/>
  <c r="L318" i="1"/>
  <c r="Q318" i="1" s="1"/>
  <c r="Q317" i="1"/>
  <c r="L317" i="1"/>
  <c r="Q316" i="1"/>
  <c r="L316" i="1"/>
  <c r="L315" i="1"/>
  <c r="Q315" i="1" s="1"/>
  <c r="L314" i="1"/>
  <c r="Q314" i="1" s="1"/>
  <c r="Q313" i="1"/>
  <c r="L313" i="1"/>
  <c r="Q312" i="1"/>
  <c r="L312" i="1"/>
  <c r="L311" i="1"/>
  <c r="Q311" i="1" s="1"/>
  <c r="L310" i="1"/>
  <c r="Q310" i="1" s="1"/>
  <c r="L309" i="1"/>
  <c r="Q309" i="1" s="1"/>
  <c r="Q308" i="1"/>
  <c r="L308" i="1"/>
  <c r="L307" i="1"/>
  <c r="Q307" i="1" s="1"/>
  <c r="L306" i="1"/>
  <c r="Q306" i="1" s="1"/>
  <c r="L305" i="1"/>
  <c r="Q305" i="1" s="1"/>
  <c r="Q304" i="1"/>
  <c r="L304" i="1"/>
  <c r="L303" i="1"/>
  <c r="Q303" i="1" s="1"/>
  <c r="L302" i="1"/>
  <c r="Q302" i="1" s="1"/>
  <c r="L301" i="1"/>
  <c r="Q301" i="1" s="1"/>
  <c r="Q300" i="1"/>
  <c r="L300" i="1"/>
  <c r="L299" i="1"/>
  <c r="Q299" i="1" s="1"/>
  <c r="L298" i="1"/>
  <c r="Q298" i="1" s="1"/>
  <c r="L297" i="1"/>
  <c r="Q297" i="1" s="1"/>
  <c r="Q296" i="1"/>
  <c r="L296" i="1"/>
  <c r="L295" i="1"/>
  <c r="Q295" i="1" s="1"/>
  <c r="L294" i="1"/>
  <c r="Q294" i="1" s="1"/>
  <c r="L293" i="1"/>
  <c r="Q293" i="1" s="1"/>
  <c r="Q292" i="1"/>
  <c r="L292" i="1"/>
  <c r="L291" i="1"/>
  <c r="Q291" i="1" s="1"/>
  <c r="L290" i="1"/>
  <c r="Q290" i="1" s="1"/>
  <c r="L289" i="1"/>
  <c r="Q289" i="1" s="1"/>
  <c r="Q288" i="1"/>
  <c r="L288" i="1"/>
  <c r="L287" i="1"/>
  <c r="Q287" i="1" s="1"/>
  <c r="L286" i="1"/>
  <c r="Q286" i="1" s="1"/>
  <c r="L285" i="1"/>
  <c r="Q285" i="1" s="1"/>
  <c r="Q284" i="1"/>
  <c r="L284" i="1"/>
  <c r="L283" i="1"/>
  <c r="Q283" i="1" s="1"/>
  <c r="L282" i="1"/>
  <c r="Q282" i="1" s="1"/>
  <c r="L281" i="1"/>
  <c r="Q281" i="1" s="1"/>
  <c r="Q280" i="1"/>
  <c r="L280" i="1"/>
  <c r="L279" i="1"/>
  <c r="Q279" i="1" s="1"/>
  <c r="L278" i="1"/>
  <c r="Q278" i="1" s="1"/>
  <c r="L277" i="1"/>
  <c r="Q277" i="1" s="1"/>
  <c r="L276" i="1"/>
  <c r="Q276" i="1" s="1"/>
  <c r="L275" i="1"/>
  <c r="Q275" i="1" s="1"/>
  <c r="L274" i="1"/>
  <c r="Q274" i="1" s="1"/>
  <c r="L273" i="1"/>
  <c r="Q273" i="1" s="1"/>
  <c r="L272" i="1"/>
  <c r="Q272" i="1" s="1"/>
  <c r="L271" i="1"/>
  <c r="Q271" i="1" s="1"/>
  <c r="L270" i="1"/>
  <c r="Q270" i="1" s="1"/>
  <c r="L269" i="1"/>
  <c r="Q269" i="1" s="1"/>
  <c r="L268" i="1"/>
  <c r="Q268" i="1" s="1"/>
  <c r="L267" i="1"/>
  <c r="Q267" i="1" s="1"/>
  <c r="L266" i="1"/>
  <c r="Q266" i="1" s="1"/>
  <c r="L265" i="1"/>
  <c r="Q265" i="1" s="1"/>
  <c r="L264" i="1"/>
  <c r="Q264" i="1" s="1"/>
  <c r="L263" i="1"/>
  <c r="Q263" i="1" s="1"/>
  <c r="L262" i="1"/>
  <c r="Q262" i="1" s="1"/>
  <c r="L261" i="1"/>
  <c r="Q261" i="1" s="1"/>
  <c r="L260" i="1"/>
  <c r="Q260" i="1" s="1"/>
  <c r="L259" i="1"/>
  <c r="Q259" i="1" s="1"/>
  <c r="L258" i="1"/>
  <c r="Q258" i="1" s="1"/>
  <c r="L257" i="1"/>
  <c r="Q257" i="1" s="1"/>
  <c r="L256" i="1"/>
  <c r="Q256" i="1" s="1"/>
  <c r="L255" i="1"/>
  <c r="Q255" i="1" s="1"/>
  <c r="L254" i="1"/>
  <c r="Q254" i="1" s="1"/>
  <c r="L253" i="1"/>
  <c r="Q253" i="1" s="1"/>
  <c r="L252" i="1"/>
  <c r="Q252" i="1" s="1"/>
  <c r="L251" i="1"/>
  <c r="Q251" i="1" s="1"/>
  <c r="L250" i="1"/>
  <c r="Q250" i="1" s="1"/>
  <c r="L249" i="1"/>
  <c r="Q249" i="1" s="1"/>
  <c r="L248" i="1"/>
  <c r="Q248" i="1" s="1"/>
  <c r="L247" i="1"/>
  <c r="Q247" i="1" s="1"/>
  <c r="L246" i="1"/>
  <c r="Q246" i="1" s="1"/>
  <c r="L245" i="1"/>
  <c r="Q245" i="1" s="1"/>
  <c r="L244" i="1"/>
  <c r="Q244" i="1" s="1"/>
  <c r="L243" i="1"/>
  <c r="Q243" i="1" s="1"/>
  <c r="L242" i="1"/>
  <c r="Q242" i="1" s="1"/>
  <c r="L241" i="1"/>
  <c r="Q241" i="1" s="1"/>
  <c r="L240" i="1"/>
  <c r="Q240" i="1" s="1"/>
  <c r="L239" i="1"/>
  <c r="Q239" i="1" s="1"/>
  <c r="L238" i="1"/>
  <c r="Q238" i="1" s="1"/>
  <c r="L237" i="1"/>
  <c r="Q237" i="1" s="1"/>
  <c r="L236" i="1"/>
  <c r="Q236" i="1" s="1"/>
  <c r="L235" i="1"/>
  <c r="Q235" i="1" s="1"/>
  <c r="L234" i="1"/>
  <c r="Q234" i="1" s="1"/>
  <c r="L233" i="1"/>
  <c r="Q233" i="1" s="1"/>
  <c r="L232" i="1"/>
  <c r="Q232" i="1" s="1"/>
  <c r="L231" i="1"/>
  <c r="Q231" i="1" s="1"/>
  <c r="L230" i="1"/>
  <c r="Q230" i="1" s="1"/>
  <c r="L229" i="1"/>
  <c r="Q229" i="1" s="1"/>
  <c r="L228" i="1"/>
  <c r="Q228" i="1" s="1"/>
  <c r="L227" i="1"/>
  <c r="Q227" i="1" s="1"/>
  <c r="L226" i="1"/>
  <c r="Q226" i="1" s="1"/>
  <c r="L225" i="1"/>
  <c r="Q225" i="1" s="1"/>
  <c r="L224" i="1"/>
  <c r="Q224" i="1" s="1"/>
  <c r="L223" i="1"/>
  <c r="Q223" i="1" s="1"/>
  <c r="L222" i="1"/>
  <c r="Q222" i="1" s="1"/>
  <c r="L221" i="1"/>
  <c r="Q221" i="1" s="1"/>
  <c r="L220" i="1"/>
  <c r="Q220" i="1" s="1"/>
  <c r="L219" i="1"/>
  <c r="Q219" i="1" s="1"/>
  <c r="L218" i="1"/>
  <c r="Q218" i="1" s="1"/>
  <c r="L217" i="1"/>
  <c r="Q217" i="1" s="1"/>
  <c r="L216" i="1"/>
  <c r="Q216" i="1" s="1"/>
  <c r="L215" i="1"/>
  <c r="Q215" i="1" s="1"/>
  <c r="L214" i="1"/>
  <c r="Q214" i="1" s="1"/>
  <c r="L213" i="1"/>
  <c r="Q213" i="1" s="1"/>
  <c r="L212" i="1"/>
  <c r="Q212" i="1" s="1"/>
  <c r="L211" i="1"/>
  <c r="Q211" i="1" s="1"/>
  <c r="L210" i="1"/>
  <c r="Q210" i="1" s="1"/>
  <c r="L209" i="1"/>
  <c r="Q209" i="1" s="1"/>
  <c r="L208" i="1"/>
  <c r="Q208" i="1" s="1"/>
  <c r="L207" i="1"/>
  <c r="Q207" i="1" s="1"/>
  <c r="L206" i="1"/>
  <c r="Q206" i="1" s="1"/>
  <c r="L205" i="1"/>
  <c r="Q205" i="1" s="1"/>
  <c r="L204" i="1"/>
  <c r="Q204" i="1" s="1"/>
  <c r="L203" i="1"/>
  <c r="Q203" i="1" s="1"/>
  <c r="L202" i="1"/>
  <c r="Q202" i="1" s="1"/>
  <c r="L201" i="1"/>
  <c r="Q201" i="1" s="1"/>
  <c r="L200" i="1"/>
  <c r="Q200" i="1" s="1"/>
  <c r="L199" i="1"/>
  <c r="Q199" i="1" s="1"/>
  <c r="L198" i="1"/>
  <c r="Q198" i="1" s="1"/>
  <c r="L197" i="1"/>
  <c r="Q197" i="1" s="1"/>
  <c r="L196" i="1"/>
  <c r="Q196" i="1" s="1"/>
  <c r="L195" i="1"/>
  <c r="Q195" i="1" s="1"/>
  <c r="L194" i="1"/>
  <c r="Q194" i="1" s="1"/>
  <c r="L193" i="1"/>
  <c r="Q193" i="1" s="1"/>
  <c r="L192" i="1"/>
  <c r="Q192" i="1" s="1"/>
  <c r="L191" i="1"/>
  <c r="Q191" i="1" s="1"/>
  <c r="L190" i="1"/>
  <c r="Q190" i="1" s="1"/>
  <c r="L189" i="1"/>
  <c r="Q189" i="1" s="1"/>
  <c r="L188" i="1"/>
  <c r="Q188" i="1" s="1"/>
  <c r="L187" i="1"/>
  <c r="Q187" i="1" s="1"/>
  <c r="L186" i="1"/>
  <c r="Q186" i="1" s="1"/>
  <c r="L185" i="1"/>
  <c r="Q185" i="1" s="1"/>
  <c r="L184" i="1"/>
  <c r="Q184" i="1" s="1"/>
  <c r="L183" i="1"/>
  <c r="Q183" i="1" s="1"/>
  <c r="L182" i="1"/>
  <c r="Q182" i="1" s="1"/>
  <c r="L181" i="1"/>
  <c r="Q181" i="1" s="1"/>
  <c r="L180" i="1"/>
  <c r="Q180" i="1" s="1"/>
  <c r="L179" i="1"/>
  <c r="Q179" i="1" s="1"/>
  <c r="L178" i="1"/>
  <c r="Q178" i="1" s="1"/>
  <c r="L177" i="1"/>
  <c r="Q177" i="1" s="1"/>
  <c r="L176" i="1"/>
  <c r="Q176" i="1" s="1"/>
  <c r="L175" i="1"/>
  <c r="Q175" i="1" s="1"/>
  <c r="L174" i="1"/>
  <c r="Q174" i="1" s="1"/>
  <c r="L173" i="1"/>
  <c r="Q173" i="1" s="1"/>
  <c r="L172" i="1"/>
  <c r="Q172" i="1" s="1"/>
  <c r="L171" i="1"/>
  <c r="Q171" i="1" s="1"/>
  <c r="L170" i="1"/>
  <c r="Q170" i="1" s="1"/>
  <c r="L169" i="1"/>
  <c r="Q169" i="1" s="1"/>
  <c r="L168" i="1"/>
  <c r="Q168" i="1" s="1"/>
  <c r="L167" i="1"/>
  <c r="Q167" i="1" s="1"/>
  <c r="L166" i="1"/>
  <c r="Q166" i="1" s="1"/>
  <c r="L165" i="1"/>
  <c r="Q165" i="1" s="1"/>
  <c r="L164" i="1"/>
  <c r="Q164" i="1" s="1"/>
  <c r="L163" i="1"/>
  <c r="Q163" i="1" s="1"/>
  <c r="L162" i="1"/>
  <c r="Q162" i="1" s="1"/>
  <c r="L161" i="1"/>
  <c r="Q161" i="1" s="1"/>
  <c r="L160" i="1"/>
  <c r="Q160" i="1" s="1"/>
  <c r="L159" i="1"/>
  <c r="Q159" i="1" s="1"/>
  <c r="L158" i="1"/>
  <c r="Q158" i="1" s="1"/>
  <c r="L157" i="1"/>
  <c r="Q157" i="1" s="1"/>
  <c r="L156" i="1"/>
  <c r="Q156" i="1" s="1"/>
  <c r="L155" i="1"/>
  <c r="Q155" i="1" s="1"/>
  <c r="L154" i="1"/>
  <c r="Q154" i="1" s="1"/>
  <c r="L153" i="1"/>
  <c r="Q153" i="1" s="1"/>
  <c r="L152" i="1"/>
  <c r="Q152" i="1" s="1"/>
  <c r="L151" i="1"/>
  <c r="Q151" i="1" s="1"/>
  <c r="L150" i="1"/>
  <c r="Q150" i="1" s="1"/>
  <c r="L149" i="1"/>
  <c r="Q149" i="1" s="1"/>
  <c r="L148" i="1"/>
  <c r="Q148" i="1" s="1"/>
  <c r="L147" i="1"/>
  <c r="Q147" i="1" s="1"/>
  <c r="L146" i="1"/>
  <c r="Q146" i="1" s="1"/>
  <c r="L145" i="1"/>
  <c r="Q145" i="1" s="1"/>
  <c r="L144" i="1"/>
  <c r="Q144" i="1" s="1"/>
  <c r="L143" i="1"/>
  <c r="Q143" i="1" s="1"/>
  <c r="L142" i="1"/>
  <c r="Q142" i="1" s="1"/>
  <c r="L141" i="1"/>
  <c r="Q141" i="1" s="1"/>
  <c r="L140" i="1"/>
  <c r="Q140" i="1" s="1"/>
  <c r="L139" i="1"/>
  <c r="Q139" i="1" s="1"/>
  <c r="L138" i="1"/>
  <c r="Q138" i="1" s="1"/>
  <c r="L137" i="1"/>
  <c r="Q137" i="1" s="1"/>
  <c r="Q136" i="1"/>
  <c r="L136" i="1"/>
  <c r="L135" i="1"/>
  <c r="Q135" i="1" s="1"/>
  <c r="L134" i="1"/>
  <c r="Q134" i="1" s="1"/>
  <c r="L133" i="1"/>
  <c r="Q133" i="1" s="1"/>
  <c r="L132" i="1"/>
  <c r="Q132" i="1" s="1"/>
  <c r="L131" i="1"/>
  <c r="Q131" i="1" s="1"/>
  <c r="L130" i="1"/>
  <c r="Q130" i="1" s="1"/>
  <c r="L129" i="1"/>
  <c r="Q129" i="1" s="1"/>
  <c r="L128" i="1"/>
  <c r="Q128" i="1" s="1"/>
  <c r="L127" i="1"/>
  <c r="Q127" i="1" s="1"/>
  <c r="L126" i="1"/>
  <c r="Q126" i="1" s="1"/>
  <c r="L125" i="1"/>
  <c r="Q125" i="1" s="1"/>
  <c r="Q124" i="1"/>
  <c r="L124" i="1"/>
  <c r="L123" i="1"/>
  <c r="Q123" i="1" s="1"/>
  <c r="L122" i="1"/>
  <c r="Q122" i="1" s="1"/>
  <c r="L121" i="1"/>
  <c r="Q121" i="1" s="1"/>
  <c r="L120" i="1"/>
  <c r="Q120" i="1" s="1"/>
  <c r="L119" i="1"/>
  <c r="Q119" i="1" s="1"/>
  <c r="L118" i="1"/>
  <c r="Q118" i="1" s="1"/>
  <c r="L117" i="1"/>
  <c r="Q117" i="1" s="1"/>
  <c r="Q116" i="1"/>
  <c r="L116" i="1"/>
  <c r="L115" i="1"/>
  <c r="Q115" i="1" s="1"/>
  <c r="L114" i="1"/>
  <c r="Q114" i="1" s="1"/>
  <c r="L113" i="1"/>
  <c r="Q113" i="1" s="1"/>
  <c r="Q112" i="1"/>
  <c r="L112" i="1"/>
  <c r="L111" i="1"/>
  <c r="Q111" i="1" s="1"/>
  <c r="L110" i="1"/>
  <c r="Q110" i="1" s="1"/>
  <c r="L109" i="1"/>
  <c r="Q109" i="1" s="1"/>
  <c r="L108" i="1"/>
  <c r="Q108" i="1" s="1"/>
  <c r="L107" i="1"/>
  <c r="Q107" i="1" s="1"/>
  <c r="L106" i="1"/>
  <c r="Q106" i="1" s="1"/>
  <c r="L105" i="1"/>
  <c r="Q105" i="1" s="1"/>
  <c r="Q104" i="1"/>
  <c r="L104" i="1"/>
  <c r="L103" i="1"/>
  <c r="Q103" i="1" s="1"/>
  <c r="L102" i="1"/>
  <c r="Q102" i="1" s="1"/>
  <c r="L101" i="1"/>
  <c r="Q101" i="1" s="1"/>
  <c r="L100" i="1"/>
  <c r="Q100" i="1" s="1"/>
  <c r="L99" i="1"/>
  <c r="Q99" i="1" s="1"/>
  <c r="L98" i="1"/>
  <c r="Q98" i="1" s="1"/>
  <c r="L97" i="1"/>
  <c r="Q97" i="1" s="1"/>
  <c r="L96" i="1"/>
  <c r="Q96" i="1" s="1"/>
  <c r="L95" i="1"/>
  <c r="Q95" i="1" s="1"/>
  <c r="L94" i="1"/>
  <c r="Q94" i="1" s="1"/>
  <c r="L93" i="1"/>
  <c r="Q93" i="1" s="1"/>
  <c r="Q92" i="1"/>
  <c r="L92" i="1"/>
  <c r="L91" i="1"/>
  <c r="Q91" i="1" s="1"/>
  <c r="L90" i="1"/>
  <c r="Q90" i="1" s="1"/>
  <c r="L89" i="1"/>
  <c r="Q89" i="1" s="1"/>
  <c r="L88" i="1"/>
  <c r="Q88" i="1" s="1"/>
  <c r="L87" i="1"/>
  <c r="Q87" i="1" s="1"/>
  <c r="L86" i="1"/>
  <c r="Q86" i="1" s="1"/>
  <c r="L85" i="1"/>
  <c r="Q85" i="1" s="1"/>
  <c r="Q84" i="1"/>
  <c r="L84" i="1"/>
  <c r="L83" i="1"/>
  <c r="Q83" i="1" s="1"/>
  <c r="L82" i="1"/>
  <c r="Q82" i="1" s="1"/>
  <c r="L81" i="1"/>
  <c r="Q81" i="1" s="1"/>
  <c r="Q80" i="1"/>
  <c r="L80" i="1"/>
  <c r="L79" i="1"/>
  <c r="Q79" i="1" s="1"/>
  <c r="L78" i="1"/>
  <c r="Q78" i="1" s="1"/>
  <c r="L77" i="1"/>
  <c r="Q77" i="1" s="1"/>
  <c r="L76" i="1"/>
  <c r="Q76" i="1" s="1"/>
  <c r="L75" i="1"/>
  <c r="Q75" i="1" s="1"/>
  <c r="L74" i="1"/>
  <c r="Q74" i="1" s="1"/>
  <c r="L73" i="1"/>
  <c r="Q73" i="1" s="1"/>
  <c r="Q72" i="1"/>
  <c r="L72" i="1"/>
  <c r="L71" i="1"/>
  <c r="Q71" i="1" s="1"/>
  <c r="L70" i="1"/>
  <c r="Q70" i="1" s="1"/>
  <c r="L69" i="1"/>
  <c r="Q69" i="1" s="1"/>
  <c r="L68" i="1"/>
  <c r="Q68" i="1" s="1"/>
  <c r="L67" i="1"/>
  <c r="Q67" i="1" s="1"/>
  <c r="L66" i="1"/>
  <c r="Q66" i="1" s="1"/>
  <c r="L65" i="1"/>
  <c r="Q65" i="1" s="1"/>
  <c r="L64" i="1"/>
  <c r="Q64" i="1" s="1"/>
  <c r="L63" i="1"/>
  <c r="Q63" i="1" s="1"/>
  <c r="L62" i="1"/>
  <c r="Q62" i="1" s="1"/>
  <c r="L61" i="1"/>
  <c r="Q61" i="1" s="1"/>
  <c r="Q60" i="1"/>
  <c r="L60" i="1"/>
  <c r="L59" i="1"/>
  <c r="Q59" i="1" s="1"/>
  <c r="L58" i="1"/>
  <c r="Q58" i="1" s="1"/>
  <c r="L57" i="1"/>
  <c r="Q57" i="1" s="1"/>
  <c r="Q56" i="1"/>
  <c r="L56" i="1"/>
  <c r="Q55" i="1"/>
  <c r="L55" i="1"/>
  <c r="L54" i="1"/>
  <c r="Q54" i="1" s="1"/>
  <c r="L53" i="1"/>
  <c r="Q53" i="1" s="1"/>
  <c r="L52" i="1"/>
  <c r="Q52" i="1" s="1"/>
  <c r="Q51" i="1"/>
  <c r="L51" i="1"/>
  <c r="L50" i="1"/>
  <c r="Q50" i="1" s="1"/>
  <c r="L49" i="1"/>
  <c r="Q49" i="1" s="1"/>
  <c r="L48" i="1"/>
  <c r="Q48" i="1" s="1"/>
  <c r="L47" i="1"/>
  <c r="Q47" i="1" s="1"/>
  <c r="L46" i="1"/>
  <c r="Q46" i="1" s="1"/>
  <c r="L45" i="1"/>
  <c r="Q45" i="1" s="1"/>
  <c r="Q44" i="1"/>
  <c r="L44" i="1"/>
  <c r="L43" i="1"/>
  <c r="Q43" i="1" s="1"/>
  <c r="L42" i="1"/>
  <c r="Q42" i="1" s="1"/>
  <c r="L41" i="1"/>
  <c r="Q41" i="1" s="1"/>
  <c r="L40" i="1"/>
  <c r="Q40" i="1" s="1"/>
  <c r="Q39" i="1"/>
  <c r="L39" i="1"/>
  <c r="L38" i="1"/>
  <c r="Q38" i="1" s="1"/>
  <c r="L37" i="1"/>
  <c r="Q37" i="1" s="1"/>
  <c r="L36" i="1"/>
  <c r="Q36" i="1" s="1"/>
  <c r="L35" i="1"/>
  <c r="Q35" i="1" s="1"/>
  <c r="L34" i="1"/>
  <c r="Q34" i="1" s="1"/>
  <c r="L33" i="1"/>
  <c r="Q33" i="1" s="1"/>
  <c r="L32" i="1"/>
  <c r="Q32" i="1" s="1"/>
  <c r="L31" i="1"/>
  <c r="Q31" i="1" s="1"/>
  <c r="L30" i="1"/>
  <c r="Q30" i="1" s="1"/>
  <c r="L29" i="1"/>
  <c r="Q29" i="1" s="1"/>
  <c r="Q28" i="1"/>
  <c r="L28" i="1"/>
  <c r="L27" i="1"/>
  <c r="Q27" i="1" s="1"/>
  <c r="L26" i="1"/>
  <c r="Q26" i="1" s="1"/>
  <c r="L25" i="1"/>
  <c r="Q25" i="1" s="1"/>
  <c r="L24" i="1"/>
  <c r="Q24" i="1" s="1"/>
  <c r="Q23" i="1"/>
  <c r="L23" i="1"/>
  <c r="L22" i="1"/>
  <c r="Q22" i="1" s="1"/>
  <c r="L21" i="1"/>
  <c r="Q21" i="1" s="1"/>
  <c r="L20" i="1"/>
  <c r="Q20" i="1" s="1"/>
  <c r="Q19" i="1"/>
  <c r="L19" i="1"/>
  <c r="L18" i="1"/>
  <c r="Q18" i="1" s="1"/>
  <c r="L17" i="1"/>
  <c r="Q17" i="1" s="1"/>
  <c r="L16" i="1"/>
  <c r="Q16" i="1" s="1"/>
  <c r="Q15" i="1"/>
  <c r="L15" i="1"/>
  <c r="L14" i="1"/>
  <c r="Q14" i="1" s="1"/>
  <c r="L13" i="1"/>
  <c r="Q13" i="1" s="1"/>
  <c r="L12" i="1"/>
  <c r="Q12" i="1" s="1"/>
  <c r="Q11" i="1"/>
  <c r="L11" i="1"/>
  <c r="L10" i="1"/>
  <c r="Q10" i="1" s="1"/>
  <c r="L9" i="1"/>
  <c r="Q9" i="1" s="1"/>
  <c r="L8" i="1"/>
  <c r="Q8" i="1" s="1"/>
</calcChain>
</file>

<file path=xl/sharedStrings.xml><?xml version="1.0" encoding="utf-8"?>
<sst xmlns="http://schemas.openxmlformats.org/spreadsheetml/2006/main" count="30883" uniqueCount="9404">
  <si>
    <t>MINISTERIO DEL TRABAJO</t>
  </si>
  <si>
    <t>DIRECCIÓN REGIONAL DE TRABAJO Y SERVICIO PÚBLICO DE LOJA</t>
  </si>
  <si>
    <t>COPIAS CERTIFICADAS</t>
  </si>
  <si>
    <t>NÚMERO</t>
  </si>
  <si>
    <t>No. DE EXTERNO</t>
  </si>
  <si>
    <t>FECHA DE INGRESO AL MDT</t>
  </si>
  <si>
    <t>FECHA DE INGRESO A LA DSG</t>
  </si>
  <si>
    <t>CANTIDAD DE FOJAS DESPACHADAS</t>
  </si>
  <si>
    <t>ESTADO</t>
  </si>
  <si>
    <t xml:space="preserve">FUNCIONARIO ACTUAL </t>
  </si>
  <si>
    <t>DIRECCIÓN O UNIDAD</t>
  </si>
  <si>
    <t>TECN. CETIFI RESPONSABLE</t>
  </si>
  <si>
    <t>FECHA RESOLUCIÓN</t>
  </si>
  <si>
    <t>FECHA DE NOTIFICACIÓN</t>
  </si>
  <si>
    <t>TIEMPO DE RESPUESTA HASTA LA NOTIFICACIÓN</t>
  </si>
  <si>
    <t>NUMERO DE OFICIO DE RESPUESTA</t>
  </si>
  <si>
    <t>CUIDAD A LA QUE SE DEBE ENVIAR LA RESPUESTA</t>
  </si>
  <si>
    <t>NOTIFICADO / O ENTREGADO A:</t>
  </si>
  <si>
    <t>NUMERO DE GUÍA O CÉDULA</t>
  </si>
  <si>
    <t>CUMPLE EN EL PLAZO ESTABLECIDO</t>
  </si>
  <si>
    <t>FERIADO</t>
  </si>
  <si>
    <t>MDT-DRTSPL-2022-0001-EXTERNO</t>
  </si>
  <si>
    <t>ATENDIDO</t>
  </si>
  <si>
    <t xml:space="preserve">Mayte Del Cisne Elizalde Vivanco </t>
  </si>
  <si>
    <t>DIRECCIÓN REGIONAL DEL TRABAJO Y SERVICIO PÚBLICO DE LOJA</t>
  </si>
  <si>
    <t>MDT-DRTSPL-2022-0052-O</t>
  </si>
  <si>
    <t>LOJA</t>
  </si>
  <si>
    <t>Eduardo Xavier Iñiguez Espinosa</t>
  </si>
  <si>
    <t>ENVIADO ELECTRONICAMENTE</t>
  </si>
  <si>
    <t>MDT-DRTSPL-2022-0002-EXTERNO</t>
  </si>
  <si>
    <t xml:space="preserve">Yajaira Katherine Lozada Bravo </t>
  </si>
  <si>
    <t>MDT-DRTSPL-2022-0039-O</t>
  </si>
  <si>
    <t>Noela Soledad Bustamante Castro</t>
  </si>
  <si>
    <t>MDT-DRTSPL-2022-0004-EXTERNO</t>
  </si>
  <si>
    <t>MDT-DRTSPL-2022-0038-O</t>
  </si>
  <si>
    <t>sandra Jacqueline Alvarado Orellana</t>
  </si>
  <si>
    <t>MDT-DRTSPL-2022-0005-EXTERNO</t>
  </si>
  <si>
    <t>MDT-DRTSPL-2022-0040-O</t>
  </si>
  <si>
    <t>Cuenca Lozano Pablo Fernando</t>
  </si>
  <si>
    <t>MDT-DRTSPL-2022-0006-EXTERNO</t>
  </si>
  <si>
    <t>MDT-DRTSPL-2022-0103-O</t>
  </si>
  <si>
    <t>Jose Oliver Jiron Rosillo</t>
  </si>
  <si>
    <t>MDT-DRTSPL-2022-0009-EXTERNO</t>
  </si>
  <si>
    <t>MDT-DRTSPL-2022-0098-O</t>
  </si>
  <si>
    <t>Christina Laura Marshall</t>
  </si>
  <si>
    <t>MDT-DRTSPL-2022-0017-EXTERNO</t>
  </si>
  <si>
    <t>MDT-DRTSPL-2022-0041-O</t>
  </si>
  <si>
    <t>Climer Otilio Vasquez Cuenca</t>
  </si>
  <si>
    <t>MDT-DRTSPL-2022-0018-EXTERNO</t>
  </si>
  <si>
    <t>Mayte Del Cisne Elizalde Vivanco (MDT)</t>
  </si>
  <si>
    <t>MDT-DRTSPL-2022-0079-O</t>
  </si>
  <si>
    <t>Lizbeth Sofia Palacios Orellana (CIUDADANO)</t>
  </si>
  <si>
    <t>MDT-DRTSPL-2022-0020-EXTERNO</t>
  </si>
  <si>
    <t>MDT-DRTSPL-2022-0042-O</t>
  </si>
  <si>
    <t>Luis Lautaro Moreno Arrobo</t>
  </si>
  <si>
    <t>MDT-DRTSPL-2022-0021-EXTERNO</t>
  </si>
  <si>
    <t>MDT-DRTSPL-2022-0043-O</t>
  </si>
  <si>
    <t>MDT-DRTSPL-2022-0022-EXTERNO</t>
  </si>
  <si>
    <t>MDT-DRTSPL-2022-0049-O</t>
  </si>
  <si>
    <t>MDT-DRTSPL-2022-0023-EXTERNO</t>
  </si>
  <si>
    <t>MDT-DRTSPL-2022-0050-O</t>
  </si>
  <si>
    <t>MDT-DRTSPL-2022-0024-EXTERNO</t>
  </si>
  <si>
    <t>MDT-DRTSPL-2022-0045-O</t>
  </si>
  <si>
    <t>MDT-DRTSPL-2022-0025-EXTERNO</t>
  </si>
  <si>
    <t>MDT-DRTSPL-2022-0044-O</t>
  </si>
  <si>
    <t>MDT-DRTSPL-2022-0029-EXTERNO</t>
  </si>
  <si>
    <t>MDT-DRTSPL-2022-0051-O</t>
  </si>
  <si>
    <t>Nelson Elidio Armijos Zabala</t>
  </si>
  <si>
    <t>MDT-DRTSPL-2022-0033-EXTERNO</t>
  </si>
  <si>
    <t>MDT-DRTSPL-2022-0053-O</t>
  </si>
  <si>
    <t>Jorge Patricio Morocho Barrera</t>
  </si>
  <si>
    <t>MDT-DRTSPL-2022-0034-EXTERNO</t>
  </si>
  <si>
    <t>MDT-DRTSPL-2022-0057-O</t>
  </si>
  <si>
    <t>Luis Alfonso Silva Aguilar</t>
  </si>
  <si>
    <t>MDT-DRTSPL-2022-0036-EXTERNO</t>
  </si>
  <si>
    <t>MDT-DRTSPL-2022-0059-O</t>
  </si>
  <si>
    <t>Luis Fernando Naranjo Contento</t>
  </si>
  <si>
    <t>MDT-DRTSPL-2022-0039-EXTERNO</t>
  </si>
  <si>
    <t>MDT-DRTSPL-2022-0060-O</t>
  </si>
  <si>
    <t>Rodrigo Patricio Rivas Romero</t>
  </si>
  <si>
    <t>MDT-DRTSPL-2022-0043-EXTERNO</t>
  </si>
  <si>
    <t>MDT-DRTSPL-2022-0061-O</t>
  </si>
  <si>
    <t>Jefferson Alejandro Tapia Pacheco</t>
  </si>
  <si>
    <t>MDT-DRTSPL-2022-0044-EXTERNO</t>
  </si>
  <si>
    <t>MDT-DRTSPL-2022-0067-O</t>
  </si>
  <si>
    <t>Segundo Emiterio Gualan Medina</t>
  </si>
  <si>
    <t>MDT-DRTSPL-2022-0046-EXTERNO</t>
  </si>
  <si>
    <t>MDT-DRTSPL-2022-0068-O</t>
  </si>
  <si>
    <t>Carlos Antonio Delgado Montoya</t>
  </si>
  <si>
    <t>MDT-DRTSPL-2022-0047-EXTERNO</t>
  </si>
  <si>
    <t>MDT-DRTSPL-2022-0069-O</t>
  </si>
  <si>
    <t>MDT-DRTSPL-2022-0055-EXTERNO</t>
  </si>
  <si>
    <t>Yajaira Katherine Lozada Bravo (MDT)</t>
  </si>
  <si>
    <t>MDT-DRTSPL-2022-0454-O</t>
  </si>
  <si>
    <t>Carlos Antonio Delgado Montoya (CIUDADANO)</t>
  </si>
  <si>
    <t>MDT-DRTSPL-2022-0059-EXTERNO</t>
  </si>
  <si>
    <t>MDT-DRTSPL-2022-0070-O</t>
  </si>
  <si>
    <t>Byron Fabian Ortiz Labanda</t>
  </si>
  <si>
    <t>MDT-DRTSPL-2022-0061-EXTERNO</t>
  </si>
  <si>
    <t>MDT-DRTSPL-2022-0058-O</t>
  </si>
  <si>
    <t>Narcisa de Jesus Ajila Quizhpe</t>
  </si>
  <si>
    <t>MDT-DRTSPL-2022-0069-EXTERNO</t>
  </si>
  <si>
    <t>MDT-DRTSPL-2022-0073-O</t>
  </si>
  <si>
    <t>Ramiro Benigno Galarza Armijos</t>
  </si>
  <si>
    <t>MDT-DRTSPL-2022-0076-EXTERNO</t>
  </si>
  <si>
    <t>MDT-DRTSPL-2022-0072-O</t>
  </si>
  <si>
    <t>Aura Janeth Pardo Montero</t>
  </si>
  <si>
    <t>MDT-DRTSPL-2022-0077-EXTERNO</t>
  </si>
  <si>
    <t>MDT-DRTSPL-2022-0075-O</t>
  </si>
  <si>
    <t>Boris Alejandro Zúñiga Mora</t>
  </si>
  <si>
    <t>MDT-DRTSPL-2022-0078-EXTERNO</t>
  </si>
  <si>
    <t>MDT-DRTSPL-2022-0071-O</t>
  </si>
  <si>
    <t>Flavio Geovanny Bravo Luzuriaga</t>
  </si>
  <si>
    <t>MDT-DRTSPL-2022-0080-EXTERNO</t>
  </si>
  <si>
    <t>MDT-DRTSPL-2022-0076-O</t>
  </si>
  <si>
    <t>Lina Andrea Luzuriaga Maldonado</t>
  </si>
  <si>
    <t>MDT-DRTSPL-2022-0081-EXTERNO</t>
  </si>
  <si>
    <t>MDT-DRTSPL-2022-0077-O</t>
  </si>
  <si>
    <t>Milton Filiberto Alvarado Alvarado</t>
  </si>
  <si>
    <t>MDT-DRTSPL-2022-0082-EXTERNO</t>
  </si>
  <si>
    <t>MDT-DRTSPL-2022-0080-O</t>
  </si>
  <si>
    <t>Manuel Alejandro González Zhinin</t>
  </si>
  <si>
    <t>MDT-DRTSPL-2022-0083-EXTERNO</t>
  </si>
  <si>
    <t>MDT-DRTSPL-2022-0078-O</t>
  </si>
  <si>
    <t>MDT-DRTSPL-2022-0084-EXTERNO</t>
  </si>
  <si>
    <t>MDT-DRTSPL-2022-0081-O</t>
  </si>
  <si>
    <t>MDT-DRTSPL-2022-0086-EXTERNO</t>
  </si>
  <si>
    <t>MDT-DRTSPL-2022-0082-O</t>
  </si>
  <si>
    <t>Andrea Soledad Aguirre Cordova</t>
  </si>
  <si>
    <t>MDT-DRTSPL-2022-0087-EXTERNO</t>
  </si>
  <si>
    <t>MDT-DRTSPL-2022-0085-O</t>
  </si>
  <si>
    <t>Klever Vicente Troya</t>
  </si>
  <si>
    <t>MDT-DRTSPL-2022-0088-EXTERNO</t>
  </si>
  <si>
    <t>MDT-DRTSPL-2022-0084-O</t>
  </si>
  <si>
    <t>MDT-DRTSPL-2022-0089-EXTERNO</t>
  </si>
  <si>
    <t>MDT-DRTSPL-2022-0092-O</t>
  </si>
  <si>
    <t>Jimmy Patricio Valencia Suquilanda</t>
  </si>
  <si>
    <t>MDT-DRTSPL-2022-0092-EXTERNO</t>
  </si>
  <si>
    <t>MDT-DRTSPL-2022-0094-O</t>
  </si>
  <si>
    <t>Geovanna Tamara Chango Maldonado</t>
  </si>
  <si>
    <t>MDT-DRTSPL-2022-0094-EXTERNO</t>
  </si>
  <si>
    <t>MDT-DRTSPL-2022-0093-O</t>
  </si>
  <si>
    <t>Isidro Ubiticio Vera Suquilanda</t>
  </si>
  <si>
    <t>MDT-DRTSPL-2022-0097-EXTERNO</t>
  </si>
  <si>
    <t>MDT-DRTSPL-2022-0083-O</t>
  </si>
  <si>
    <t>Edwin Fabian Gueledel Cabrera</t>
  </si>
  <si>
    <t>MDT-DRTSPL-2022-0098-EXTERNO</t>
  </si>
  <si>
    <t>MDT-DRTSPL-2022-0095-O</t>
  </si>
  <si>
    <t>Maria Gabriela Villamagua Cuenca</t>
  </si>
  <si>
    <t>MDT-DRTSPL-2022-0102-EXTERNO</t>
  </si>
  <si>
    <t>MDT-DRTSPL-2022-0096-O</t>
  </si>
  <si>
    <t>Marco Antonio Velez Sanchez</t>
  </si>
  <si>
    <t>MDT-DRTSPL-2022-0106-EXTERNO</t>
  </si>
  <si>
    <t>MDT-DRTSPL-2022-0097-O</t>
  </si>
  <si>
    <t>Gladys del Carmen Sarango López</t>
  </si>
  <si>
    <t>MDT-DRTSPL-2022-0107-EXTERNO</t>
  </si>
  <si>
    <t>MDT-DRTSPL-2022-0099-O</t>
  </si>
  <si>
    <t>MDT-DRTSPL-2022-0109-EXTERNO</t>
  </si>
  <si>
    <t>MDT-DRTSPL-2022-0100-O</t>
  </si>
  <si>
    <t>Milenne Alejandra Cabrera Cueva</t>
  </si>
  <si>
    <t>MDT-DRTSPL-2022-0111-EXTERNO</t>
  </si>
  <si>
    <t>MDT-DRTSPL-2022-0104-O</t>
  </si>
  <si>
    <t>Carlos Andres Lopez Apolo (CIUDADANO)</t>
  </si>
  <si>
    <t>MDT-DRTSPL-2022-0112-EXTERNO</t>
  </si>
  <si>
    <t>MDT-DRTSPL-2022-0101-O</t>
  </si>
  <si>
    <t>Víctor Emilio Santín Salazar</t>
  </si>
  <si>
    <t>MDT-DRTSPL-2022-0113-EXTERNO</t>
  </si>
  <si>
    <t>MDT-DRTSPL-2022-0102-O</t>
  </si>
  <si>
    <t>Santiago Rafael Relica Moreno</t>
  </si>
  <si>
    <t>MDT-DRTSPL-2022-0116-EXTERNO</t>
  </si>
  <si>
    <t>MDT-DRTSPL-2022-0105-O</t>
  </si>
  <si>
    <t>Diana Montserrat Duque Correa</t>
  </si>
  <si>
    <t>MDT-DRTSPL-2022-0121-EXTERNO</t>
  </si>
  <si>
    <t>MDT-DRTSPL-2022-0109-O</t>
  </si>
  <si>
    <t>Henry Noé Yanangómez Becerra</t>
  </si>
  <si>
    <t>MDT-DRTSPL-2022-0133-EXTERNO</t>
  </si>
  <si>
    <t>MDT-DRTSPL-2022-0110-O</t>
  </si>
  <si>
    <t>Ivan Abelardo Ramon Ramon</t>
  </si>
  <si>
    <t>MDT-DRTSPL-2022-0134-EXTERNO</t>
  </si>
  <si>
    <t>MDT-DRTSPL-2022-0111-O</t>
  </si>
  <si>
    <t>Victor Alberto Burneo Herrera</t>
  </si>
  <si>
    <t>MDT-DRTSPL-2022-0137-EXTERNO</t>
  </si>
  <si>
    <t>MDT-DRTSPL-2022-0116-O</t>
  </si>
  <si>
    <t>Aldo Fabricio Balcazar Becerra</t>
  </si>
  <si>
    <t>MDT-DRTSPL-2022-0139-EXTERNO</t>
  </si>
  <si>
    <t>MDT-DRTSPL-2022-0118-O</t>
  </si>
  <si>
    <t>Romulo Darwin Sigcho Tapia</t>
  </si>
  <si>
    <t>MDT-DRTSPL-2022-0146-EXTERNO</t>
  </si>
  <si>
    <t>MDT-DRTSPL-2022-0119-O</t>
  </si>
  <si>
    <t>Marlene Margarita Cuenca Quiroga</t>
  </si>
  <si>
    <t>MDT-DRTSPL-2022-0149-EXTERNO</t>
  </si>
  <si>
    <t>MDT-DRTSPL-2022-0117-O</t>
  </si>
  <si>
    <t>Eduardo Luis Granda Lavanda</t>
  </si>
  <si>
    <t>MDT-DRTSPL-2022-0156-EXTERNO</t>
  </si>
  <si>
    <t>MDT-DRTSPL-2022-0120-O</t>
  </si>
  <si>
    <t>Cristóbal René Villón Bernabé</t>
  </si>
  <si>
    <t>MDT-DRTSPL-2022-0157-EXTERNO</t>
  </si>
  <si>
    <t>MDT-DRTSPL-2022-0124-O</t>
  </si>
  <si>
    <t>Mario Santos Rodriguez Arevalo</t>
  </si>
  <si>
    <t>MDT-DRTSPL-2022-0158-EXTERNO</t>
  </si>
  <si>
    <t>MDT-DRTSPL-2022-0125-O</t>
  </si>
  <si>
    <t>Luis Remigio yumbo Shiguango</t>
  </si>
  <si>
    <t>MDT-DRTSPL-2022-0159-EXTERNO</t>
  </si>
  <si>
    <t>MDT-DRTSPL-2022-0127-O</t>
  </si>
  <si>
    <t>Juan Vidal Ramirez Jarrin</t>
  </si>
  <si>
    <t>MDT-DRTSPL-2022-0160-EXTERNO</t>
  </si>
  <si>
    <t>MDT-DRTSPL-2022-0129-O</t>
  </si>
  <si>
    <t>Wagner Patricio Piedra Piedra</t>
  </si>
  <si>
    <t>MDT-DRTSPL-2022-0161-EXTERNO</t>
  </si>
  <si>
    <t>MDT-DRTSPL-2022-0130-O</t>
  </si>
  <si>
    <t>José Alexander Solorzano Vera</t>
  </si>
  <si>
    <t>MDT-DRTSPL-2022-0162-EXTERNO</t>
  </si>
  <si>
    <t>MDT-DRTSPL-2022-0131-O</t>
  </si>
  <si>
    <t>Hugo Oswaldo Miranda Fiallos</t>
  </si>
  <si>
    <t>MDT-DRTSPL-2022-0163-EXTERNO</t>
  </si>
  <si>
    <t>MDT-DRTSPL-2022-0132-O</t>
  </si>
  <si>
    <t>Ángel Gonzalo Chela Chela</t>
  </si>
  <si>
    <t>MDT-DRTSPL-2022-0165-EXTERNO</t>
  </si>
  <si>
    <t>MDT-DRTSPL-2022-0134-O</t>
  </si>
  <si>
    <t>Omar Baldemir Lara Vargas</t>
  </si>
  <si>
    <t>MDT-DRTSPL-2022-0173-EXTERNO</t>
  </si>
  <si>
    <t>MDT-DRTSPL-2022-0135-O</t>
  </si>
  <si>
    <t>Jaime Walter Torres Roman</t>
  </si>
  <si>
    <t>MDT-DRTSPL-2022-0174-EXTERNO</t>
  </si>
  <si>
    <t>MDT-DRTSPL-2022-0139-O</t>
  </si>
  <si>
    <t>Miguel Enrique Luna Bravo</t>
  </si>
  <si>
    <t>MDT-DRTSPL-2022-0175-EXTERNO</t>
  </si>
  <si>
    <t>MDT-DRTSPL-2022-0142-O</t>
  </si>
  <si>
    <t>MDT-DRTSPL-2022-0177-EXTERNO</t>
  </si>
  <si>
    <t>MDT-DRTSPL-2022-0128-O</t>
  </si>
  <si>
    <t>Carlos Andres Arevalo Ortega</t>
  </si>
  <si>
    <t>MDT-DRTSPL-2022-0178-EXTERNO</t>
  </si>
  <si>
    <t>MDT-DRTSPL-2022-0143-O</t>
  </si>
  <si>
    <t>MDT-DRTSPL-2022-0179-EXTERNO</t>
  </si>
  <si>
    <t>MDT-DRTSPL-2022-0144-O</t>
  </si>
  <si>
    <t>MDT-DRTSPL-2022-0180-EXTERNO</t>
  </si>
  <si>
    <t>MDT-DRTSPL-2022-0145-O</t>
  </si>
  <si>
    <t>Fausto Rodrigo Villavicencio Paladines</t>
  </si>
  <si>
    <t>MDT-DRTSPL-2022-0187-EXTERNO</t>
  </si>
  <si>
    <t>MDT-DRTSPL-2022-0146-O</t>
  </si>
  <si>
    <t>Rober Jhovany Vega Diaz</t>
  </si>
  <si>
    <t>MDT-DRTSPL-2022-0188-EXTERNO</t>
  </si>
  <si>
    <t>MDT-DRTSPL-2022-0147-O</t>
  </si>
  <si>
    <t>MDT-DRTSPL-2022-0192-EXTERNO</t>
  </si>
  <si>
    <t>MDT-DRTSPL-2022-0148-O</t>
  </si>
  <si>
    <t>Freddy Arturo Guacho Bueno</t>
  </si>
  <si>
    <t>MDT-DRTSPL-2022-0198-EXTERNO</t>
  </si>
  <si>
    <t>MDT-DRTSPL-2022-0149-O</t>
  </si>
  <si>
    <t>William Francisco Cango Pinta</t>
  </si>
  <si>
    <t>MDT-DRTSPL-2022-0203-EXTERNO</t>
  </si>
  <si>
    <t>MDT-DRTSPL-2022-0150-O</t>
  </si>
  <si>
    <t>Alba Rosario Campoverde Cambizaca</t>
  </si>
  <si>
    <t>MDT-DRTSPL-2022-0205-EXTERNO</t>
  </si>
  <si>
    <t>MDT-DRTSPL-2022-0151-O</t>
  </si>
  <si>
    <t>Junior Stalin Medina Armijos</t>
  </si>
  <si>
    <t>MDT-DRTSPL-2022-0206-EXTERNO</t>
  </si>
  <si>
    <t>MDT-DRTSPL-2022-0160-O</t>
  </si>
  <si>
    <t>Tannya Lorena Jaramillo Castillo</t>
  </si>
  <si>
    <t>MDT-DRTSPL-2022-0211-EXTERNO</t>
  </si>
  <si>
    <t>MDT-DRTSPL-2022-0155-O</t>
  </si>
  <si>
    <t>Emigdio Oswaldo Jaramillo Velez</t>
  </si>
  <si>
    <t>MDT-DRTSPL-2022-0212-EXTERNO</t>
  </si>
  <si>
    <t>MDT-DPTSPOM-2022-0026-O</t>
  </si>
  <si>
    <t>Mery del Carmen Hurtado Hurtado</t>
  </si>
  <si>
    <t>MDT-DRTSPL-2022-0213-EXTERNO</t>
  </si>
  <si>
    <t>MDT-DRTSPL-2022-0297-O</t>
  </si>
  <si>
    <t>Lenin Rubenson Coronel Lanchi</t>
  </si>
  <si>
    <t>MDT-DRTSPL-2022-0215-EXTERNO</t>
  </si>
  <si>
    <t>MDT-DRTSPL-2022-0161-O</t>
  </si>
  <si>
    <t>MDT-DRTSPL-2022-0216-EXTERNO</t>
  </si>
  <si>
    <t>MDT-DRTSPL-2022-0162-O</t>
  </si>
  <si>
    <t>Omar Wilson Leon Cabrera</t>
  </si>
  <si>
    <t>MDT-DRTSPL-2022-0217-EXTERNO</t>
  </si>
  <si>
    <t>MDT-DRTSPL-2022-0300-O</t>
  </si>
  <si>
    <t>Segundo Aurelio Mejía Bermeo (CIUDADANO)</t>
  </si>
  <si>
    <t>MDT-DRTSPL-2022-0219-EXTERNO</t>
  </si>
  <si>
    <t>MDT-DRTSPL-2022-0156-O</t>
  </si>
  <si>
    <t>Roberto Jimenez Ocampo</t>
  </si>
  <si>
    <t>MDT-DRTSPL-2022-0220-EXTERNO</t>
  </si>
  <si>
    <t>MDT-DRTSPL-2022-0163-O</t>
  </si>
  <si>
    <t>MDT-DRTSPL-2022-0221-EXTERNO</t>
  </si>
  <si>
    <t>MDT-DRTSPL-2022-0164-O</t>
  </si>
  <si>
    <t>MDT-DRTSPL-2022-0222-EXTERNO</t>
  </si>
  <si>
    <t>MDT-DRTSPL-2022-0165-O</t>
  </si>
  <si>
    <t>MDT-DRTSPL-2022-0223-EXTERNO</t>
  </si>
  <si>
    <t>MDT-DRTSPL-2022-0363-O</t>
  </si>
  <si>
    <t>Victor Hugo Peña Delgado</t>
  </si>
  <si>
    <t>MDT-DRTSPL-2022-0224-EXTERNO</t>
  </si>
  <si>
    <t>MDT-DRTSPL-2022-0166-O</t>
  </si>
  <si>
    <t>MDT-DRTSPL-2022-0225-EXTERNO</t>
  </si>
  <si>
    <t>MDT-DRTSPL-2022-0167-O</t>
  </si>
  <si>
    <t>MDT-DRTSPL-2022-0226-EXTERNO</t>
  </si>
  <si>
    <t>MDT-DRTSPL-2022-0168-O</t>
  </si>
  <si>
    <t>MDT-DRTSPL-2022-0228-EXTERNO</t>
  </si>
  <si>
    <t>MDT-DRTSPL-2022-0169-O</t>
  </si>
  <si>
    <t>MDT-DRTSPL-2022-0242-EXTERNO</t>
  </si>
  <si>
    <t>MDT-DRTSPL-2022-0172-O</t>
  </si>
  <si>
    <t>Vanessa Alexandra Conza Abad</t>
  </si>
  <si>
    <t>MDT-DRTSPL-2022-0248-EXTERNO</t>
  </si>
  <si>
    <t>MDT-DRTSPL-2022-0174-O</t>
  </si>
  <si>
    <t>MDT-DRTSPL-2022-0249-EXTERNO</t>
  </si>
  <si>
    <t>MDT-DRTSPL-2022-0175-O</t>
  </si>
  <si>
    <t>MDT-DRTSPL-2022-0250-EXTERNO</t>
  </si>
  <si>
    <t>MDT-DRTSPL-2022-0177-O</t>
  </si>
  <si>
    <t>MDT-DRTSPL-2022-0251-EXTERNO</t>
  </si>
  <si>
    <t>MDT-DRTSPL-2022-0179-O</t>
  </si>
  <si>
    <t>MDT-DRTSPL-2022-0252-EXTERNO</t>
  </si>
  <si>
    <t>MDT-DRTSPL-2022-0184-O</t>
  </si>
  <si>
    <t>MDT-DRTSPL-2022-0253-EXTERNO</t>
  </si>
  <si>
    <t>MDT-DRTSPL-2022-0185-O</t>
  </si>
  <si>
    <t>MDT-DRTSPL-2022-0254-EXTERNO</t>
  </si>
  <si>
    <t>MDT-DRTSPL-2022-0152-O</t>
  </si>
  <si>
    <t>Miguel Edilberto Moreno Guarnizo</t>
  </si>
  <si>
    <t>MDT-DRTSPL-2022-0255-EXTERNO</t>
  </si>
  <si>
    <t>MDT-DRTSPL-2022-0186-O</t>
  </si>
  <si>
    <t>Talia Maldonado Castro</t>
  </si>
  <si>
    <t>MDT-DRTSPL-2022-0256-EXTERNO</t>
  </si>
  <si>
    <t>MDT-DRTSPL-2022-0188-O</t>
  </si>
  <si>
    <t>MDT-DRTSPL-2022-0263-EXTERNO</t>
  </si>
  <si>
    <t>MDT-DRTSPL-2022-0187-O</t>
  </si>
  <si>
    <t>MDT-DRTSPL-2022-0267-EXTERNO</t>
  </si>
  <si>
    <t>MDT-DRTSPL-2022-0189-O</t>
  </si>
  <si>
    <t>Talia Margarita Maldonado Castro</t>
  </si>
  <si>
    <t>MDT-DRTSPL-2022-0270-EXTERNO</t>
  </si>
  <si>
    <t>MDT-DRTSPL-2022-0153-O</t>
  </si>
  <si>
    <t>Mario Ricardo Paccha Gaona</t>
  </si>
  <si>
    <t>MDT-DRTSPL-2022-0271-EXTERNO</t>
  </si>
  <si>
    <t>MDT-DRTSPL-2022-0193-O</t>
  </si>
  <si>
    <t>MDT-DRTSPL-2022-0273-EXTERNO</t>
  </si>
  <si>
    <t>MDT-DRTSPL-2022-0196-O</t>
  </si>
  <si>
    <t>MDT-DRTSPL-2022-0274-EXTERNO</t>
  </si>
  <si>
    <t>MDT-DRTSPL-2022-0197-O</t>
  </si>
  <si>
    <t xml:space="preserve">MDT-DPTSPOM-2022-0427-EXTERNO </t>
  </si>
  <si>
    <t>MDT-DRTSPL-2022-0435-O</t>
  </si>
  <si>
    <t>Vicente Mesías Ordóñez Montero (CIUDADANO)</t>
  </si>
  <si>
    <t>MDT-DRTSPL-2022-0277-EXTERNO</t>
  </si>
  <si>
    <t>MDT-DRTSPL-2022-0198-O</t>
  </si>
  <si>
    <t>MDT-DRTSPL-2022-0278-EXTERNO</t>
  </si>
  <si>
    <t>MDT-DRTSPL-2022-0206-O</t>
  </si>
  <si>
    <t>MDT-DRTSPL-2022-0279-EXTERNO</t>
  </si>
  <si>
    <t>MDT-DRTSPL-2022-0195-O</t>
  </si>
  <si>
    <t>Yadira Katherine Marquez Barrera</t>
  </si>
  <si>
    <t>MDT-DRTSPL-2022-0280-EXTERNO</t>
  </si>
  <si>
    <t>MDT-DRTSPL-2022-0207-O</t>
  </si>
  <si>
    <t>MDT-DRTSPL-2022-0281-EXTERNO</t>
  </si>
  <si>
    <t>MDT-DRTSPL-2022-0205-O</t>
  </si>
  <si>
    <t>MDT-DRTSPL-2022-0283-EXTERNO</t>
  </si>
  <si>
    <t>MDT-DRTSPL-2022-0208-O</t>
  </si>
  <si>
    <t>MDT-DRTSPL-2022-0285-EXTERNO</t>
  </si>
  <si>
    <t>MDT-DRTSPL-2022-0214-O</t>
  </si>
  <si>
    <t>Manuel Agustín Godoy Ruíz</t>
  </si>
  <si>
    <t>MDT-DRTSPL-2022-0287-EXTERNO</t>
  </si>
  <si>
    <t>MDT-DRTSPL-2022-0209-O</t>
  </si>
  <si>
    <t>MDT-DRTSPL-2022-0288-EXTERNO</t>
  </si>
  <si>
    <t>MDT-DRTSPL-2022-0157-O</t>
  </si>
  <si>
    <t>Fausto Vinicio Sozoranga Chuncho</t>
  </si>
  <si>
    <t>MDT-DRTSPL-2022-0291-EXTERNO</t>
  </si>
  <si>
    <t>MDT-DRTSPL-2022-0158-O</t>
  </si>
  <si>
    <t>Gustavo Antonio Salinas Ludeña</t>
  </si>
  <si>
    <t>MDT-DRTSPL-2022-0292-EXTERNO</t>
  </si>
  <si>
    <t>MDT-DRTSPL-2022-0210-O</t>
  </si>
  <si>
    <t>MDT-DRTSPL-2022-0293-EXTERNO</t>
  </si>
  <si>
    <t>MDT-DRTSPL-2022-0211-O</t>
  </si>
  <si>
    <t>MDT-DRTSPL-2022-0294-EXTERNO</t>
  </si>
  <si>
    <t>MDT-DRTSPL-2022-0212-O</t>
  </si>
  <si>
    <t>MDT-DRTSPL-2022-0295-EXTERNO</t>
  </si>
  <si>
    <t>MDT-DRTSPL-2022-0213-O</t>
  </si>
  <si>
    <t>MDT-DRTSPL-2022-0309-EXTERNO</t>
  </si>
  <si>
    <t>MDT-DRTSPL-2022-0217-O</t>
  </si>
  <si>
    <t>Diana Janeth Carreño Gutierrez</t>
  </si>
  <si>
    <t>MDT-DRTSPL-2022-0311-EXTERNO</t>
  </si>
  <si>
    <t>MDT-DRTSPL-2022-0194-O</t>
  </si>
  <si>
    <t>Manuel Enrique Rengel Pacheca</t>
  </si>
  <si>
    <t>MDT-DRTSPL-2022-0313-EXTERNO</t>
  </si>
  <si>
    <t>MDT-DRTSPL-2022-0215-O</t>
  </si>
  <si>
    <t>MDT-DRTSPL-2022-0314-EXTERNO</t>
  </si>
  <si>
    <t>MDT-DRTSPL-2022-0216-O</t>
  </si>
  <si>
    <t>Jessica Paulina Ruilova Tinoco</t>
  </si>
  <si>
    <t>MDT-DRTSPL-2022-0315-EXTERNO</t>
  </si>
  <si>
    <t>MDT-DRTSPL-2022-0176-O</t>
  </si>
  <si>
    <t>Bethy del Carmen Ramon Rey</t>
  </si>
  <si>
    <t>MDT-DRTSPL-2022-0317-EXTERNO</t>
  </si>
  <si>
    <t>MDT-DRTSPL-2022-0178-O</t>
  </si>
  <si>
    <t>Guido Patricio Sarango Tinitana</t>
  </si>
  <si>
    <t>MDT-DRTSPL-2022-0321-EXTERNO</t>
  </si>
  <si>
    <t>MDT-DRTSPL-2022-0180-O</t>
  </si>
  <si>
    <t>Marco Vinicio Malla Alvarez</t>
  </si>
  <si>
    <t>MDT-DRTSPL-2022-0322-EXTERNO</t>
  </si>
  <si>
    <t>MDT-DRTSPL-2022-0181-O</t>
  </si>
  <si>
    <t>Darwin Oswaldo Medina Poma</t>
  </si>
  <si>
    <t>MDT-DRTSPL-2022-0323-EXTERNO</t>
  </si>
  <si>
    <t>MDT-DRTSPL-2022-0190-O</t>
  </si>
  <si>
    <t>Patricio Alberto Valdivieso Espinosa</t>
  </si>
  <si>
    <t>MDT-DRTSPL-2022-0324-EXTERNO</t>
  </si>
  <si>
    <t>MDT-DRTSPL-2022-0192-O</t>
  </si>
  <si>
    <t>MDT-DRTSPL-2022-0325-EXTERNO</t>
  </si>
  <si>
    <t>MDT-DRTSPL-2022-0191-O</t>
  </si>
  <si>
    <t>MDT-DRTSPL-2022-0328-EXTERNO</t>
  </si>
  <si>
    <t>MDT-DRTSPL-2022-0220-O</t>
  </si>
  <si>
    <t>Pablo Andres Ocampo Ortega</t>
  </si>
  <si>
    <t>MDT-DRTSPL-2022-0329-EXTERNO</t>
  </si>
  <si>
    <t>MDT-DRTSPL-2022-0218-O</t>
  </si>
  <si>
    <t>Santiago Alexander Sanchez Poma</t>
  </si>
  <si>
    <t>MDT-DRTSPL-2022-0331-EXTERNO</t>
  </si>
  <si>
    <t>MDT-DRTSPL-2022-0199-O</t>
  </si>
  <si>
    <t>Angel Efrain Buri Buri</t>
  </si>
  <si>
    <t>MDT-DRTSPL-2022-0334-EXTERNO</t>
  </si>
  <si>
    <t>MDT-DRTSPL-2022-0240-O</t>
  </si>
  <si>
    <t>Rodin Anibal Castillo Huanca</t>
  </si>
  <si>
    <t>MDT-DRTSPL-2022-0337-EXTERNO</t>
  </si>
  <si>
    <t>MDT-DRTSPL-2022-0219-O</t>
  </si>
  <si>
    <t>MDT-DRTSPL-2022-0340-EXTERNO</t>
  </si>
  <si>
    <t>MDT-DRTSPL-2022-0222-O</t>
  </si>
  <si>
    <t>Diego Fernando Alvarado Garcia</t>
  </si>
  <si>
    <t>MDT-DRTSPL-2022-0341-EXTERNO</t>
  </si>
  <si>
    <t>MDT-DRTSPL-2022-0225-O</t>
  </si>
  <si>
    <t>Jose Gilber Medina Quezada</t>
  </si>
  <si>
    <t>MDT-DRTSPL-2022-0345-EXTERNO</t>
  </si>
  <si>
    <t>MDT-DRTSPL-2022-0244-O</t>
  </si>
  <si>
    <t>Juan Antonio Merchan Espinoza</t>
  </si>
  <si>
    <t>MDT-DRTSPL-2022-0346-EXTERNO</t>
  </si>
  <si>
    <t>MDT-DRTSPL-2022-0221-O</t>
  </si>
  <si>
    <t>José Vladimir Simancas Merino</t>
  </si>
  <si>
    <t>MDT-DRTSPL-2022-0352-EXTERNO</t>
  </si>
  <si>
    <t>MDT-DRTSPL-2022-0246-O</t>
  </si>
  <si>
    <t>Guido Emilio Bravo Ruiz</t>
  </si>
  <si>
    <t>MDT-DRTSPL-2022-0353-EXTERNO</t>
  </si>
  <si>
    <t>MDT-DRTSPL-2022-0294-O</t>
  </si>
  <si>
    <t>Darwin Vinicio Villamagua Abarca</t>
  </si>
  <si>
    <t>MDT-DRTSPL-2022-0355-EXTERNO</t>
  </si>
  <si>
    <t>MDT-DRTSPL-2022-0226-O</t>
  </si>
  <si>
    <t>MDT-DRTSPL-2022-0356-EXTERNO</t>
  </si>
  <si>
    <t>MDT-DRTSPL-2022-0227-O</t>
  </si>
  <si>
    <t>MDT-DRTSPL-2022-0357-EXTERNO</t>
  </si>
  <si>
    <t>MDT-DRTSPL-2022-0231-O</t>
  </si>
  <si>
    <t>MDT-DRTSPL-2022-0358-EXTERNO</t>
  </si>
  <si>
    <t>MDT-DRTSPL-2022-0229-O</t>
  </si>
  <si>
    <t>MDT-DRTSPL-2022-0359-EXTERNO</t>
  </si>
  <si>
    <t>MDT-DRTSPL-2022-0232-O</t>
  </si>
  <si>
    <t>MDT-DRTSPL-2022-0360-EXTERNO</t>
  </si>
  <si>
    <t>MDT-DRTSPL-2022-0233-O</t>
  </si>
  <si>
    <t>MDT-DRTSPL-2022-0361-EXTERNO</t>
  </si>
  <si>
    <t>MDT-DRTSPL-2022-0234-O</t>
  </si>
  <si>
    <t>MDT-DRTSPL-2022-0362-EXTERNO</t>
  </si>
  <si>
    <t>MDT-DRTSPL-2022-0235-O</t>
  </si>
  <si>
    <t>MDT-DRTSPL-2022-0363-EXTERNO</t>
  </si>
  <si>
    <t>MDT-DRTSPL-2022-0236-O</t>
  </si>
  <si>
    <t>MDT-DRTSPL-2022-0364-EXTERNO</t>
  </si>
  <si>
    <t>MDT-DRTSPL-2022-0255-O</t>
  </si>
  <si>
    <t>MDT-DRTSPL-2022-0365-EXTERNO</t>
  </si>
  <si>
    <t>MDT-DRTSPL-2022-0237-O</t>
  </si>
  <si>
    <t>MDT-DRTSPL-2022-0366-EXTERNO</t>
  </si>
  <si>
    <t>MDT-DRTSPL-2022-0238-O</t>
  </si>
  <si>
    <t>MDT-DRTSPL-2022-0367-EXTERNO</t>
  </si>
  <si>
    <t>MDT-DRTSPL-2022-0239-O</t>
  </si>
  <si>
    <t>MDT-DRTSPL-2022-0368-EXTERNO</t>
  </si>
  <si>
    <t>MDT-DRTSPL-2022-0432-O</t>
  </si>
  <si>
    <t>Pablo Vicente Jaramillo Luzuriaga</t>
  </si>
  <si>
    <t>MDT-DRTSPL-2022-0369-EXTERNO</t>
  </si>
  <si>
    <t>MDT-DRTSPL-2022-0252-O</t>
  </si>
  <si>
    <t>Luis Haraldo Tene Curipoma</t>
  </si>
  <si>
    <t>MDT-DRTSPL-2022-0372-EXTERNO</t>
  </si>
  <si>
    <t>MDT-DRTSPL-2022-0249-O</t>
  </si>
  <si>
    <t>Alfredo Lennin Astudillo Veintimilla</t>
  </si>
  <si>
    <t>MDT-DRTSPL-2022-0373-EXTERNO</t>
  </si>
  <si>
    <t>MDT-DRTSPL-2022-0243-O</t>
  </si>
  <si>
    <t>MDT-DRTSPL-2022-0374-EXTERNO</t>
  </si>
  <si>
    <t>MDT-DRTSPL-2022-0245-O</t>
  </si>
  <si>
    <t>MDT-DRTSPL-2022-0375-EXTERNO</t>
  </si>
  <si>
    <t>MDT-DRTSPL-2022-0247-O</t>
  </si>
  <si>
    <t>MDT-DRTSPL-2022-0378-EXTERNO</t>
  </si>
  <si>
    <t>MDT-DRTSPL-2022-0248-O</t>
  </si>
  <si>
    <t>MDT-DRTSPL-2022-0379-EXTERNO</t>
  </si>
  <si>
    <t>MDT-DRTSPL-2022-0257-O</t>
  </si>
  <si>
    <t>MDT-DRTSPL-2022-0380-EXTERNO</t>
  </si>
  <si>
    <t>MDT-DRTSPL-2022-0258-O</t>
  </si>
  <si>
    <t>MDT-DRTSPL-2022-0382-EXTERNO</t>
  </si>
  <si>
    <t>MDT-DRTSPL-2022-0250-O</t>
  </si>
  <si>
    <t>Maria Dolores Cajamarca Leon</t>
  </si>
  <si>
    <t>MDT-DRTSPL-2022-0385-EXTERNO</t>
  </si>
  <si>
    <t>MDT-DRTSPL-2022-0241-O</t>
  </si>
  <si>
    <t>MDT-DRTSPL-2022-0386-EXTERNO</t>
  </si>
  <si>
    <t>MDT-DRTSPL-2022-0283-O</t>
  </si>
  <si>
    <t>MDT-DRTSPL-2022-0387-EXTERNO</t>
  </si>
  <si>
    <t>MDT-DRTSPL-2022-0285-O</t>
  </si>
  <si>
    <t>MDT-DRTSPL-2022-0388-EXTERNO</t>
  </si>
  <si>
    <t>MDT-DRTSPL-2022-0286-O</t>
  </si>
  <si>
    <t>MDT-DRTSPL-2022-0389-EXTERNO</t>
  </si>
  <si>
    <t>MDT-DRTSPL-2022-0287-O</t>
  </si>
  <si>
    <t>MDT-DRTSPL-2022-0390-EXTERNO</t>
  </si>
  <si>
    <t>MDT-DRTSPL-2022-0288-O</t>
  </si>
  <si>
    <t>MDT-DRTSPL-2022-0391-EXTERNO</t>
  </si>
  <si>
    <t>MDT-DRTSPL-2022-0259-O</t>
  </si>
  <si>
    <t>MDT-DRTSPL-2022-0392-EXTERNO</t>
  </si>
  <si>
    <t>MDT-DRTSPL-2022-0268-O</t>
  </si>
  <si>
    <t>MDT-DRTSPL-2022-0393-EXTERNO</t>
  </si>
  <si>
    <t>MDT-DRTSPL-2022-0269-O</t>
  </si>
  <si>
    <t>MDT-DRTSPL-2022-0394-EXTERNO</t>
  </si>
  <si>
    <t>MDT-DRTSPL-2022-0279-O</t>
  </si>
  <si>
    <t>MDT-DRTSPL-2022-0395-EXTERNO</t>
  </si>
  <si>
    <t>MDT-DRTSPL-2022-0280-O</t>
  </si>
  <si>
    <t>MDT-DRTSPL-2022-0397-EXTERNO</t>
  </si>
  <si>
    <t>MDT-DRTSPL-2022-0281-O</t>
  </si>
  <si>
    <t>MDT-DRTSPL-2022-0398-EXTERNO</t>
  </si>
  <si>
    <t>MDT-DRTSPL-2022-0425-O</t>
  </si>
  <si>
    <t>Yadira Cecibel Curimilma Rivera (CIUDADANO)</t>
  </si>
  <si>
    <t>MDT-DRTSPL-2022-0399-EXTERNO</t>
  </si>
  <si>
    <t>MDT-DRTSPL-2022-0282-O</t>
  </si>
  <si>
    <t>Blanca Georgina Mendoza Guzman</t>
  </si>
  <si>
    <t>MDT-DRTSPL-2022-0407-EXTERNO</t>
  </si>
  <si>
    <t>MDT-DRTSPL-2022-0290-O</t>
  </si>
  <si>
    <t>MDT-DRTSPL-2022-0409-EXTERNO</t>
  </si>
  <si>
    <t>MDT-DRTSPL-2022-0251-O</t>
  </si>
  <si>
    <t>Juan Jose Riofrio Diaz</t>
  </si>
  <si>
    <t>MDT-DRTSPL-2022-0410-EXTERNO</t>
  </si>
  <si>
    <t>MDT-DRTSPL-2022-0256-O</t>
  </si>
  <si>
    <t>Eloy Alfaro Capa Alvarado</t>
  </si>
  <si>
    <t>MDT-DRTSPL-2022-0411-EXTERNO</t>
  </si>
  <si>
    <t>MDT-DRTSPL-2022-0326-O</t>
  </si>
  <si>
    <t>Franco Olivar Astudillo Montalvan</t>
  </si>
  <si>
    <t>MDT-DRTSPL-2022-0412-EXTERNO</t>
  </si>
  <si>
    <t>MDT-DRTSPL-2022-0284-O</t>
  </si>
  <si>
    <t>César Omar Briceño Loaiza</t>
  </si>
  <si>
    <t>MDT-DRTSPL-2022-0426-EXTERNO</t>
  </si>
  <si>
    <t>MDT-DRTSPL-2022-0319-O</t>
  </si>
  <si>
    <t>Juan Carlos Montalvan Salcedo</t>
  </si>
  <si>
    <t>MDT-DRTSPL-2022-0428-EXTERNO</t>
  </si>
  <si>
    <t>MDT-DRTSPL-2022-0341-O</t>
  </si>
  <si>
    <t>Iliana de Fatima Plaza Chumbi</t>
  </si>
  <si>
    <t>MDT-DRTSPL-2022-0429-EXTERNO</t>
  </si>
  <si>
    <t>MDT-DRTSPL-2022-0292-O</t>
  </si>
  <si>
    <t>José Germán Quezada Guarinda</t>
  </si>
  <si>
    <t>MDT-DRTSPL-2022-0431-EXTERNO</t>
  </si>
  <si>
    <t>MDT-DRTSPL-2022-0426-O</t>
  </si>
  <si>
    <t>Mauricio Javier Vasquez Galarza</t>
  </si>
  <si>
    <t>MDT-DRTSPL-2022-0433-EXTERNO</t>
  </si>
  <si>
    <t>MDT-DRTSPL-2022-0293-O</t>
  </si>
  <si>
    <t>MDT-DRTSPL-2022-0434-EXTERNO</t>
  </si>
  <si>
    <t>MDT-DRTSPL-2022-0295-O</t>
  </si>
  <si>
    <t>MDT-DRTSPL-2022-0438-EXTERNO</t>
  </si>
  <si>
    <t>MDT-DRTSPL-2022-0296-O</t>
  </si>
  <si>
    <t>MDT-DRTSPL-2022-0441-EXTERNO</t>
  </si>
  <si>
    <t>MDT-DRTSPL-2022-0298-O</t>
  </si>
  <si>
    <t>Glenda del Carmen Castillo Ordóñez..</t>
  </si>
  <si>
    <t>MDT-DRTSPL-2022-0447-EXTERNO</t>
  </si>
  <si>
    <t>MDT-DRTSPL-2022-0306-O</t>
  </si>
  <si>
    <t>MDT-DRTSPL-2022-0289-O</t>
  </si>
  <si>
    <t>Luis Lautaro Moreno Arrobo (CIUDADANO)</t>
  </si>
  <si>
    <t>MDT-DRTSPL-2022-0450-EXTERNO</t>
  </si>
  <si>
    <t>MDT-DRTSPL-2022-0299-O</t>
  </si>
  <si>
    <t>MDT-DRTSPL-2022-0454-EXTERNO</t>
  </si>
  <si>
    <t>MDT-DRTSPL-2022-0308-O</t>
  </si>
  <si>
    <t>Alex Antonio Aguilar Silva</t>
  </si>
  <si>
    <t>MDT-DRTSPL-2022-0455-EXTERNO</t>
  </si>
  <si>
    <t>MDT-DRTSPL-2022-0361-O</t>
  </si>
  <si>
    <t>Alex Antonio Aguilar Silva (CIUDADANO)</t>
  </si>
  <si>
    <t>MDT-DRTSPL-2022-0461-EXTERNO</t>
  </si>
  <si>
    <t>MDT-DRTSPL-2022-0301-O</t>
  </si>
  <si>
    <t>MDT-DRTSPL-2022-0464-EXTERNO</t>
  </si>
  <si>
    <t>MDT-DRTSPL-2022-0302-O</t>
  </si>
  <si>
    <t>Patricio Rosalino Cajamarca Gordillo</t>
  </si>
  <si>
    <t>MDT-DRTSPL-2022-0465-EXTERNO</t>
  </si>
  <si>
    <t>MDT-DRTSPL-2022-0303-O</t>
  </si>
  <si>
    <t>Christian Vladimir Zaquinaula Guaicha</t>
  </si>
  <si>
    <t>MDT-DRTSPL-2022-0468-EXTERNO</t>
  </si>
  <si>
    <t>MDT-DRTSPL-2022-0305-O</t>
  </si>
  <si>
    <t>Maira Verónica Celi Alvarez</t>
  </si>
  <si>
    <t>MDT-DRTSPL-2022-0470-EXTERNO</t>
  </si>
  <si>
    <t>MDT-DRTSPL-2022-0307-O</t>
  </si>
  <si>
    <t>MDT-DRTSPL-2022-0471-EXTERNO</t>
  </si>
  <si>
    <t>MDT-DRTSPL-2022-0309-O</t>
  </si>
  <si>
    <t>Víctor Julio Illescas Correa</t>
  </si>
  <si>
    <t>MDT-DRTSPL-2022-0475-EXTERNO</t>
  </si>
  <si>
    <t>MDT-DRTSPL-2022-0310-O</t>
  </si>
  <si>
    <t>MDT-DRTSPL-2022-0476-EXTERNO</t>
  </si>
  <si>
    <t>MDT-DRTSPL-2022-0323-O</t>
  </si>
  <si>
    <t>Lydia Soraya Vázquez Masache</t>
  </si>
  <si>
    <t>MDT-DRTSPL-2022-0481-EXTERNO</t>
  </si>
  <si>
    <t>MDT-DRTSPL-2022-0311-O</t>
  </si>
  <si>
    <t>Mauricio Alonso Maldonado Bustos</t>
  </si>
  <si>
    <t>MDT-DRTSPL-2022-0483-EXTERNO</t>
  </si>
  <si>
    <t>MDT-DRTSPL-2022-0368-O</t>
  </si>
  <si>
    <t>MDT-DRTSPL-2022-0484-EXTERNO</t>
  </si>
  <si>
    <t>MDT-DRTSPL-2022-0312-O</t>
  </si>
  <si>
    <t>Maria Cristina Tillaguango Jimenez</t>
  </si>
  <si>
    <t>MDT-DRTSPL-2022-0485-EXTERNO</t>
  </si>
  <si>
    <t>MDT-DRTSPL-2022-0313-O</t>
  </si>
  <si>
    <t>Carmen Isabel Japon Abad</t>
  </si>
  <si>
    <t>MDT-DRTSPL-2022-0490-EXTERNO</t>
  </si>
  <si>
    <t>MDT-DRTSPL-2022-0320-O</t>
  </si>
  <si>
    <t>MDT-DRTSPL-2022-0491-EXTERNO</t>
  </si>
  <si>
    <t>MDT-DRTSPL-2022-0321-O</t>
  </si>
  <si>
    <t>MDT-DRTSPL-2022-0493-EXTERNO</t>
  </si>
  <si>
    <t>MDT-DRTSPL-2022-0322-O</t>
  </si>
  <si>
    <t>MDT-DRTSPL-2022-0496-EXTERNO</t>
  </si>
  <si>
    <t>MDT-DRTSPL-2022-0324-O</t>
  </si>
  <si>
    <t>Franklin Geovanny Delgado Iñiguez</t>
  </si>
  <si>
    <t>MDT-DRTSPL-2022-0497-EXTERNO</t>
  </si>
  <si>
    <t>MDT-DRTSPL-2022-0327-O</t>
  </si>
  <si>
    <t>Segundo Federico Pineda Maldonado</t>
  </si>
  <si>
    <t>MDT-DRTSPL-2022-0498-EXTERNO</t>
  </si>
  <si>
    <t>MDT-DRTSPL-2022-0331-O</t>
  </si>
  <si>
    <t>Homero Gilberto Sumba Chimbo</t>
  </si>
  <si>
    <t>MDT-DRTSPL-2022-0499-EXTERNO</t>
  </si>
  <si>
    <t>MDT-DRTSPL-2022-0332-O</t>
  </si>
  <si>
    <t>Willan Geovanni Chamba Pogo</t>
  </si>
  <si>
    <t>MDT-DRTSPL-2022-0502-EXTERNO</t>
  </si>
  <si>
    <t>MDT-DRTSPL-2022-0333-O</t>
  </si>
  <si>
    <t>Freddy Cabrera Macas</t>
  </si>
  <si>
    <t>MDT-DRTSPL-2022-0503-EXTERNO</t>
  </si>
  <si>
    <t>MDT-DRTSPL-2022-0334-O</t>
  </si>
  <si>
    <t>MDT-DRTSPL-2022-0505-EXTERNO</t>
  </si>
  <si>
    <t>MDT-DRTSPL-2022-0338-O</t>
  </si>
  <si>
    <t>Betty Leonor Flores Carrillo</t>
  </si>
  <si>
    <t>MDT-DRTSPL-2022-0506-EXTERNO</t>
  </si>
  <si>
    <t>MDT-DRTSPL-2022-0339-O</t>
  </si>
  <si>
    <t>Alex Ricardo Valarezo Veintimilla</t>
  </si>
  <si>
    <t>MDT-DRTSPL-2022-0508-EXTERNO</t>
  </si>
  <si>
    <t>MDT-DRTSPL-2022-0340-O</t>
  </si>
  <si>
    <t>MDT-DRTSPL-2022-0512-EXTERNO</t>
  </si>
  <si>
    <t>MDT-DRTSPL-2022-0342-O</t>
  </si>
  <si>
    <t>MDT-DRTSPL-2022-0513-EXTERNO</t>
  </si>
  <si>
    <t>MDT-DRTSPL-2022-0343-O</t>
  </si>
  <si>
    <t>MDT-DRTSPL-2022-0514-EXTERNO</t>
  </si>
  <si>
    <t>MDT-DRTSPL-2022-0344-O</t>
  </si>
  <si>
    <t>MDT-DRTSPL-2022-0515-EXTERNO</t>
  </si>
  <si>
    <t>MDT-DRTSPL-2022-0347-O</t>
  </si>
  <si>
    <t>MDT-DRTSPL-2022-0517-EXTERNO</t>
  </si>
  <si>
    <t>MDT-DRTSPL-2022-0348-O</t>
  </si>
  <si>
    <t>MDT-DRTSPL-2022-0522-EXTERNO</t>
  </si>
  <si>
    <t>MDT-DRTSPL-2022-0349-O</t>
  </si>
  <si>
    <t>MDT-DRTSPL-2022-0523-EXTERNO</t>
  </si>
  <si>
    <t>MDT-DSG-2022-0142-OFICIO; MDT-DAS-2022-0032</t>
  </si>
  <si>
    <t>Karla Stefania Burneo Cueva (DP)</t>
  </si>
  <si>
    <t>MDT-DRTSPL-2022-0524-EXTERNO</t>
  </si>
  <si>
    <t>MDT-DRTSPL-2022-0350-O</t>
  </si>
  <si>
    <t>Jose Eduardo Benitez</t>
  </si>
  <si>
    <t>MDT-DRTSPL-2022-0534-EXTERNO</t>
  </si>
  <si>
    <t>MDT-DRTSPL-2022-0370-O</t>
  </si>
  <si>
    <t>Cristian Wilmer Jimenez Herrera</t>
  </si>
  <si>
    <t>MDT-DRTSPL-2022-0540-EXTERNO</t>
  </si>
  <si>
    <t>MDT-DRTSPL-2022-0352-O</t>
  </si>
  <si>
    <t>Luis Alfredo Mogrovejo Salcedo</t>
  </si>
  <si>
    <t>MDT-DRTSPL-2022-0543-EXTERNO</t>
  </si>
  <si>
    <t>MDT-DRTSPL-2022-0364-O</t>
  </si>
  <si>
    <t>Cristian Paul Bao Gaona</t>
  </si>
  <si>
    <t>MDT-DRTSPL-2022-0546-EXTERNO</t>
  </si>
  <si>
    <t>MDT-DRTSPL-2022-0365-O</t>
  </si>
  <si>
    <t>Aldo Javier Quezada Loaiza</t>
  </si>
  <si>
    <t>MDT-DRTSPL-2022-0554-EXTERNO</t>
  </si>
  <si>
    <t>MDT-DRTSPL-2022-0376-O</t>
  </si>
  <si>
    <t>Jose Rodrigo Cofre Sarango</t>
  </si>
  <si>
    <t>MDT-DRTSPL-2022-0557-EXTERNO</t>
  </si>
  <si>
    <t>MDT-DRTSPL-2022-0378-O</t>
  </si>
  <si>
    <t>Juan Gabriel Ramon Ordoñez</t>
  </si>
  <si>
    <t>MDT-DRTSPL-2022-0558-EXTERNO</t>
  </si>
  <si>
    <t>MDT-DRTSPL-2022-0422-O</t>
  </si>
  <si>
    <t>Marco Antonio Solano (CIUDADANO)</t>
  </si>
  <si>
    <t>MDT-DRTSPL-2022-0561-EXTERNO</t>
  </si>
  <si>
    <t>MDT-DRTSPL-2022-0379-O</t>
  </si>
  <si>
    <t>Juan Gabriel Ramon Ordoñez (CIUDADANO)</t>
  </si>
  <si>
    <t>MDT-DRTSPL-2022-0563-EXTERNO</t>
  </si>
  <si>
    <t>MDT-DRTSPL-2022-0380-O</t>
  </si>
  <si>
    <t>Nuvia Piedad Apolo Pinza</t>
  </si>
  <si>
    <t>MDT-DRTSPL-2022-0564-EXTERNO</t>
  </si>
  <si>
    <t>MDT-DRTSPL-2022-0381-O</t>
  </si>
  <si>
    <t>Edgar Bolivar Jumbo Sanchez</t>
  </si>
  <si>
    <t>MDT-DRTSPL-2022-0569-EXTERNO</t>
  </si>
  <si>
    <t>MDT-DRTSPL-2022-0386-O</t>
  </si>
  <si>
    <t>Ruben Dario Roman Barrazueta</t>
  </si>
  <si>
    <t>MDT-DRTSPL-2022-0571-EXTERNO</t>
  </si>
  <si>
    <t>MDT-DRTSPL-2022-0387-O</t>
  </si>
  <si>
    <t>Viviana Katherine Samaniego Torres</t>
  </si>
  <si>
    <t>MDT-DRTSPL-2022-0574-EXTERNO</t>
  </si>
  <si>
    <t>MDT-DRTSPL-2022-0388-O</t>
  </si>
  <si>
    <t>Ana Gabriela Maza Benitez</t>
  </si>
  <si>
    <t>MDT-DRTSPL-2022-0575-EXTERNO</t>
  </si>
  <si>
    <t>MDT-DRTSPL-2022-0390-O</t>
  </si>
  <si>
    <t>Luz Marina Jimbo Ponce</t>
  </si>
  <si>
    <t>MDT-DRTSPL-2022-0577-EXTERNO</t>
  </si>
  <si>
    <t>MDT-DRTSPL-2022-0389-O</t>
  </si>
  <si>
    <t>MDT-DRTSPL-2022-0578-EXTERNO</t>
  </si>
  <si>
    <t>MDT-DRTSPL-2022-0391-O</t>
  </si>
  <si>
    <t>MDT-DRTSPL-2022-0579-EXTERNO</t>
  </si>
  <si>
    <t>MDT-DRTSPL-2022-0466-O</t>
  </si>
  <si>
    <t>Jose Pablo Garcia Loyaga</t>
  </si>
  <si>
    <t>MDT-DRTSPL-2022-0580-EXTERNO</t>
  </si>
  <si>
    <t>MDT-DRTSPL-2022-0399-O</t>
  </si>
  <si>
    <t>MDT-DRTSPL-2022-0584-EXTERNO</t>
  </si>
  <si>
    <t>MDT-DRTSPL-2022-0392-O</t>
  </si>
  <si>
    <t>Eddy Vinicio Barrionuevo Diaz</t>
  </si>
  <si>
    <t>MDT-DRTSPL-2022-0586-EXTERNO</t>
  </si>
  <si>
    <t>MDT-DRTSPL-2022-0393-O</t>
  </si>
  <si>
    <t>MDT-DRTSPL-2022-0589-EXTERNO</t>
  </si>
  <si>
    <t>MDT-DRTSPL-2022-0394-O</t>
  </si>
  <si>
    <t>MDT-DRTSPL-2022-0590-EXTERNO</t>
  </si>
  <si>
    <t>MDT-DRTSPL-2022-0402-O</t>
  </si>
  <si>
    <t>MDT-DRTSPL-2022-0591-EXTERNO</t>
  </si>
  <si>
    <t>MDT-DRTSPL-2022-0395-O</t>
  </si>
  <si>
    <t>MDT-DRTSPL-2022-0592-EXTERNO</t>
  </si>
  <si>
    <t>MDT-DRTSPL-2022-0398-O</t>
  </si>
  <si>
    <t>Paúl Edvaldo Carrión González</t>
  </si>
  <si>
    <t>MDT-DRTSPL-2022-0593-EXTERNO</t>
  </si>
  <si>
    <t>MDT-DRTSPL-2022-0406-O</t>
  </si>
  <si>
    <t>MDT-DRTSPL-2022-0595-EXTERNO</t>
  </si>
  <si>
    <t>MDT-DRTSPL-2022-0407-O</t>
  </si>
  <si>
    <t>Rosa Melina Torres Beltran</t>
  </si>
  <si>
    <t>MDT-DRTSPL-2022-0596-EXTERNO</t>
  </si>
  <si>
    <t>MDT-DRTSPL-2022-0408-O</t>
  </si>
  <si>
    <t>Juan Baudilio Suquilanda Guaman</t>
  </si>
  <si>
    <t>MDT-DRTSPL-2022-0597-EXTERNO</t>
  </si>
  <si>
    <t>MDT-DRTSPL-2022-0409-O</t>
  </si>
  <si>
    <t>MDT-DRTSPL-2022-0598-EXTERNO</t>
  </si>
  <si>
    <t>MDT-DRTSPL-2022-0410-O</t>
  </si>
  <si>
    <t>Jesus Alfonso Villalobos Villalobos</t>
  </si>
  <si>
    <t>MDT-DRTSPL-2022-0600-EXTERNO</t>
  </si>
  <si>
    <t>MDT-DRTSPL-2022-0411-O</t>
  </si>
  <si>
    <t>MDT-DRTSPL-2022-0604-EXTERNO</t>
  </si>
  <si>
    <t>MDT-DRTSPL-2022-0487-O</t>
  </si>
  <si>
    <t>Victor Gonzalo Guerrero Cordova</t>
  </si>
  <si>
    <t>MDT-DRTSPL-2022-0610-EXTERNO</t>
  </si>
  <si>
    <t>Yajaira Katherine Lozada Bravo</t>
  </si>
  <si>
    <t>MDT-DRTSPL-2022-0400-O</t>
  </si>
  <si>
    <t>Jefferson Rodrigo Lasso Acaro</t>
  </si>
  <si>
    <t>MDT-DRTSPL-2022-0619-EXTERNO</t>
  </si>
  <si>
    <t>MDT-DRTSPL-2022-0414-O</t>
  </si>
  <si>
    <t>Ronald Alexander Arizaga Arias</t>
  </si>
  <si>
    <t>MDT-DRTSPL-2022-0621-EXTERNO</t>
  </si>
  <si>
    <t>MDT-DRTSPL-2022-0415-O</t>
  </si>
  <si>
    <t>Diego Efrain Paladines Córdova</t>
  </si>
  <si>
    <t>MDT-DRTSPL-2022-0622-EXTERNO</t>
  </si>
  <si>
    <t>MDT-DRTSPL-2022-0416-O</t>
  </si>
  <si>
    <t>Milton Geovanny Lapo Torres</t>
  </si>
  <si>
    <t>MDT-DRTSPL-2022-0623-EXTERNO</t>
  </si>
  <si>
    <t>MDT-DRTSPL-2022-0417-O</t>
  </si>
  <si>
    <t>MDT-DRTSPL-2022-0624-EXTERNO</t>
  </si>
  <si>
    <t>MDT-DRTSPL-2022-0418-O</t>
  </si>
  <si>
    <t>MDT-DRTSPL-2022-0625-EXTERNO</t>
  </si>
  <si>
    <t>MDT-DRTSPL-2022-0419-O</t>
  </si>
  <si>
    <t>MDT-DRTSPL-2022-0626-EXTERNO</t>
  </si>
  <si>
    <t>MDT-DRTSPL-2022-0420-O</t>
  </si>
  <si>
    <t>MDT-DRTSPL-2022-0627-EXTERNO</t>
  </si>
  <si>
    <t>MDT-DRTSPL-2022-0421-O</t>
  </si>
  <si>
    <t>MDT-DRTSPL-2022-0628-EXTERNO</t>
  </si>
  <si>
    <t>MDT-DRTSPL-2022-0423-O</t>
  </si>
  <si>
    <t>MDT-DRTSPL-2022-0629-EXTERNO</t>
  </si>
  <si>
    <t>MDT-DRTSPL-2022-0424-O</t>
  </si>
  <si>
    <t>MDT-DRTSPL-2022-0630-EXTERNO</t>
  </si>
  <si>
    <t>MDT-DRTSPL-2022-0433-O</t>
  </si>
  <si>
    <t>MDT-DRTSPL-2022-0634-EXTERNO</t>
  </si>
  <si>
    <t>MDT-DRTSPL-2022-0431-O</t>
  </si>
  <si>
    <t>MDT-DRTSPL-2022-0635-EXTERNO</t>
  </si>
  <si>
    <t>MDT-DRTSPL-2022-0434-O</t>
  </si>
  <si>
    <t>Janeth Dayana Romero Vargas</t>
  </si>
  <si>
    <t>MDT-DRTSPL-2022-0638-EXTERNO</t>
  </si>
  <si>
    <t>MDT-DRTSPL-2022-0574-O</t>
  </si>
  <si>
    <t>Eduardo Patricio Armijos Tandazo</t>
  </si>
  <si>
    <t>MDT-DRTSPL-2022-0644-EXTERNO</t>
  </si>
  <si>
    <t>MDT-DRTSPL-2022-0458-O</t>
  </si>
  <si>
    <t>Jackeline Alexandra Llanes Lima</t>
  </si>
  <si>
    <t>MDT-DRTSPL-2022-0645-EXTERNO</t>
  </si>
  <si>
    <t>MDT-DRTSPL-2022-0438-O</t>
  </si>
  <si>
    <t>MDT-DRTSPL-2022-0650-EXTERNO</t>
  </si>
  <si>
    <t>MDT-DRTSPL-2022-0440-O</t>
  </si>
  <si>
    <t>MDT-DRTSPL-2022-0655-EXTERNO</t>
  </si>
  <si>
    <t>MDT-DRTSPL-2022-0441-O</t>
  </si>
  <si>
    <t>MDT-DRTSPL-2022-0659-EXTERNO</t>
  </si>
  <si>
    <t>MDT-DRTSPL-2022-0442-O</t>
  </si>
  <si>
    <t>Luis Emilio Camacho Calva</t>
  </si>
  <si>
    <t>MDT-DRTSPL-2022-0662-EXTERNO</t>
  </si>
  <si>
    <t>MDT-DRTSPL-2022-0444-O</t>
  </si>
  <si>
    <t>Luis Patricio Arias González</t>
  </si>
  <si>
    <t>MDT-DRTSPL-2022-0664-EXTERNO</t>
  </si>
  <si>
    <t>MDT-DRTSPL-2022-0445-O</t>
  </si>
  <si>
    <t>Fernando Alfonso Brayanes Lima</t>
  </si>
  <si>
    <t>MDT-DRTSPL-2022-0665-EXTERNO</t>
  </si>
  <si>
    <t>MDT-DRTSPL-2022-0446-O</t>
  </si>
  <si>
    <t>MDT-DRTSPL-2022-0666-EXTERNO</t>
  </si>
  <si>
    <t>MDT-DRTSPL-2022-0447-O</t>
  </si>
  <si>
    <t>MDT-DRTSPL-2022-0667-EXTERNO</t>
  </si>
  <si>
    <t>MDT-DRTSPL-2022-0449-O</t>
  </si>
  <si>
    <t>Jorge Danilo Mejicango Vera</t>
  </si>
  <si>
    <t>MDT-DRTSPL-2022-0668-EXTERNO</t>
  </si>
  <si>
    <t>MDT-DRTSPL-2022-0452-O</t>
  </si>
  <si>
    <t>MDT-DRTSPL-2022-0669-EXTERNO</t>
  </si>
  <si>
    <t>MDT-DRTSPL-2022-0453-O</t>
  </si>
  <si>
    <t>MDT-DRTSPL-2022-0672-EXTERNO</t>
  </si>
  <si>
    <t>MDT-DRTSPL-2022-0455-O</t>
  </si>
  <si>
    <t>Jose Antonio Guaman Cajamarca</t>
  </si>
  <si>
    <t>MDT-DRTSPL-2022-0678-EXTERNO</t>
  </si>
  <si>
    <t>REASIGNADO</t>
  </si>
  <si>
    <t xml:space="preserve">Haydee Tatiana Rodriguez Almeida </t>
  </si>
  <si>
    <t>DIRECCION DE SECRETARIA GENERAL</t>
  </si>
  <si>
    <t>MDT-DATH-2022-0571-M MDT-DSG-2022-0244-OFICIO</t>
  </si>
  <si>
    <t>Jonathan Dario Mendez Duran</t>
  </si>
  <si>
    <t>MDT-DRTSPL-2022-0679-EXTERNO</t>
  </si>
  <si>
    <t>MDT-DRTSPL-2022-0488-O</t>
  </si>
  <si>
    <t>Carmita León Ordoñez</t>
  </si>
  <si>
    <t>MDT-DRTSPL-2022-0681-EXTERNO</t>
  </si>
  <si>
    <t>MDT-DRTSPL-2022-0456-O</t>
  </si>
  <si>
    <t>MDT-DRTSPL-2022-0682-EXTERNO</t>
  </si>
  <si>
    <t>MDT-DRTSPL-2022-0457-O</t>
  </si>
  <si>
    <t>MDT-DRTSPL-2022-0683-EXTERNO</t>
  </si>
  <si>
    <t>MDT-DRTSPL-2022-0491-O</t>
  </si>
  <si>
    <t>Miriam Alexandra Guajala Macas</t>
  </si>
  <si>
    <t>MDT-DRTSPL-2022-0692-EXTERNO</t>
  </si>
  <si>
    <t>MDT-DRTSPL-2022-0459-O</t>
  </si>
  <si>
    <t>Maria Francisca Bustamante Rodriguez</t>
  </si>
  <si>
    <t>MDT-DRTSPL-2022-0693-EXTERNO</t>
  </si>
  <si>
    <t>MDT-DRTSPL-2022-0492-O</t>
  </si>
  <si>
    <t>Deysy Magaly Oviedo Oviedo</t>
  </si>
  <si>
    <t>MDT-DRTSPL-2022-0694-EXTERNO</t>
  </si>
  <si>
    <t>Sergio Eduardo Chazi Capelo</t>
  </si>
  <si>
    <t>DIRECCION REGIONAL DEL TRABAJO Y SERVICIO PUBLICO DE CUENCA</t>
  </si>
  <si>
    <t>MDT-DRTSPC-2022-0273-O</t>
  </si>
  <si>
    <t xml:space="preserve"> María de Lourdes Valdivieso Valdivieso</t>
  </si>
  <si>
    <t>MDT-DRTSPL-2022-0696-EXTERNO</t>
  </si>
  <si>
    <t>MDT-DRTSPL-2022-0460-O</t>
  </si>
  <si>
    <t>Rudy Fabián Paladines Vega</t>
  </si>
  <si>
    <t>MDT-DRTSPL-2022-0697-EXTERNO</t>
  </si>
  <si>
    <t>MDT-DRTSPL-2022-0461-O</t>
  </si>
  <si>
    <t>MDT-DRTSPL-2022-0698-EXTERNO</t>
  </si>
  <si>
    <t>MDT-DRTSPL-2022-0465-O</t>
  </si>
  <si>
    <t>Dario Sebastian Maldonado Sanchez</t>
  </si>
  <si>
    <t>MDT-DRTSPL-2022-0701-EXTERNO</t>
  </si>
  <si>
    <t>MDT-DRTSPL-2022-0469-O</t>
  </si>
  <si>
    <t>MDT-DRTSPL-2022-0705-EXTERNO</t>
  </si>
  <si>
    <t>MDT-DRTSPL-2022-0470-O</t>
  </si>
  <si>
    <t>Ramiro Augusto Arévalo Malo</t>
  </si>
  <si>
    <t>MDT-DRTSPL-2022-0710-EXTERNO</t>
  </si>
  <si>
    <t>MDT-DRTSPL-2022-0471-O</t>
  </si>
  <si>
    <t>MDT-DRTSPL-2022-0713-EXTERNO</t>
  </si>
  <si>
    <t>MDT-DRTSPL-2022-0476-O</t>
  </si>
  <si>
    <t>María Cecilia Vivanco Araujo</t>
  </si>
  <si>
    <t>MDT-DRTSPL-2022-0717-EXTERNO</t>
  </si>
  <si>
    <t>MDT-DRTSPL-2022-0493-O</t>
  </si>
  <si>
    <t>Gloria Maria Japon Japon</t>
  </si>
  <si>
    <t>MDT-DRTSPL-2022-0720-EXTERNO</t>
  </si>
  <si>
    <t>MDT-DRTSPL-2022-0480-O</t>
  </si>
  <si>
    <t>MDT-DRTSPL-2022-0723-EXTERNO</t>
  </si>
  <si>
    <t>Gladys Veronica Carballo Zambrano</t>
  </si>
  <si>
    <t>DELEGACION PROVINCIAL DE TRABAJO Y SERVICIO PUBLICO DE EL ORO - MACHALA</t>
  </si>
  <si>
    <t>MDT-DPTSPOM-2022-0159-O</t>
  </si>
  <si>
    <t>Milton Isauro Carrion Betancourt</t>
  </si>
  <si>
    <t>MDT-DRTSPL-2022-0725-EXTERNO</t>
  </si>
  <si>
    <t>MDT-DRTSPL-2022-0485-O</t>
  </si>
  <si>
    <t>Marco Jinnson Astudillo Ruíz</t>
  </si>
  <si>
    <t>MDT-DRTSPL-2022-0735-EXTERNO</t>
  </si>
  <si>
    <t>MDT-DRTSPL-2022-0497-O</t>
  </si>
  <si>
    <t>MDT-DRTSPL-2022-0736-EXTERNO</t>
  </si>
  <si>
    <t>MDT-DRTSPL-2022-0489-O</t>
  </si>
  <si>
    <t>Cármen Luisa Paladines Criollo</t>
  </si>
  <si>
    <t>MDT-DRTSPL-2022-0737-EXTERNO</t>
  </si>
  <si>
    <t>MDT-DRTSPL-2022-0496-O</t>
  </si>
  <si>
    <t>Paulo Cesar Lopez Ordoñez</t>
  </si>
  <si>
    <t>MDT-DRTSPL-2022-0739-EXTERNO</t>
  </si>
  <si>
    <t>MDT-DRTSPL-2022-0498-O</t>
  </si>
  <si>
    <t>Edgar Geovanny Benítez Cuenca</t>
  </si>
  <si>
    <t>MDT-DRTSPL-2022-0743-EXTERNO</t>
  </si>
  <si>
    <t>MDT-DRTSPL-2022-0499-O</t>
  </si>
  <si>
    <t>MDT-DRTSPL-2022-0750-EXTERNO</t>
  </si>
  <si>
    <t>MDT-DRTSPL-2022-0500-O</t>
  </si>
  <si>
    <t>MDT-DRTSPL-2022-0752-EXTERNO</t>
  </si>
  <si>
    <t>MDT-DRTSPL-2022-0501-O</t>
  </si>
  <si>
    <t>Jhuliana Katherine Aguilar Gonzalez</t>
  </si>
  <si>
    <t>MDT-DRTSPL-2022-0753-EXTERNO</t>
  </si>
  <si>
    <t>MDT-DRTSPL-2022-0579-O</t>
  </si>
  <si>
    <t>Hugo Erazo Novillo</t>
  </si>
  <si>
    <t>MDT-DRTSPL-2022-0754-EXTERNO</t>
  </si>
  <si>
    <t>MDT-DRTSPL-2022-0502-O</t>
  </si>
  <si>
    <t>MDT-DRTSPL-2022-0755-EXTERNO</t>
  </si>
  <si>
    <t>MDT-DRTSPL-2022-0503-O</t>
  </si>
  <si>
    <t>MDT-DRTSPL-2022-0756-EXTERNO</t>
  </si>
  <si>
    <t>MDT-DRTSPL-2022-0516-O</t>
  </si>
  <si>
    <t>MDT-DRTSPL-2022-0757-EXTERNO</t>
  </si>
  <si>
    <t>MDT-DRTSPL-2022-0518-O</t>
  </si>
  <si>
    <t>MDT-DRTSPL-2022-0758-EXTERNO</t>
  </si>
  <si>
    <t>MDT-DRTSPL-2022-0519-O</t>
  </si>
  <si>
    <t>MDT-DRTSPL-2022-0759-EXTERNO</t>
  </si>
  <si>
    <t>MDT-DRTSPL-2022-0520-O</t>
  </si>
  <si>
    <t>MDT-DRTSPL-2022-0760-EXTERNO</t>
  </si>
  <si>
    <t>MDT-DRTSPL-2022-0521-O</t>
  </si>
  <si>
    <t>MDT-DRTSPL-2022-0761-EXTERNO</t>
  </si>
  <si>
    <t>MDT-DRTSPL-2022-0522-O</t>
  </si>
  <si>
    <t>MDT-DRTSPL-2022-0762-EXTERNO</t>
  </si>
  <si>
    <t>MDT-DRTSPL-2022-0523-O</t>
  </si>
  <si>
    <t>MDT-DRTSPL-2022-0773-EXTERNO</t>
  </si>
  <si>
    <t>MDT-DRTSPL-2022-0512-O</t>
  </si>
  <si>
    <t>Paola Valquiria Maldonado Bustos</t>
  </si>
  <si>
    <t>MDT-DRTSPL-2022-0774-EXTERNO</t>
  </si>
  <si>
    <t>MDT-DRTSPL-2022-0632-O</t>
  </si>
  <si>
    <t>Raul Marcelo Mogrovejo Leon</t>
  </si>
  <si>
    <t>MDT-DRTSPL-2022-0775-EXTERNO</t>
  </si>
  <si>
    <t>MDT-DRTSPL-2022-0513-O</t>
  </si>
  <si>
    <t>Veronica Alexandra Elizalde Vargas</t>
  </si>
  <si>
    <t>MDT-DRTSPL-2022-0778-EXTERNO</t>
  </si>
  <si>
    <t>MDT-DRTSPL-2022-0633-O</t>
  </si>
  <si>
    <t>Gloria del Carmen Merchan Chamba</t>
  </si>
  <si>
    <t>MDT-DRTSPL-2022-0779-EXTERNO</t>
  </si>
  <si>
    <t>MDT-DRTSPL-2022-0528-O</t>
  </si>
  <si>
    <t>Diego Gustavo Quezada Quezada</t>
  </si>
  <si>
    <t>MDT-DRTSPL-2022-0780-EXTERNO</t>
  </si>
  <si>
    <t>MDT-DRTSPL-2022-0529-O</t>
  </si>
  <si>
    <t>Carmen del Cisne Herrera Abrahan</t>
  </si>
  <si>
    <t>MDT-DRTSPL-2022-0782-EXTERNO</t>
  </si>
  <si>
    <t>MDT-DRTSPL-2022-0530-O</t>
  </si>
  <si>
    <t>Fabio Andres Puglla Macas</t>
  </si>
  <si>
    <t>MDT-DRTSPL-2022-0784-EXTERNO</t>
  </si>
  <si>
    <t>MDT-DRTSPL-2022-0531-O</t>
  </si>
  <si>
    <t>MDT-DRTSPL-2022-0787-EXTERNO</t>
  </si>
  <si>
    <t>MDT-DRTSPL-2022-0532-O</t>
  </si>
  <si>
    <t>Julio Israel Villavicencio Canelos</t>
  </si>
  <si>
    <t>MDT-DRTSPL-2022-0789-EXTERNO</t>
  </si>
  <si>
    <t>MDT-DRTSPL-2022-0533-O</t>
  </si>
  <si>
    <t>MDT-DRTSPL-2022-0791-EXTERNO</t>
  </si>
  <si>
    <t>MDT-DRTSPL-2022-0535-O</t>
  </si>
  <si>
    <t>Audrey Alejandro Villacis</t>
  </si>
  <si>
    <t>MDT-DRTSPL-2022-0792-EXTERNO</t>
  </si>
  <si>
    <t>MDT-DRTSPL-2022-0534-O</t>
  </si>
  <si>
    <t>MDT-DRTSPL-2022-0793-EXTERNO</t>
  </si>
  <si>
    <t>MDT-DRTSPL-2022-0536-O</t>
  </si>
  <si>
    <t>Julia Vanessa Murquincho Poma</t>
  </si>
  <si>
    <t>MDT-DRTSPL-2022-0794-EXTERNO</t>
  </si>
  <si>
    <t>MDT-DCI-2022-0232-M</t>
  </si>
  <si>
    <t>MDT-DRTSPL-2022-0795-EXTERNO</t>
  </si>
  <si>
    <t>MDT-DRTSPL-2022-0537-O</t>
  </si>
  <si>
    <t>Teresa de Jesus Criollo Yunga</t>
  </si>
  <si>
    <t>MDT-DRTSPL-2022-0797-EXTERNO</t>
  </si>
  <si>
    <t>MDT-DRTSPL-2022-0538-O</t>
  </si>
  <si>
    <t>Ruth Paulina Amay Yunga</t>
  </si>
  <si>
    <t>MDT-DRTSPL-2022-0798-EXTERNO</t>
  </si>
  <si>
    <t>MDT-DRTSPL-2022-0539-O</t>
  </si>
  <si>
    <t>MDT-DRTSPL-2022-0799-EXTERNO</t>
  </si>
  <si>
    <t>MDT-DRTSPL-2022-0540-O</t>
  </si>
  <si>
    <t>Víctor Antonio Bermeo Ramón</t>
  </si>
  <si>
    <t>MDT-DRTSPL-2022-0089-M</t>
  </si>
  <si>
    <t>MDT-DRTSPL-2022-0097-M</t>
  </si>
  <si>
    <t xml:space="preserve">Franco Leonardo Garcia Celi </t>
  </si>
  <si>
    <t>MDT-DPTSPOM-2022-0056-M</t>
  </si>
  <si>
    <t>MDT-DRTSPL-2022-0134-M
MDT-DRTSPL-2022-0137-M</t>
  </si>
  <si>
    <t>MDT-DRTSPL-2022-0179-M</t>
  </si>
  <si>
    <t>MDT-DRTSPL-2022-0195-M</t>
  </si>
  <si>
    <t>MDT-DRTSPL-2022-0236-M</t>
  </si>
  <si>
    <t>Haydee Tatiana Rodriguez Almeida</t>
  </si>
  <si>
    <t>MDT-DRTSPL-2022-0243-M</t>
  </si>
  <si>
    <t>MDT-DPTSPOM-2021-5317-EXTERNO</t>
  </si>
  <si>
    <t>21/12/2021 27/01/2022</t>
  </si>
  <si>
    <t>MDT-DRTSPL-2022-0479-O</t>
  </si>
  <si>
    <t>Darwin Amable Romero Fernandez</t>
  </si>
  <si>
    <t>MDT-DRTSPL-2021-7255-EXTERNO</t>
  </si>
  <si>
    <t>22/12/2021 18/01/2022</t>
  </si>
  <si>
    <t>MDT-DCI-2022-0055-M MDT-DRTSPL-2022-0404-O</t>
  </si>
  <si>
    <t>MDT-DPTSPOM-2022-0473-EXTERNO</t>
  </si>
  <si>
    <t>MDT-DRTSPL-2022-0439-O</t>
  </si>
  <si>
    <t xml:space="preserve">Geovanny Javier Rodas Armijos </t>
  </si>
  <si>
    <t>MDT-DRTSPL-2022-0355-M</t>
  </si>
  <si>
    <t>MDT-DRTSPL-2022-0359-M</t>
  </si>
  <si>
    <t>Sandra Maritza Torres Guarnizo</t>
  </si>
  <si>
    <t>MDT-DPTSPOM-2022-0016-M</t>
  </si>
  <si>
    <t>MDT-DRTSPL-2022-0058-M</t>
  </si>
  <si>
    <t>Danilo Gabriel Calero Mora</t>
  </si>
  <si>
    <t>MDT-DPTSPOM-2022-0019-M</t>
  </si>
  <si>
    <t>MDT-DRTSPL-2022-0059-M</t>
  </si>
  <si>
    <t>MDT-DPTSPOM-2022-0018-M</t>
  </si>
  <si>
    <t>MDT-DRTSPL-2022-0060-M</t>
  </si>
  <si>
    <t>MDT-DPTSPOM-2022-0023-M</t>
  </si>
  <si>
    <t>MDT-DRTSPL-2022-0061-M</t>
  </si>
  <si>
    <t>MDT-DPTSPOM-2022-0017-M</t>
  </si>
  <si>
    <t>MDT-DRTSPL-2022-0064-M</t>
  </si>
  <si>
    <t>MDT-DPTSPOM-2022-0022-M</t>
  </si>
  <si>
    <t>MDT-DRTSPL-2022-0065-M</t>
  </si>
  <si>
    <t>MDT-DRTSPL-2022-0091-M</t>
  </si>
  <si>
    <t>MDT-DRTSPL-2022-0102-M</t>
  </si>
  <si>
    <t>MDT-DRTSPL-2022-0092-M</t>
  </si>
  <si>
    <t>MDT-DRTSPL-2022-0107-M</t>
  </si>
  <si>
    <t>MDT-DRTSPL-2022-0124-M</t>
  </si>
  <si>
    <t>MDT-DRTSPL-2022-0142-M</t>
  </si>
  <si>
    <t>MDT-DRTSPL-2022-0145-M</t>
  </si>
  <si>
    <t>MDT-DRTSPL-2022-0154-M</t>
  </si>
  <si>
    <t>MDT-DRTSPL-2022-0151-M</t>
  </si>
  <si>
    <t>MDT-DRTSPL-2022-0173-M</t>
  </si>
  <si>
    <t>MDT-DRTSPL-2022-0156-M</t>
  </si>
  <si>
    <t>MDT-DRTSPL-2022-0176-M</t>
  </si>
  <si>
    <t>Claudia Gabriela Arboleda Guerrero</t>
  </si>
  <si>
    <t>MDT-DRTSPL-2022-0181-M</t>
  </si>
  <si>
    <t>MDT-DRTSPL-2022-0182-M</t>
  </si>
  <si>
    <t>Gabriela Cecibel Cabrera Leon</t>
  </si>
  <si>
    <t>MDT-DRTSPL-2022-0180-M</t>
  </si>
  <si>
    <t>MDT-DRTSPL-2022-0189-M</t>
  </si>
  <si>
    <t>MDT-DPTSPOM-2022-0266-EXTERNO</t>
  </si>
  <si>
    <t>MDT-DRTSPL-2022-0304-O</t>
  </si>
  <si>
    <t>Moraima Karina Guevara Benavides</t>
  </si>
  <si>
    <t>MDT-DRTSPL-2022-0446-EXTERNO</t>
  </si>
  <si>
    <t>Monica Mirella Chuquimarca Jimenez</t>
  </si>
  <si>
    <t>MDT-DRTSPL-2022-0207-M</t>
  </si>
  <si>
    <t>MDT-DRTSPL-2022-0222-M</t>
  </si>
  <si>
    <t>MDT-DRTSPL-2022-0223-M</t>
  </si>
  <si>
    <t>MDT-DPTSPOM-2022-0388-EXTERNO</t>
  </si>
  <si>
    <t>MDT-DRTSPL-2022-0371-O</t>
  </si>
  <si>
    <t>Jose Alfredo Chiriboga Gonzalez</t>
  </si>
  <si>
    <t>MDT-DPTSPOM-2022-0389-EXTERNO</t>
  </si>
  <si>
    <t>MDT-DRTSPL-2022-0372-O</t>
  </si>
  <si>
    <t>MDT-DRTSPL-2022-0013-M MDT-DATH-2022-0211-M</t>
  </si>
  <si>
    <t>MDT-DRTSPL-2022-0242-M</t>
  </si>
  <si>
    <t>MDT-DRTSPL-2022-0235-M</t>
  </si>
  <si>
    <t>MDT-DRTSPL-2022-0240-M</t>
  </si>
  <si>
    <t>MDT-DRTSPL-2022-0245-M</t>
  </si>
  <si>
    <t>MDT-DRTSPL-2022-0275-M</t>
  </si>
  <si>
    <t>Vicente Mesías Ordóñez Montero</t>
  </si>
  <si>
    <t>MDT-DPTSPOM-2022-0381-EXTERNO</t>
  </si>
  <si>
    <t>MDT-DRTSPL-2022-0486-O</t>
  </si>
  <si>
    <t>Claudio Alonso Flores Sanchez</t>
  </si>
  <si>
    <t>MDT-DPTSPOM-2022-0534-EXTERNO</t>
  </si>
  <si>
    <t>MDT-DRTSPL-2022-0495-O</t>
  </si>
  <si>
    <t>Gladys Magdalena Barriga Ayala</t>
  </si>
  <si>
    <t>MDT-DRTSPL-2022-0332-M</t>
  </si>
  <si>
    <t>MDT-DRTSPL-2022-0337-M</t>
  </si>
  <si>
    <t>MDT-DRTSPL-2022-0292-M</t>
  </si>
  <si>
    <t>MDT-DRTSPL-2022-0345-M</t>
  </si>
  <si>
    <t>MDT-DRTSPL-2022-0342-M</t>
  </si>
  <si>
    <t>MDT-DRTSPL-2022-0347-M</t>
  </si>
  <si>
    <t>MDT-DPTSPZCH-2022-008-EXTERNO</t>
  </si>
  <si>
    <t>JHOMAIRA GONSALEZ</t>
  </si>
  <si>
    <t>DPTSPZCH</t>
  </si>
  <si>
    <t>MDT-DPTSPZCH-2022-0001-O</t>
  </si>
  <si>
    <t>ZAMORA</t>
  </si>
  <si>
    <t>USUARIO EXTERNO</t>
  </si>
  <si>
    <t>MDT-DPTSPZCH-2022-0013-EXTERNO</t>
  </si>
  <si>
    <t>MDT-DPTSPZCH-2022-0002-O</t>
  </si>
  <si>
    <t>ximena-tapias@homail.com</t>
  </si>
  <si>
    <t>FIRMA ELECTRONICA</t>
  </si>
  <si>
    <t>MDT-DPTSPZCH-2022-009-EXTERNO</t>
  </si>
  <si>
    <t>MDT-DPTSPZCH-2022-0003-O</t>
  </si>
  <si>
    <t>mluislautaro@yahoo.com</t>
  </si>
  <si>
    <t>MDT-DPTSPZCH-2022-0018-EXTERNO</t>
  </si>
  <si>
    <t>MDT-DPTSPZCH-2022-0004-O</t>
  </si>
  <si>
    <t>bladimirbetancourtgranillo@hotmail.com</t>
  </si>
  <si>
    <t>MDT-DPTSPZCH-2022-0020-EXTERNO</t>
  </si>
  <si>
    <t>MDT-DPTSPZCH-2022-0005-O</t>
  </si>
  <si>
    <t xml:space="preserve"> ZAMORA</t>
  </si>
  <si>
    <t>MDT-DPTSPZCH-2022-0034-EXTERNO</t>
  </si>
  <si>
    <t>MDT-DPTSPZCH-2022-0006-O</t>
  </si>
  <si>
    <t>MDT-DPTSPZCH-2022-0035-EXTERNO</t>
  </si>
  <si>
    <t>MDT-DPTSPZCH-2022-0007-O</t>
  </si>
  <si>
    <t xml:space="preserve">CONSEJO DE LA JUDICATURA </t>
  </si>
  <si>
    <t>MDT-DPTSPZCH-2022-0036-EXTERNO</t>
  </si>
  <si>
    <t>MDT-DPTSPZCH-2022-0008-O</t>
  </si>
  <si>
    <t>FISCALIA</t>
  </si>
  <si>
    <t>MDT-DPTSPZCH-2022-0037-EXTERNO</t>
  </si>
  <si>
    <t>MDT-DPTSPZCH-2022-0009-O</t>
  </si>
  <si>
    <t>MDT-DPTSPZCH-2022-0044-EXTERNO</t>
  </si>
  <si>
    <t>MDT-DPTSPZCH-2022-0010-O</t>
  </si>
  <si>
    <t>geovannycarrilloguarnizo20@gmail.com</t>
  </si>
  <si>
    <t>MDT-DPTSPZCH-2022-0045-EXTERNO</t>
  </si>
  <si>
    <t>MDT-DPTSPZCH-2022-0011-O</t>
  </si>
  <si>
    <t>helenlaradiaz@gmail.com</t>
  </si>
  <si>
    <t>MDT-DPTSPZCH-2022-0047-EXTERNO</t>
  </si>
  <si>
    <t>MDT-DPTSPZCH-2022-0012-O</t>
  </si>
  <si>
    <t>MDT-DPTSPZCH-2022-0060-EXTERNO</t>
  </si>
  <si>
    <t>MDT-DPTSPZCH-2022-0013-O</t>
  </si>
  <si>
    <t>MDT-DPTSPZCH-2022-0048-EXTERNO</t>
  </si>
  <si>
    <t>MDT-DPTSPZCH-2022-0014-O</t>
  </si>
  <si>
    <t>paulinapaucar@yahoo.es</t>
  </si>
  <si>
    <t>MDT-DPTSPZCH-2022-0064-EXTERNO</t>
  </si>
  <si>
    <t>MDT-DPTSPZCH-2022-0015-O</t>
  </si>
  <si>
    <t xml:space="preserve"> FIRMA MANUAL</t>
  </si>
  <si>
    <t>MDT-DPTSPZCH-2022-0065-EXTERNO</t>
  </si>
  <si>
    <t>MDT-DPTSPZCH-2022-0016-O</t>
  </si>
  <si>
    <t>agstotledo11@gmail.com</t>
  </si>
  <si>
    <t>MDT-DPTSPZCH-2022-0069-EXTERNO</t>
  </si>
  <si>
    <t>MDT-DPTSPZCH-2022-0017-O</t>
  </si>
  <si>
    <t>MDT-DPTSPZCH-2022-0074-EXTERNO</t>
  </si>
  <si>
    <t>MARLENE REY</t>
  </si>
  <si>
    <t>MDT-DPTSPZCH-2022-0019-O</t>
  </si>
  <si>
    <t>MDT-DPTSPZCH-2022-0080-EXTERNO</t>
  </si>
  <si>
    <t>MDT-DPTSPZCH-2022-0020-O</t>
  </si>
  <si>
    <t>MDT-DPTSPZCH-2022-0083-EXTERNO</t>
  </si>
  <si>
    <t>MDT-DPTSPZCH-2022-0021-O</t>
  </si>
  <si>
    <t>MDT-DPTSPZCH-2022-0088-EXTERNO</t>
  </si>
  <si>
    <t>MDT-DPTSPZCH-2022-0022-O</t>
  </si>
  <si>
    <t>MDT-DPTSPZCH-2022-0023-O</t>
  </si>
  <si>
    <t>MDT-DPTSPZCH-2022-0094-EXTERNO</t>
  </si>
  <si>
    <t>MDT-DPTSPZCH-2022-0024-O</t>
  </si>
  <si>
    <t>MDT-DPTSPZCH-2022-0095-EXTERNO</t>
  </si>
  <si>
    <t>MDT-DPTSPZCH-2022-0025-O</t>
  </si>
  <si>
    <t>MDT-DPTSPZCH-2022-0099-EXTERNO</t>
  </si>
  <si>
    <t>MDT-DPTSPZCH-2022-0026-O</t>
  </si>
  <si>
    <t>MDT-DPTSPZCH-2022-0100-EXTERNO</t>
  </si>
  <si>
    <t>MDT-DPTSPZCH-2022-0027-O</t>
  </si>
  <si>
    <t>MDT-DPTSPZCH-2022-0105-EXTERNO</t>
  </si>
  <si>
    <t>MDT-DPTSPZCH-2022-0028-O</t>
  </si>
  <si>
    <t>MDT-DPTSPZCH-2022-0124-EXTERNO</t>
  </si>
  <si>
    <t>MDT-DPTSPZCH-2022-0030-O</t>
  </si>
  <si>
    <t>UNIDAD JUDICIAL</t>
  </si>
  <si>
    <t>MDT-DPTSPZCH-2022-0126-EXTERNO</t>
  </si>
  <si>
    <t>MDT-DPTSPZCH-2022-0031-O</t>
  </si>
  <si>
    <t>MDT-DPTSPZCH-2022-0131-EXTERNO</t>
  </si>
  <si>
    <t>MDT-DPTSPZCH-2022-0032-O</t>
  </si>
  <si>
    <t>MDT-DPTSPZCH-2022-0132-EXTERNO</t>
  </si>
  <si>
    <t>MDT-DPTSPZCH-2022-0033-O</t>
  </si>
  <si>
    <t>MDT-DPTSPOM-2021-0289-EXTERNO</t>
  </si>
  <si>
    <t>GLADYS CARBALLO</t>
  </si>
  <si>
    <t>SECRETARIA GENERAL</t>
  </si>
  <si>
    <t>MDT-DPTSPOM-2022-0072-O</t>
  </si>
  <si>
    <t>MACHALA</t>
  </si>
  <si>
    <t>enviado por correo y quipux</t>
  </si>
  <si>
    <t>MDT-DPTSPOM-2021-4590-EXTERNO</t>
  </si>
  <si>
    <t>MDT-DPTSPOM-2022-0069-O</t>
  </si>
  <si>
    <t>MDT-DPTSPOM-2021-4997-EXTERNO</t>
  </si>
  <si>
    <t>MARIA ANDREA VERA</t>
  </si>
  <si>
    <t>MDT-DPTSPOM-2022-0071-O</t>
  </si>
  <si>
    <t>MDT-DPTSPOM-2021-5042-EXTERNO</t>
  </si>
  <si>
    <t>MDT-DPTSPOM-2022-0056-O</t>
  </si>
  <si>
    <t>MDT-DPTSPOM-2021-5521-EXTERNO</t>
  </si>
  <si>
    <t>MDT-DPTSPOM-2022-0068-O</t>
  </si>
  <si>
    <t>MDT-DPTSPOM-2022-0031-EXTERNO</t>
  </si>
  <si>
    <t>MDT-DPTSPOM-2022-0010-O</t>
  </si>
  <si>
    <t>MDT-DPTSPOM-2022-0059-EXTERNO</t>
  </si>
  <si>
    <t>MDT-DPTSPOM-2022-0109-O</t>
  </si>
  <si>
    <t>MDT-DPTSPOM-2022-0060-EXTERNO</t>
  </si>
  <si>
    <t>MDT-DPTSPOM-2022-0014-O</t>
  </si>
  <si>
    <t>MDT-DPTSPOM-2022-0066-M</t>
  </si>
  <si>
    <t>MDT-DPTSPOM-2022-0028-O</t>
  </si>
  <si>
    <t>MDT-DPTSPOM-2022-0090-EXTERNO</t>
  </si>
  <si>
    <t>MDT-DPTSPOM-2022-0029-O</t>
  </si>
  <si>
    <t>MDT-DPTSPOM-2022-0093-EXTERNO</t>
  </si>
  <si>
    <t>MDT-DPTSPOM-2022-0066-O</t>
  </si>
  <si>
    <t>MDT-DPTSPOM-2022-0098-EXTERNO</t>
  </si>
  <si>
    <t>MDT-DPTSPOM-2022-0057-O</t>
  </si>
  <si>
    <t>MDT-DPTSPOM-2022-0141-EXTERNO</t>
  </si>
  <si>
    <t>MDT-DPTSPOM-2022-0016-O</t>
  </si>
  <si>
    <t>MDT-DPTSPOM-2022-0178-EXTERNO</t>
  </si>
  <si>
    <t>MDT-DPTSPOM-2022-0025-O</t>
  </si>
  <si>
    <t>USUARI EXTERNO</t>
  </si>
  <si>
    <t>MDT-DPTSPOM-2022-0189-EXTERNO</t>
  </si>
  <si>
    <t>MDT-DPTSPOM-2022-0027-O</t>
  </si>
  <si>
    <t>MDT-DPTSPOM-2022-0199-EXTERNO</t>
  </si>
  <si>
    <t>MDT-DPTSPOM-2022-0031-O</t>
  </si>
  <si>
    <t>MDT-DPTSPOM-2022-0200-EXTERNO</t>
  </si>
  <si>
    <t>MDT-DPTSPOM-2022-0067-O</t>
  </si>
  <si>
    <t>MDT-DPTSPOM-2022-0212-EXTERNO</t>
  </si>
  <si>
    <t>MDT-DPTSPOM-2022-0030-O</t>
  </si>
  <si>
    <t>MDT-DPTSPOM-2022-0236-EXTERNO</t>
  </si>
  <si>
    <t>MDT-DPTSPOM-2022-0034-O</t>
  </si>
  <si>
    <t>MDT-DPTSPOM-2022-0244-EXTERNO</t>
  </si>
  <si>
    <t>MDT-DPTSPOM-2022-0032-O</t>
  </si>
  <si>
    <t>MDT-DPTSPOM-2022-0245-EXTERNO</t>
  </si>
  <si>
    <t>MDT-DPTSPOM-2022-0035-O</t>
  </si>
  <si>
    <t>MDT-DPTSPOM-2022-0246-EXTERNO</t>
  </si>
  <si>
    <t>MDT-DPTSPOM-2022-0036-O</t>
  </si>
  <si>
    <t>MDT-DPTSPOM-2022-0247-EXTERNO</t>
  </si>
  <si>
    <t>MDT-DPTSPOM-2022-0038-O</t>
  </si>
  <si>
    <t>MDT-DPTSPOM-2022-0248-EXTERNO</t>
  </si>
  <si>
    <t>MDT-DPTSPOM-2022-0037-O</t>
  </si>
  <si>
    <t>MDT-DPTSPOM-2022-0249-EXTERNO</t>
  </si>
  <si>
    <t>MDT-DPTSPOM-2022-0039-O</t>
  </si>
  <si>
    <t>MDT-DPTSPOM-2022-0258-EXTERNO</t>
  </si>
  <si>
    <t>MDT-DPTSPOM-2022-0040-O</t>
  </si>
  <si>
    <t>MDT-DPTSPOM-2022-0292-EXTERNO</t>
  </si>
  <si>
    <t>YAJAHIRA LOZADA</t>
  </si>
  <si>
    <t>MDT-DPTSPOM-2022-0044-O</t>
  </si>
  <si>
    <t>MDT-DPTSPOM-2022-0304-EXTERNO</t>
  </si>
  <si>
    <t>MDT-DPTSPOM-2022-0045-O</t>
  </si>
  <si>
    <t>MDT-DPTSPOM-2022-0306-EXTERNO</t>
  </si>
  <si>
    <t>MDT-DPTSPOM-2022-0047-O</t>
  </si>
  <si>
    <t>MDT-DPTSPOM-2022-0316-EXTERNO</t>
  </si>
  <si>
    <t>MDT-DPTSPOM-2022-0058-O</t>
  </si>
  <si>
    <t>MDT-DPTSPOM-2022-0320-EXTERNO</t>
  </si>
  <si>
    <t>MDT-DPTSPOM-2022-0048-O</t>
  </si>
  <si>
    <t>MDT-DPTSPOM-2022-0323-EXTERNO</t>
  </si>
  <si>
    <t>MDT-DPTSPOM-2022-0041-O</t>
  </si>
  <si>
    <t>MDT-DPTSPOM-2022-0326-EXTERNO</t>
  </si>
  <si>
    <t>MDT-DPTSPOM-2022-0050-O</t>
  </si>
  <si>
    <t>MDT-DPTSPOM-2022-0327-EXTERNO</t>
  </si>
  <si>
    <t>MDT-DPTSPOM-2022-0049-O</t>
  </si>
  <si>
    <t>MDT-DPTSPOM-2022-0343-EXTERNO</t>
  </si>
  <si>
    <t>MDT-DPTSPOM-2022-0060-O</t>
  </si>
  <si>
    <t>MDT-DPTSPOM-2022-0344-EXTERNO</t>
  </si>
  <si>
    <t>MDT-DPTSPOM-2022-0061-O</t>
  </si>
  <si>
    <t>MDT-DPTSPOM-2022-0350-EXTERNO</t>
  </si>
  <si>
    <t>MDT-DPTSPOM-2022-0351-EXTERNO</t>
  </si>
  <si>
    <t>MDT-DPTSPOM-2022-0051-O</t>
  </si>
  <si>
    <t>MDT-DPTSPOM-2022-0410-EXTERNO</t>
  </si>
  <si>
    <t>MDT-DPTSPOM-2022-0062-O</t>
  </si>
  <si>
    <t>MDT-DPTSPOM-2022-0413-EXTERNO</t>
  </si>
  <si>
    <t>MDT-DPTSPOM-2022-0063-O</t>
  </si>
  <si>
    <t>MDT-DPTSPOM-2022-0418-EXTERNO</t>
  </si>
  <si>
    <t>MDT-DPTSPOM-2022-0064-O</t>
  </si>
  <si>
    <t>MDT-DPTSPOM-2022-0424-EXTERNO</t>
  </si>
  <si>
    <t>MDT-DPTSPOM-2022-0065-O</t>
  </si>
  <si>
    <t>MDT-DPTSPOM-2022-0425-EXTERNO</t>
  </si>
  <si>
    <t>MDT-DPTSPOM-2022-0076-O</t>
  </si>
  <si>
    <t>MDT-DPTSPOM-2022-0428-EXTERNO</t>
  </si>
  <si>
    <t>MDT-DPTSPOM-2022-0077-O</t>
  </si>
  <si>
    <t>MDT-DPTSPOM-2022-0453-EXTERNO</t>
  </si>
  <si>
    <t>MDT-DPTSPOM-2022-0078-O</t>
  </si>
  <si>
    <t>MDT-DPTSPOM-2022-0457-EXTERNO</t>
  </si>
  <si>
    <t>MDT-DPTSPOM-2022-0079-O</t>
  </si>
  <si>
    <t>MDT-DPTSPOM-2022-0470-EXTERNO</t>
  </si>
  <si>
    <t>MDT-DPTSPOM-2022-0080-O</t>
  </si>
  <si>
    <t>MDT-DPTSPOM-2022-0477-EXTERNO</t>
  </si>
  <si>
    <t>MDT-DPTSPOM-2022-0074-O</t>
  </si>
  <si>
    <t>MDT-DPTSPOM-2022-0512-EXTERNO</t>
  </si>
  <si>
    <t>MDT-DPTSPOM-2022-0082-O</t>
  </si>
  <si>
    <t>MDT-DPTSPOM-2022-0517-EXTERNO</t>
  </si>
  <si>
    <t>MDT-DPTSPOM-2022-0083-O</t>
  </si>
  <si>
    <t>MDT-DPTSPOM-2022-0526-EXTERNO</t>
  </si>
  <si>
    <t>MDT-DPTSPOM-2022-0102-O</t>
  </si>
  <si>
    <t>MDT-DPTSPOM-2022-0536-EXTERNO</t>
  </si>
  <si>
    <t>MDT-DPTSPOM-2022-0084-O</t>
  </si>
  <si>
    <t>MDT-DPTSPOM-2022-0537-EXTERNO</t>
  </si>
  <si>
    <t>MDT-DPTSPOM-2022-0544-EXTERNO</t>
  </si>
  <si>
    <t>MDT-DPTSPOM-2022-0105-O</t>
  </si>
  <si>
    <t>MDT-DPTSPOM-2022-0547-EXTERNO</t>
  </si>
  <si>
    <t>MDT-DPTSPOM-2022-0086-O</t>
  </si>
  <si>
    <t>MDT-DPTSPOM-2022-0548-EXTERNO</t>
  </si>
  <si>
    <t>MDT-DPTSPOM-2022-0088-O</t>
  </si>
  <si>
    <t>MDT-DPTSPOM-2022-0549-EXTERNO</t>
  </si>
  <si>
    <t>MDT-DPTSPOM-2022-0089-O</t>
  </si>
  <si>
    <t>MDT-DPTSPOM-2022-0556-EXTERNO</t>
  </si>
  <si>
    <t>MDT-DPTSPOM-2022-0090-O</t>
  </si>
  <si>
    <t>MDT-DPTSPOM-2022-0559-EXTERNO</t>
  </si>
  <si>
    <t>MDT-DPTSPOM-2022-0091-O</t>
  </si>
  <si>
    <t>MDT-DPTSPOM-2022-0577-EXTERNO</t>
  </si>
  <si>
    <t>MDT-DPTSPOM-2022-0101-O</t>
  </si>
  <si>
    <t>MDT-DPTSPOM-2022-0582-EXTERNO</t>
  </si>
  <si>
    <t>MDT-DPTSPOM-2022-0092-O</t>
  </si>
  <si>
    <t>MDT-DPTSPOM-2022-0583-EXTERNO</t>
  </si>
  <si>
    <t>MDT-DPTSPOM-2022-0093-O</t>
  </si>
  <si>
    <t>MDT-DPTSPOM-2022-0584-EXTERNO</t>
  </si>
  <si>
    <t>MDT-DPTSPOM-2022-0095-O</t>
  </si>
  <si>
    <t>MDT-DPTSPOM-2022-0590-EXTERNO</t>
  </si>
  <si>
    <t>MDT-DPTSPOM-2022-0096-O</t>
  </si>
  <si>
    <t>MDT-DPTSPOM-2022-0592-EXTERNO</t>
  </si>
  <si>
    <t>MDT-DPTSPOM-2022-0097-O</t>
  </si>
  <si>
    <t>MDT-DPTSPOM-2022-0649-EXTERNO</t>
  </si>
  <si>
    <t>MDT-DPTSPOM-2022-0098-O</t>
  </si>
  <si>
    <t>MDT-DSG-2022-0337-EXTERNO</t>
  </si>
  <si>
    <t xml:space="preserve">ANDREA AGUILAR </t>
  </si>
  <si>
    <t>DELEGACION DE PORTOVELO</t>
  </si>
  <si>
    <t>ANDREA AGUILAR SALAZAR</t>
  </si>
  <si>
    <t>MDT-DPTSPOP-2022-0001-O</t>
  </si>
  <si>
    <t>PORTOVELO</t>
  </si>
  <si>
    <t xml:space="preserve">Oscar Emilio Loor Oporto </t>
  </si>
  <si>
    <t>CORREO ELECTRONICO</t>
  </si>
  <si>
    <t>MDT-DSG-2022-0176-EXTERNO</t>
  </si>
  <si>
    <t>ANDREA AGUILAR</t>
  </si>
  <si>
    <t>MDT-DCI-2022-0126-M</t>
  </si>
  <si>
    <t>MDT-DSG-2022-0289-OFICIO</t>
  </si>
  <si>
    <t xml:space="preserve">Ana Elizabeth Ortega Jaramillo </t>
  </si>
  <si>
    <t>MDT-DPTSPOP-2022-0020-O</t>
  </si>
  <si>
    <t xml:space="preserve">Milton Isauro Carrion Betancourt </t>
  </si>
  <si>
    <t>MDT-DPTSPOP-2022-0007-EXTERNO</t>
  </si>
  <si>
    <t>MDT-DPTSPOP-2022-O007-O</t>
  </si>
  <si>
    <t xml:space="preserve">Nixon Jasmany Enriquez Nabarro </t>
  </si>
  <si>
    <t>MDT-DRTSPL-2022-0806-EXTERNO</t>
  </si>
  <si>
    <t>Mayte Del Cisne Elizalde Vivanco</t>
  </si>
  <si>
    <t>DIRECCION REGIONAL DEL TRABAJO Y SERVICIO PUBLICO DE LOJA</t>
  </si>
  <si>
    <t>MDT-DRTSPL-2022-0527-O</t>
  </si>
  <si>
    <t>Diego Fernando Ojeda Gallardo</t>
  </si>
  <si>
    <t>ojedadiego62@yahoo.com</t>
  </si>
  <si>
    <t>MDT-DRTSPL-2022-0808-EXTERNO</t>
  </si>
  <si>
    <t>MDT-DRTSPL-2022-0547-O</t>
  </si>
  <si>
    <t>Pablo Arturo Velez Burneo</t>
  </si>
  <si>
    <t>pablo_velez_1@hotmail.com</t>
  </si>
  <si>
    <t>MDT-DRTSPL-2022-0818-EXTERNO</t>
  </si>
  <si>
    <t>Andrea Carlina Aguilar</t>
  </si>
  <si>
    <t>DELEGACION PROVINCIAL DEL TRABAJO Y SERVICIO PUBLICO DE PORTOVELO</t>
  </si>
  <si>
    <t>MDT-DPTSPOP-0007-O</t>
  </si>
  <si>
    <t>Orlando Zhovani Pineda Ochoa</t>
  </si>
  <si>
    <t>ortepal.as@gmail.com</t>
  </si>
  <si>
    <t>MDT-DRTSPL-2022-0819-EXTERNO</t>
  </si>
  <si>
    <t>MDT-DRTSPL-2022-0548-O</t>
  </si>
  <si>
    <t>Jorge Luis Escaleras Chocho</t>
  </si>
  <si>
    <t>choclo23je22@hotmail.com</t>
  </si>
  <si>
    <t>MDT-DRTSPL-2022-0820-EXTERNO</t>
  </si>
  <si>
    <t>MDT-DRTSPL-2022-0549-O</t>
  </si>
  <si>
    <t>Jose Luis Rojas Gonzalez</t>
  </si>
  <si>
    <t>jlrojasjudas@gmail.com</t>
  </si>
  <si>
    <t>MDT-DRTSPL-2022-0821-EXTERNO</t>
  </si>
  <si>
    <t>MDT-DRTSPL-2022-0550-O</t>
  </si>
  <si>
    <t>verito85elizalde@gmail.com</t>
  </si>
  <si>
    <t>MDT-DRTSPL-2022-0822-EXTERNO</t>
  </si>
  <si>
    <t>MDT-DRTSPL-2022-0551-O</t>
  </si>
  <si>
    <t>Edgar Jarinton Neira Carrion</t>
  </si>
  <si>
    <t>malejandracueva@gmail.com</t>
  </si>
  <si>
    <t>MDT-DRTSPL-2022-0825-EXTERNO</t>
  </si>
  <si>
    <t>MDT-DRTSPL-2022-0552-O</t>
  </si>
  <si>
    <t>Mirian del Rocio Burneo Sanchez</t>
  </si>
  <si>
    <t>mriansol@gmail.com</t>
  </si>
  <si>
    <t>MDT-DRTSPL-2022-0828-EXTERNO</t>
  </si>
  <si>
    <t>MDT-DRTSPL-2022-0553-O</t>
  </si>
  <si>
    <t>Angel Vicente Ganazhapa Ordoñez</t>
  </si>
  <si>
    <t>angelcsocial@gmail.com</t>
  </si>
  <si>
    <t>MDT-DRTSPL-2022-0829-EXTERNO</t>
  </si>
  <si>
    <t>Luis Alfredo Figueroa Simancas</t>
  </si>
  <si>
    <t>alpf31084@hotmail.com</t>
  </si>
  <si>
    <t>MDT-DRTSPL-2022-0834-EXTERNO</t>
  </si>
  <si>
    <t>MDT-DRTSPL-2022-0631-O</t>
  </si>
  <si>
    <t>Roger Xavier Elizalde Cabrera</t>
  </si>
  <si>
    <t>rogerelizalde@hotmail.com</t>
  </si>
  <si>
    <t>MDT-DRTSPL-2022-0837-EXTERNO</t>
  </si>
  <si>
    <t>MDT-DRTSPL-2022-0555-O</t>
  </si>
  <si>
    <t>Estrellita Natali Huachillo Bermeo</t>
  </si>
  <si>
    <t>medinajonathan544@gmail.com</t>
  </si>
  <si>
    <t>MDT-DRTSPL-2022-0839-EXTERNO</t>
  </si>
  <si>
    <t>MDT-DRTSPL-2022-0843-EXTERNO</t>
  </si>
  <si>
    <t>MDT-DRTSPL-2022-0560-O</t>
  </si>
  <si>
    <t>Sandra Jenny Vidal Rodriguez</t>
  </si>
  <si>
    <t>robertojimenez3@hotmail.es</t>
  </si>
  <si>
    <t>MDT-DRTSPL-2022-0846-EXTERNO</t>
  </si>
  <si>
    <t>MDT-DRTSPL-2022-0561-O</t>
  </si>
  <si>
    <t>panchocando15@hotmail.com</t>
  </si>
  <si>
    <t>MDT-DRTSPL-2022-0847-EXTERNO</t>
  </si>
  <si>
    <t>MDT-DRTSPL-2022-0562-O</t>
  </si>
  <si>
    <t>patriciovaldiviesoespinosa@hotmail.com</t>
  </si>
  <si>
    <t>MDT-DRTSPL-2022-0848-EXTERNO</t>
  </si>
  <si>
    <t>MDT-DRTSPL-2022-0563-O</t>
  </si>
  <si>
    <t>MDT-DRTSPL-2022-0850-EXTERNO</t>
  </si>
  <si>
    <t>MDT-DRTSPL-2022-0564-O</t>
  </si>
  <si>
    <t>MDT-DRTSPL-2022-0852-EXTERNO</t>
  </si>
  <si>
    <t>MDT-DRTSPL-2022-0565-O</t>
  </si>
  <si>
    <t>Monica Angelica Armijos Maldonado</t>
  </si>
  <si>
    <t>lexconsultestudiojuridico@yahoo.com</t>
  </si>
  <si>
    <t>MDT-DRTSPL-2022-0853-EXTERNO</t>
  </si>
  <si>
    <t>MDT-DRTSPL-2022-0566-O</t>
  </si>
  <si>
    <t>Edgar Cristóbal Flores Criollo</t>
  </si>
  <si>
    <t>vfpena77@hotmail.com</t>
  </si>
  <si>
    <t>MDT-DRTSPL-2022-0854-EXTERNO</t>
  </si>
  <si>
    <t>MDT-DRTSPL-2022-0567-O</t>
  </si>
  <si>
    <t>MDT-DRTSPL-2022-0855-EXTERNO</t>
  </si>
  <si>
    <t>MDT-DRTSPL-2022-0568-O</t>
  </si>
  <si>
    <t>MDT-DRTSPL-2022-0856-EXTERNO</t>
  </si>
  <si>
    <t>MDT-DRTSPL-2022-0569-O</t>
  </si>
  <si>
    <t>MDT-DRTSPL-2022-0857-EXTERNO</t>
  </si>
  <si>
    <t>MDT-DRTSPL-2022-0570-O</t>
  </si>
  <si>
    <t>MDT-DRTSPL-2022-0858-EXTERNO</t>
  </si>
  <si>
    <t>MDT-DRTSPL-2022-0571-O</t>
  </si>
  <si>
    <t>MDT-DRTSPL-2022-0861-EXTERNO</t>
  </si>
  <si>
    <t>MDT-DRTSPL-2022-0572-O</t>
  </si>
  <si>
    <t>sucaespinosavalarezo@hotmail.com</t>
  </si>
  <si>
    <t>MDT-DRTSPL-2022-0863-EXTERNO</t>
  </si>
  <si>
    <t>MDT-DRTSPL-2022-0573-O</t>
  </si>
  <si>
    <t>marielizal@hotmail.com</t>
  </si>
  <si>
    <t>MDT-DRTSPL-2022-0864-EXTERNO</t>
  </si>
  <si>
    <t>Andres Paul Flores Yazbek</t>
  </si>
  <si>
    <t>MDT-DRTSPL-2022-0865-EXTERNO</t>
  </si>
  <si>
    <t>DIRECCION DE SERCRETARIA GENERAL</t>
  </si>
  <si>
    <t>MDT-DPAGTH-2022-0047 / MDT-DSG-2022-0323-OFICIO</t>
  </si>
  <si>
    <t>Víctor Hugo Ortega Silva</t>
  </si>
  <si>
    <t>vctorh@yahoo.com</t>
  </si>
  <si>
    <t>MDT-DRTSPL-2022-0866-EXTERNO</t>
  </si>
  <si>
    <t>MDT-DRTSPL-2022-0584-O</t>
  </si>
  <si>
    <t>Crosbyn Saúl Valarezo Tandazo</t>
  </si>
  <si>
    <t>ventanilla virtual</t>
  </si>
  <si>
    <t>MDT-DRTSPL-2022-0870-EXTERNO</t>
  </si>
  <si>
    <t>MDT-DRTSPL-2022-0575-O</t>
  </si>
  <si>
    <t>Beatriz Marilu Carrion Encarnacion</t>
  </si>
  <si>
    <t>eilsonmocha@gmail.com</t>
  </si>
  <si>
    <t>MDT-DRTSPL-2022-0871-EXTERNO</t>
  </si>
  <si>
    <t>MDT-DRTSPL-2022-0576-O</t>
  </si>
  <si>
    <t>John Fabricio Tenicela Gonzalez</t>
  </si>
  <si>
    <t>nhoj_estopaa05@outlook.com</t>
  </si>
  <si>
    <t>MDT-DRTSPL-2022-0872-EXTERNO</t>
  </si>
  <si>
    <t>MDT-DRTSPL-2022-0577-O</t>
  </si>
  <si>
    <t>Francisco Teodoro Novoa Vinces</t>
  </si>
  <si>
    <t>franksnovas1960@hotmail.com</t>
  </si>
  <si>
    <t>MDT-DRTSPL-2022-0873-EXTERNO</t>
  </si>
  <si>
    <t>MDT-DRTSPL-2022-0596-O</t>
  </si>
  <si>
    <t>Carlos Enrique Bustamante Jaramillo</t>
  </si>
  <si>
    <t>caenbu@hotmail.com</t>
  </si>
  <si>
    <t>MDT-DRTSPL-2022-0879-EXTERNO</t>
  </si>
  <si>
    <t>MDT-DRTSPL-2022-0921-O</t>
  </si>
  <si>
    <t>fannybenitez76@yahoo.es</t>
  </si>
  <si>
    <t>MDT-DRTSPL-2022-0883-EXTERNO</t>
  </si>
  <si>
    <t>MDT-DRTSPL-2022-0585-O</t>
  </si>
  <si>
    <t>Maria Fernanda Peña Vivanco</t>
  </si>
  <si>
    <t>mafer-pv@outlook.com</t>
  </si>
  <si>
    <t>MDT-DRTSPL-2022-0884-EXTERNO</t>
  </si>
  <si>
    <t>MDT-DRTSPL-2022-0588-O</t>
  </si>
  <si>
    <t>cajamarcamaria191@gmail.com</t>
  </si>
  <si>
    <t>MDT-DRTSPL-2022-0887-EXTERNO</t>
  </si>
  <si>
    <t>MDT-DRTSPL-2022-0589-O</t>
  </si>
  <si>
    <t>Lorgia Brenilde Díaz Condoy</t>
  </si>
  <si>
    <t>lbdiazcondoy@hotmail.es</t>
  </si>
  <si>
    <t>MDT-DRTSPL-2022-0888-EXTERNO</t>
  </si>
  <si>
    <t>Diana Karolina Pazmiño Tapia</t>
  </si>
  <si>
    <t>DIRECCIÓN DE RECURSOS Y SUMARIOS ADMINISTRATIVOS</t>
  </si>
  <si>
    <t>Ronald Vicente Rodríguez Pérez</t>
  </si>
  <si>
    <t>MDT-DRTSPL-2022-0889-EXTERNO</t>
  </si>
  <si>
    <t>MDT-DRTSPL-2022-0590-O</t>
  </si>
  <si>
    <t>Narcisa del Cisne Jimenez Criollo</t>
  </si>
  <si>
    <t>consorcioarmijos@hotmail.com</t>
  </si>
  <si>
    <t>MDT-DRTSPL-2022-0890-EXTERNO</t>
  </si>
  <si>
    <t>MDT-DRTSPL-2022-0591-O</t>
  </si>
  <si>
    <t>abogadoandressalinas@gmail.com</t>
  </si>
  <si>
    <t>MDT-DRTSPL-2022-0892-EXTERNO</t>
  </si>
  <si>
    <t>MDT-DRTSPL-2022-0601-O</t>
  </si>
  <si>
    <t>MDT-DRTSPL-2022-0897-EXTERNO</t>
  </si>
  <si>
    <t>MDT-DRTSPL-2022-0592-O</t>
  </si>
  <si>
    <t>Pablo Andres Simancas Pineda</t>
  </si>
  <si>
    <t>myrstef3@gmail.com</t>
  </si>
  <si>
    <t>MDT-DRTSPL-2022-0901-EXTERNO</t>
  </si>
  <si>
    <t>MDT-DRTSPL-2022-0605-O</t>
  </si>
  <si>
    <t>tannya.jaramillo@funcionjudicial.gob.ec</t>
  </si>
  <si>
    <t>MDT-DRTSPL-2022-0902-EXTERNO</t>
  </si>
  <si>
    <t>MDT-DRTSPL-2022-0606-O</t>
  </si>
  <si>
    <t>MDT-DRTSPL-2022-0903-EXTERNO</t>
  </si>
  <si>
    <t>MDT-DRTSPL-2022-0607-O</t>
  </si>
  <si>
    <t>MDT-DRTSPL-2022-0904-EXTERNO</t>
  </si>
  <si>
    <t>MDT-DRTSPL-2022-0593-O</t>
  </si>
  <si>
    <t>Juan Andres Zapata Cuenca</t>
  </si>
  <si>
    <t>MDT-DRTSPL-2022-0905-EXTERNO</t>
  </si>
  <si>
    <t>MDT-DRTSPL-2022-0608-O</t>
  </si>
  <si>
    <t>MDT-DRTSPL-2022-0906-EXTERNO</t>
  </si>
  <si>
    <t>MDT-DRTSPL-2022-0609-O</t>
  </si>
  <si>
    <t>MDT-DRTSPL-2022-0907-EXTERNO</t>
  </si>
  <si>
    <t>MDT-DRTSPL-2022-0610-O</t>
  </si>
  <si>
    <t>MDT-DRTSPL-2022-0908-EXTERNO</t>
  </si>
  <si>
    <t>MDT-DRTSPL-2022-0594-O</t>
  </si>
  <si>
    <t>loremoreno023@gmail.com</t>
  </si>
  <si>
    <t>MDT-DRTSPL-2022-0912-EXTERNO</t>
  </si>
  <si>
    <t>MDT-DRTSPL-2022-0595-O</t>
  </si>
  <si>
    <t>d_paladines@yahoo.es</t>
  </si>
  <si>
    <t>MDT-DRTSPL-2022-0914-EXTERNO</t>
  </si>
  <si>
    <t>MDT-DRTSPL-2022-0600-O</t>
  </si>
  <si>
    <t>MDT-DRTSPL-2022-0915-EXTERNO</t>
  </si>
  <si>
    <t>MDT-DRTSPL-2022-0611-O</t>
  </si>
  <si>
    <t>MDT-DRTSPL-2022-0919-EXTERNO</t>
  </si>
  <si>
    <t>MDT-DRTSPL-2022-0689-O</t>
  </si>
  <si>
    <t>Ana Lucia Davila Davila</t>
  </si>
  <si>
    <t>1606mika@gmail.com</t>
  </si>
  <si>
    <t>MDT-DRTSPL-2022-0921-EXTERNO</t>
  </si>
  <si>
    <t>MDT-DRTSPL-2022-0612-O</t>
  </si>
  <si>
    <t>MDT-DRTSPL-2022-0922-EXTERNO</t>
  </si>
  <si>
    <t>MDT-DRTSPL-2022-0613-O</t>
  </si>
  <si>
    <t>MDT-DRTSPL-2022-0923-EXTERNO</t>
  </si>
  <si>
    <t>MDT-DRTSPL-2022-0614-O</t>
  </si>
  <si>
    <t>MDT-DRTSPL-2022-0924-EXTERNO</t>
  </si>
  <si>
    <t>MDT-DRTSPL-2022-0615-O</t>
  </si>
  <si>
    <t>MDT-DRTSPL-2022-0925-EXTERNO</t>
  </si>
  <si>
    <t>MDT-DRTSPL-2022-0616-O</t>
  </si>
  <si>
    <t>MDT-DRTSPL-2022-0926-EXTERNO</t>
  </si>
  <si>
    <t>MDT-DRTSPL-2022-0617-O</t>
  </si>
  <si>
    <t>MDT-DRTSPL-2022-0932-EXTERNO</t>
  </si>
  <si>
    <t>MDT-DRTSPL-2022-0618-O</t>
  </si>
  <si>
    <t>Sergio Jonathan Riofrío Coronel</t>
  </si>
  <si>
    <t>sergor-05@hotmail.com</t>
  </si>
  <si>
    <t>MDT-DRTSPL-2022-0934-EXTERNO</t>
  </si>
  <si>
    <t>MDT-DRTSPL-2022-0619-O</t>
  </si>
  <si>
    <t>Ismael Segundo González Martínez</t>
  </si>
  <si>
    <t>juridico450@hotmail.com</t>
  </si>
  <si>
    <t>MDT-DRTSPL-2022-0935-EXTERNO</t>
  </si>
  <si>
    <t>MDT-DRTSPL-2022-0621-O</t>
  </si>
  <si>
    <t>Santiago Michael Loaiza Ochoa</t>
  </si>
  <si>
    <t>luisfercarpio_84@hotmail.com</t>
  </si>
  <si>
    <t>MDT-DRTSPL-2022-0936-EXTERNO</t>
  </si>
  <si>
    <t>MDT-DRTSPL-2022-0622-O</t>
  </si>
  <si>
    <t>Martha Cecilia Ramon Salinas</t>
  </si>
  <si>
    <t>disdisi9@gmail.com</t>
  </si>
  <si>
    <t>MDT-DRTSPL-2022-0937-EXTERNO</t>
  </si>
  <si>
    <t>MDT-DRTSPL-2022-0623-O</t>
  </si>
  <si>
    <t>Angel Leonardo Eras Lucero</t>
  </si>
  <si>
    <t>ramiroci@yahoo.com</t>
  </si>
  <si>
    <t>MDT-DRTSPL-2022-0938-EXTERNO</t>
  </si>
  <si>
    <t>MDT-DRTSPL-2022-0624-O</t>
  </si>
  <si>
    <t>Miguel Agustin Arevalo Franco</t>
  </si>
  <si>
    <t>miguicho91@outlook.com</t>
  </si>
  <si>
    <t>MDT-DRTSPL-2022-0939-EXTERNO</t>
  </si>
  <si>
    <t>MDT-DRTSPL-2022-0625-O</t>
  </si>
  <si>
    <t>MDT-DRTSPL-2022-0941-EXTERNO</t>
  </si>
  <si>
    <t>MDT-DRTSPL-2022-0626-O</t>
  </si>
  <si>
    <t>Nancy Beatriz Caraguay Guaillas</t>
  </si>
  <si>
    <t>nanchy.caraguay@hotmail.com</t>
  </si>
  <si>
    <t>MDT-DRTSPL-2022-0950-EXTERNO</t>
  </si>
  <si>
    <t>MDT-DRTSPL-2022-0627-O</t>
  </si>
  <si>
    <t>Blanca Mendoza Guzmán</t>
  </si>
  <si>
    <t>MDT-DRTSPL-2022-0959-EXTERNO</t>
  </si>
  <si>
    <t>MDT-DRTSPL-2022-0640-O</t>
  </si>
  <si>
    <t>Hartman Stalin Ramon Paltin</t>
  </si>
  <si>
    <t>N/A</t>
  </si>
  <si>
    <t>MDT-DRTSPL-2022-0961-EXTERNO</t>
  </si>
  <si>
    <t>MDT-DRTSPL-2022-0641-O</t>
  </si>
  <si>
    <t>Martha Liliana Gonzalez Gustan</t>
  </si>
  <si>
    <t>MDT-DRTSPL-2022-0964-EXTERNO</t>
  </si>
  <si>
    <t>MDT-DRTSPL-2022-0642-O</t>
  </si>
  <si>
    <t>Sandra Jacqueline Alvarado Orellana</t>
  </si>
  <si>
    <t>yenymariavasquezsoto@yahoo.es</t>
  </si>
  <si>
    <t>MDT-DRTSPL-2022-0969-EXTERNO</t>
  </si>
  <si>
    <t>MDT-DRTSPL-2022-0643-O</t>
  </si>
  <si>
    <t>Juan Pablo Ordoñez Lopez</t>
  </si>
  <si>
    <t>jpordonez04@gmai.com</t>
  </si>
  <si>
    <t>MDT-DRTSPL-2022-0972-EXTERNO</t>
  </si>
  <si>
    <t>MDT-DRTSPL-2022-0644-O</t>
  </si>
  <si>
    <t>Fabricio Alexander Sigcho Fajardo</t>
  </si>
  <si>
    <t>fabricio1979sigcho@gmail.com</t>
  </si>
  <si>
    <t>MDT-DRTSPL-2022-0974-EXTERNO</t>
  </si>
  <si>
    <t>MDT-DRTSPL-2022-0647-O</t>
  </si>
  <si>
    <t>Byron Eduardo Alvarado Saca</t>
  </si>
  <si>
    <t>alvaradot960@gmail.com</t>
  </si>
  <si>
    <t>MDT-DRTSPL-2022-0976-EXTERNO</t>
  </si>
  <si>
    <t>MDT-DRTSPL-2022-0648-O</t>
  </si>
  <si>
    <t>axlvala@hotmail.com</t>
  </si>
  <si>
    <t>MDT-DRTSPL-2022-0977-EXTERNO</t>
  </si>
  <si>
    <t>MDT-DRTSPL-2022-0646-O</t>
  </si>
  <si>
    <t>Carlos Arturo Rosillo Jimenez</t>
  </si>
  <si>
    <t>carlos.rosillo@unl.edu.ec</t>
  </si>
  <si>
    <t>MDT-DRTSPL-2022-0978-EXTERNO</t>
  </si>
  <si>
    <t>MDT-DRTSPL-2022-0649-O</t>
  </si>
  <si>
    <t>Saira Alexandra Poma Vargas</t>
  </si>
  <si>
    <t>pomavargassairaalexandra15@gmail.com</t>
  </si>
  <si>
    <t>MDT-DRTSPL-2022-0981-EXTERNO</t>
  </si>
  <si>
    <t>MDT-DRTSPL-2022-0650-O</t>
  </si>
  <si>
    <t>Galo Valdez Ochoa</t>
  </si>
  <si>
    <t>juridico.bladimirarmijos@gmail.com</t>
  </si>
  <si>
    <t>MDT-DRTSPL-2022-0985-EXTERNO</t>
  </si>
  <si>
    <t>MDT-DRTSPL-2022-0651-O</t>
  </si>
  <si>
    <t>Marbelia Itamar Benitez Ortega</t>
  </si>
  <si>
    <t>marbeniort0506@gmail.com</t>
  </si>
  <si>
    <t>MDT-DRTSPL-2022-0991-EXTERNO</t>
  </si>
  <si>
    <t>MDT-DRTSPL-2022-0656-O</t>
  </si>
  <si>
    <t>Jomenes Eduardo Tinitana Sarango</t>
  </si>
  <si>
    <t>claudiasarango7@gmail.com</t>
  </si>
  <si>
    <t>MDT-DPTSPOM-2022-0697-EXTERNO</t>
  </si>
  <si>
    <t>MDT-DRTSPL-2022-0664-O</t>
  </si>
  <si>
    <t>Alexandra Raquel Abarca Aldeán</t>
  </si>
  <si>
    <t>maverlegal@gmail.com</t>
  </si>
  <si>
    <t>MDT-DRTSPL-2022-1007-EXTERNO</t>
  </si>
  <si>
    <t>MDT-DRTSPL-2022-1097-O</t>
  </si>
  <si>
    <t>Leydy Jessyca Zhunaula Bravo</t>
  </si>
  <si>
    <t>zhulady12@gmail.com</t>
  </si>
  <si>
    <t>MDT-DRTSPL-2022-1008-EXTERNO</t>
  </si>
  <si>
    <t>MDT-DRTSPL-2022-0657-O</t>
  </si>
  <si>
    <t>Cosme Nahun Caraguay Loarte</t>
  </si>
  <si>
    <t>caraguaycosme229@gmail.com</t>
  </si>
  <si>
    <t>MDT-DRTSPL-2022-1009-EXTERNO</t>
  </si>
  <si>
    <t>MDT-DRTSPL-2022-0667-O</t>
  </si>
  <si>
    <t>Ofelia Beatriz Garcia Alejandro</t>
  </si>
  <si>
    <t>piotanegra_89@hotmail.com</t>
  </si>
  <si>
    <t>MDT-DRTSPL-2022-1010-EXTERNO</t>
  </si>
  <si>
    <t>MDT-DRTSPL-2022-0658-O</t>
  </si>
  <si>
    <t>borisrafael68@gmail.com</t>
  </si>
  <si>
    <t>MDT-DRTSPL-2022-1012-EXTERNO</t>
  </si>
  <si>
    <t>MDT-DRTSPL-2022-0850-O</t>
  </si>
  <si>
    <t>Juan Vicente Acaro Castillo</t>
  </si>
  <si>
    <t>MDT-DRTSPL-2022-1015-EXTERNO</t>
  </si>
  <si>
    <t>MDT-DRTSPL-2022-0820-O</t>
  </si>
  <si>
    <t>Bilma Paquita Valarezo Pereira</t>
  </si>
  <si>
    <t>marijo_1992mj@hotmail.com</t>
  </si>
  <si>
    <t>MDT-DRTSPL-2022-1018-EXTERNO</t>
  </si>
  <si>
    <t>MDT-DRTSPL-2022-0659-O</t>
  </si>
  <si>
    <t>ventanillaloja@fiscalia.gob.ec</t>
  </si>
  <si>
    <t>MDT-DRTSPL-2022-1019-EXTERNO</t>
  </si>
  <si>
    <t>MDT-DRTSPL-2022-0666-O</t>
  </si>
  <si>
    <t>herrerac@fiscalia.gob.ec</t>
  </si>
  <si>
    <t>MDT-DRTSPL-2022-1020-EXTERNO</t>
  </si>
  <si>
    <t>MDT-DRTSPL-2022-0669-O</t>
  </si>
  <si>
    <t>MDT-DRTSPL-2022-1023-EXTERNO</t>
  </si>
  <si>
    <t>MDT-DRTSPL-2022-0668-O</t>
  </si>
  <si>
    <t>Nestor Mario Pilco Arevalo</t>
  </si>
  <si>
    <t>mariopilco50@gmail.com</t>
  </si>
  <si>
    <t>MDT-DRTSPL-2022-1026-EXTERNO</t>
  </si>
  <si>
    <t>MDT-DRTSPL-2022-0660-O</t>
  </si>
  <si>
    <t>guias_rapifas_1000006299</t>
  </si>
  <si>
    <t>MDT-DRTSPL-2022-1028-EXTERNO</t>
  </si>
  <si>
    <t>MDT-DRTSPL-2022-0673-O</t>
  </si>
  <si>
    <t>Luz America Agila</t>
  </si>
  <si>
    <t>denisseverino1987@hotmail.com</t>
  </si>
  <si>
    <t>MDT-DRTSPL-2022-1037-EXTERNO</t>
  </si>
  <si>
    <t>MDT-DRTSPL-2022-0674-O</t>
  </si>
  <si>
    <t>Maria Fernanda Romero Reyes</t>
  </si>
  <si>
    <t>consultoriojuridico-ng13@hotmail.com</t>
  </si>
  <si>
    <t>MDT-DRTSPL-2022-1048-EXTERNO</t>
  </si>
  <si>
    <t>MDT-DRTSPL-2022-0675-O</t>
  </si>
  <si>
    <t>Gonzalo Segundo Ordoñez Lopez</t>
  </si>
  <si>
    <t>gsordonez14@gmail.com</t>
  </si>
  <si>
    <t>MDT-DRTSPL-2022-1049-EXTERNO</t>
  </si>
  <si>
    <t>MDT-DRTSPL-2022-0676-O</t>
  </si>
  <si>
    <t>Claudia Alexandra Ordoñez Lopez</t>
  </si>
  <si>
    <t>alexahp@hotmail.com</t>
  </si>
  <si>
    <t>MDT-DRTSPL-2022-1052-EXTERNO</t>
  </si>
  <si>
    <t>MDT-DRTSPL-2022-0697-O</t>
  </si>
  <si>
    <t>diegorivas1985@yahoo.es</t>
  </si>
  <si>
    <t>MDT-DRTSPL-2022-1054-EXTERNO</t>
  </si>
  <si>
    <t>MDT-DRTSPL-2022-0698-O</t>
  </si>
  <si>
    <t>eselisanchez@gmail.com</t>
  </si>
  <si>
    <t>MDT-DRTSPL-2022-1058-EXTERNO</t>
  </si>
  <si>
    <t>MDT-DRTSPL-2022-0699-O</t>
  </si>
  <si>
    <t>michaeltoscano69@gmail.com</t>
  </si>
  <si>
    <t>MDT-DRTSPL-2022-1059-EXTERNO</t>
  </si>
  <si>
    <t>MDT-DRTSPL-2022-0700-O</t>
  </si>
  <si>
    <t>Carlos Alberto Ordoñez Lopez</t>
  </si>
  <si>
    <t>caordonezl1990@gmail.com</t>
  </si>
  <si>
    <t>MDT-DRTSPL-2022-1067-EXTERNO</t>
  </si>
  <si>
    <t>Yajaira Piedad Landacay Moreno</t>
  </si>
  <si>
    <t>Sandy Wilfor Cevallos Ruiz</t>
  </si>
  <si>
    <t>MDT-DRTSPL-2022-1068-EXTERNO</t>
  </si>
  <si>
    <t>MDT-DRTSPL-2022-0701-O</t>
  </si>
  <si>
    <t>adrisvalladaresf@gmail.com</t>
  </si>
  <si>
    <t>MDT-DRTSPL-2022-1069-EXTERNO</t>
  </si>
  <si>
    <t>MDT-DRTSPL-2022-0703-O</t>
  </si>
  <si>
    <t>luismogrovejo22@gmail.com</t>
  </si>
  <si>
    <t>MDT-DRTSPL-2022-1071-EXTERNO</t>
  </si>
  <si>
    <t>MDT-DRTSPL-2022-0704-O</t>
  </si>
  <si>
    <t>Galo Wladimir Ortega Criollo</t>
  </si>
  <si>
    <t>galoortega33@hotmail.com</t>
  </si>
  <si>
    <t>MDT-DRTSPL-2022-1073-EXTERNO</t>
  </si>
  <si>
    <t>MDT-DRTSPL-2022-0681-O</t>
  </si>
  <si>
    <t>Galo Hernan Quinche Paredes</t>
  </si>
  <si>
    <t>galoquinche1980z@gmail.com</t>
  </si>
  <si>
    <t>MDT-DRTSPL-2022-1088-EXTERNO</t>
  </si>
  <si>
    <t>MDT-DRTSPL-2022-0721-O</t>
  </si>
  <si>
    <t>Cristian Leonardo Cuenca Aranda</t>
  </si>
  <si>
    <t>MDT-DRTSPL-2022-1095-EXTERNO</t>
  </si>
  <si>
    <t>MDT-DRTSPL-2022-0725-O</t>
  </si>
  <si>
    <t>Amado Patricio Bravo Valarezo</t>
  </si>
  <si>
    <t>juanitosarango573@gmail.com</t>
  </si>
  <si>
    <t>MDT-DRTSPL-2022-1097-EXTERNO</t>
  </si>
  <si>
    <t>MDT-DRTSPL-2022-0728-O</t>
  </si>
  <si>
    <t>mglnrqlunabravo701@gmail.com</t>
  </si>
  <si>
    <t>MDT-DRTSPL-2022-1099-EXTERNO</t>
  </si>
  <si>
    <t>MDT-DRTSPL-2022-0729-O</t>
  </si>
  <si>
    <t>Gabriela Quizhpe Herrera</t>
  </si>
  <si>
    <t>gaby_q190@hotmail.com</t>
  </si>
  <si>
    <t>MDT-DRTSPL-2022-1100-EXTERNO</t>
  </si>
  <si>
    <t>MDT-DRTSPL-2022-0730-O</t>
  </si>
  <si>
    <t>MDT-DRTSPL-2022-1103-EXTERNO</t>
  </si>
  <si>
    <t>MDT-DRTSPL-2022-0731-O</t>
  </si>
  <si>
    <t>Eduardo Michael Jaramillo Panamito</t>
  </si>
  <si>
    <t>michujaramillo@gmail.com</t>
  </si>
  <si>
    <t>MDT-DRTSPL-2022-1108-EXTERNO</t>
  </si>
  <si>
    <t>MDT-DRTSPL-2022-0732-O</t>
  </si>
  <si>
    <t>MDT-DRTSPL-2022-1109-EXTERNO</t>
  </si>
  <si>
    <t>MDT-DRTSPL-2022-0735-O</t>
  </si>
  <si>
    <t>Katherine Elizabeth Benitez Herrera</t>
  </si>
  <si>
    <t>benitezkatty250@gmail.com</t>
  </si>
  <si>
    <t>MDT-DRTSPL-2022-1111-EXTERNO</t>
  </si>
  <si>
    <t>MDT-DRTSPL-2022-0733-O</t>
  </si>
  <si>
    <t>legaltorresguerrero653@gmail.com</t>
  </si>
  <si>
    <t>MDT-DRTSPL-2022-1112-EXTERNO</t>
  </si>
  <si>
    <t>MDT-DRTSPL-2022-0734-O</t>
  </si>
  <si>
    <t>lusyta_13@hotmail.com</t>
  </si>
  <si>
    <t>MDT-DRTSPL-2022-1113-EXTERNO</t>
  </si>
  <si>
    <t>MDT-DRTSPL-2022-0748-O</t>
  </si>
  <si>
    <t>elizabethguaman@hotmail.es</t>
  </si>
  <si>
    <t>MDT-DRTSPL-2022-1114-EXTERNO</t>
  </si>
  <si>
    <t>MDT-DRTSPL-2022-0736-O</t>
  </si>
  <si>
    <t>MDT-DRTSPL-2022-1121-EXTERNO</t>
  </si>
  <si>
    <t>MDT-DRTSPL-2022-0737-O</t>
  </si>
  <si>
    <t>japongloria90@gmail.com</t>
  </si>
  <si>
    <t>MDT-DRTSPL-2022-1133-EXTERNO</t>
  </si>
  <si>
    <t>MDT-DRTSPL-2022-0814-O</t>
  </si>
  <si>
    <t>MDT-DRTSPL-2022-1138-EXTERNO</t>
  </si>
  <si>
    <t>Derly Stefania Morales Arechua</t>
  </si>
  <si>
    <t>DIRECCION REGIONAL DEL TRABAJO Y SERVICIO PUBLICO DE GUAYAQUIL</t>
  </si>
  <si>
    <t>MDT-DRTSPG-2022-1430-O</t>
  </si>
  <si>
    <t>Hugo Vicente Espinoza Erreiz</t>
  </si>
  <si>
    <t>hugovicente@yahoo.es</t>
  </si>
  <si>
    <t>MDT-DRTSPL-2022-1148-EXTERNO</t>
  </si>
  <si>
    <t>MDT-DRTSPL-2022-0741-O</t>
  </si>
  <si>
    <t>Cesar Augusto Espinosa Quezada</t>
  </si>
  <si>
    <t>miltoncarrion75@gmail.com</t>
  </si>
  <si>
    <t>MDT-DRTSPL-2022-1154-EXTERNO</t>
  </si>
  <si>
    <t>MDT-DRTSPL-2022-0745-O</t>
  </si>
  <si>
    <t>MDT-DRTSPL-2022-1156-EXTERNO</t>
  </si>
  <si>
    <t>MDT-DRTSPL-2022-0746-O</t>
  </si>
  <si>
    <t>Angel Alfredo Armijos Armijos</t>
  </si>
  <si>
    <t>angelarmijos09@hotmail.com</t>
  </si>
  <si>
    <t>MDT-DRTSPL-2022-1165-EXTERNO</t>
  </si>
  <si>
    <t>MDT-DRTSPL-2022-0749-O</t>
  </si>
  <si>
    <t>bettygeova@hotmail.com</t>
  </si>
  <si>
    <t>MDT-DRTSPL-2022-1175-EXTERNO</t>
  </si>
  <si>
    <t>MDT-DRTSPL-2022-0750-O</t>
  </si>
  <si>
    <t>luisangel-69-6@hotmail.com</t>
  </si>
  <si>
    <t>MDT-DRTSPL-2022-1178-EXTERNO</t>
  </si>
  <si>
    <t>MDT-DRTSPL-2022-0747-O</t>
  </si>
  <si>
    <t>MDT-DRTSPL-2022-1179-EXTERNO</t>
  </si>
  <si>
    <t>MDT-DRTSPL-2022-0751-O</t>
  </si>
  <si>
    <t>MDT-DRTSPL-2022-1180-EXTERNO</t>
  </si>
  <si>
    <t>MDT-DRTSPL-2022-0762-O</t>
  </si>
  <si>
    <t>MDT-DRTSPL-2022-1181-EXTERNO</t>
  </si>
  <si>
    <t>MDT-DRTSPL-2022-0766-O</t>
  </si>
  <si>
    <t>MDT-DRTSPL-2022-1182-EXTERNO</t>
  </si>
  <si>
    <t>MDT-DRTSPL-2022-0767-O</t>
  </si>
  <si>
    <t>MDT-DRTSPL-2022-1183-EXTERNO</t>
  </si>
  <si>
    <t>MDT-DRTSPL-2022-0768-O</t>
  </si>
  <si>
    <t>MDT-DRTSPL-2022-1184-EXTERNO</t>
  </si>
  <si>
    <t>MDT-DRTSPL-2022-0769-O</t>
  </si>
  <si>
    <t>MDT-DRTSPL-2022-1185-EXTERNO</t>
  </si>
  <si>
    <t>MDT-DRTSPL-2022-0770-O</t>
  </si>
  <si>
    <t>edgarflores68@yahoo.es</t>
  </si>
  <si>
    <t>MDT-DRTSPL-2022-1188-EXTERNO</t>
  </si>
  <si>
    <t>MDT-DRTSPL-2022-0771-O</t>
  </si>
  <si>
    <t>Edison Renan Gonzalez Gonzalez</t>
  </si>
  <si>
    <t>avendanoabogadosasesores@gmail.com</t>
  </si>
  <si>
    <t>MDT-DRTSPL-2022-1189-EXTERNO</t>
  </si>
  <si>
    <t>MDT-DRTSPL-2022-0727-O</t>
  </si>
  <si>
    <t>MDT-DRTSPL-2022-1190-EXTERNO</t>
  </si>
  <si>
    <t>MDT-DRTSPL-2022-0775-O</t>
  </si>
  <si>
    <t>MDT-DRTSPL-2022-1192-EXTERNO</t>
  </si>
  <si>
    <t>MDT-DRTSPL-2022-0726-O</t>
  </si>
  <si>
    <t>MDT-DRTSPL-2022-1196-EXTERNO</t>
  </si>
  <si>
    <t>MDT-DRTSPL-2022-0776-O</t>
  </si>
  <si>
    <t>MDT-DRTSPL-2022-1197-EXTERNO</t>
  </si>
  <si>
    <t>MDT-DRTSPL-2022-0871-O</t>
  </si>
  <si>
    <t>Victor Emilio Castillo Vasquez</t>
  </si>
  <si>
    <t>vicemilcasvas@gmail.com</t>
  </si>
  <si>
    <t>MDT-DRTSPL-2022-1198-EXTERNO</t>
  </si>
  <si>
    <t>MDT-DRTSPL-2022-0777-O</t>
  </si>
  <si>
    <t>MDT-DRTSPL-2022-1202-EXTERNO</t>
  </si>
  <si>
    <t>MDT-DRTSPL-2022-0778-O</t>
  </si>
  <si>
    <t>Edwin Faustino Armijos Montoya</t>
  </si>
  <si>
    <t>atapiaquezada@gmail.com</t>
  </si>
  <si>
    <t>MDT-DRTSPL-2022-1203-EXTERNO</t>
  </si>
  <si>
    <t>MDT-DRTSPL-2022-0779-O</t>
  </si>
  <si>
    <t>Lourdes Beatriz Palacios Juarez</t>
  </si>
  <si>
    <t>ayalaivan200@gmail.com</t>
  </si>
  <si>
    <t>MDT-DRTSPL-2022-1206-EXTERNO</t>
  </si>
  <si>
    <t>MDT-DRTSPL-2022-0809-O</t>
  </si>
  <si>
    <t>John Francisco Yangari Narváez</t>
  </si>
  <si>
    <t>hugo_ram30@hotmail.com</t>
  </si>
  <si>
    <t>MDT-DRTSPL-2022-1211-EXTERNO</t>
  </si>
  <si>
    <t>MDT-DRTSPL-2022-0782-O</t>
  </si>
  <si>
    <t>Maritza Elizabeth Pineda Barros</t>
  </si>
  <si>
    <t>maritzapineda0490@gmail.com</t>
  </si>
  <si>
    <t>MDT-DRTSPL-2022-1212-EXTERNO</t>
  </si>
  <si>
    <t>MDT-DRTSPL-2022-0781-O</t>
  </si>
  <si>
    <t>Dayanna Fernanda Pineda Barros</t>
  </si>
  <si>
    <t>pinedadayana986@gmail.com</t>
  </si>
  <si>
    <t>MDT-DRTSPL-2022-1214-EXTERNO</t>
  </si>
  <si>
    <t>MDT-DRTSPL-2022-0784-O</t>
  </si>
  <si>
    <t>karlyta2783@hotmail.com</t>
  </si>
  <si>
    <t>MDT-DRTSPL-2022-1227-EXTERNO</t>
  </si>
  <si>
    <t>MDT-DRTSPL-2022-0785-O</t>
  </si>
  <si>
    <t>Faustino Remigio Valarezo Armijos</t>
  </si>
  <si>
    <t>lupeyra1503@hotmail.com</t>
  </si>
  <si>
    <t>MDT-DRTSPL-2022-1228-EXTERNO</t>
  </si>
  <si>
    <t>MDT-DRTSPL-2022-0786-O</t>
  </si>
  <si>
    <t>MDT-DRTSPL-2022-1229-EXTERNO</t>
  </si>
  <si>
    <t>MDT-DRTSPL-2022-0787-O</t>
  </si>
  <si>
    <t>MDT-DRTSPL-2022-1231-EXTERNO</t>
  </si>
  <si>
    <t>MDT-DRTSPL-2022-0788-O</t>
  </si>
  <si>
    <t>MDT-DRTSPL-2022-1232-EXTERNO</t>
  </si>
  <si>
    <t>MDT-DRTSPL-2022-0789-O</t>
  </si>
  <si>
    <t>MDT-DRTSPL-2022-1233-EXTERNO</t>
  </si>
  <si>
    <t>MDT-DRTSPL-2022-0790-O</t>
  </si>
  <si>
    <t>MDT-DRTSPL-2022-1234-EXTERNO</t>
  </si>
  <si>
    <t>MDT-DRTSPL-2022-0791-O</t>
  </si>
  <si>
    <t>MDT-DRTSPL-2022-1235-EXTERNO</t>
  </si>
  <si>
    <t>MDT-DRTSPL-2022-0792-O</t>
  </si>
  <si>
    <t>MDT-DRTSPL-2022-1237-EXTERNO</t>
  </si>
  <si>
    <t>MDT-DRTSPL-2022-0795-O</t>
  </si>
  <si>
    <t>mallaalvarezmarcovinicio@gmail.com</t>
  </si>
  <si>
    <t>MDT-DRTSPL-2022-1239-EXTERNO</t>
  </si>
  <si>
    <t>MDT-DRTSPL-2022-0812-O</t>
  </si>
  <si>
    <t>Wilson Efren Romero Medina</t>
  </si>
  <si>
    <t>MDT-DRTSPL-2022-1240-EXTERNO</t>
  </si>
  <si>
    <t>Jonathan Gonzalez Calero</t>
  </si>
  <si>
    <t>DIRECCION DE CONTROL E INSPECCIONES</t>
  </si>
  <si>
    <t>MDT-DCI-2022-8576-O</t>
  </si>
  <si>
    <t>Frank Editson Castillo Ramirez</t>
  </si>
  <si>
    <t>cfrankeditson@gmail.com</t>
  </si>
  <si>
    <t>MDT-DRTSPL-2022-1241-EXTERNO</t>
  </si>
  <si>
    <t>MDT-DRTSPL-2022-0742-O</t>
  </si>
  <si>
    <t>María Dolores Salcedo Labanda</t>
  </si>
  <si>
    <t>marilola1989@hotmail.com</t>
  </si>
  <si>
    <t>MDT-DRTSPL-2022-1244-EXTERNO</t>
  </si>
  <si>
    <t>MDT-DRTSPL-2022-0796-O</t>
  </si>
  <si>
    <t>paulca1962@hotmail.com</t>
  </si>
  <si>
    <t>MDT-DRTSPL-2022-1245-EXTERNO</t>
  </si>
  <si>
    <t>MDT-DRTSPL-2022-0797-O</t>
  </si>
  <si>
    <t>MDT-DRTSPL-2022-1246-EXTERNO</t>
  </si>
  <si>
    <t>MDT-DRTSPL-2022-0798-O</t>
  </si>
  <si>
    <t>MDT-DRTSPL-2022-1250-EXTERNO</t>
  </si>
  <si>
    <t>MDT-DRTSPL-2022-0799-O</t>
  </si>
  <si>
    <t>Manuel Agustín Contento Amay</t>
  </si>
  <si>
    <t>manuelcontento1951@gmail.com</t>
  </si>
  <si>
    <t>MDT-DRTSPL-2022-1252-EXTERNO</t>
  </si>
  <si>
    <t>MDT-DRTSPL-2022-0760-O</t>
  </si>
  <si>
    <t xml:space="preserve">  Luis Enrique Torres Ludeña</t>
  </si>
  <si>
    <t>luchitokiketorres@gmail.com</t>
  </si>
  <si>
    <t>MDT-DRTSPL-2022-1253-EXTERNO</t>
  </si>
  <si>
    <t>MDT-DRTSPL-2022-0800-O</t>
  </si>
  <si>
    <t xml:space="preserve">  Talia Margarita Maldonado Castro</t>
  </si>
  <si>
    <t>gear1953@gmail.com</t>
  </si>
  <si>
    <t>MDT-DRTSPL-2022-1254-EXTERNO</t>
  </si>
  <si>
    <t>MDT-DRTSPL-2022-0801-O</t>
  </si>
  <si>
    <t>MDT-DRTSPL-2022-1255-EXTERNO</t>
  </si>
  <si>
    <t>MDT-DRTSPL-2022-0783-O</t>
  </si>
  <si>
    <t>Edgar Rodrigo Chicaiza Rodriguez</t>
  </si>
  <si>
    <t>MDT-DRTSPL-2022-1256-EXTERNO</t>
  </si>
  <si>
    <t>MDT-DRTSPL-2022-0802-O</t>
  </si>
  <si>
    <t>Jose Luis Silverio Palacios</t>
  </si>
  <si>
    <t>abg.salvadormerino@gmail.com</t>
  </si>
  <si>
    <t>MDT-DRTSPL-2022-1258-EXTERNO</t>
  </si>
  <si>
    <t>MDT-DRTSPL-2022-0803-O</t>
  </si>
  <si>
    <t>Jhandry Dickson Quezada Morales</t>
  </si>
  <si>
    <t>jhandrydqm@gmail.com</t>
  </si>
  <si>
    <t>MDT-DRTSPL-2022-1261-EXTERNO</t>
  </si>
  <si>
    <t>MDT-DRTSPL-2022-0804-O</t>
  </si>
  <si>
    <t>MDT-DRTSPL-2022-1263-EXTERNO</t>
  </si>
  <si>
    <t>MDT-DRTSPL-2022-0805-O</t>
  </si>
  <si>
    <t>MDT-DRTSPL-2022-1265-EXTERNO</t>
  </si>
  <si>
    <t>MDT-DRTSPL-2022-0864-O</t>
  </si>
  <si>
    <t>Max Alexander Cordova Cordova</t>
  </si>
  <si>
    <t>cordovaalexander299@gmail.com</t>
  </si>
  <si>
    <t>MDT-DRTSPL-2022-1266-EXTERNO</t>
  </si>
  <si>
    <t>MDT-DRTSPL-2022-0806-O</t>
  </si>
  <si>
    <t>guamanjuan16@gmail.com</t>
  </si>
  <si>
    <t>MDT-DRTSPL-2022-1269-EXTERNO</t>
  </si>
  <si>
    <t>MDT-DRTSPL-2022-0807-O</t>
  </si>
  <si>
    <t>silverado_jose1@hotmail.com</t>
  </si>
  <si>
    <t>MDT-DRTSPL-2022-1278-EXTERNO</t>
  </si>
  <si>
    <t>MDT-DRTSPL-2022-0813-O</t>
  </si>
  <si>
    <t>Óscar Lenin Muñoz Apolo</t>
  </si>
  <si>
    <t>sindicatochof.loja@hotmail.com</t>
  </si>
  <si>
    <t>MDT-DRTSPL-2022-1279-EXTERNO</t>
  </si>
  <si>
    <t>MDT-DRTSPL-2022-0815-O</t>
  </si>
  <si>
    <t>MDT-DRTSPL-2022-1287-EXTERNO</t>
  </si>
  <si>
    <t>MDT-DRTSPL-2022-0818-O</t>
  </si>
  <si>
    <t>Sarita Azucena Ochoa Tamay</t>
  </si>
  <si>
    <t>MDT-DRTSPL-2022-1288-EXTERNO</t>
  </si>
  <si>
    <t>MDT-DRTSPL-2022-0819-O</t>
  </si>
  <si>
    <t>MDT-DRTSPL-2022-1289-EXTERNO</t>
  </si>
  <si>
    <t>Silvia Del Carmen Erazo Guerrero</t>
  </si>
  <si>
    <t>MDT-DSG-2022-0983-MEMORANDO</t>
  </si>
  <si>
    <t>Jose Luis Arevalo Campos</t>
  </si>
  <si>
    <t>MDT-DRTSPL-2022-1293-EXTERNO</t>
  </si>
  <si>
    <t>MDT-DRTSPL-2022-0821-O</t>
  </si>
  <si>
    <t>MDT-DRTSPL-2022-1294-EXTERNO</t>
  </si>
  <si>
    <t>MDT-DRTSPL-2022-0822-O</t>
  </si>
  <si>
    <t>MDT-DRTSPL-2022-1302-EXTERNO</t>
  </si>
  <si>
    <t>MDT-DRTSPL-2022-0823-O</t>
  </si>
  <si>
    <t>robervega2019@gmail.com</t>
  </si>
  <si>
    <t>MDT-DRTSPL-2022-1305-EXTERNO</t>
  </si>
  <si>
    <t>MDT-DRTSPL-2022-0824-O</t>
  </si>
  <si>
    <t>Sandra Marivel Carreño Torres</t>
  </si>
  <si>
    <t>sandra.carreno@unl.edu.ec</t>
  </si>
  <si>
    <t>MDT-DRTSPL-2022-1306-EXTERNO</t>
  </si>
  <si>
    <t>MDT-DRTSPL-2022-0825-O</t>
  </si>
  <si>
    <t>MDT-DRTSPL-2022-1308-EXTERNO</t>
  </si>
  <si>
    <t>MDT-DRTSPL-2022-0826-O</t>
  </si>
  <si>
    <t>MDT-DRTSPL-2022-1309-EXTERNO</t>
  </si>
  <si>
    <t>MDT-DRTSPL-2022-0827-O</t>
  </si>
  <si>
    <t>MDT-DRTSPL-2022-1311-EXTERNO</t>
  </si>
  <si>
    <t>MDT-DRTSPL-2022-0834-O</t>
  </si>
  <si>
    <t>MDT-DRTSPL-2022-1313-EXTERNO</t>
  </si>
  <si>
    <t>MDT-DRTSPL-2022-0835-O</t>
  </si>
  <si>
    <t>MDT-DRTSPL-2022-1314-EXTERNO</t>
  </si>
  <si>
    <t>MDT-DRTSPL-2022-0836-O</t>
  </si>
  <si>
    <t>MDT-DRTSPL-2022-1316-EXTERNO</t>
  </si>
  <si>
    <t>MDT-DRTSPL-2022-0837-O</t>
  </si>
  <si>
    <t>MDT-DRTSPL-2022-1317-EXTERNO</t>
  </si>
  <si>
    <t>MDT-DRTSPL-2022-0838-O</t>
  </si>
  <si>
    <t>MDT-DRTSPL-2022-1319-EXTERNO</t>
  </si>
  <si>
    <t>MDT-DRTSPL-2022-0839-O</t>
  </si>
  <si>
    <t>MDT-DRTSPL-2022-1323-EXTERNO</t>
  </si>
  <si>
    <t>MDT-DRTSPL-2022-0840-O</t>
  </si>
  <si>
    <t>MDT-DRTSPL-2022-1328-EXTERNO</t>
  </si>
  <si>
    <t>MDT-DRTSPL-2022-0844-O</t>
  </si>
  <si>
    <t>MDT-DRTSPL-2022-1329-EXTERNO</t>
  </si>
  <si>
    <t>MDT-DRTSPL-2022-0845-O</t>
  </si>
  <si>
    <t>Marlon Andrés Espinoza Vásquez</t>
  </si>
  <si>
    <t>marlonespinozav@hotmail.es</t>
  </si>
  <si>
    <t>MDT-DRTSPL-2022-1330-EXTERNO</t>
  </si>
  <si>
    <t>MDT-DRTSPL-2022-0846-O</t>
  </si>
  <si>
    <t>MDT-DRTSPL-2022-1331-EXTERNO</t>
  </si>
  <si>
    <t>MDT-DRTSPL-2022-0847-O</t>
  </si>
  <si>
    <t>Megan Natalie Winstanley</t>
  </si>
  <si>
    <t>chcloja@gmail.com</t>
  </si>
  <si>
    <t>MDT-DRTSPL-2022-1332-EXTERNO</t>
  </si>
  <si>
    <t>MDT-DRTSPL-2022-0848-O</t>
  </si>
  <si>
    <t>Shane David Green</t>
  </si>
  <si>
    <t>MDT-DRTSPL-2022-1336-EXTERNO</t>
  </si>
  <si>
    <t>MDT-DRTSPL-2022-0849-O</t>
  </si>
  <si>
    <t>MDT-DRTSPL-2022-1339-EXTERNO</t>
  </si>
  <si>
    <t>MDT-DRTSPL-2022-0851-O</t>
  </si>
  <si>
    <t>Ivan Marcelo Vega Rodriguez</t>
  </si>
  <si>
    <t>vegamarce_199411@hotmail.com</t>
  </si>
  <si>
    <t>MDT-DRTSPL-2022-1341-EXTERNO</t>
  </si>
  <si>
    <t>MDT-DRTSPL-2022-0808-O</t>
  </si>
  <si>
    <t>denisseverino@hotmail.com</t>
  </si>
  <si>
    <t>MDT-DRTSPL-2022-1343-EXTERNO</t>
  </si>
  <si>
    <t>MDT-DRTSPL-2022-0852-O</t>
  </si>
  <si>
    <t>MDT-DRTSPL-2022-1344-EXTERNO</t>
  </si>
  <si>
    <t>Rocio del Carmen Cuenca</t>
  </si>
  <si>
    <t>MDT-DSG-2022-0879-MEMORANDO</t>
  </si>
  <si>
    <t>MDT-DRTSPL-2022-1353-EXTERNO</t>
  </si>
  <si>
    <t>MDT-DSG-2022-1052-MEMORANDO</t>
  </si>
  <si>
    <t>MDT-DRTSPL-2022-1355-EXTERNO</t>
  </si>
  <si>
    <t>MDT-DRTSPL-2022-0853-O</t>
  </si>
  <si>
    <t>MDT-DRTSPL-2022-1356-EXTERNO</t>
  </si>
  <si>
    <t>MDT-DRTSPL-2022-0861-O</t>
  </si>
  <si>
    <t>Thalia Katherine Benitez Tapia</t>
  </si>
  <si>
    <t>jeffquezada@hotmail.com</t>
  </si>
  <si>
    <t>MDT-DRTSPL-2022-1357-EXTERNO</t>
  </si>
  <si>
    <t>MDT-DRTSPL-2022-0862-O</t>
  </si>
  <si>
    <t>Luis Alberto Veintimilla Riofrio</t>
  </si>
  <si>
    <t>Dad_aven@hotmail.com</t>
  </si>
  <si>
    <t>MDT-DRTSPL-2022-1362-EXTERNO</t>
  </si>
  <si>
    <t>MDT-DRTSPL-2022-0865-O</t>
  </si>
  <si>
    <t>Ada Viviana Ordoñez Montaño</t>
  </si>
  <si>
    <t>ordonezma@fiscalia.gob.ec</t>
  </si>
  <si>
    <t>MDT-DRTSPL-2022-1363-EXTERNO</t>
  </si>
  <si>
    <t>MDT-DRTSPL-2022-0866-O</t>
  </si>
  <si>
    <t>MDT-DRTSPL-2022-1364-EXTERNO</t>
  </si>
  <si>
    <t>MDT-DRTSPL-2022-0867-O</t>
  </si>
  <si>
    <t>Edgar Oswaldo Velez Medina</t>
  </si>
  <si>
    <t>cristian.p.velez@unl.edu.ec</t>
  </si>
  <si>
    <t>MDT-DRTSPL-2022-1365-EXTERNO</t>
  </si>
  <si>
    <t>MDT-DRTSPL-2022-0868-O</t>
  </si>
  <si>
    <t>gmaza6910@gmail.com</t>
  </si>
  <si>
    <t>MDT-DRTSPL-2022-1366-EXTERNO</t>
  </si>
  <si>
    <t>MDT-DRTSPL-2022-0869-O</t>
  </si>
  <si>
    <t>Jose Luis Merino Pardo</t>
  </si>
  <si>
    <t>josemeryno@yahoo.es</t>
  </si>
  <si>
    <t>MDT-DRTSPL-2022-1374-EXTERNO</t>
  </si>
  <si>
    <t>MDT-DRTSPL-2022-0870-O</t>
  </si>
  <si>
    <t>Cristian Renet Sarango Calderon</t>
  </si>
  <si>
    <t>sarango271984@hotmail.com</t>
  </si>
  <si>
    <t>MDT-DRTSPL-2022-1375-EXTERNO</t>
  </si>
  <si>
    <t>MDT-DRTSPL-2022-0873-O</t>
  </si>
  <si>
    <t>Gabriel Augusto Molina Flores</t>
  </si>
  <si>
    <t>gabrielmolina80_@hotmail.com</t>
  </si>
  <si>
    <t>MDT-DRTSPL-2022-1379-EXTERNO</t>
  </si>
  <si>
    <t>MDT-DRTSPL-2022-0874-O</t>
  </si>
  <si>
    <t>Carlos Eduardo Vernaza Quintero</t>
  </si>
  <si>
    <t>isarojitas@yahoo.es</t>
  </si>
  <si>
    <t>MDT-DRTSPL-2022-1380-EXTERNO</t>
  </si>
  <si>
    <t>MDT-DRTSPL-2022-0875-O</t>
  </si>
  <si>
    <t>Veronica Beatriz Patiño Macas</t>
  </si>
  <si>
    <t>veronicapatinomacas@gmail.com</t>
  </si>
  <si>
    <t>MDT-DRTSPL-2022-1381-EXTERNO</t>
  </si>
  <si>
    <t>MDT-DRTSPL-2022-0890-O</t>
  </si>
  <si>
    <t>MDT-DRTSPL-2022-1382-EXTERNO</t>
  </si>
  <si>
    <t>MDT-DRTSPL-2022-0891-O</t>
  </si>
  <si>
    <t>MDT-DRTSPL-2022-1386-EXTERNO</t>
  </si>
  <si>
    <t>MDT-DRTSPL-2022-0923-O</t>
  </si>
  <si>
    <t>Segundo Rogerio Avila Andrade</t>
  </si>
  <si>
    <t>abjorgeocampo@hotmail.com</t>
  </si>
  <si>
    <t>MDT-DRTSPL-2022-1388-EXTERNO</t>
  </si>
  <si>
    <t>MDT-DRTSPL-2022-0895-O</t>
  </si>
  <si>
    <t>Anderson Wladimir Hurtado Chimbo</t>
  </si>
  <si>
    <t>MDT-DRTSPL-2022-1389-EXTERNO</t>
  </si>
  <si>
    <t>MDT-DRTSPL-2022-0893-O</t>
  </si>
  <si>
    <t>Luis Rafael Carrion Pazmiño</t>
  </si>
  <si>
    <t>luisleafarleafar@gmail.com</t>
  </si>
  <si>
    <t>MDT-DRTSPL-2022-1390-EXTERNO</t>
  </si>
  <si>
    <t>MDT-DRTSPL-2022-0894-O</t>
  </si>
  <si>
    <t>Diego Rodrigo Vallejo Armijos</t>
  </si>
  <si>
    <t>diegorvallejo@hotmail.com</t>
  </si>
  <si>
    <t>MDT-DRTSPL-2022-1391-EXTERNO</t>
  </si>
  <si>
    <t>MDT-DRTSPL-2022-0889-O</t>
  </si>
  <si>
    <t>Marco Antonio Morocho Macas</t>
  </si>
  <si>
    <t>markuitu25@gmail.com</t>
  </si>
  <si>
    <t>MDT-DRTSPL-2022-1396-EXTERNO</t>
  </si>
  <si>
    <t>MDT-DRTSPL-2022-0896-O</t>
  </si>
  <si>
    <t>MDT-DRTSPL-2022-1402-EXTERNO</t>
  </si>
  <si>
    <t>Fernando Xavier Ramírez Yépez</t>
  </si>
  <si>
    <t>MDT-DSG-2022-0709-MEMORANDO</t>
  </si>
  <si>
    <t>Luis Erasmo Samaniego Muñoz</t>
  </si>
  <si>
    <t>MDT-DRTSPL-2022-1404-EXTERNO</t>
  </si>
  <si>
    <t>MDT-DRTSPL-2022-0897-O</t>
  </si>
  <si>
    <t>Miguel Ivan Maldonado Cruz</t>
  </si>
  <si>
    <t>miguelivan2929@gmail.com</t>
  </si>
  <si>
    <t>MDT-DRTSPL-2022-1405-EXTERNO</t>
  </si>
  <si>
    <t>MDT-DRTSPL-2022-0892-O</t>
  </si>
  <si>
    <t>MDT-DRTSPL-2022-1406-EXTERNO</t>
  </si>
  <si>
    <t>MDT-DRTSPL-2022-0898-O</t>
  </si>
  <si>
    <t>MDT-DRTSPL-2022-1408-EXTERNO</t>
  </si>
  <si>
    <t>MDT-DRTSPL-2022-0899-O</t>
  </si>
  <si>
    <t>MDT-DRTSPL-2022-1409-EXTERNO</t>
  </si>
  <si>
    <t>MDT-DRTSPL-2022-0900-O</t>
  </si>
  <si>
    <t>MDT-DRTSPL-2022-1410-EXTERNO</t>
  </si>
  <si>
    <t>MDT-DRTSPL-2022-0904-O</t>
  </si>
  <si>
    <t>kburneo@defensoria.gob.ec</t>
  </si>
  <si>
    <t>MDT-DRTSPL-2022-1411-EXTERNO</t>
  </si>
  <si>
    <t>MDT-DRTSPL-2022-0903-O</t>
  </si>
  <si>
    <t>MDT-DRTSPL-2022-1412-EXTERNO</t>
  </si>
  <si>
    <t>MDT-DRTSPL-2022-0902-O</t>
  </si>
  <si>
    <t>MDT-DRTSPL-2022-1414-EXTERNO</t>
  </si>
  <si>
    <t>MDT-DRTSPL-2022-0901-O</t>
  </si>
  <si>
    <t>MDT-DRTSPL-2022-1417-EXTERNO</t>
  </si>
  <si>
    <t>MDT-DRTSPL-2022-0905-O</t>
  </si>
  <si>
    <t>MDT-DRTSPL-2022-1418-EXTERNO</t>
  </si>
  <si>
    <t>MDT-DRTSPL-2022-0906-O</t>
  </si>
  <si>
    <t>MDT-DRTSPL-2022-1420-EXTERNO</t>
  </si>
  <si>
    <t>MDT-DRTSPL-2022-0907-O</t>
  </si>
  <si>
    <t>MDT-DRTSPL-2022-1421-EXTERNO</t>
  </si>
  <si>
    <t>MDT-DRTSPL-2022-0908-O</t>
  </si>
  <si>
    <t>MDT-DRTSPL-2022-1422-EXTERNO</t>
  </si>
  <si>
    <t>MDT-DRTSPL-2022-0914-O</t>
  </si>
  <si>
    <t>MDT-DRTSPL-2022-1423-EXTERNO</t>
  </si>
  <si>
    <t>MDT-DRTSPL-2022-0916-O</t>
  </si>
  <si>
    <t>MDT-DRTSPL-2022-1424-EXTERNO</t>
  </si>
  <si>
    <t>MDT-DRTSPL-2022-0863-O</t>
  </si>
  <si>
    <t>mspjuridico2019@gmail.com</t>
  </si>
  <si>
    <t>MDT-DRTSPL-2022-1426-EXTERNO</t>
  </si>
  <si>
    <t>MDT-DRTSPL-2022-0920-O</t>
  </si>
  <si>
    <t>jorgejimenez-aso41@hotmail.com</t>
  </si>
  <si>
    <t>MDT-DRTSPL-2022-1427-EXTERNO</t>
  </si>
  <si>
    <t>MDT-DRTSPL-2022-0919-O</t>
  </si>
  <si>
    <t>MDT-DRTSPL-2022-1430-EXTERNO</t>
  </si>
  <si>
    <t>MDT-DRTSPL-2022-0922-O</t>
  </si>
  <si>
    <t>Angel Sabino Hidalgo Jaramillo</t>
  </si>
  <si>
    <t>divpalac@hotmail.com</t>
  </si>
  <si>
    <t>MDT-DRTSPL-2022-1438-EXTERNO</t>
  </si>
  <si>
    <t>MDT-DRTSPL-2022-0924-O</t>
  </si>
  <si>
    <t>Juan Manuel Jimenez Ramirez</t>
  </si>
  <si>
    <t>MDT-DRTSPL-2022-1440-EXTERNO</t>
  </si>
  <si>
    <t>MDT-DRTSPL-2022-0925-O</t>
  </si>
  <si>
    <t>Isabel de la Merced Rojas Santorum</t>
  </si>
  <si>
    <t>MDT-DRTSPL-2022-1441-EXTERNO</t>
  </si>
  <si>
    <t>MDT-DRTSPL-2022-0926-O</t>
  </si>
  <si>
    <t>Deybi Israel Granda Campoverde</t>
  </si>
  <si>
    <t>davidgranda025@gmail.com</t>
  </si>
  <si>
    <t>MDT-DRTSPL-2022-1443-EXTERNO</t>
  </si>
  <si>
    <t>MDT-DRTSPL-2022-0927-O</t>
  </si>
  <si>
    <t>Sandra Jacqueline Jiménez Cabrera</t>
  </si>
  <si>
    <t>sandraloja@yahoo.com</t>
  </si>
  <si>
    <t>MDT-DRTSPL-2022-1447-EXTERNO</t>
  </si>
  <si>
    <t>MDT-DRTSPL-2022-0929-O</t>
  </si>
  <si>
    <t>MDT-DRTSPL-2022-1448-EXTERNO</t>
  </si>
  <si>
    <t>MDT-DRTSPL-2022-0928-O</t>
  </si>
  <si>
    <t>MDT-DRTSPL-2022-1449-EXTERNO</t>
  </si>
  <si>
    <t>MDT-DRTSPL-2022-0930-O</t>
  </si>
  <si>
    <t>José Gregorio Chalán Lapo</t>
  </si>
  <si>
    <t>jos_gre1970@hotmail.es</t>
  </si>
  <si>
    <t>MDT-DRTSPL-2022-1450-EXTERNO</t>
  </si>
  <si>
    <t>MDT-DRTSPL-2022-0931-O</t>
  </si>
  <si>
    <t>jaramillop@fiscalia.gob.ec</t>
  </si>
  <si>
    <t>MDT-DRTSPL-2022-1452-EXTERNO</t>
  </si>
  <si>
    <t>MDT-DRTSPL-2022-0932-O</t>
  </si>
  <si>
    <t>Ana de Jesus Jumbo Soto</t>
  </si>
  <si>
    <t>anitajumbo87@hotmail.com</t>
  </si>
  <si>
    <t>MDT-DRTSPL-2022-1461-EXTERNO</t>
  </si>
  <si>
    <t>MDT-DRTSPL-2022-0933-O</t>
  </si>
  <si>
    <t>Darwin Daniel Merino Palta</t>
  </si>
  <si>
    <t>rob.angamarca@hotmail.com</t>
  </si>
  <si>
    <t>MDT-DRTSPL-2022-1466-EXTERNO</t>
  </si>
  <si>
    <t>Andres Alfredo Ochoa Calle</t>
  </si>
  <si>
    <t>MDT-DRTSPL-2022-1469-EXTERNO</t>
  </si>
  <si>
    <t>Yadira de Jesus Gualan Sarango</t>
  </si>
  <si>
    <t>yadiragualan1984@gmail.com</t>
  </si>
  <si>
    <t>MDT-DRTSPL-2022-1470-EXTERNO</t>
  </si>
  <si>
    <t>MDT-DRTSPL-2022-0937-O</t>
  </si>
  <si>
    <t>patriciavictoriasarahi@gmail.com</t>
  </si>
  <si>
    <t>MDT-DRTSPL-2022-1471-EXTERNO</t>
  </si>
  <si>
    <t>MDT-DRTSPL-2022-0943-O</t>
  </si>
  <si>
    <t>MDT-DRTSPL-2022-1472-EXTERNO</t>
  </si>
  <si>
    <t>MDT-DCSP-2022-2651-O</t>
  </si>
  <si>
    <t>MDT-DRTSPL-2022-1484-EXTERNO</t>
  </si>
  <si>
    <t>MDT-DRTSPL-2022-0944-O</t>
  </si>
  <si>
    <t>Thalia Fernanda Jimenez Jimenez</t>
  </si>
  <si>
    <t>fernandathalijmnz2000jj@gmail.com</t>
  </si>
  <si>
    <t>MDT-DRTSPL-2022-1485-EXTERNO</t>
  </si>
  <si>
    <t>MDT-DRTSPL-2022-0945-O</t>
  </si>
  <si>
    <t>Angel David Ochoa Puchaicela</t>
  </si>
  <si>
    <t>santy-1910@outlook.com</t>
  </si>
  <si>
    <t>MDT-DRTSPL-2022-0680-O</t>
  </si>
  <si>
    <t>Rene Vicente Ormaza Torres</t>
  </si>
  <si>
    <t>fiscalia</t>
  </si>
  <si>
    <t>MDT-DRTSPL-2022-0362-M</t>
  </si>
  <si>
    <t>MDT-DRTSPL-2022-0374-M</t>
  </si>
  <si>
    <t>Franco Leonardo Garcia Celi</t>
  </si>
  <si>
    <t>franco_garcia@trabajo.gob.ec</t>
  </si>
  <si>
    <t>MDT-DRTSPL-2022-0383-M</t>
  </si>
  <si>
    <t>MDT-DRTSPL-2022-0392-M</t>
  </si>
  <si>
    <t>MDT-DRTSPL-2022-0389-M</t>
  </si>
  <si>
    <t>MDT-DRTSPL-2022-0394-M</t>
  </si>
  <si>
    <t>MDT-DRTSPL-2022-0390-M</t>
  </si>
  <si>
    <t>MDT-DRTSPL-2022-0395-M</t>
  </si>
  <si>
    <t>parmijos_32@hotmail.com</t>
  </si>
  <si>
    <t>MDT-DPTSPOM-2022-0780-EXTERNO</t>
  </si>
  <si>
    <t>MDT-DRTSPL-2022-0682-O</t>
  </si>
  <si>
    <t>Rosa Agripina Sánchez Ullaguari</t>
  </si>
  <si>
    <t>saritacordova@gmail.com</t>
  </si>
  <si>
    <t>MDT-DRTSPL-2022-0454-M</t>
  </si>
  <si>
    <t>MDT-DRTSPL-2022-0456-M</t>
  </si>
  <si>
    <t>marjorie_rueda@trabajo.gob.ec</t>
  </si>
  <si>
    <t>MDT-DRTSPL-2022-0968-EXTERNO</t>
  </si>
  <si>
    <t>MDT-DRTSPL-2022-0661-O</t>
  </si>
  <si>
    <t>Kevin Eduardo Vargas Leon</t>
  </si>
  <si>
    <t>joffret91@gmail.com</t>
  </si>
  <si>
    <t>MDT-DRTSPL-2022-0424-M</t>
  </si>
  <si>
    <t>MDT-DRTSPL-2022-0445-M</t>
  </si>
  <si>
    <t>correo</t>
  </si>
  <si>
    <t>MDT-DRTSPL-2022-0439-M</t>
  </si>
  <si>
    <t>gabriela_cabrera@trabajo.gob.ec</t>
  </si>
  <si>
    <t>MDT-DPTSPOM-2022-0603-EXTERNO</t>
  </si>
  <si>
    <t>Gladys Verónica Carballo Zambrano</t>
  </si>
  <si>
    <t>ENTREGRADO USUARIO</t>
  </si>
  <si>
    <t>MDT-DPTSPOM-2022-0476-EXTERNO</t>
  </si>
  <si>
    <t>MDT-DPTSPOM-2022-0635-EXTERNO</t>
  </si>
  <si>
    <t>MDT-DPTSPOM-2022-0107-O</t>
  </si>
  <si>
    <t>MDT-DPTSPOM-2022-0636-EXTERNO</t>
  </si>
  <si>
    <t>MDT-DPTSPOM-2022-0108-O</t>
  </si>
  <si>
    <t>MDT-DPTSPOM-2022-0648-EXTERNO</t>
  </si>
  <si>
    <t>MDT-DPTSPOM-2022-0110-O</t>
  </si>
  <si>
    <t>MDT-DPTSPOM-2022-0655-EXTERNO</t>
  </si>
  <si>
    <t>MDT-DPTSPOM-2022-0111-O</t>
  </si>
  <si>
    <t>MDT-DPTSPOM-2022-0682-EXTERNO</t>
  </si>
  <si>
    <t>MDT-DPTSPOM-2022-0112-O</t>
  </si>
  <si>
    <t>MDT-DPTSPOM-2022-0684-EXTERNO</t>
  </si>
  <si>
    <t>MDT-DPTSPOM-2022-0685-EXTERNO</t>
  </si>
  <si>
    <t>MDT-DPTSPOM-2022-0698-EXTERNO</t>
  </si>
  <si>
    <t>MDT-DPTSPOM-2022-0116-O</t>
  </si>
  <si>
    <t>MDT-DPTSPOM-2022-0714-EXTERNO</t>
  </si>
  <si>
    <t>MDT-DPTSPOM-2022-0117-O</t>
  </si>
  <si>
    <t>MDT-DPTSPOM-2022-0733-EXTERNO</t>
  </si>
  <si>
    <t>MDT-DPTSPOM-2022-0118-O</t>
  </si>
  <si>
    <t>MDT-DPTSPOM-2022-0089-EXTERNO</t>
  </si>
  <si>
    <t>MDT-DPTSPOM-2022-0129-O</t>
  </si>
  <si>
    <t>MDT-DPTSPOM-2022-0683-EXTERNO</t>
  </si>
  <si>
    <t>MDT-DPTSPOM-2022-0152-O</t>
  </si>
  <si>
    <t>MDT-DPTSPOM-2022-0745-EXTERNO</t>
  </si>
  <si>
    <t>MDT-DPTSPOM-2022-0157-O</t>
  </si>
  <si>
    <t>MDT-DPTSPOM-2022-0761-EXTERNO</t>
  </si>
  <si>
    <t>MDT-DPTSPOM-2022-0137-O</t>
  </si>
  <si>
    <t>MDT-DPTSPOM-2022-0762-EXTERNO</t>
  </si>
  <si>
    <t>MDT-DPTSPOM-2022-0139-O</t>
  </si>
  <si>
    <t>MDT-DPTSPOM-2022-0767-EXTERNO</t>
  </si>
  <si>
    <t>MDT-DPTSPOM-2022-0140-O</t>
  </si>
  <si>
    <t>MDT-DPTSPOM-2022-0769-EXTERNO</t>
  </si>
  <si>
    <t>MDT-DPTSPOM-2022-0141-O</t>
  </si>
  <si>
    <t>MDT-DPTSPOM-2022-0784-EXTERNO</t>
  </si>
  <si>
    <t>MDT-DPTSPOM-2022-0142-O</t>
  </si>
  <si>
    <t>MDT-DPTSPOM-2022-0859-EXTERNO</t>
  </si>
  <si>
    <t>MDT-DPTSPOM-2022-0144-O</t>
  </si>
  <si>
    <t>MDT-DPTSPOM-2022-0861-EXTERNO</t>
  </si>
  <si>
    <t>MDT-DPTSPOM-2022-0145-O</t>
  </si>
  <si>
    <t>MDT-DPTSPOM-2022-0862-EXTERNO</t>
  </si>
  <si>
    <t>MDT-DPTSPOM-2022-0146-O</t>
  </si>
  <si>
    <t>MDT-DPTSPOM-2022-0863-EXTERNO</t>
  </si>
  <si>
    <t>MDT-DPTSPOM-2022-0148-O</t>
  </si>
  <si>
    <t>MDT-DPTSPOM-2022-0153-O</t>
  </si>
  <si>
    <t>MDT-DPTSPOM-2022-0872-EXTERNO</t>
  </si>
  <si>
    <t>MDT-DPTSPOM-2022-0149-O</t>
  </si>
  <si>
    <t>MDT-DPRTSPL-2021-5008-EXTERNO</t>
  </si>
  <si>
    <t>MDT-DPTSPOM-2022-0161-O</t>
  </si>
  <si>
    <t>MDT-DPTSPOM-2022-0471-EXTERNO</t>
  </si>
  <si>
    <t>MDT-DPTSPOM-2022-0134-O</t>
  </si>
  <si>
    <t>MDT-DPRTSPL-2022-0918-EXTERNO</t>
  </si>
  <si>
    <t>MDT-DPTSPOM-2022-0154-O</t>
  </si>
  <si>
    <t>MDT-DPRTSPL-2022-0919-EXTERNO</t>
  </si>
  <si>
    <t>MDT-DPTSPOM-2022-0160-O</t>
  </si>
  <si>
    <t>MDT-DPRTSPL-2022-0935-EXTERNO</t>
  </si>
  <si>
    <t>MDT-DPTSPOM-2022-0162-O</t>
  </si>
  <si>
    <t>MDT-DPRTSPL-2022-0936-EXTERNO</t>
  </si>
  <si>
    <t>MDT-DPTSPOM-2022-0163-O</t>
  </si>
  <si>
    <t>MDT-DPRTSPL-2022-0957-EXTERNO</t>
  </si>
  <si>
    <t>MDT-DPTSPOM-2022-0165-O</t>
  </si>
  <si>
    <t>MDT-DPTSPOM-2022-0236-M</t>
  </si>
  <si>
    <t>MDT-DPTSPOM-2022-0150-O</t>
  </si>
  <si>
    <t>MDT-DPRTSPL-2022-0713-EXTERNO</t>
  </si>
  <si>
    <t>MDT-DPTSPOM-2022-0166-O</t>
  </si>
  <si>
    <t>MDT-DPRTSPL-2022-0966-EXTERNO</t>
  </si>
  <si>
    <t>MDT-DPTSPOM-2022-0164-O</t>
  </si>
  <si>
    <t>MDT-DPRTSPL-2022-0723-EXTERNO</t>
  </si>
  <si>
    <t>MDT-DPTSPOM-2021-4974-EXTERNO</t>
  </si>
  <si>
    <t>mdt-dptspom-2022-0155-o</t>
  </si>
  <si>
    <t>MDT-DPTSPOM-2022-0155-O</t>
  </si>
  <si>
    <t>MDT-DPTSPOM-2021-5008-EXTERNO</t>
  </si>
  <si>
    <t>MDT-DPTSPOM-2021-5326-EXTERNO</t>
  </si>
  <si>
    <t>MDT-DPTSPOM-2022-0133-O</t>
  </si>
  <si>
    <t>MDT-DPTSPOM-2021-5384-EXTERNO</t>
  </si>
  <si>
    <t>Carmen Luisa Avendaño</t>
  </si>
  <si>
    <t>MDT-DPTSPOM-2022-0156-O</t>
  </si>
  <si>
    <t>MDT-DRTSPL-2022-0631-M</t>
  </si>
  <si>
    <t>MDT-DPTSPOM-2022-0252-M</t>
  </si>
  <si>
    <t>MDT-DPTSPZCH-2022-0138-EXTERNO</t>
  </si>
  <si>
    <t>Rosa Marlene Rey Curay</t>
  </si>
  <si>
    <t>DELEGACION PROVINCIAL DE TRABAJO Y SERVICIO PUBLICO DE ZAMORA CHINCHIPE</t>
  </si>
  <si>
    <t>MDT-DPTSPOZCH-2022-0034-O</t>
  </si>
  <si>
    <t>MDT-DPTSPZCH-2022-0141-EXTERNO</t>
  </si>
  <si>
    <t>MDT-DPTSPOZCH-2022-0035-O</t>
  </si>
  <si>
    <t>MDT-DPTSPZCH-2022-0217-EXTERNO</t>
  </si>
  <si>
    <t>Jhomaira Liseth Gonsalez Angulo</t>
  </si>
  <si>
    <t>MDT-DPTSPOZCH-2022-0036-O</t>
  </si>
  <si>
    <t>MDT-DPTSPZCH-2022-0155-EXTERNO</t>
  </si>
  <si>
    <t>MDT-DPTSPOZCH-2022-0040-O</t>
  </si>
  <si>
    <t>MDT-DPTSPZCH-2022-0163-EXTERNO</t>
  </si>
  <si>
    <t>MDT-DPTSPOZCH-2022-0041-O</t>
  </si>
  <si>
    <t>MDT-DPTSPZCH-2022-0162-EXTERNO</t>
  </si>
  <si>
    <t>MDT-DPTSPOZCH-2022-0042-O</t>
  </si>
  <si>
    <t>MDT-DPTSPZCH-2022-0165-EXTERNO</t>
  </si>
  <si>
    <t>MDT-DPTSPOZCH-2022-0044-O</t>
  </si>
  <si>
    <t>MDT-DPTSPZCH-2022-0176-EXTERNO</t>
  </si>
  <si>
    <t>09/0/2022</t>
  </si>
  <si>
    <t>MDT-DPTSPOZCH-2022-0045-O</t>
  </si>
  <si>
    <t>MDT-DPTSPZCH-2022-0179-EXTERNO</t>
  </si>
  <si>
    <t>MDT-DPTSPOZCH-2022-0046-O</t>
  </si>
  <si>
    <t>MDT-DPTSPZCH-2022-0175-EXTERNO</t>
  </si>
  <si>
    <t>MDT-DPTSPOZCH-2022-0047-O</t>
  </si>
  <si>
    <t>MDT-DPTSPZCH-2022-0186-EXTERNO</t>
  </si>
  <si>
    <t>MDT-DPTSPOZCH-2022-0048-O</t>
  </si>
  <si>
    <t>MDT-DPTSPZCH-2022-0187-EXTERNO</t>
  </si>
  <si>
    <t>MDT-DPTSPOZCH-2022-0049-O</t>
  </si>
  <si>
    <t>MDT-DPTSPZCH-2022-0188-EXTERNO</t>
  </si>
  <si>
    <t>MDT-DPTSPOZCH-2022-0050-O</t>
  </si>
  <si>
    <t>MDT-DPTSPZCH-2022-0189-EXTERNO</t>
  </si>
  <si>
    <t>MDT-DPTSPOZCH-2022-0051-O</t>
  </si>
  <si>
    <t>MDT-DPTSPZCH-2022-0190-EXTERNO</t>
  </si>
  <si>
    <t>MDT-DPTSPOZCH-2022-0052-O</t>
  </si>
  <si>
    <t>MDT-DPTSPZCH-2022-0192-EXTERNO</t>
  </si>
  <si>
    <t>MDT-DPTSPOZCH-2022-0053-O</t>
  </si>
  <si>
    <t>MDT-DPTSPZCH-2022-0195-EXTERNO</t>
  </si>
  <si>
    <t>MDT-DPTSPOZCH-2022-0054-O</t>
  </si>
  <si>
    <t>MDT-DPTSPZCH-2022-0197-EXTERNO</t>
  </si>
  <si>
    <t>MDT-DPTSPOZCH-2022-0055-O</t>
  </si>
  <si>
    <t>MDT-DPTSPZCH-2022-0193-EXTERNO</t>
  </si>
  <si>
    <t>MDT-DPTSPOZCH-2022-0057-O</t>
  </si>
  <si>
    <t>MDT-DPTSPZCH-2022-0194-EXTERNO</t>
  </si>
  <si>
    <t>MDT-DPTSPOZCH-2022-0058-O</t>
  </si>
  <si>
    <t>MDT-DPTSPZCH-2022-0204-EXTERNO</t>
  </si>
  <si>
    <t>MDT-DPTSPOZCH-2022-0059-O</t>
  </si>
  <si>
    <t>MDT-DPTSPZCH-2022-0203-EXTERNO</t>
  </si>
  <si>
    <t>MDT-DPTSPOZCH-2022-0062-O</t>
  </si>
  <si>
    <t>MDT-DPTSPZCH-2022-0209-EXTERNO</t>
  </si>
  <si>
    <t>MDT-DPTSPOP-2022-0020-EXTERNO</t>
  </si>
  <si>
    <t>Andrea Karlina Aguilar Salazar</t>
  </si>
  <si>
    <t>DELEGACION PROVINCIAL DE TRABAJO Y SERVICIO PUBLICO DE PORTOVELO</t>
  </si>
  <si>
    <t>MDT-DPTSPOP-2022-0008-O</t>
  </si>
  <si>
    <t xml:space="preserve">Sixto Cervilio Minga Sarango </t>
  </si>
  <si>
    <t>MDT-DPTSPOP-2022-0027-EXTERNO</t>
  </si>
  <si>
    <t xml:space="preserve">Maria Belen Preciado Asanza </t>
  </si>
  <si>
    <t>MDT-DPTSPOP-2022-0007-O</t>
  </si>
  <si>
    <t>MDT-DPTSPOM-2022-0527-EXTERNO</t>
  </si>
  <si>
    <t>MDT-DRTSPL-2022-1008-O</t>
  </si>
  <si>
    <t>Juan Diego Garcia Amoroso</t>
  </si>
  <si>
    <t>MDT-DPTSPOM-2022-1101-EXTERNO</t>
  </si>
  <si>
    <t>Fernando Sebastian Fernandez Redin</t>
  </si>
  <si>
    <t>DIRECCIÓN DE ADMINISTRACIÓN DEL TALENTO HUMANO</t>
  </si>
  <si>
    <t>MDT-DATH-2022-0076-O</t>
  </si>
  <si>
    <t xml:space="preserve">Carlos Miguel Ceferino </t>
  </si>
  <si>
    <t>MDT-DPTSPOM-2022-1182-EXTERNO</t>
  </si>
  <si>
    <t>DELEGACIÓN PROVINCIAL DEL TRABAJO Y SERVICIO PÚBLICO DE EL ORO - MACHALA</t>
  </si>
  <si>
    <t>Diana Guissella Sanchez Abarca</t>
  </si>
  <si>
    <t>MDT-DRTSPL-2022-1201-O</t>
  </si>
  <si>
    <t xml:space="preserve">José Vicente Guamán Guiñaguazo </t>
  </si>
  <si>
    <t>ceclaracionest2014@gmail.com</t>
  </si>
  <si>
    <t>MDT-DPTSPOM-2022-1230-EXTERNO</t>
  </si>
  <si>
    <t>María Andrea Vera Mosquera</t>
  </si>
  <si>
    <t>MDT-DRTSPL-2022-1093-O</t>
  </si>
  <si>
    <t xml:space="preserve">Jorge Espinosa Valverde </t>
  </si>
  <si>
    <t>marenafrancozarie@gmail.com</t>
  </si>
  <si>
    <t>MDT-DPTSPOM-2022-1231-EXTERNO</t>
  </si>
  <si>
    <t>MDT-DPTSPOP-2022-0031-EXTERNO</t>
  </si>
  <si>
    <t>DELEGACIÓN PROVINCIAL DE TRABAJO Y SERVICIO PÚBLICO DE EL ORO - PORTOVELO</t>
  </si>
  <si>
    <t>MDT-DRTSPL-2022-1028-O</t>
  </si>
  <si>
    <t xml:space="preserve">Victor Javier Encalada Ramirez </t>
  </si>
  <si>
    <t>sociedad.portovelo@gmail.com</t>
  </si>
  <si>
    <t>MDT-DPTSPOP-2022-0034-EXTERNO</t>
  </si>
  <si>
    <t>11/03/2022 GUAYAQUIL MDT-DRTSPL-2022-0751-M</t>
  </si>
  <si>
    <t>MDT-DPTSPZCH-2022-0258-EXTERNO</t>
  </si>
  <si>
    <t>DELEGACIÓN PROVINCIAL DE TRABAJO Y SERVICIO PÚBLICO DE ZAMORA CHINCHIPE</t>
  </si>
  <si>
    <t>MDT-DRTSPL-2022-1213-O</t>
  </si>
  <si>
    <t xml:space="preserve">Jorge Bayardo Silva Chuquimarca </t>
  </si>
  <si>
    <t>bjorgesilba@hotmail.com</t>
  </si>
  <si>
    <t>MDT-DRTSPL-2022-0679-M</t>
  </si>
  <si>
    <t>MDT-DRTSPL-2022-0960-O</t>
  </si>
  <si>
    <t>Ramiro Roberto Arévalo Álvarez</t>
  </si>
  <si>
    <t>ramiroarevalo@ahoo.com</t>
  </si>
  <si>
    <t>MDT-DRTSPL-2022-0764-M</t>
  </si>
  <si>
    <t>MDT-DRTSPL-2022-0766-M</t>
  </si>
  <si>
    <t>sandra_torres@trabajo.gob.ec</t>
  </si>
  <si>
    <t>MDT-DRTSPL-2022-1489-EXTERNO</t>
  </si>
  <si>
    <t>MDT-DRTSPL-2022-0952-O</t>
  </si>
  <si>
    <t xml:space="preserve">Óscar Lenin Muñoz Apolo </t>
  </si>
  <si>
    <t>MDT-DRTSPL-2022-1490-EXTERNO</t>
  </si>
  <si>
    <t>MDT-DRTSPL-2022-0947-O</t>
  </si>
  <si>
    <t xml:space="preserve">Marco Vinicio Romero Avila </t>
  </si>
  <si>
    <t>marzo.romero@funcionjudicial.gob.ec</t>
  </si>
  <si>
    <t>MDT-DRTSPL-2022-1491-EXTERNO</t>
  </si>
  <si>
    <t>MDT-DRTSPL-2022-0948-O</t>
  </si>
  <si>
    <t xml:space="preserve">Sara Salome Tandazo Valarezo </t>
  </si>
  <si>
    <t>MDT-DRTSPL-2022-1493-EXTERNO</t>
  </si>
  <si>
    <t>MDT-DRTSPL-2022-0949-O</t>
  </si>
  <si>
    <t xml:space="preserve">Fidel Isidro Correa Guaman </t>
  </si>
  <si>
    <t>cajilimarocio12@gmail.com</t>
  </si>
  <si>
    <t>MDT-DRTSPL-2022-1496-EXTERNO</t>
  </si>
  <si>
    <t>MDT-DRTSPL-2022-1021-O</t>
  </si>
  <si>
    <t xml:space="preserve">Kerly María Quezada Gualán </t>
  </si>
  <si>
    <t>kerlymaria.96@gmail.com</t>
  </si>
  <si>
    <t>MDT-DRTSPL-2022-1497-EXTERNO</t>
  </si>
  <si>
    <t>MDT-DRTSPL-2022-0958-O</t>
  </si>
  <si>
    <t xml:space="preserve">Lady Stefania Masabanda Padilla </t>
  </si>
  <si>
    <t>yeyanena92@gmail.com</t>
  </si>
  <si>
    <t>MDT-DRTSPL-2022-1498-EXTERNO</t>
  </si>
  <si>
    <t>MDT-DRTSPL-2022-0950-O</t>
  </si>
  <si>
    <t xml:space="preserve">Diego Fernando Lascano Chávez </t>
  </si>
  <si>
    <t>chavez_diegofer@outlook.com</t>
  </si>
  <si>
    <t>MDT-DRTSPL-2022-1502-EXTERNO</t>
  </si>
  <si>
    <t>MDT-DRTSPL-2022-0951-O</t>
  </si>
  <si>
    <t xml:space="preserve">Cristian Bolivar Ordoñez Ocampo </t>
  </si>
  <si>
    <t>ochristian6944@gmail.com</t>
  </si>
  <si>
    <t>MDT-DRTSPL-2022-1516-EXTERNO</t>
  </si>
  <si>
    <t>MDT-DRTSPL-2022-0955-O</t>
  </si>
  <si>
    <t xml:space="preserve">Alex Ernesto Guevara Villacis </t>
  </si>
  <si>
    <t>federacionloja@yahoo.es</t>
  </si>
  <si>
    <t>MDT-DRTSPL-2022-1517-EXTERNO</t>
  </si>
  <si>
    <t>MDT-DRTSPL-2022-0956-O</t>
  </si>
  <si>
    <t xml:space="preserve">Luis Stalin Giron Pastuizaca </t>
  </si>
  <si>
    <t>gironluis375@gmail.com</t>
  </si>
  <si>
    <t>MDT-DRTSPL-2022-1518-EXTERNO</t>
  </si>
  <si>
    <t>MDT-DRTSPL-2022-0957-O</t>
  </si>
  <si>
    <t xml:space="preserve">Paúl Edvaldo Carrión González </t>
  </si>
  <si>
    <t>MDT-DRTSPL-2022-1521-EXTERNO</t>
  </si>
  <si>
    <t>MDT-DRTSPL-2022-0959-O</t>
  </si>
  <si>
    <t xml:space="preserve">Stalin Shonatan Sarmiento Sanmartín </t>
  </si>
  <si>
    <t>stalinsar@hotmail.es</t>
  </si>
  <si>
    <t>MDT-DRTSPL-2022-1522-EXTERNO</t>
  </si>
  <si>
    <t>MDT-DRTSPL-2022-0961-O</t>
  </si>
  <si>
    <t xml:space="preserve">Francisco Favian Torres Torres </t>
  </si>
  <si>
    <t>paulina_amay@hotmail.com</t>
  </si>
  <si>
    <t>MDT-DRTSPL-2022-1523-EXTERNO</t>
  </si>
  <si>
    <t>MDT-DRTSPL-2022-0962-O</t>
  </si>
  <si>
    <t xml:space="preserve">Wilmer Cueva Alberca </t>
  </si>
  <si>
    <t>MDT-DRTSPL-2022-1525-EXTERNO</t>
  </si>
  <si>
    <t>MDT-DRTSPL-2022-0964-O</t>
  </si>
  <si>
    <t xml:space="preserve">Andrea Soledad Aguirre Cordova </t>
  </si>
  <si>
    <t>vanesaja@yahoo.es</t>
  </si>
  <si>
    <t>MDT-DRTSPL-2022-1527-EXTERNO</t>
  </si>
  <si>
    <t>MDT-DRTSPL-2022-0966-O</t>
  </si>
  <si>
    <t xml:space="preserve">Aura Janeth Pardo Montero ,Santiago Alexander Sanchez Poma </t>
  </si>
  <si>
    <t>MDT-DRTSPL-2022-1528-EXTERNO</t>
  </si>
  <si>
    <t>MDT-DRTSPL-2022-0967-O</t>
  </si>
  <si>
    <t xml:space="preserve">Aura Janeth Pardo Montero </t>
  </si>
  <si>
    <t>MDT-DRTSPL-2022-1529-EXTERNO</t>
  </si>
  <si>
    <t>MDT-DRTSPL-2022-0970-O</t>
  </si>
  <si>
    <t xml:space="preserve">Hugo Fabian Mora Palacios </t>
  </si>
  <si>
    <t>MDT-DRTSPL-2022-1530-EXTERNO</t>
  </si>
  <si>
    <t>MDT-DRTSPL-2022-0969-O</t>
  </si>
  <si>
    <t xml:space="preserve">Santiago Michael Loaiza Ochoa </t>
  </si>
  <si>
    <t>MDT-DRTSPL-2022-1531-EXTERNO</t>
  </si>
  <si>
    <t>MDT-DRTSPL-2022-0971-O</t>
  </si>
  <si>
    <t>MDT-DRTSPL-2022-1532-EXTERNO</t>
  </si>
  <si>
    <t>MDT-DRTSPL-2022-0972-O</t>
  </si>
  <si>
    <t>MDT-DRTSPL-2022-1533-EXTERNO</t>
  </si>
  <si>
    <t>MDT-DRTSPL-2022-0973-O</t>
  </si>
  <si>
    <t>MDT-DRTSPL-2022-1534-EXTERNO</t>
  </si>
  <si>
    <t>MDT-DRTSPL-2022-0977-O</t>
  </si>
  <si>
    <t>MDT-DRTSPL-2022-1537-EXTERNO</t>
  </si>
  <si>
    <t xml:space="preserve">Christian Arturo Miñan Lara </t>
  </si>
  <si>
    <t>MDT-DRTSPL-2022-1539-EXTERNO</t>
  </si>
  <si>
    <t>MDT-DRTSPL-2022-0975-O</t>
  </si>
  <si>
    <t xml:space="preserve">Reila Soledad Iñiguez Iñiguez </t>
  </si>
  <si>
    <t>iniguezreila34@gmail.com</t>
  </si>
  <si>
    <t>MDT-DRTSPL-2022-1542-EXTERNO</t>
  </si>
  <si>
    <t>MDT-DRTSPL-2022-0974-O</t>
  </si>
  <si>
    <t xml:space="preserve">Diego Efrain Paladines Córdova </t>
  </si>
  <si>
    <t>MDT-DRTSPL-2022-1544-EXTERNO</t>
  </si>
  <si>
    <t>MDT-DRTSPL-2022-0976-O</t>
  </si>
  <si>
    <t xml:space="preserve">Galo Fernando Cabrera Jimenez </t>
  </si>
  <si>
    <t>maira_celi1983@outlook.es</t>
  </si>
  <si>
    <t>MDT-DRTSPL-2022-1554-EXTERNO</t>
  </si>
  <si>
    <t>MDT-DRTSPL-2022-0978-O</t>
  </si>
  <si>
    <t xml:space="preserve">Rafael Homero Capa Quezada </t>
  </si>
  <si>
    <t>rhomeroco@hotmail.com</t>
  </si>
  <si>
    <t>MDT-DRTSPL-2022-1555-EXTERNO</t>
  </si>
  <si>
    <t>MDT-DRTSPL-2022-0963-O</t>
  </si>
  <si>
    <t xml:space="preserve">Fidelina del Carmen Álvarez Ramírez </t>
  </si>
  <si>
    <t>fidealva1976@yahoo.com</t>
  </si>
  <si>
    <t>MDT-DRTSPL-2022-1557-EXTERNO</t>
  </si>
  <si>
    <t>MDT-DRTSPL-2022-0979-O</t>
  </si>
  <si>
    <t xml:space="preserve">Pablo Roberto Jumbo Pineda </t>
  </si>
  <si>
    <t>edualvarado82@hotmail.com</t>
  </si>
  <si>
    <t>MDT-DRTSPL-2022-1558-EXTERNO</t>
  </si>
  <si>
    <t>MDT-DRTSPL-2022-0981-O</t>
  </si>
  <si>
    <t>MDT-DRTSPL-2022-1560-EXTERNO</t>
  </si>
  <si>
    <t>MDT-DRTSPL-2022-0980-O</t>
  </si>
  <si>
    <t>majera689@hotmail.com</t>
  </si>
  <si>
    <t>MDT-DRTSPL-2022-1564-EXTERNO</t>
  </si>
  <si>
    <t>MDT-DRTSPL-2022-0982-O</t>
  </si>
  <si>
    <t>paulfgc@gmail.com</t>
  </si>
  <si>
    <t>MDT-DRTSPL-2022-1567-EXTERNO</t>
  </si>
  <si>
    <t>MDT-DRTSPL-2022-0983-O</t>
  </si>
  <si>
    <t>MDT-DRTSPL-2022-1568-EXTERNO</t>
  </si>
  <si>
    <t>MDT-DRTSPL-2022-0985-O</t>
  </si>
  <si>
    <t>MDT-DRTSPL-2022-1569-EXTERNO</t>
  </si>
  <si>
    <t>MDT-DRTSPL-2022-0986-O</t>
  </si>
  <si>
    <t xml:space="preserve">Luis Lautaro Moreno Arrobo </t>
  </si>
  <si>
    <t>MDT-DRTSPL-2022-1570-EXTERNO</t>
  </si>
  <si>
    <t>MDT-DRTSPL-2022-0991-O</t>
  </si>
  <si>
    <t>MDT-DRTSPL-2022-1571-EXTERNO</t>
  </si>
  <si>
    <t>MDT-DRTSPL-2022-0992-O</t>
  </si>
  <si>
    <t>MDT-DRTSPL-2022-1572-EXTERNO</t>
  </si>
  <si>
    <t>MDT-DRTSPL-2022-0999-O</t>
  </si>
  <si>
    <t>MDT-DRTSPL-2022-1573-EXTERNO</t>
  </si>
  <si>
    <t>MDT-DRTSPL-2022-1001-O</t>
  </si>
  <si>
    <t>MDT-DRTSPL-2022-1574-EXTERNO</t>
  </si>
  <si>
    <t>MDT-DRTSPL-2022-1002-O</t>
  </si>
  <si>
    <t xml:space="preserve">Yolanda Cristina Torres Anguisaca </t>
  </si>
  <si>
    <t>galofa_1983@hotmail.com</t>
  </si>
  <si>
    <t>MDT-DRTSPL-2022-1576-EXTERNO</t>
  </si>
  <si>
    <t>MDT-DRTSPL-2022-1003-O</t>
  </si>
  <si>
    <t xml:space="preserve">Patricio Alberto Valdivieso Espinosa </t>
  </si>
  <si>
    <t>MDT-DRTSPL-2022-1577-EXTERNO</t>
  </si>
  <si>
    <t>MDT-DRTSPL-2022-1004-O</t>
  </si>
  <si>
    <t>MDT-DRTSPL-2022-1578-EXTERNO</t>
  </si>
  <si>
    <t>MDT-DRTSPL-2022-1005-O</t>
  </si>
  <si>
    <t>MDT-DRTSPL-2022-1579-EXTERNO</t>
  </si>
  <si>
    <t>MDT-DRTSPL-2022-1006-O</t>
  </si>
  <si>
    <t>MDT-DRTSPL-2022-1580-EXTERNO</t>
  </si>
  <si>
    <t>MDT-DRTSPL-2022-1009-O</t>
  </si>
  <si>
    <t>MDT-DRTSPL-2022-1581-EXTERNO</t>
  </si>
  <si>
    <t>MDT-DRTSPL-2022-1007-O</t>
  </si>
  <si>
    <t xml:space="preserve">Flavio Geovanny Bravo Luzuriaga </t>
  </si>
  <si>
    <t>mateocabrera104@gmail.com</t>
  </si>
  <si>
    <t>MDT-DRTSPL-2022-1589-EXTERNO</t>
  </si>
  <si>
    <t>MDT-DRTSPL-2022-1010-O</t>
  </si>
  <si>
    <t xml:space="preserve">Luis Alfredo Figueroa Simancas </t>
  </si>
  <si>
    <t>MDT-DRTSPL-2022-1590-EXTERNO</t>
  </si>
  <si>
    <t>MDT-DRTSPL-2022-1014-O</t>
  </si>
  <si>
    <t xml:space="preserve">Raul Marcelo Mogrovejo Leon </t>
  </si>
  <si>
    <t>saritaencarnacion@hotmail.com</t>
  </si>
  <si>
    <t>MDT-DRTSPL-2022-1592-EXTERNO</t>
  </si>
  <si>
    <t>MDT-DRTSPL-2022-1015-O</t>
  </si>
  <si>
    <t xml:space="preserve">Jhandry Dickson Quezada Morales </t>
  </si>
  <si>
    <t>MDT-DRTSPL-2022-1593-EXTERNO</t>
  </si>
  <si>
    <t>MDT-DRTSPL-2022-1016-O</t>
  </si>
  <si>
    <t>MDT-DRTSPL-2022-1594-EXTERNO</t>
  </si>
  <si>
    <t>MDT-DRTSPL-2022-1022-O</t>
  </si>
  <si>
    <t>MDT-DRTSPL-2022-1595-EXTERNO</t>
  </si>
  <si>
    <t>MDT-DRTSPL-2022-1023-O</t>
  </si>
  <si>
    <t>MDT-DRTSPL-2022-1596-EXTERNO</t>
  </si>
  <si>
    <t>MDT-DRTSPL-2022-1024-O</t>
  </si>
  <si>
    <t>MDT-DRTSPL-2022-1597-EXTERNO</t>
  </si>
  <si>
    <t>MDT-DRTSPL-2022-1025-O</t>
  </si>
  <si>
    <t>MDT-DRTSPL-2022-1598-EXTERNO</t>
  </si>
  <si>
    <t>MDT-DRTSPL-2022-1026-O</t>
  </si>
  <si>
    <t>thesesama@gmail.com</t>
  </si>
  <si>
    <t>MDT-DRTSPL-2022-1600-EXTERNO</t>
  </si>
  <si>
    <t>MDT-DRTSPL-2022-1027-O</t>
  </si>
  <si>
    <t xml:space="preserve">Fernando Alfonso Brayanes Lima </t>
  </si>
  <si>
    <t>yhesesama@gmail.com</t>
  </si>
  <si>
    <t>MDT-DRTSPL-2022-1601-EXTERNO</t>
  </si>
  <si>
    <t>MDT-DRTSPL-2022-1029-O</t>
  </si>
  <si>
    <t>luis.figueroa@funcionjudicial.gob.ec </t>
  </si>
  <si>
    <t>MDT-DRTSPL-2022-1603-EXTERNO</t>
  </si>
  <si>
    <t>MDT-DRTSPL-2022-1030-O</t>
  </si>
  <si>
    <t xml:space="preserve">Humberto Oswaldo Saritama Naula </t>
  </si>
  <si>
    <t>MDT-DRTSPL-2022-1605-EXTERNO</t>
  </si>
  <si>
    <t>MDT-DRTSPL-2022-1031-O</t>
  </si>
  <si>
    <t xml:space="preserve">Diego Xavier Rodriguez Peñarreta </t>
  </si>
  <si>
    <t>diego.rodriguezasesorialegal@hotmail.com</t>
  </si>
  <si>
    <t>MDT-DRTSPL-2022-1606-EXTERNO</t>
  </si>
  <si>
    <t>MDT-DRTSPL-2022-1032-O</t>
  </si>
  <si>
    <t xml:space="preserve">Galo Ismael Lopez Yunga </t>
  </si>
  <si>
    <t>ab.galolopez91@hotmail.com</t>
  </si>
  <si>
    <t>MDT-DRTSPL-2022-1608-EXTERNO</t>
  </si>
  <si>
    <t>MDT-DRTSPL-2022-1033-O</t>
  </si>
  <si>
    <t xml:space="preserve">Maria Elizabeth Lanche Lanchi </t>
  </si>
  <si>
    <t>mlanche806@gmail.com</t>
  </si>
  <si>
    <t>MDT-DRTSPL-2022-1609-EXTERNO</t>
  </si>
  <si>
    <t>MDT-DRTSPL-2022-1034-O</t>
  </si>
  <si>
    <t xml:space="preserve">Galo Wladimir Ortega Criollo </t>
  </si>
  <si>
    <t>MDT-DRTSPL-2022-1610-EXTERNO</t>
  </si>
  <si>
    <t>MDT-DRTSPL-2022-1036-O</t>
  </si>
  <si>
    <t xml:space="preserve">Liliana del Cisne Rueda Torres </t>
  </si>
  <si>
    <t>ruedalilibetho@gmail.com</t>
  </si>
  <si>
    <t>MDT-DRTSPL-2022-1611-EXTERNO</t>
  </si>
  <si>
    <t>MDT-DRTSPL-2022-1041-O</t>
  </si>
  <si>
    <t xml:space="preserve">Fulvio Mauricio Narvaez Llulluna </t>
  </si>
  <si>
    <t>fulvio.narvaezez6172@gmail.com</t>
  </si>
  <si>
    <t>MDT-DRTSPL-2022-1612-EXTERNO</t>
  </si>
  <si>
    <t>MDT-DRTSPL-2022-1043-O</t>
  </si>
  <si>
    <t xml:space="preserve">Junior Alexander Alulima Bermeo </t>
  </si>
  <si>
    <t>junioralexanderbermeo@gmail.com</t>
  </si>
  <si>
    <t>MDT-DRTSPL-2022-1614-EXTERNO</t>
  </si>
  <si>
    <t>MDT-DRTSPL-2022-1044-O</t>
  </si>
  <si>
    <t xml:space="preserve">Pablo Alexander Uchuari Uchuari </t>
  </si>
  <si>
    <t>segu.27@hotmail.com</t>
  </si>
  <si>
    <t>MDT-DRTSPL-2022-1615-EXTERNO</t>
  </si>
  <si>
    <t>MDT-DRTSPL-2022-1045-O</t>
  </si>
  <si>
    <t xml:space="preserve">José Ignacio Beltran Alban </t>
  </si>
  <si>
    <t>jose.ignaciobeltran90@gmail.com</t>
  </si>
  <si>
    <t>MDT-DRTSPL-2022-1621-EXTERNO</t>
  </si>
  <si>
    <t>MDT-DRTSPL-2022-1046-O</t>
  </si>
  <si>
    <t xml:space="preserve">Sergio Jonathan Riofrío Coronel </t>
  </si>
  <si>
    <t>sergior-05@hotmail.com</t>
  </si>
  <si>
    <t>MDT-DRTSPL-2022-1622-EXTERNO</t>
  </si>
  <si>
    <t>MDT-DRTSPL-2022-1047-O</t>
  </si>
  <si>
    <t xml:space="preserve">Nuvia Piedad Apolo Pinza </t>
  </si>
  <si>
    <t>evannavillavicencio@live.com</t>
  </si>
  <si>
    <t>MDT-DRTSPL-2022-1624-EXTERNO</t>
  </si>
  <si>
    <t>MDT-DRTSPL-2022-1042-O</t>
  </si>
  <si>
    <t xml:space="preserve">Esteban Eduardo Ordoñez </t>
  </si>
  <si>
    <t>rodrigo.a.castellanos.c@gmail.com</t>
  </si>
  <si>
    <t>MDT-DRTSPL-2022-1626-EXTERNO</t>
  </si>
  <si>
    <t>DIRECCIÓN DE SECRETARIA GENERAL</t>
  </si>
  <si>
    <t>MDT-DAS-2022-0126</t>
  </si>
  <si>
    <t xml:space="preserve">Oscar Daniel Granda Salinas </t>
  </si>
  <si>
    <t>juridicosalinasy2014@gmail.com</t>
  </si>
  <si>
    <t>MDT-DRTSPL-2022-1630-EXTERNO</t>
  </si>
  <si>
    <t>MDT-DRTSPL-2022-1035-O</t>
  </si>
  <si>
    <t xml:space="preserve">Ulices Israel Benavidez Yaguana </t>
  </si>
  <si>
    <t>israelbenavidez-1982@hotmail.com</t>
  </si>
  <si>
    <t>MDT-DRTSPL-2022-1632-EXTERNO</t>
  </si>
  <si>
    <t>MDT-DRTSPL-2022-1048-O</t>
  </si>
  <si>
    <t xml:space="preserve">Romel Alejandro Puertas Maza </t>
  </si>
  <si>
    <t>alejomadrid7676@gmail.com</t>
  </si>
  <si>
    <t>MDT-DRTSPL-2022-1634-EXTERNO</t>
  </si>
  <si>
    <t>MDT-DRTSPL-2022-1078-O</t>
  </si>
  <si>
    <t xml:space="preserve">Oliver Frank Swan Comyn </t>
  </si>
  <si>
    <t>MDT-DRTSPL-2022-1635-EXTERNO</t>
  </si>
  <si>
    <t>MDT-DRTSPL-2022-1080-O</t>
  </si>
  <si>
    <t xml:space="preserve">Frank Walter Withers </t>
  </si>
  <si>
    <t>MDT-DRTSPL-2022-1637-EXTERNO</t>
  </si>
  <si>
    <t>MDT-DRTSPL-2022-1050-O</t>
  </si>
  <si>
    <t xml:space="preserve">Fredis Delicio Robles Jara </t>
  </si>
  <si>
    <t>damaryrobles1999@gmail.com</t>
  </si>
  <si>
    <t>MDT-DRTSPL-2022-1638-EXTERNO</t>
  </si>
  <si>
    <t>MDT-DCSP-2022-0279-M</t>
  </si>
  <si>
    <t xml:space="preserve">Edgar Giovanni Torres Cueva </t>
  </si>
  <si>
    <t>giovanni_tocueva@yahoo.es</t>
  </si>
  <si>
    <t>MDT-DRTSPL-2022-1641-EXTERNO</t>
  </si>
  <si>
    <t>MDT-DRTSPL-2022-1056-O</t>
  </si>
  <si>
    <t xml:space="preserve">Luis Angel Briones Romero </t>
  </si>
  <si>
    <t>luisangelbriones@gmail.com</t>
  </si>
  <si>
    <t>MDT-DRTSPL-2022-1647-EXTERNO</t>
  </si>
  <si>
    <t>MDT-DRTSPL-2022-1058-O</t>
  </si>
  <si>
    <t xml:space="preserve">Ulfer Alejandro Trelles Ordoñez </t>
  </si>
  <si>
    <t>consorciovindex@gmail.com</t>
  </si>
  <si>
    <t>MDT-DRTSPL-2022-1648-EXTERNO</t>
  </si>
  <si>
    <t>MDT-DRTSPL-2022-1095-O</t>
  </si>
  <si>
    <t xml:space="preserve">Eddy Helmer Arrobo Rodríguez </t>
  </si>
  <si>
    <t>ear1267@live.com</t>
  </si>
  <si>
    <t>MDT-DRTSPL-2022-1650-EXTERNO</t>
  </si>
  <si>
    <t>MDT-DRTSPL-2022-1061-O</t>
  </si>
  <si>
    <t xml:space="preserve">Sandra Jenny Vidal Rodriguez </t>
  </si>
  <si>
    <t>maldonadopatico@yahoo.com</t>
  </si>
  <si>
    <t>MDT-DRTSPL-2022-1651-EXTERNO</t>
  </si>
  <si>
    <t>MDT-DRTSPL-2022-1064-O</t>
  </si>
  <si>
    <t>MDT-DRTSPL-2022-1658-EXTERNO</t>
  </si>
  <si>
    <t>MDT-DRTSPL-2022-1065-O</t>
  </si>
  <si>
    <t xml:space="preserve">Martin Reinaldo Castillo Vera </t>
  </si>
  <si>
    <t>juliavera1954idaura@gmail.com</t>
  </si>
  <si>
    <t>MDT-DRTSPL-2022-1660-EXTERNO</t>
  </si>
  <si>
    <t>MDT-DRTSPL-2022-1067-O</t>
  </si>
  <si>
    <t xml:space="preserve">Manuel Aurelio Ordóñez González. </t>
  </si>
  <si>
    <t>ordonezgm@fiscalia.gob.ec</t>
  </si>
  <si>
    <t>MDT-DRTSPL-2022-1661-EXTERNO</t>
  </si>
  <si>
    <t>MDT-DRTSPL-2022-1068-O</t>
  </si>
  <si>
    <t xml:space="preserve">Luis Alfonso Silva Aguilar </t>
  </si>
  <si>
    <t>MDT-DRTSPL-2022-1662-EXTERNO</t>
  </si>
  <si>
    <t>MDT-DRTSPL-2022-1069-O</t>
  </si>
  <si>
    <t xml:space="preserve">Bella Edit Castillo Hidalgo </t>
  </si>
  <si>
    <t>MDT-DRTSPL-2022-1663-EXTERNO</t>
  </si>
  <si>
    <t>MDT-DRTSPL-2022-1070-O</t>
  </si>
  <si>
    <t xml:space="preserve">Paúl Ricardo Coronel Torres </t>
  </si>
  <si>
    <t>MDT-DRTSPL-2022-1665-EXTERNO</t>
  </si>
  <si>
    <t>MDT-DRTSPL-2022-1076-O</t>
  </si>
  <si>
    <t xml:space="preserve">Bilma Paquita Valarezo Pereira </t>
  </si>
  <si>
    <t>guisela.obregon90@gmail.com</t>
  </si>
  <si>
    <t>MDT-DRTSPL-2022-1670-EXTERNO</t>
  </si>
  <si>
    <t>MDT-DRTSPL-2022-1077-O</t>
  </si>
  <si>
    <t xml:space="preserve">Boris Alejandro Zúñiga Mora </t>
  </si>
  <si>
    <t>gabrielpiedra29@gmail.com</t>
  </si>
  <si>
    <t>MDT-DRTSPL-2022-1671-EXTERNO</t>
  </si>
  <si>
    <t>MDT-DRTSPL-2022-1079-O</t>
  </si>
  <si>
    <t xml:space="preserve">Carla Elizabeth Castillo Moreno </t>
  </si>
  <si>
    <t>rened_1992@yahoo.es</t>
  </si>
  <si>
    <t>MDT-DRTSPL-2022-1672-EXTERNO</t>
  </si>
  <si>
    <t>MDT-DRTSPL-2022-1081-O</t>
  </si>
  <si>
    <t>MDT-DRTSPL-2022-1673-EXTERNO</t>
  </si>
  <si>
    <t>MDT-DRTSPL-2022-1087-O</t>
  </si>
  <si>
    <t xml:space="preserve">Teresa de Jesus Criollo Yunga </t>
  </si>
  <si>
    <t>MDT-DRTSPL-2022-1674-EXTERNO</t>
  </si>
  <si>
    <t xml:space="preserve">DIRECCIÓN DE ANÁLISIS SALARIAL MDT-DAS-2022-0131 2022-03-10 </t>
  </si>
  <si>
    <t xml:space="preserve">Wilson Humberto Quizhpe Gomez </t>
  </si>
  <si>
    <t>MDT-DRTSPL-2022-1681-EXTERNO</t>
  </si>
  <si>
    <t>MDT-DRTSPL-2022-1088-O</t>
  </si>
  <si>
    <t xml:space="preserve">Alan Enrique Flores Armijos </t>
  </si>
  <si>
    <t>galoortega33@gmail.com</t>
  </si>
  <si>
    <t>MDT-DRTSPL-2022-1684-EXTERNO</t>
  </si>
  <si>
    <t>MDT-DRTSPL-2022-1089-O</t>
  </si>
  <si>
    <t>MDT-DRTSPL-2022-1685-EXTERNO</t>
  </si>
  <si>
    <t>MDT-DRTSPL-2022-1091-O</t>
  </si>
  <si>
    <t xml:space="preserve">Wilson Jose Jimenez Ochoa </t>
  </si>
  <si>
    <t>jimenezwilson801@gmail.com</t>
  </si>
  <si>
    <t>MDT-DRTSPL-2022-1687-EXTERNO</t>
  </si>
  <si>
    <t>MDT-DRTSPL-2022-1094-O</t>
  </si>
  <si>
    <t xml:space="preserve">Crosbyn Saúl Valarezo Tandazo </t>
  </si>
  <si>
    <t>crosbyn.valarezo@funcionjudicial.gob.ec</t>
  </si>
  <si>
    <t>MDT-DRTSPL-2022-1688-EXTERNO</t>
  </si>
  <si>
    <t>MDT-DRTSPL-2022-1117-O</t>
  </si>
  <si>
    <t>MDT-DRTSPL-2022-1689-EXTERNO</t>
  </si>
  <si>
    <t>MDT-DRTSPL-2022-1098-O</t>
  </si>
  <si>
    <t xml:space="preserve">María Eugenia Sánchez Montero </t>
  </si>
  <si>
    <t>maria.sanchezm1@funcionjudicial.gob.e</t>
  </si>
  <si>
    <t>MDT-DRTSPL-2022-1690-EXTERNO</t>
  </si>
  <si>
    <t>DIRECCIÓN DE CONTROL E INSPECCIONES</t>
  </si>
  <si>
    <t>MDT-DCI-2022-0742-M / MDT-DRTSPL-2022-1385-O</t>
  </si>
  <si>
    <t xml:space="preserve">Diana Janeth Carreño Gutierrez </t>
  </si>
  <si>
    <t>dianis724gutierrez@gmail.com</t>
  </si>
  <si>
    <t>MDT-DRTSPL-2022-1691-EXTERNO</t>
  </si>
  <si>
    <t>MDT-DRTSPL-2022-1100-O</t>
  </si>
  <si>
    <t xml:space="preserve">Manuel Antonio Chamba Torres </t>
  </si>
  <si>
    <t>dary2207@hotmail.es</t>
  </si>
  <si>
    <t>MDT-DRTSPL-2022-1693-EXTERNO</t>
  </si>
  <si>
    <t>MDT-DRTSPL-2022-1101-O</t>
  </si>
  <si>
    <t xml:space="preserve">Amado Patricio Bravo Valarezo </t>
  </si>
  <si>
    <t>MDT-DRTSPL-2022-1694-EXTERNO</t>
  </si>
  <si>
    <t>MDT-DRTSPL-2022-1103-O</t>
  </si>
  <si>
    <t>MDT-DRTSPL-2022-1695-EXTERNO</t>
  </si>
  <si>
    <t>MDT-DRTSPL-2022-1104-O</t>
  </si>
  <si>
    <t>alexriascos22@hotmail.com</t>
  </si>
  <si>
    <t>MDT-DRTSPL-2022-1698-EXTERNO</t>
  </si>
  <si>
    <t>MDT-DRTSPL-2022-1119-O</t>
  </si>
  <si>
    <t xml:space="preserve">Juan Agustín Paladines Gallegos </t>
  </si>
  <si>
    <t>juanpaladinesg@gmail.com</t>
  </si>
  <si>
    <t>MDT-DRTSPL-2022-1704-EXTERNO</t>
  </si>
  <si>
    <t>MDT-DRTSPL-2022-1120-O</t>
  </si>
  <si>
    <t xml:space="preserve">Manuel Alejandro González Zhinin </t>
  </si>
  <si>
    <t>angel_pato72@hotmail.com</t>
  </si>
  <si>
    <t>MDT-DRTSPL-2022-1705-EXTERNO</t>
  </si>
  <si>
    <t>MDT-DRTSPL-2022-1106-O</t>
  </si>
  <si>
    <t>MDT-DRTSPL-2022-1706-EXTERNO</t>
  </si>
  <si>
    <t>MDT-DRTSPL-2022-1107-O</t>
  </si>
  <si>
    <t xml:space="preserve">Leicy Amparito Sanmartin Loarte </t>
  </si>
  <si>
    <t>Luisfercarpio_84@hotmail.com</t>
  </si>
  <si>
    <t>MDT-DRTSPL-2022-1707-EXTERNO</t>
  </si>
  <si>
    <t>MDT-DRTSPL-2022-1096-O</t>
  </si>
  <si>
    <t xml:space="preserve">Luz Amada Jimenez Castillo </t>
  </si>
  <si>
    <t>luzajc_33@hotmail.com</t>
  </si>
  <si>
    <t>MDT-DRTSPL-2022-1714-EXTERNO</t>
  </si>
  <si>
    <t>MDT-DRTSPL-2022-1108-O</t>
  </si>
  <si>
    <t xml:space="preserve">Karla Maria Luna Chamba </t>
  </si>
  <si>
    <t>rommina19@gmail.com</t>
  </si>
  <si>
    <t>MDT-DRTSPL-2022-1715-EXTERNO</t>
  </si>
  <si>
    <t>MDT-DRTSPL-2022-1109-O</t>
  </si>
  <si>
    <t xml:space="preserve">Patricio Vicente Maldonado Castillo </t>
  </si>
  <si>
    <t>MDT-DRTSPL-2022-1719-EXTERNO</t>
  </si>
  <si>
    <t>MDT-DRTSPL-2022-1110-O</t>
  </si>
  <si>
    <t xml:space="preserve">Nelson Michael Mosquera Romero </t>
  </si>
  <si>
    <t>diegopaladines.dvpc@gmail.com</t>
  </si>
  <si>
    <t>MDT-DRTSPL-2022-1720-EXTERNO</t>
  </si>
  <si>
    <t>MDT-DRTSPL-2022-1111-O</t>
  </si>
  <si>
    <t xml:space="preserve">Guisela Janeth Loarte Merino </t>
  </si>
  <si>
    <t>MDT-DRTSPL-2022-1721-EXTERNO</t>
  </si>
  <si>
    <t>MDT-DRTSPL-2022-1121-O</t>
  </si>
  <si>
    <t xml:space="preserve">Carmen Luz Ochoa Guerrero </t>
  </si>
  <si>
    <t>patroberth23@hotmail.com</t>
  </si>
  <si>
    <t>MDT-DRTSPL-2022-1723-EXTERNO</t>
  </si>
  <si>
    <t>MDT-DRTSPL-2022-1112-O</t>
  </si>
  <si>
    <t>frjhonny@hotmail.es</t>
  </si>
  <si>
    <t>MDT-DRTSPL-2022-1725-EXTERNO</t>
  </si>
  <si>
    <t>MDT-DRTSPL-2022-1113-O</t>
  </si>
  <si>
    <t xml:space="preserve">Jhonny Francisco Guerrero Robles </t>
  </si>
  <si>
    <t>MDT-DRTSPL-2022-1727-EXTERNO</t>
  </si>
  <si>
    <t>MDT-DRTSPL-2022-1114-O</t>
  </si>
  <si>
    <t xml:space="preserve">Milton Filiberto Alvarado Alvarado </t>
  </si>
  <si>
    <t>MDT-DRTSPL-2022-1729-EXTERNO</t>
  </si>
  <si>
    <t>MDT-DRTSPL-2022-1115-O</t>
  </si>
  <si>
    <t>MDT-DRTSPL-2022-1732-EXTERNO</t>
  </si>
  <si>
    <t>MDT-DRTSPL-2022-1116-O</t>
  </si>
  <si>
    <t xml:space="preserve">Maria Yelena Guaman Matailo </t>
  </si>
  <si>
    <t>adriguaman93@gmail.com</t>
  </si>
  <si>
    <t>MDT-DRTSPL-2022-1735-EXTERNO</t>
  </si>
  <si>
    <t>MDT-DRTSPL-2022-1118-O</t>
  </si>
  <si>
    <t xml:space="preserve">Vanessa Alexandra Guarnizo Ortega </t>
  </si>
  <si>
    <t>unessaortega363@gmail.com</t>
  </si>
  <si>
    <t>MDT-DRTSPL-2022-1739-EXTERNO</t>
  </si>
  <si>
    <t>MDT-DRTSPL-2022-1122-O</t>
  </si>
  <si>
    <t>droldanabogado@hotmail.com</t>
  </si>
  <si>
    <t>MDT-DRTSPL-2022-1740-EXTERNO</t>
  </si>
  <si>
    <t>MDT-DRTSPL-2022-1125-O</t>
  </si>
  <si>
    <t xml:space="preserve">Juana Maria Songor Nero </t>
  </si>
  <si>
    <t>nely.luciakuqui@outlook.es</t>
  </si>
  <si>
    <t>MDT-DRTSPL-2022-1743-EXTERNO</t>
  </si>
  <si>
    <t>MDT-DRTSPL-2022-1245-O</t>
  </si>
  <si>
    <t xml:space="preserve">Ramiro Roberto Arévalo Álvarez </t>
  </si>
  <si>
    <t>ramiroarevalo@yahoo.com</t>
  </si>
  <si>
    <t>MDT-DRTSPL-2022-1744-EXTERNO</t>
  </si>
  <si>
    <t>MDT-DRTSPL-2022-1126-O</t>
  </si>
  <si>
    <t xml:space="preserve">Vicente Salvador Armijos Pesantez </t>
  </si>
  <si>
    <t>armijospesantez@hotmail.com</t>
  </si>
  <si>
    <t>MDT-DRTSPL-2022-1747-EXTERNO</t>
  </si>
  <si>
    <t>MDT-DRTSPL-2022-1400-O</t>
  </si>
  <si>
    <t xml:space="preserve">Yesenia del Pilar Espinosa Espinosa </t>
  </si>
  <si>
    <t>MDT-DRTSPL-2022-1750-EXTERNO</t>
  </si>
  <si>
    <t>MDT-DRTSPL-2022-1127-O</t>
  </si>
  <si>
    <t xml:space="preserve">Tannya Lorena Jaramillo Castillo </t>
  </si>
  <si>
    <t>MDT-DRTSPL-2022-1751-EXTERNO</t>
  </si>
  <si>
    <t>MDT-DRTSPL-2022-1130-O</t>
  </si>
  <si>
    <t>MDT-DRTSPL-2022-1752-EXTERNO</t>
  </si>
  <si>
    <t>MDT-DRTSPL-2022-1131-O</t>
  </si>
  <si>
    <t>MDT-DRTSPL-2022-1753-EXTERNO</t>
  </si>
  <si>
    <t>MDT-DRTSPL-2022-1132-O</t>
  </si>
  <si>
    <t>MDT-DRTSPL-2022-1754-EXTERNO</t>
  </si>
  <si>
    <t>MDT-DRTSPL-2022-1133-O</t>
  </si>
  <si>
    <t>MDT-DRTSPL-2022-1755-EXTERNO</t>
  </si>
  <si>
    <t>MDT-DRTSPL-2022-1134-O</t>
  </si>
  <si>
    <t>MDT-DRTSPL-2022-1756-EXTERNO</t>
  </si>
  <si>
    <t>MDT-DRTSPL-2022-1137-O</t>
  </si>
  <si>
    <t>MDT-DRTSPL-2022-1757-EXTERNO</t>
  </si>
  <si>
    <t>MDT-DRTSPL-2022-1138-O</t>
  </si>
  <si>
    <t>MDT-DRTSPL-2022-1758-EXTERNO</t>
  </si>
  <si>
    <t>MDT-DRTSPL-2022-1139-O</t>
  </si>
  <si>
    <t>MDT-DRTSPL-2022-1759-EXTERNO</t>
  </si>
  <si>
    <t>MDT-DRTSPL-2022-1140-O</t>
  </si>
  <si>
    <t>MDT-DRTSPL-2022-1760-EXTERNO</t>
  </si>
  <si>
    <t>MDT-DRTSPL-2022-1141-O</t>
  </si>
  <si>
    <t>MDT-DRTSPL-2022-1761-EXTERNO</t>
  </si>
  <si>
    <t>MDT-DRTSPL-2022-1146-O</t>
  </si>
  <si>
    <t>MDT-DRTSPL-2022-1762-EXTERNO</t>
  </si>
  <si>
    <t>MDT-DRTSPL-2022-1147-O</t>
  </si>
  <si>
    <t>MDT-DRTSPL-2022-1763-EXTERNO</t>
  </si>
  <si>
    <t>MDT-DRTSPL-2022-1148-O</t>
  </si>
  <si>
    <t xml:space="preserve">Juan Rosalino Abad Santin </t>
  </si>
  <si>
    <t>hidaluciam@hotmail.com</t>
  </si>
  <si>
    <t>MDT-DRTSPL-2022-1764-EXTERNO</t>
  </si>
  <si>
    <t>MDT-DRTSPL-2022-1149-O</t>
  </si>
  <si>
    <t>MDT-DRTSPL-2022-1765-EXTERNO</t>
  </si>
  <si>
    <t>MDT-DRTSPL-2022-1152-O</t>
  </si>
  <si>
    <t xml:space="preserve">Diego Paul Matailo Medina </t>
  </si>
  <si>
    <t>wwwqqqhotmail.com@gmail.com</t>
  </si>
  <si>
    <t>MDT-DRTSPL-2022-1766-EXTERNO</t>
  </si>
  <si>
    <t>MDT-DRTSPL-2022-1154-O</t>
  </si>
  <si>
    <t xml:space="preserve">Segundo Vicente Sivisapa Guaya </t>
  </si>
  <si>
    <t>franklintp980@hotmail.com</t>
  </si>
  <si>
    <t>MDT-DRTSPL-2022-1767-EXTERNO</t>
  </si>
  <si>
    <t>MDT-DRTSPL-2022-1156-O</t>
  </si>
  <si>
    <t xml:space="preserve">Julio César Quezada Rosales </t>
  </si>
  <si>
    <t>ab.julioquezada@outlook.com</t>
  </si>
  <si>
    <t>MDT-DRTSPL-2022-1769-EXTERNO</t>
  </si>
  <si>
    <t>MDT-DRTSPL-2022-1157-O</t>
  </si>
  <si>
    <t>meriburguan30@gmail.com</t>
  </si>
  <si>
    <t>MDT-DRTSPL-2022-1776-EXTERNO</t>
  </si>
  <si>
    <t>MDT-DRTSPL-2022-1158-O</t>
  </si>
  <si>
    <t xml:space="preserve">Stalin Eugenio Villamagua Espinosa </t>
  </si>
  <si>
    <t>ab.alexguerreroc@gmail.com</t>
  </si>
  <si>
    <t>MDT-DRTSPL-2022-1777-EXTERNO</t>
  </si>
  <si>
    <t>MDT-DRTSPL-2022-1123-O</t>
  </si>
  <si>
    <t xml:space="preserve">Lydia Soraya Vázquez Masache </t>
  </si>
  <si>
    <t>sorayavazquezm@yahoo.es</t>
  </si>
  <si>
    <t>MDT-DRTSPL-2022-1780-EXTERNO</t>
  </si>
  <si>
    <t>MDT-DRTSPL-2022-1155-O</t>
  </si>
  <si>
    <t xml:space="preserve">Pablo Leodan Carrion Cueva </t>
  </si>
  <si>
    <t>pabloc672@gmail.com</t>
  </si>
  <si>
    <t>MDT-DRTSPL-2022-1783-EXTERNO</t>
  </si>
  <si>
    <t>MDT-DRTSPL-2022-1165-O</t>
  </si>
  <si>
    <t xml:space="preserve">Talia Margarita Maldonado Castro </t>
  </si>
  <si>
    <t>MDT-DRTSPL-2022-1791-EXTERNO</t>
  </si>
  <si>
    <t>MDT-DRTSPL-2022-1166-O</t>
  </si>
  <si>
    <t>anibalcb1979@hotmail.com</t>
  </si>
  <si>
    <t>MDT-DRTSPL-2022-1795-EXTERNO</t>
  </si>
  <si>
    <t>MDT-DRTSPL-2022-1167-O</t>
  </si>
  <si>
    <t>ceciliamartinezr@hotmail.com</t>
  </si>
  <si>
    <t>MDT-DRTSPL-2022-1797-EXTERNO</t>
  </si>
  <si>
    <t>MDT-DRTSPL-2022-1231-O</t>
  </si>
  <si>
    <t xml:space="preserve">Robin Andres Gomez Cartuche </t>
  </si>
  <si>
    <t>robinandres1992@hotmail.com</t>
  </si>
  <si>
    <t>MDT-DRTSPL-2022-1800-EXTERNO</t>
  </si>
  <si>
    <t>MDT-DRTSPL-2022-1168-O</t>
  </si>
  <si>
    <t xml:space="preserve">Ricardo Antonio Soto Soto </t>
  </si>
  <si>
    <t>rasoto_82@hotmail.com</t>
  </si>
  <si>
    <t>MDT-DRTSPL-2022-1811-EXTERNO</t>
  </si>
  <si>
    <t>MDT-DRTSPL-2022-1171-O</t>
  </si>
  <si>
    <t>luisanthonis@hotmail.com</t>
  </si>
  <si>
    <t>MDT-DRTSPL-2022-1814-EXTERNO</t>
  </si>
  <si>
    <t>MDT-DRTSPL-2022-1172-O</t>
  </si>
  <si>
    <t xml:space="preserve">Gabriel Emilio Escudero Benavides </t>
  </si>
  <si>
    <t>MDT-DRTSPL-2022-1816-EXTERNO</t>
  </si>
  <si>
    <t>MDT-DRTSPL-2022-1174-O</t>
  </si>
  <si>
    <t xml:space="preserve">Mariana de Jesus Pullaguari Paltin </t>
  </si>
  <si>
    <t>marianapullaguari@gmail.com</t>
  </si>
  <si>
    <t>MDT-DRTSPL-2022-1817-EXTERNO</t>
  </si>
  <si>
    <t>EN TRÁMITE</t>
  </si>
  <si>
    <t>Dayana Cecibel Hidalgo Montero</t>
  </si>
  <si>
    <t xml:space="preserve">Fanny Marlene Marizaca Diaz </t>
  </si>
  <si>
    <t>MDT-DRTSPL-2022-1828-EXTERNO</t>
  </si>
  <si>
    <t>MDT-DRTSPL-2022-1144-O</t>
  </si>
  <si>
    <t xml:space="preserve">Jack Israel Ontaneda Vivanco </t>
  </si>
  <si>
    <t>estefania2630@gmail.com</t>
  </si>
  <si>
    <t>MDT-DRTSPL-2022-1836-EXTERNO</t>
  </si>
  <si>
    <t>MDT-DRTSPL-2022-1178-O</t>
  </si>
  <si>
    <t>MDT-DRTSPL-2022-1837-EXTERNO</t>
  </si>
  <si>
    <t>MDT-DRTSPL-2022-1177-O</t>
  </si>
  <si>
    <t>MDT-DRTSPL-2022-1838-EXTERNO</t>
  </si>
  <si>
    <t>MDT-DRTSPL-2022-1179-O</t>
  </si>
  <si>
    <t>MDT-DRTSPL-2022-1842-EXTERNO</t>
  </si>
  <si>
    <t>MDT-DRTSPL-2022-1323-O</t>
  </si>
  <si>
    <t xml:space="preserve">Mónica del Cisne Roa Rodríguez </t>
  </si>
  <si>
    <t>monicaroa17@yahoo.es</t>
  </si>
  <si>
    <t>MDT-DRTSPL-2022-1843-EXTERNO</t>
  </si>
  <si>
    <t>MDT-DRTSPL-2022-1180-O</t>
  </si>
  <si>
    <t xml:space="preserve">Mariana Bacilia Calva Jaramillo </t>
  </si>
  <si>
    <t>mbjcalva@gmail.com</t>
  </si>
  <si>
    <t>MDT-DRTSPL-2022-1847-EXTERNO</t>
  </si>
  <si>
    <t>MDT-DRTSPL-2022-1186-O</t>
  </si>
  <si>
    <t xml:space="preserve">Lina Andrea Luzuriaga Maldonado </t>
  </si>
  <si>
    <t>ruth_estrada65@hotmail.com</t>
  </si>
  <si>
    <t>MDT-DRTSPL-2022-1849-EXTERNO</t>
  </si>
  <si>
    <t>MDT-DRTSPL-2022-1187-O</t>
  </si>
  <si>
    <t xml:space="preserve">Juan Dario Prieto Quilambaqui </t>
  </si>
  <si>
    <t>jorgetol01@hotmail.com</t>
  </si>
  <si>
    <t>MDT-DRTSPL-2022-1850-EXTERNO</t>
  </si>
  <si>
    <t>MDT-DRTSPL-2022-1188-O</t>
  </si>
  <si>
    <t>MDT-DRTSPL-2022-1854-EXTERNO</t>
  </si>
  <si>
    <t>MDT-DRTSPL-2022-1189-O</t>
  </si>
  <si>
    <t>moverlegal@gmail.com</t>
  </si>
  <si>
    <t>MDT-DRTSPL-2022-1855-EXTERNO</t>
  </si>
  <si>
    <t>MDT-DRTSPL-2022-1193-O</t>
  </si>
  <si>
    <t>MDT-DRTSPL-2022-1856-EXTERNO</t>
  </si>
  <si>
    <t>MDT-DRTSPL-2022-1194-O</t>
  </si>
  <si>
    <t>MDT-DRTSPL-2022-1858-EXTERNO</t>
  </si>
  <si>
    <t>MDT-DRTSPL-2022-1195-O</t>
  </si>
  <si>
    <t xml:space="preserve">Byron Antonio Benitez Uchuari </t>
  </si>
  <si>
    <t>MDT-DRTSPL-2022-1860-EXTERNO</t>
  </si>
  <si>
    <t>MDT-DRTSPL-2022-1196-O</t>
  </si>
  <si>
    <t xml:space="preserve">Gladys Isabel Esparza Puglla </t>
  </si>
  <si>
    <t>pachof10@hotmail.com</t>
  </si>
  <si>
    <t>MDT-DRTSPL-2022-1862-EXTERNO</t>
  </si>
  <si>
    <t>MDT-DRTSPL-2022-1197-O</t>
  </si>
  <si>
    <t xml:space="preserve">Angel Benigno Sarmiento Juarez </t>
  </si>
  <si>
    <t>crquinche@gmail.com</t>
  </si>
  <si>
    <t>MDT-DRTSPL-2022-1864-EXTERNO</t>
  </si>
  <si>
    <t>MDT-DRTSPL-2022-1203-O</t>
  </si>
  <si>
    <t>MDT-DRTSPL-2022-1867-EXTERNO</t>
  </si>
  <si>
    <t>MDT-DRTSPL-2022-1208-O</t>
  </si>
  <si>
    <t>MDT-DRTSPL-2022-1869-EXTERNO</t>
  </si>
  <si>
    <t>MDT-DRTSPL-2022-1209-O</t>
  </si>
  <si>
    <t>MDT-DRTSPL-2022-1870-EXTERNO</t>
  </si>
  <si>
    <t>MDT-DRTSPL-2022-1210-O</t>
  </si>
  <si>
    <t xml:space="preserve">Klever Vicente Troya </t>
  </si>
  <si>
    <t>MDT-DRTSPL-2022-1871-EXTERNO</t>
  </si>
  <si>
    <t>MDT-DRTSPL-2022-1211-O</t>
  </si>
  <si>
    <t>MDT-DRTSPL-2022-1872-EXTERNO</t>
  </si>
  <si>
    <t>MDT-DRTSPL-2022-1212-O</t>
  </si>
  <si>
    <t>MDT-DRTSPL-2022-1873-EXTERNO</t>
  </si>
  <si>
    <t>MDT-DRTSPL-2022-1214-O</t>
  </si>
  <si>
    <t>MDT-DRTSPL-2022-1874-EXTERNO</t>
  </si>
  <si>
    <t>MDT-DRTSPL-2022-1216-O</t>
  </si>
  <si>
    <t>MDT-DRTSPL-2022-1875-EXTERNO</t>
  </si>
  <si>
    <t>MDT-DRTSPL-2022-1218-O</t>
  </si>
  <si>
    <t>MDT-DRTSPL-2022-1876-EXTERNO</t>
  </si>
  <si>
    <t>MDT-DRTSPL-2022-1222-O</t>
  </si>
  <si>
    <t>MDT-DRTSPL-2022-1890-EXTERNO</t>
  </si>
  <si>
    <t>MDT-DRTSPL-2022-1224-O</t>
  </si>
  <si>
    <t xml:space="preserve">Jinsop Marco Ramon Suquilanda </t>
  </si>
  <si>
    <t>arrobodavid@yahoo.com</t>
  </si>
  <si>
    <t>MDT-DRTSPL-2022-1891-EXTERNO</t>
  </si>
  <si>
    <t>MDT-DRTSPL-2022-1225-O</t>
  </si>
  <si>
    <t xml:space="preserve">Gladys Noemy Chavez Moreno </t>
  </si>
  <si>
    <t>MDT-DRTSPL-2022-1893-EXTERNO</t>
  </si>
  <si>
    <t>MDT-DRTSPL-2022-1462-O</t>
  </si>
  <si>
    <t xml:space="preserve">Diego Fernando Picoita Silva </t>
  </si>
  <si>
    <t>rosicarchullavida@yahoo.es</t>
  </si>
  <si>
    <t>MDT-DRTSPL-2022-1894-EXTERNO</t>
  </si>
  <si>
    <t>Xavier Eduardo Buitron Carrera</t>
  </si>
  <si>
    <t>DIRECCIÓN DE CONTROL DEL SERVICIO PÚBLICO</t>
  </si>
  <si>
    <t>MDT-DCSP-2022-3088-O</t>
  </si>
  <si>
    <t>MDT-DRTSPL-2022-1896-EXTERNO</t>
  </si>
  <si>
    <t>MDT-DRTSPL-2022-1223-O</t>
  </si>
  <si>
    <t xml:space="preserve">Maria Obdulia Caraguay Aguinzaca </t>
  </si>
  <si>
    <t>luisvallecuena@hotmail.com</t>
  </si>
  <si>
    <t>MDT-DRTSPL-2022-1901-EXTERNO</t>
  </si>
  <si>
    <t>MDT-DRTSPL-2022-1228-O</t>
  </si>
  <si>
    <t xml:space="preserve">Hector Junnior Orellana Cando </t>
  </si>
  <si>
    <t>MDT-DRTSPL-2022-1903-EXTERNO</t>
  </si>
  <si>
    <t>MDT-DRTSPL-2022-1229-O</t>
  </si>
  <si>
    <t>sara.tandazo@funcionjudicial.gob.ec</t>
  </si>
  <si>
    <t>MDT-DRTSPL-2022-1904-EXTERNO</t>
  </si>
  <si>
    <t>MDT-DRTSPL-2022-1232-O</t>
  </si>
  <si>
    <t>MDT-DRTSPL-2022-1909-EXTERNO</t>
  </si>
  <si>
    <t>MDT-DRTSPL-2022-1181-O</t>
  </si>
  <si>
    <t xml:space="preserve">Alex Gabriel Rojas Ordoñez </t>
  </si>
  <si>
    <t>consorciojuridicoasociados@hotmail.com</t>
  </si>
  <si>
    <t>MDT-DRTSPL-2022-1911-EXTERNO</t>
  </si>
  <si>
    <t>MDT-DRTSPL-2022-1207-O</t>
  </si>
  <si>
    <t xml:space="preserve">Katheryne Lizbeth Bravo Velez </t>
  </si>
  <si>
    <t>rodcajase@yahoo.es</t>
  </si>
  <si>
    <t>MDT-DRTSPL-2022-1916-EXTERNO</t>
  </si>
  <si>
    <t>MDT-DRTSPL-2022-1246-O</t>
  </si>
  <si>
    <t xml:space="preserve">Marco Javier Apolo Oviedo </t>
  </si>
  <si>
    <t>ventas_loja@siconecuador.com</t>
  </si>
  <si>
    <t>MDT-DRTSPL-2022-1922-EXTERNO</t>
  </si>
  <si>
    <t>MDT-DRTSPL-2022-1248-O</t>
  </si>
  <si>
    <t xml:space="preserve">Richard Rafael Saraguro Puchaicela </t>
  </si>
  <si>
    <t>MDT-DRTSPL-2022-1930-EXTERNO</t>
  </si>
  <si>
    <t>MDT-DRTSPL-2022-1250-O</t>
  </si>
  <si>
    <t>MDT-DRTSPL-2022-1932-EXTERNO</t>
  </si>
  <si>
    <t>MDT-DRTSPL-2022-1251-O</t>
  </si>
  <si>
    <t>MDT-DRTSPL-2022-1933-EXTERNO</t>
  </si>
  <si>
    <t>MDT-DRTSPL-2022-1252-O</t>
  </si>
  <si>
    <t>MDT-DRTSPL-2022-1934-EXTERNO</t>
  </si>
  <si>
    <t>MDT-DRTSPL-2022-1253-O</t>
  </si>
  <si>
    <t>MDT-DRTSPL-2022-1935-EXTERNO</t>
  </si>
  <si>
    <t>MDT-DRTSPL-2022-1254-O</t>
  </si>
  <si>
    <t>MDT-DRTSPL-2022-1936-EXTERNO</t>
  </si>
  <si>
    <t>MDT-DRTSPL-2022-1255-O</t>
  </si>
  <si>
    <t>MDT-DRTSPL-2022-1937-EXTERNO</t>
  </si>
  <si>
    <t>MDT-DRTSPL-2022-1256-O</t>
  </si>
  <si>
    <t>MDT-DRTSPL-2022-1938-EXTERNO</t>
  </si>
  <si>
    <t>MDT-DRTSPL-2022-1260-O</t>
  </si>
  <si>
    <t>MDT-DRTSPL-2022-1939-EXTERNO</t>
  </si>
  <si>
    <t>MDT-DRTSPL-2022-1261-O</t>
  </si>
  <si>
    <t>MDT-DRTSPL-2022-1940-EXTERNO</t>
  </si>
  <si>
    <t>MDT-DRTSPL-2022-1263-O</t>
  </si>
  <si>
    <t>MDT-DRTSPL-2022-1941-EXTERNO</t>
  </si>
  <si>
    <t>MDT-DRTSPL-2022-1264-O</t>
  </si>
  <si>
    <t>MDT-DRTSPL-2022-1946-EXTERNO</t>
  </si>
  <si>
    <t>MDT-DRTSPL-2022-1265-O</t>
  </si>
  <si>
    <t xml:space="preserve">Willan Geovanni Chamba Pogo </t>
  </si>
  <si>
    <t>geovannichp@gmail.com</t>
  </si>
  <si>
    <t>MDT-DRTSPL-2022-1949-EXTERNO</t>
  </si>
  <si>
    <t>MDT-DRTSPL-2022-1257-O</t>
  </si>
  <si>
    <t xml:space="preserve">Lenin Tehos Erique Ochoa </t>
  </si>
  <si>
    <t>Iteriqueochoa@gmail.com</t>
  </si>
  <si>
    <t>MDT-DRTSPL-2022-1950-EXTERNO</t>
  </si>
  <si>
    <t>MDT-DRTSPL-2022-1206-O</t>
  </si>
  <si>
    <t>MDT-DRTSPL-2022-1952-EXTERNO</t>
  </si>
  <si>
    <t>MDT-DRTSPL-2022-1262-O</t>
  </si>
  <si>
    <t xml:space="preserve">Galo Manuel Abad Toledo </t>
  </si>
  <si>
    <t>galo-abad@hotmail.com</t>
  </si>
  <si>
    <t>MDT-DRTSPL-2022-1956-EXTERNO</t>
  </si>
  <si>
    <t>MDT-DRTSPL-2022-1266-O</t>
  </si>
  <si>
    <t xml:space="preserve">Raul Ricardo Gualaquiza Aranda </t>
  </si>
  <si>
    <t>aricky885@gmail.com</t>
  </si>
  <si>
    <t>MDT-DRTSPL-2022-1960-EXTERNO</t>
  </si>
  <si>
    <t>MDT-DRTSPL-2022-1276-O</t>
  </si>
  <si>
    <t xml:space="preserve">Rene Luis Quizhpe Morocho </t>
  </si>
  <si>
    <t>reneluis9407@gmail.com</t>
  </si>
  <si>
    <t>MDT-DRTSPL-2022-1962-EXTERNO</t>
  </si>
  <si>
    <t>MDT-DRTSPL-2022-1279-O</t>
  </si>
  <si>
    <t>MDT-DRTSPL-2022-1965-EXTERNO</t>
  </si>
  <si>
    <t>MDT-DRTSPL-2022-1280-O</t>
  </si>
  <si>
    <t xml:space="preserve">Ilvio Baltazar Salazar Rojas </t>
  </si>
  <si>
    <t>baltazarojas@hotmail.com</t>
  </si>
  <si>
    <t>MDT-DRTSPL-2022-1967-EXTERNO</t>
  </si>
  <si>
    <t>MDT-DRTSPL-2022-1281-O</t>
  </si>
  <si>
    <t xml:space="preserve">Angel Ariel Quezada Marizaca </t>
  </si>
  <si>
    <t>drmarcouchuari@hotmail.com</t>
  </si>
  <si>
    <t>MDT-DRTSPL-2022-1968-EXTERNO</t>
  </si>
  <si>
    <t>MDT-DRTSPL-2022-1282-O</t>
  </si>
  <si>
    <t xml:space="preserve">Nestor Polivio Nieves Chacho </t>
  </si>
  <si>
    <t>MDT-DRTSPL-2022-1969-EXTERNO</t>
  </si>
  <si>
    <t>MDT-DRTSPL-2022-1283-O</t>
  </si>
  <si>
    <t xml:space="preserve">Edgar Cristóbal Flores Criollo </t>
  </si>
  <si>
    <t>MDT-DRTSPL-2022-1970-EXTERNO</t>
  </si>
  <si>
    <t>MDT-DRTSPL-2022-1284-O</t>
  </si>
  <si>
    <t>MDT-DRTSPL-2022-1973-EXTERNO</t>
  </si>
  <si>
    <t>MDT-DRTSPL-2022-1285-O</t>
  </si>
  <si>
    <t xml:space="preserve">Byron Antonio Zhamungui Quinche </t>
  </si>
  <si>
    <t>jccastilloceli@gmail.com</t>
  </si>
  <si>
    <t>MDT-DRTSPL-2022-1974-EXTERNO</t>
  </si>
  <si>
    <t>MDT-DRTSPL-2022-1286-O</t>
  </si>
  <si>
    <t xml:space="preserve">Aimar Augusto Diaz Ochoa </t>
  </si>
  <si>
    <t>MDT-DRTSPL-2022-1975-EXTERNO</t>
  </si>
  <si>
    <t>MDT-DRTSPL-2022-1287-O</t>
  </si>
  <si>
    <t xml:space="preserve">Diego Enrique Ochoa Aldean </t>
  </si>
  <si>
    <t>diego.ochoa@funcionjudicial.gob.ec</t>
  </si>
  <si>
    <t>MDT-DRTSPL-2022-1976-EXTERNO</t>
  </si>
  <si>
    <t>Anabel Mendieta Corral</t>
  </si>
  <si>
    <t>DIRECCIÓN DE ORGANIZACIONES LABORALES</t>
  </si>
  <si>
    <t xml:space="preserve">Servio Tulio Sánchez Zapata </t>
  </si>
  <si>
    <t>MDT-DRTSPL-2022-1979-EXTERNO</t>
  </si>
  <si>
    <t>MDT-DRTSPL-2022-1249-O</t>
  </si>
  <si>
    <t xml:space="preserve">Roxy Elena Vinces Requena </t>
  </si>
  <si>
    <t>vincesrequena2020@gmail.com</t>
  </si>
  <si>
    <t>MDT-DRTSPL-2022-1980-EXTERNO</t>
  </si>
  <si>
    <t>MDT-DRTSPL-2022-1289-O</t>
  </si>
  <si>
    <t xml:space="preserve">Juan Omar Ruiz Ortega </t>
  </si>
  <si>
    <t>consorciojuridicoastudillos@gmail.com</t>
  </si>
  <si>
    <t>MDT-DRTSPL-2022-1983-EXTERNO</t>
  </si>
  <si>
    <t>MDT-DSG-2022-1090-MEMORANDO</t>
  </si>
  <si>
    <t xml:space="preserve">Ofelia Adriana Cuenca </t>
  </si>
  <si>
    <t>MDT-DRTSPL-2022-1984-EXTERNO</t>
  </si>
  <si>
    <t>MDT-DRTSPL-2022-1291-O</t>
  </si>
  <si>
    <t>MDT-DRTSPL-2022-1990-EXTERNO</t>
  </si>
  <si>
    <t>MDT-DRTSPL-2022-1247-O</t>
  </si>
  <si>
    <t>MDT-DRTSPL-2022-1991-EXTERNO</t>
  </si>
  <si>
    <t>MDT-DRTSPL-2022-1332-O</t>
  </si>
  <si>
    <t xml:space="preserve">Victor Valdivieso Jimenez </t>
  </si>
  <si>
    <t>vethowen.presidencia@gmail.com</t>
  </si>
  <si>
    <t>MDT-DRTSPL-2022-1995-EXTERNO</t>
  </si>
  <si>
    <t>MDT-DRTSPL-2022-1293-O</t>
  </si>
  <si>
    <t xml:space="preserve">Jeobana Paola Mejicano Tene </t>
  </si>
  <si>
    <t>MDT-DRTSPL-2022-1996-EXTERNO</t>
  </si>
  <si>
    <t>MDT-DRTSPL-2022-1294-O</t>
  </si>
  <si>
    <t xml:space="preserve">Marco Jinnson Astudillo Ruíz </t>
  </si>
  <si>
    <t>MDT-DRTSPL-2022-1998-EXTERNO</t>
  </si>
  <si>
    <t>MDT-DRTSPL-2022-1295-O</t>
  </si>
  <si>
    <t xml:space="preserve">Alvaro Fabian Ayora Merino </t>
  </si>
  <si>
    <t>alvaroayora@yahoo.com</t>
  </si>
  <si>
    <t>MDT-DRTSPL-2022-2003-EXTERNO</t>
  </si>
  <si>
    <t>MDT-DRTSPL-2022-1296-O</t>
  </si>
  <si>
    <t xml:space="preserve">Cesar Augusto Ochoa Correa </t>
  </si>
  <si>
    <t>ab.dianapineda02@hotmail.com</t>
  </si>
  <si>
    <t>MDT-DRTSPL-2022-2004-EXTERNO</t>
  </si>
  <si>
    <t>MDT-DRTSPL-2022-1297-O</t>
  </si>
  <si>
    <t>MDT-DRTSPL-2022-2005-EXTERNO</t>
  </si>
  <si>
    <t>MDT-DRTSPL-2022-1298-O</t>
  </si>
  <si>
    <t xml:space="preserve">Jhonny Fabian Bermeo Cabrera </t>
  </si>
  <si>
    <t>justiciaedgar@gmail.com</t>
  </si>
  <si>
    <t>MDT-DRTSPL-2022-2006-EXTERNO</t>
  </si>
  <si>
    <t>MDT-DRTSPL-2022-1299-O</t>
  </si>
  <si>
    <t xml:space="preserve">Cristian David Ponce Pullaguari </t>
  </si>
  <si>
    <t>anicati28@gmail.com</t>
  </si>
  <si>
    <t>MDT-DRTSPL-2022-2011-EXTERNO</t>
  </si>
  <si>
    <t>MDT-DRTSPL-2022-1300-O</t>
  </si>
  <si>
    <t xml:space="preserve">José Luis Yaguana Ojeda </t>
  </si>
  <si>
    <t>josluisyaguanaojeda@yahoo.com</t>
  </si>
  <si>
    <t>MDT-DRTSPL-2022-2012-EXTERNO</t>
  </si>
  <si>
    <t>MDT-DRTSPL-2022-1305-O</t>
  </si>
  <si>
    <t xml:space="preserve">Simon Bolivar Curipoma Chuncho </t>
  </si>
  <si>
    <t>sa.alexandra@hotmail.com</t>
  </si>
  <si>
    <t>MDT-DRTSPL-2022-2017-EXTERNO</t>
  </si>
  <si>
    <t>MDT-DRTSPL-2022-1306-O</t>
  </si>
  <si>
    <t xml:space="preserve">Jorge Luis Campoverde Macas </t>
  </si>
  <si>
    <t>MDT-DRTSPL-2022-2018-EXTERNO</t>
  </si>
  <si>
    <t>MDT-DRTSPL-2022-1307-O</t>
  </si>
  <si>
    <t xml:space="preserve">Hugo Fernando Montalván Ruilova </t>
  </si>
  <si>
    <t>hugonando2009@hotmail.com</t>
  </si>
  <si>
    <t>MDT-DRTSPL-2022-2019-EXTERNO</t>
  </si>
  <si>
    <t>MDT-DRTSPL-2022-1308-O</t>
  </si>
  <si>
    <t xml:space="preserve">Luis Erasmo Samaniego Muñoz </t>
  </si>
  <si>
    <t>jgvicencio.a@gmail.com</t>
  </si>
  <si>
    <t>MDT-DRTSPL-2022-2023-EXTERNO</t>
  </si>
  <si>
    <t>MDT-DRTSPL-2022-1309-O</t>
  </si>
  <si>
    <t>lauravalarezobravo@hotmail.com</t>
  </si>
  <si>
    <t>MDT-DRTSPL-2022-2028-EXTERNO</t>
  </si>
  <si>
    <t>MDT-DRTSPL-2022-1311-O</t>
  </si>
  <si>
    <t xml:space="preserve">Juan Manuel Jimenez Ramirez </t>
  </si>
  <si>
    <t>reot21@hotmail.com</t>
  </si>
  <si>
    <t>MDT-DRTSPL-2022-2031-EXTERNO</t>
  </si>
  <si>
    <t>MDT-DRTSPL-2022-1319-O</t>
  </si>
  <si>
    <t xml:space="preserve">Jose Javier Guachizaca Muñoz </t>
  </si>
  <si>
    <t>josseantoni67@gmail.com</t>
  </si>
  <si>
    <t>MDT-DRTSPL-2022-2032-EXTERNO</t>
  </si>
  <si>
    <t>MDT-DRTSPL-2022-1318-O</t>
  </si>
  <si>
    <t>MDT-DRTSPL-2022-2034-EXTERNO</t>
  </si>
  <si>
    <t>MDT-DRTSPL-2022-1328-O</t>
  </si>
  <si>
    <t xml:space="preserve">Adriana Andrea Paladines Coello </t>
  </si>
  <si>
    <t>dialticaunidadrenal@hotmail.com</t>
  </si>
  <si>
    <t>MDT-DRTSPL-2022-2035-EXTERNO</t>
  </si>
  <si>
    <t>MDT-DRTSPL-2022-1431-O</t>
  </si>
  <si>
    <t xml:space="preserve">Alexander Fabian Guerrero Fernández </t>
  </si>
  <si>
    <t xml:space="preserve">ab.alexguerreroc@gmail.com </t>
  </si>
  <si>
    <t>MDT-DRTSPL-2022-2037-EXTERNO</t>
  </si>
  <si>
    <t>MDT-DRTSPL-2022-1320-O</t>
  </si>
  <si>
    <t>MDT-DRTSPL-2022-2039-EXTERNO</t>
  </si>
  <si>
    <t>MDT-DRTSPL-2022-1321-O</t>
  </si>
  <si>
    <t>MDT-DRTSPL-2022-2040-EXTERNO</t>
  </si>
  <si>
    <t>MDT-DRTSPL-2022-1322-O</t>
  </si>
  <si>
    <t xml:space="preserve">Zoila Mercedes Palomino Macas </t>
  </si>
  <si>
    <t>zoilamercedes1967palomino@gmail.com</t>
  </si>
  <si>
    <t>MDT-DRTSPL-2022-2044-EXTERNO</t>
  </si>
  <si>
    <t>MDT-DRTSPL-2022-1324-O</t>
  </si>
  <si>
    <t>MDT-DRTSPL-2022-2045-EXTERNO</t>
  </si>
  <si>
    <t>MDT-DRTSPL-2022-1329-O</t>
  </si>
  <si>
    <t>MDT-DRTSPL-2022-2046-EXTERNO</t>
  </si>
  <si>
    <t>MDT-DRTSPL-2022-1331-O</t>
  </si>
  <si>
    <t>MDT-DRTSPL-2022-2047-EXTERNO</t>
  </si>
  <si>
    <t>MDT-DRTSPL-2022-1333-O</t>
  </si>
  <si>
    <t>MDT-DRTSPL-2022-2048-EXTERNO</t>
  </si>
  <si>
    <t>MDT-DRTSPL-2022-1334-O</t>
  </si>
  <si>
    <t>MDT-DRTSPL-2022-2049-EXTERNO</t>
  </si>
  <si>
    <t>MDT-DRTSPL-2022-1335-O</t>
  </si>
  <si>
    <t>MDT-DRTSPL-2022-2050-EXTERNO</t>
  </si>
  <si>
    <t>MDT-DRTSPL-2022-1338-O</t>
  </si>
  <si>
    <t>MDT-DRTSPL-2022-2052-EXTERNO</t>
  </si>
  <si>
    <t>MDT-DRTSPL-2022-1325-O</t>
  </si>
  <si>
    <t xml:space="preserve">Líder Germán Vivanco Herrera </t>
  </si>
  <si>
    <t>vivancar@hotmail.com</t>
  </si>
  <si>
    <t>MDT-DRTSPL-2022-2058-EXTERNO</t>
  </si>
  <si>
    <t>MDT-DRTSPL-2022-1339-O</t>
  </si>
  <si>
    <t>segundosivisapaguaya@gmail.com</t>
  </si>
  <si>
    <t>MDT-DRTSPL-2022-2059-EXTERNO</t>
  </si>
  <si>
    <t>MDT-DRTSPL-2022-1341-O</t>
  </si>
  <si>
    <t xml:space="preserve">Gabriela del Cisne Rosario Poma </t>
  </si>
  <si>
    <t>cgtltorres91@gmail.com</t>
  </si>
  <si>
    <t>MDT-DRTSPL-2022-2061-EXTERNO</t>
  </si>
  <si>
    <t>MDT-DRTSPL-2022-1343-O</t>
  </si>
  <si>
    <t xml:space="preserve">Alex Mauricio Iñiguez Cueva </t>
  </si>
  <si>
    <t>slexmauricioiniguezcueva@hotmail.com</t>
  </si>
  <si>
    <t>MDT-DRTSPL-2022-2062-EXTERNO</t>
  </si>
  <si>
    <t>MDT-DRTSPL-2022-1342-O</t>
  </si>
  <si>
    <t xml:space="preserve">Guido Raúl Castillo Abad </t>
  </si>
  <si>
    <t>morenosanchez_asociados@hotmail.com</t>
  </si>
  <si>
    <t>MDT-DRTSPL-2022-2063-EXTERNO</t>
  </si>
  <si>
    <t>MDT-DRTSPL-2022-1344-O</t>
  </si>
  <si>
    <t>MDT-DRTSPL-2022-2064-EXTERNO</t>
  </si>
  <si>
    <t>MDT-DRTSPL-2022-1345-O</t>
  </si>
  <si>
    <t>MDT-DRTSPL-2022-2065-EXTERNO</t>
  </si>
  <si>
    <t>MDT-DRTSPL-2022-1346-O</t>
  </si>
  <si>
    <t>MDT-DRTSPL-2022-2066-EXTERNO</t>
  </si>
  <si>
    <t>MDT-DRTSPL-2022-1347-O</t>
  </si>
  <si>
    <t>MDT-DRTSPL-2022-2067-EXTERNO</t>
  </si>
  <si>
    <t>MDT-DRTSPL-2022-1348-O</t>
  </si>
  <si>
    <t>MDT-DRTSPL-2022-2068-EXTERNO</t>
  </si>
  <si>
    <t>MDT-DRTSPL-2022-1349-O</t>
  </si>
  <si>
    <t>MDT-DRTSPL-2022-2069-EXTERNO</t>
  </si>
  <si>
    <t>MDT-DRTSPL-2022-1350-O</t>
  </si>
  <si>
    <t>MDT-DRTSPL-2022-2070-EXTERNO</t>
  </si>
  <si>
    <t>MDT-DRTSPL-2022-1351-O</t>
  </si>
  <si>
    <t>MDT-DRTSPL-2022-2071-EXTERNO</t>
  </si>
  <si>
    <t>MDT-DRTSPL-2022-1360-O</t>
  </si>
  <si>
    <t xml:space="preserve">Marlon Ray Santorum Montero </t>
  </si>
  <si>
    <t>MDT-DRTSPL-2022-2072-EXTERNO</t>
  </si>
  <si>
    <t>MDT-DRTSPL-2022-1357-O</t>
  </si>
  <si>
    <t>MDT-DRTSPL-2022-2073-EXTERNO</t>
  </si>
  <si>
    <t>MDT-DRTSPL-2022-1361-O</t>
  </si>
  <si>
    <t>MDT-DRTSPL-2022-2074-EXTERNO</t>
  </si>
  <si>
    <t>MDT-DRTSPL-2022-1362-O</t>
  </si>
  <si>
    <t>MDT-DRTSPL-2022-2075-EXTERNO</t>
  </si>
  <si>
    <t xml:space="preserve">Juan Jose Rivera Amay </t>
  </si>
  <si>
    <t>magalyramon18@hotmail.com</t>
  </si>
  <si>
    <t>MDT-DRTSPL-2022-2076-EXTERNO</t>
  </si>
  <si>
    <t>MDT-DRTSPL-2022-1364-O</t>
  </si>
  <si>
    <t>MDT-DRTSPL-2022-2077-EXTERNO</t>
  </si>
  <si>
    <t>MDT-DRTSPL-2022-1365-O</t>
  </si>
  <si>
    <t>MDT-DRTSPL-2022-2078-EXTERNO</t>
  </si>
  <si>
    <t>MDT-DRTSPL-2022-1366-O</t>
  </si>
  <si>
    <t>MDT-DRTSPL-2022-2079-EXTERNO</t>
  </si>
  <si>
    <t>MDT-DRTSPL-2022-1371-O</t>
  </si>
  <si>
    <t>MDT-DRTSPL-2022-2080-EXTERNO</t>
  </si>
  <si>
    <t>MDT-DRTSPL-2022-1372-O</t>
  </si>
  <si>
    <t>MDT-DRTSPL-2022-2081-EXTERNO</t>
  </si>
  <si>
    <t>MDT-DRTSPL-2022-1376-O</t>
  </si>
  <si>
    <t>MDT-DRTSPL-2022-2082-EXTERNO</t>
  </si>
  <si>
    <t>MDT-DRTSPL-2022-1377-O</t>
  </si>
  <si>
    <t>MDT-DRTSPL-2022-2083-EXTERNO</t>
  </si>
  <si>
    <t>MDT-DRTSPL-2022-1337-O</t>
  </si>
  <si>
    <t xml:space="preserve">Henry Noe Yanangomez Becerra </t>
  </si>
  <si>
    <t>henry198446@hotmail.com</t>
  </si>
  <si>
    <t>MDT-DRTSPL-2022-2087-EXTERNO</t>
  </si>
  <si>
    <t>MDT-DRTSPL-2022-1390-O</t>
  </si>
  <si>
    <t xml:space="preserve">Bereche Horley Aponte </t>
  </si>
  <si>
    <t>horleyaponte@gmail.com</t>
  </si>
  <si>
    <t>MDT-DRTSPL-2022-2093-EXTERNO</t>
  </si>
  <si>
    <t>MDT-DRTSPL-2022-1386-O</t>
  </si>
  <si>
    <t xml:space="preserve">Franco Olivar Astudillo Montalvan </t>
  </si>
  <si>
    <t>geravinipoma@hotmail.com</t>
  </si>
  <si>
    <t>MDT-DRTSPL-2022-2097-EXTERNO</t>
  </si>
  <si>
    <t>MDT-DRTSPL-2022-1387-O</t>
  </si>
  <si>
    <t xml:space="preserve">Stefany Gabriela Guerrero Fernandez </t>
  </si>
  <si>
    <t>gabyta_guerrero@hotmail.com</t>
  </si>
  <si>
    <t>MDT-DRTSPL-2022-2098-EXTERNO</t>
  </si>
  <si>
    <t>MDT-DRTSPL-2022-1389-O</t>
  </si>
  <si>
    <t>MDT-DRTSPL-2022-2103-EXTERNO</t>
  </si>
  <si>
    <t>MDT-DRTSPL-2022-1391-O</t>
  </si>
  <si>
    <t xml:space="preserve">Julio Elias Lopez Pitisaca </t>
  </si>
  <si>
    <t>abgjelp@gmail.com</t>
  </si>
  <si>
    <t>MDT-DRTSPL-2022-2105-EXTERNO</t>
  </si>
  <si>
    <t>MDT-DRTSPL-2022-1392-O</t>
  </si>
  <si>
    <t xml:space="preserve">Edgar Roberto Villa Vásquez </t>
  </si>
  <si>
    <t>edgarroberto_villa@hotmail.com</t>
  </si>
  <si>
    <t>MDT-DRTSPL-2022-2107-EXTERNO</t>
  </si>
  <si>
    <t>MDT-DRTSPL-2022-1393-O</t>
  </si>
  <si>
    <t>jumaca7940@gmail.com</t>
  </si>
  <si>
    <t>MDT-DRTSPL-2022-2108-EXTERNO</t>
  </si>
  <si>
    <t>MDT-DRTSPL-2022-1394-O</t>
  </si>
  <si>
    <t xml:space="preserve">Yosselyn Valeria Jumbo Ramos </t>
  </si>
  <si>
    <t>yvjr1606@gmail.com</t>
  </si>
  <si>
    <t>MDT-DRTSPL-2022-2114-EXTERNO</t>
  </si>
  <si>
    <t>MDT-DRTSPL-2022-1396-O</t>
  </si>
  <si>
    <t xml:space="preserve">Jaime Antonio Guzmán Regalado </t>
  </si>
  <si>
    <t>jaimeantonio07@hotmail.es</t>
  </si>
  <si>
    <t>MDT-DRTSPL-2022-2115-EXTERNO</t>
  </si>
  <si>
    <t>MDT-DRTSPL-2022-1397-O</t>
  </si>
  <si>
    <t xml:space="preserve">Pablo Vicente Jaramillo Luzuriaga </t>
  </si>
  <si>
    <t>MDT-DRTSPL-2022-2116-EXTERNO</t>
  </si>
  <si>
    <t>MDT-DRTSPL-2022-1398-O</t>
  </si>
  <si>
    <t>jcarlosjime@hotmail.es</t>
  </si>
  <si>
    <t>MDT-DRTSPL-2022-2120-EXTERNO</t>
  </si>
  <si>
    <t>MDT-DRTSPL-2022-1399-O</t>
  </si>
  <si>
    <t xml:space="preserve">Franco Manuel Castillo Chamba </t>
  </si>
  <si>
    <t>francocastillo1989@gmail.com</t>
  </si>
  <si>
    <t>MDT-DRTSPL-2022-2122-EXTERNO</t>
  </si>
  <si>
    <t>MDT-DRTSPL-2022-1409-O</t>
  </si>
  <si>
    <t xml:space="preserve">Víctor Hugo Samaniego Luna </t>
  </si>
  <si>
    <t>rectorado@tbolivariano.edu.ec</t>
  </si>
  <si>
    <t>MDT-DRTSPL-2022-2125-EXTERNO</t>
  </si>
  <si>
    <t>MDT-DRTSPL-2022-1401-O</t>
  </si>
  <si>
    <t xml:space="preserve">Jose Alexis Guaman Campoverde </t>
  </si>
  <si>
    <t>josealexis91@yahoo.com</t>
  </si>
  <si>
    <t>MDT-DRTSPL-2022-2127-EXTERNO</t>
  </si>
  <si>
    <t>MDT-DRTSPL-2022-2126-EXTERNO</t>
  </si>
  <si>
    <t>MDT-DRTSPL-2022-1402-O</t>
  </si>
  <si>
    <t>MDT-DRTSPL-2022-2128-EXTERNO</t>
  </si>
  <si>
    <t>MDT-DRTSPL-2022-1405-O</t>
  </si>
  <si>
    <t>MDT-DRTSPL-2022-2129-EXTERNO</t>
  </si>
  <si>
    <t>MDT-DRTSPL-2022-1458-O</t>
  </si>
  <si>
    <t>sivigua@hotmail.com</t>
  </si>
  <si>
    <t>MDT-DRTSPL-2022-2134-EXTERNO</t>
  </si>
  <si>
    <t>MDT-DRTSPL-2022-1414-O</t>
  </si>
  <si>
    <t>MDT-DRTSPL-2022-2135-EXTERNO</t>
  </si>
  <si>
    <t>MDT-DRTSPL-2022-1416-O</t>
  </si>
  <si>
    <t>satje.loja@funcionjudicial.gob.ec</t>
  </si>
  <si>
    <t>MDT-DRTSPL-2022-2137-EXTERNO</t>
  </si>
  <si>
    <t>MDT-DRTSPL-2022-1417-O</t>
  </si>
  <si>
    <t>MDT-DRTSPL-2022-2142-EXTERNO</t>
  </si>
  <si>
    <t>MDT-DRTSPL-2022-1418-O</t>
  </si>
  <si>
    <t xml:space="preserve">Alex Eduardo Muñoz Vinces </t>
  </si>
  <si>
    <t>pirotal18@yahoo.com</t>
  </si>
  <si>
    <t>MDT-DRTSPL-2022-2144-EXTERNO</t>
  </si>
  <si>
    <t>MDT-DRTSPL-2022-1419-O</t>
  </si>
  <si>
    <t xml:space="preserve">Susana Beatriz Rosillo Troya </t>
  </si>
  <si>
    <t>calvarombito@gmail.com</t>
  </si>
  <si>
    <t>MDT-DRTSPL-2022-2146-EXTERNO</t>
  </si>
  <si>
    <t>MDT-DRTSPL-2022-1595-O</t>
  </si>
  <si>
    <t xml:space="preserve">Sonia Maria Jiménez Jiménez </t>
  </si>
  <si>
    <t>info@espindola.gob.ec</t>
  </si>
  <si>
    <t>MDT-DRTSPL-2022-2147-EXTERNO</t>
  </si>
  <si>
    <t>MDT-DRTSPL-2022-1420-O</t>
  </si>
  <si>
    <t xml:space="preserve">Mercy Cecilia Jimenez Soto </t>
  </si>
  <si>
    <t>fercho.6.1995@gmail.com</t>
  </si>
  <si>
    <t>MDT-DRTSPL-2022-2153-EXTERNO</t>
  </si>
  <si>
    <t>MDT-DRTSPL-2022-1425-O</t>
  </si>
  <si>
    <t>MDT-DRTSPL-2022-2154-EXTERNO</t>
  </si>
  <si>
    <t>MDT-DRTSPL-2022-1422-O</t>
  </si>
  <si>
    <t xml:space="preserve">Diana Elizabeth Encalada Medina </t>
  </si>
  <si>
    <t>elizabethencalada57@gmail.com</t>
  </si>
  <si>
    <t>MDT-DRTSPL-2022-2158-EXTERNO</t>
  </si>
  <si>
    <t>MDT-DRTSPL-2022-1423-O</t>
  </si>
  <si>
    <t xml:space="preserve">Gabriela Estefania Herrera Narvaez </t>
  </si>
  <si>
    <t>gabyestefania1411@outlook.es</t>
  </si>
  <si>
    <t>MDT-DRTSPL-2022-2159-EXTERNO</t>
  </si>
  <si>
    <t>MDT-DRTSPL-2022-1426-O</t>
  </si>
  <si>
    <t xml:space="preserve">Kevin Alexander Jimenez Tello </t>
  </si>
  <si>
    <t>kevin48@outlook.es</t>
  </si>
  <si>
    <t>MDT-DRTSPL-2022-2162-EXTERNO</t>
  </si>
  <si>
    <t>MDT-DRTSPL-2022-1438-O</t>
  </si>
  <si>
    <t>MDT-DRTSPL-2022-2164-EXTERNO</t>
  </si>
  <si>
    <t xml:space="preserve">Luz Victoria Campos Sanchez </t>
  </si>
  <si>
    <t>MDT-DRTSPL-2022-2168-EXTERNO</t>
  </si>
  <si>
    <t>Adrymateomarin@gmail.com</t>
  </si>
  <si>
    <t>MDT-DRTSPL-2022-2175-EXTERNO</t>
  </si>
  <si>
    <t>MDT-DRTSPL-2022-1443-O</t>
  </si>
  <si>
    <t xml:space="preserve">Gilbert Robles Moreno </t>
  </si>
  <si>
    <t>gilberthrobles1494@gmail.com</t>
  </si>
  <si>
    <t>MDT-DRTSPL-2022-2184-EXTERNO</t>
  </si>
  <si>
    <t>MDT-DRTSPL-2022-1421-O</t>
  </si>
  <si>
    <t xml:space="preserve">Jenny Elizabeth Armijos Salinas </t>
  </si>
  <si>
    <t>yennyely3@gmail.com</t>
  </si>
  <si>
    <t>MDT-DRTSPL-2022-2186-EXTERNO</t>
  </si>
  <si>
    <t>MDT-DRTSPL-2022-1444-O</t>
  </si>
  <si>
    <t xml:space="preserve">Ana Lucia Lopez Irua </t>
  </si>
  <si>
    <t>MDT-DRTSPL-2022-2189-EXTERNO</t>
  </si>
  <si>
    <t>MDT-DRTSPL-2022-1445-O</t>
  </si>
  <si>
    <t>MDT-DRTSPL-2022-2190-EXTERNO</t>
  </si>
  <si>
    <t>MDT-DRTSPL-2022-1446-O</t>
  </si>
  <si>
    <t xml:space="preserve">Gloria Piedad Contento Medina </t>
  </si>
  <si>
    <t>rickyerc@gmail.com</t>
  </si>
  <si>
    <t>MDT-DRTSPL-2022-2191-EXTERNO</t>
  </si>
  <si>
    <t>MDT-DRTSPL-2022-1447-O</t>
  </si>
  <si>
    <t xml:space="preserve">Leonor Margarita Lanche Cabrera </t>
  </si>
  <si>
    <t>MDT-DRTSPL-2022-2197-EXTERNO</t>
  </si>
  <si>
    <t>MDT-DRTSPL-2022-1388-O</t>
  </si>
  <si>
    <t xml:space="preserve">Rosa Tania Poma Tapia </t>
  </si>
  <si>
    <t>MDT-DRTSPL-2022-2198-EXTERNO</t>
  </si>
  <si>
    <t>MDT-DRTSPL-2022-1448-O</t>
  </si>
  <si>
    <t>flavio.bravo@funcionjudicial.gob.ec</t>
  </si>
  <si>
    <t>MDT-DRTSPL-2022-2200-EXTERNO</t>
  </si>
  <si>
    <t>MDT-DRTSPL-2022-1460-O</t>
  </si>
  <si>
    <t xml:space="preserve">Lenin Alexander Jaramillo Remache </t>
  </si>
  <si>
    <t>efralar200@yahoo.es</t>
  </si>
  <si>
    <t>MDT-DRTSPL-2022-2204-EXTERNO</t>
  </si>
  <si>
    <t>MDT-DRTSPL-2022-1461-O</t>
  </si>
  <si>
    <t xml:space="preserve">Carlos Gabriel Pogo Condoy </t>
  </si>
  <si>
    <t>carlitoscondoy1@gmail.com</t>
  </si>
  <si>
    <t>MDT-DRTSPL-2022-2205-EXTERNO</t>
  </si>
  <si>
    <t>MDT-DRTSPL-2022-1463-O</t>
  </si>
  <si>
    <t xml:space="preserve">Luisa Fernanda Castro Salazar </t>
  </si>
  <si>
    <t>cesarmontano.estudiojuridico@gmail.com</t>
  </si>
  <si>
    <t>MDT-DRTSPL-2022-2206-EXTERNO</t>
  </si>
  <si>
    <t>MDT-DRTSPL-2022-1459-O</t>
  </si>
  <si>
    <t>MDT-DRTSPL-2022-2207-EXTERNO</t>
  </si>
  <si>
    <t>MDT-DRTSPL-2022-1413-O</t>
  </si>
  <si>
    <t xml:space="preserve">Jhuliana Elizabeth Gaona Abad </t>
  </si>
  <si>
    <t>MDT-DRTSPL-2022-2209-EXTERNO</t>
  </si>
  <si>
    <t>MDT-DRTSPL-2022-1464-O</t>
  </si>
  <si>
    <t xml:space="preserve">Gonzalo Iván Aguirre Valdivieso </t>
  </si>
  <si>
    <t>MDT-DRTSPL-2022-2212-EXTERNO</t>
  </si>
  <si>
    <t>Oscar Andrés Jurado Morales</t>
  </si>
  <si>
    <t>DIRECCIÓN DE SECRETARÍA GENERAL</t>
  </si>
  <si>
    <t xml:space="preserve">Yolanda Patricia Freire Ramon </t>
  </si>
  <si>
    <t>MDT-DRTSPL-2022-2215-EXTERNO</t>
  </si>
  <si>
    <t>MDT-DRTSPL-2022-1465-O</t>
  </si>
  <si>
    <t>maria.y.gonzalez@unl.edu.ec</t>
  </si>
  <si>
    <t>MDT-DRTSPL-2022-2216-EXTERNO</t>
  </si>
  <si>
    <t>MDT-DRTSPL-2022-1466-O</t>
  </si>
  <si>
    <t>luis.figueroa@funcionjudicial.gob.ec</t>
  </si>
  <si>
    <t>MDT-DRTSPL-2022-2217-EXTERNO</t>
  </si>
  <si>
    <t>MDT-DRTSPL-2022-1467-O</t>
  </si>
  <si>
    <t>MDT-DRTSPL-2022-2218-EXTERNO</t>
  </si>
  <si>
    <t>MDT-DRTSPL-2022-1469-O</t>
  </si>
  <si>
    <t>fernando.brayanes@funcionjudicial.gob.ec</t>
  </si>
  <si>
    <t>MDT-DRTSPL-2022-2220-EXTERNO</t>
  </si>
  <si>
    <t>MDT-DRTSPL-2022-1470-O</t>
  </si>
  <si>
    <t>MDT-DRTSPL-2022-2221-EXTERNO</t>
  </si>
  <si>
    <t>MDT-DRTSPL-2022-1472-O</t>
  </si>
  <si>
    <t>MDT-DRTSPL-2022-2224-EXTERNO</t>
  </si>
  <si>
    <t>MDT-DRTSPL-2022-1473-O</t>
  </si>
  <si>
    <t>MDT-DRTSPL-2022-2226-EXTERNO</t>
  </si>
  <si>
    <t>MDT-DRTSPL-2022-1474-O</t>
  </si>
  <si>
    <t xml:space="preserve">Telma del Cisne Cuenca Torres </t>
  </si>
  <si>
    <t>abogadosdelmilenioloja@gmail.com</t>
  </si>
  <si>
    <t>MDT-DRTSPL-2022-2227-EXTERNO</t>
  </si>
  <si>
    <t>MDT-DRTSPL-2022-1477-O</t>
  </si>
  <si>
    <t xml:space="preserve">Angel David Luzuriaga Izquierdo </t>
  </si>
  <si>
    <t>davidluzuriaga2016@gmail.com</t>
  </si>
  <si>
    <t>MDT-DRTSPL-2022-2228-EXTERNO</t>
  </si>
  <si>
    <t>MDT-DRTSPL-2022-1479-O</t>
  </si>
  <si>
    <t>MDT-DRTSPL-2022-2230-EXTERNO</t>
  </si>
  <si>
    <t>MDT-DRTSPL-2022-1480-O</t>
  </si>
  <si>
    <t xml:space="preserve">Diomenes Guillermo Cueva Acaro </t>
  </si>
  <si>
    <t>chinocueva@hotmail.com</t>
  </si>
  <si>
    <t>MDT-DRTSPL-2022-2231-EXTERNO</t>
  </si>
  <si>
    <t>MDT-DRTSPL-2022-1412-O</t>
  </si>
  <si>
    <t xml:space="preserve">Carlos Eduardo Paccha Soto </t>
  </si>
  <si>
    <t>abogadoandresSalinas@gmail.com</t>
  </si>
  <si>
    <t>MDT-DRTSPL-2022-2232-EXTERNO</t>
  </si>
  <si>
    <t>MDT-DRTSPL-2022-1481-O</t>
  </si>
  <si>
    <t xml:space="preserve">Benjamin Eulogio Jara Aucapiña </t>
  </si>
  <si>
    <t>MDT-DRTSPL-2022-2269-EXTERNO</t>
  </si>
  <si>
    <t>MDT-DRTSPL-2022-1498-O</t>
  </si>
  <si>
    <t xml:space="preserve">Sergio Amado Herrera Agreda </t>
  </si>
  <si>
    <t>paulinita21@hotmail.com</t>
  </si>
  <si>
    <t>MDT-DRTSPL-2022-2268-EXTERNO</t>
  </si>
  <si>
    <t>MDT-DRTSPL-2022-1497-O</t>
  </si>
  <si>
    <t xml:space="preserve">Cármen Luisa Paladines Criollo </t>
  </si>
  <si>
    <t>MDT-DRTSPL-2022-2267-EXTERNO</t>
  </si>
  <si>
    <t>MDT-DRTSPL-2022-1496-O</t>
  </si>
  <si>
    <t>MDT-DRTSPL-2022-2261-EXTERNO</t>
  </si>
  <si>
    <t>MDT-DRTSPL-2022-1495-O</t>
  </si>
  <si>
    <t xml:space="preserve">Fanny Monica Lara Mera </t>
  </si>
  <si>
    <t>juanjose.228@hotmail.com</t>
  </si>
  <si>
    <t>MDT-DRTSPL-2022-2253-EXTERNO</t>
  </si>
  <si>
    <t>MDT-DRTSPL-2022-1494-O</t>
  </si>
  <si>
    <t>ramiroaguirre.ab@gmail.com</t>
  </si>
  <si>
    <t>MDT-DRTSPL-2022-2252-EXTERNO</t>
  </si>
  <si>
    <t>MDT-DRTSPL-2022-1493-O</t>
  </si>
  <si>
    <t>MDT-DRTSPL-2022-2251-EXTERNO</t>
  </si>
  <si>
    <t>MDT-DRTSPL-2022-1489-O</t>
  </si>
  <si>
    <t>ventanila virtual}</t>
  </si>
  <si>
    <t>MDT-DRTSPL-2022-2250-EXTERNO</t>
  </si>
  <si>
    <t>MDT-DRTSPL-2022-1488-O</t>
  </si>
  <si>
    <t xml:space="preserve">Wilson Michael Luna Carrion </t>
  </si>
  <si>
    <t>wmluna_1992@hotmail.com</t>
  </si>
  <si>
    <t>MDT-DRTSPL-2022-2249-EXTERNO</t>
  </si>
  <si>
    <t>MDT-DRTSPL-2022-1430-O</t>
  </si>
  <si>
    <t>MDT-DRTSPL-2022-2248-EXTERNO</t>
  </si>
  <si>
    <t>MDT-DRTSPL-2022-1427-O</t>
  </si>
  <si>
    <t>kerlymaria_96@gmail.com</t>
  </si>
  <si>
    <t>MDT-DRTSPL-2022-2245-EXTERNO</t>
  </si>
  <si>
    <t>MDT-DRTSPL-2022-1487-O</t>
  </si>
  <si>
    <t xml:space="preserve">René Fabricio Agila Guamán </t>
  </si>
  <si>
    <t>MDT-DRTSPL-2022-2244-EXTERNO</t>
  </si>
  <si>
    <t>MDT-DRTSPL-2022-1486-O</t>
  </si>
  <si>
    <t>MDT-DRTSPL-2022-2242-EXTERNO</t>
  </si>
  <si>
    <t>MDT-DRTSPL-2022-1492-O</t>
  </si>
  <si>
    <t xml:space="preserve">Eduardo Luis Granda Lavanda </t>
  </si>
  <si>
    <t>jonpatricps@hotmail.com</t>
  </si>
  <si>
    <t>MDT-DRTSPL-2022-2241-EXTERNO</t>
  </si>
  <si>
    <t>MDT-DRTSPL-2022-1485-O</t>
  </si>
  <si>
    <t>MDT-DRTSPL-2022-2235-EXTERNO</t>
  </si>
  <si>
    <t>MDT-DRTSPL-2022-1483-O</t>
  </si>
  <si>
    <t>gabrielarosario1415@gmail.com</t>
  </si>
  <si>
    <t>MDT-DRTSPL-2022-2234-EXTERNO</t>
  </si>
  <si>
    <t>MDT-DRTSPL-2022-1482-O</t>
  </si>
  <si>
    <t xml:space="preserve">Víctor Santín Salazar </t>
  </si>
  <si>
    <t>MDT-DATH-2022-1347-M</t>
  </si>
  <si>
    <t>MDT-DRTSPL-2022-0654-M</t>
  </si>
  <si>
    <t>MDT-DRTSPL-2022-0675-M</t>
  </si>
  <si>
    <t>MDT-DRTSPL-2022-0697-M</t>
  </si>
  <si>
    <t>MDT-DRTSPL-2022-0676-M</t>
  </si>
  <si>
    <t>MDT-DRTSPL-2022-0701-M</t>
  </si>
  <si>
    <t>MDT-DRTSPL-2022-0608-M</t>
  </si>
  <si>
    <t>MDT-DRTSPL-2022-0722-M</t>
  </si>
  <si>
    <t>MDT-DRTSPL-2022-0635-M</t>
  </si>
  <si>
    <t>MDT-DRTSPL-2022-0723-M</t>
  </si>
  <si>
    <t>MDT-DATH-2022-1795-M</t>
  </si>
  <si>
    <t>MDT-DRTSPL-2022-0735-M</t>
  </si>
  <si>
    <t>MDT-DRTSPL-2022-0725-M</t>
  </si>
  <si>
    <t>MDT-DRTSPL-2022-0738-M</t>
  </si>
  <si>
    <t>MDT-DRTSPL-2022-0815-M</t>
  </si>
  <si>
    <t>MDT-DRTSPL-2022-0820-M</t>
  </si>
  <si>
    <t>MDT-DRTSPL-2022-0817-M</t>
  </si>
  <si>
    <t>MDT-DRTSPL-2022-0822-M</t>
  </si>
  <si>
    <t>MDT-DRTSPL-2022-0844-M</t>
  </si>
  <si>
    <t>MDT-DRTSPL-2022-0854-M</t>
  </si>
  <si>
    <t>MDT-DRTSPL-2022-0838-M</t>
  </si>
  <si>
    <t>MDT-DRTSPL-2022-0870-M</t>
  </si>
  <si>
    <t>MDT-DSG-2022-4670-EXTERNO</t>
  </si>
  <si>
    <t>MDT-DRTSPL-2022-1415-O</t>
  </si>
  <si>
    <t>Gonzalo Milton Jaramillo Guevara</t>
  </si>
  <si>
    <t>galo2686@yahoo.es</t>
  </si>
  <si>
    <t>MDT-DRTSPL-2022-0933-M</t>
  </si>
  <si>
    <t>MDT-DRTSPL-2022-0938-M</t>
  </si>
  <si>
    <t>MDT-DRTSPL-2022-2109-EXTERNO</t>
  </si>
  <si>
    <t>MDT-DRTSPL-2022-1424-O</t>
  </si>
  <si>
    <t>Samaniego Burneo Renato Andrés</t>
  </si>
  <si>
    <t>rasamaniegob@gmail.com</t>
  </si>
  <si>
    <t>MDT-DRTSPL-2022-0660-M</t>
  </si>
  <si>
    <t>MDT-DRTSPL-2022-0688-M</t>
  </si>
  <si>
    <t>MDT-DRTSPL-2022-0705-M</t>
  </si>
  <si>
    <t>MDT-DRTSPL-2022-0777-M</t>
  </si>
  <si>
    <t>MDT-DRTSPL-2022-0784-M</t>
  </si>
  <si>
    <t>MDT-DRTSPL-2022-0906-M</t>
  </si>
  <si>
    <t>MDT-DRTSPL-2022-0916-M</t>
  </si>
  <si>
    <t>MDT-DRTSPL-2022-1955-EXTERNO</t>
  </si>
  <si>
    <t>Franco Leonardo Garcia Celi (MDT)</t>
  </si>
  <si>
    <t>MDT-DRTSPL-2022-1278-O</t>
  </si>
  <si>
    <t xml:space="preserve">Sergio Mauricio León Pineda </t>
  </si>
  <si>
    <t>cotranscolsa@hotmail.com</t>
  </si>
  <si>
    <t>MDT-DRTSPL-2022-1954-EXTERNO</t>
  </si>
  <si>
    <t>MDT-DRTSPL-2022-1277-O</t>
  </si>
  <si>
    <t>MDT-DRTSPL-2022-1431-EXTERNO</t>
  </si>
  <si>
    <t>MDT-DSG-2022-0991-MEMORANDO / MDT-DRTSPL-2022-1290-O</t>
  </si>
  <si>
    <t xml:space="preserve">Klever Modesto Álvarez Herrera </t>
  </si>
  <si>
    <t>kleveralvarezh@hotmail.com</t>
  </si>
  <si>
    <t>MDT-DCI-2022-0740-M, MDT-DRTSPL-2022-1277-O</t>
  </si>
  <si>
    <t xml:space="preserve">Frank Editson Castillo Ramirez
</t>
  </si>
  <si>
    <t xml:space="preserve">MDT-DSG-2022-1052-MEMORANDO / MDT-DRTSPL-2022-1373-O </t>
  </si>
  <si>
    <t>MDT-DPTSPOP-2022-0028-EXTERNO</t>
  </si>
  <si>
    <t xml:space="preserve">Andrea Karlina Aguilar Salazar </t>
  </si>
  <si>
    <t>MDT-DPTSPOP-2022-0009-O</t>
  </si>
  <si>
    <t>Guillermo de Jesus Añazco Encalada</t>
  </si>
  <si>
    <t>fsanzgonzalez@hotmail.com</t>
  </si>
  <si>
    <t>MDT-DPTSPOP-2022-0035-EXTERNO</t>
  </si>
  <si>
    <t>MDT-DPTSPOP-2022-0011-O</t>
  </si>
  <si>
    <t>Edisson Vicente Criollo Bustamante</t>
  </si>
  <si>
    <t>xavignacio1@hotmail.com</t>
  </si>
  <si>
    <t>MDT-DPTSPOP-2022-0041-EXTERNO</t>
  </si>
  <si>
    <t>MDT-DPTSPOP-2022-0012-O</t>
  </si>
  <si>
    <t>Mercedes Maria Torres Atiencia</t>
  </si>
  <si>
    <t>marcovinicioa19@gmail.com</t>
  </si>
  <si>
    <t>MDT-DPTSPOP-2022-0045-EXTERNO</t>
  </si>
  <si>
    <t>MDT-DPTSPOP-2022-0013-O</t>
  </si>
  <si>
    <t>Geovanny Fabricio Cuenca Vasquez</t>
  </si>
  <si>
    <t>ab.francobarros.10@hotmail.com</t>
  </si>
  <si>
    <t>MDT-DPTSPZCH-2022-0214-EXTERNO</t>
  </si>
  <si>
    <t>MDT-DPTSPZCH-2022-0064-O</t>
  </si>
  <si>
    <t>Teresa Alexandra Reinoso Camacho</t>
  </si>
  <si>
    <t>mramon@defensoria.gob.ec</t>
  </si>
  <si>
    <t>MDT-DPTSPZCH-2022-0221-EXTERNO</t>
  </si>
  <si>
    <t>0703/2022</t>
  </si>
  <si>
    <t>MDT-DPTSPZCH-2022-0065-O</t>
  </si>
  <si>
    <t xml:space="preserve">Luis Francisco Sarango Paqui </t>
  </si>
  <si>
    <t>lfsp75@hotmail.com</t>
  </si>
  <si>
    <t>MDT-DPTSPZCH-2022-0222-EXTERNO</t>
  </si>
  <si>
    <t>0703/2023</t>
  </si>
  <si>
    <t>MDT-DPTSPZCH-2022-00666-O</t>
  </si>
  <si>
    <t>Gloria Esperanza Remache Guachanama</t>
  </si>
  <si>
    <t>walter19-@hotmail.com</t>
  </si>
  <si>
    <t>MDT-DPTSPZCH-2022-0224-EXTERNO</t>
  </si>
  <si>
    <t>07/032022</t>
  </si>
  <si>
    <t>MDT-DPTSPZCH-2022-0067-O</t>
  </si>
  <si>
    <t>Roy Yogi Poma Lalangui</t>
  </si>
  <si>
    <t>www.fiscalia.gob.ec</t>
  </si>
  <si>
    <t>MDT-DPTSPZCH-2022-0228-EXTERNO</t>
  </si>
  <si>
    <t>MDT-DPTSPZCH-2022-0068-O</t>
  </si>
  <si>
    <t>Diego Enrique González Quezada</t>
  </si>
  <si>
    <t>diegogonzalezquezada@hotmail.com</t>
  </si>
  <si>
    <t>MDT-DPTSPZCH-2022-0230-EXTERNO</t>
  </si>
  <si>
    <t>MDT-DPTSPZCH-2022-0070-O</t>
  </si>
  <si>
    <t>Yury Maribel Guamán Guaillas</t>
  </si>
  <si>
    <t>emseturenliquidacion@gmail.com</t>
  </si>
  <si>
    <t>MDT-DPTSPZCH-2022-0239-EXTERNO</t>
  </si>
  <si>
    <t>MDT-DPTSPZCH-2022-0071-O</t>
  </si>
  <si>
    <t>Carlos Geovanny Ortiz Guaillas</t>
  </si>
  <si>
    <t>MDT-DPTSPZCH-2022-0248-EXTERNO</t>
  </si>
  <si>
    <t>MDT-DPTSPZCH-2022-0072-O</t>
  </si>
  <si>
    <t>Danny Fabian Vicente Castillo</t>
  </si>
  <si>
    <t>vdanny02junio@hotmail.com</t>
  </si>
  <si>
    <t>MDT-DPTSPZCH-2022-0246-EXTERNO</t>
  </si>
  <si>
    <t>MDT-DPTSPZCH-2022-0073-O</t>
  </si>
  <si>
    <t>www.funcionjudicial.gob.ec</t>
  </si>
  <si>
    <t>MDT-DPTSPZCH-2022-0254-EXTERNO</t>
  </si>
  <si>
    <t>18/03/202</t>
  </si>
  <si>
    <t>MDT-DPTSPZCH-2022-0074-O</t>
  </si>
  <si>
    <t>MDT-DPTSPZCH-2022-0231-EXTERNO</t>
  </si>
  <si>
    <t>MDT-DPTSPZCH-2022-0075-O</t>
  </si>
  <si>
    <t>Cesar Augusto Cuenca Cuenca</t>
  </si>
  <si>
    <t>sesarcuenca53@gmail.com</t>
  </si>
  <si>
    <t>MDT-DPTSPZCH-2022-0274-EXTERNO</t>
  </si>
  <si>
    <t>MDT-DPTSPZCH-2022-0076-O</t>
  </si>
  <si>
    <t>Jhoel Andres Gonzalez Romero</t>
  </si>
  <si>
    <t>karyareleon@gmail.com</t>
  </si>
  <si>
    <t>MDT-DPTSPZCH-2022-0272-EXTERNO</t>
  </si>
  <si>
    <t>MDT-DPTSPZCH-2022-0077-O</t>
  </si>
  <si>
    <t>Guadalupe Pacheco Piedra</t>
  </si>
  <si>
    <t>MDT-DPTSPZCH-2022-0301-EXTERNO</t>
  </si>
  <si>
    <t>MDT-DPTSPZCH-2022-0078-O</t>
  </si>
  <si>
    <t>MDT-DPTSPZCH-2022-0302-EXTERNO</t>
  </si>
  <si>
    <t>MDT-DPTSPZCH-2022-0079-O</t>
  </si>
  <si>
    <t>MDT-DPTSPZCH-2022-0328-EXTERNO</t>
  </si>
  <si>
    <t>MDT-DPTSPZCH-2022-0080-O</t>
  </si>
  <si>
    <t>MDT-DPTSPZCH-2022-0329-EXTERNO</t>
  </si>
  <si>
    <t>MDT-DPTSPZCH-2022-0081-O</t>
  </si>
  <si>
    <t>MDT-DPTSPZCH-2022-0330-EXTERNO</t>
  </si>
  <si>
    <t>MDT-DPTSPZCH-2022-0082-O</t>
  </si>
  <si>
    <t>MDT-DPTSPZCH-2022-0334-EXTERNO</t>
  </si>
  <si>
    <t>MDT-DPTSPZCH-2022-0083-O</t>
  </si>
  <si>
    <t>Celena del Carmen Pintado Sanchez</t>
  </si>
  <si>
    <t>MDT-DPTSPZCH-2022-0335-EXTERNO</t>
  </si>
  <si>
    <t>MDT-DPTSPZCH-2022-0084-O</t>
  </si>
  <si>
    <t>Carlos Alberto Betancourth Cañar</t>
  </si>
  <si>
    <t>coldosnake@hotmail.com</t>
  </si>
  <si>
    <t>MDT-DPTSPZCH-2022-0338-EXTERNO</t>
  </si>
  <si>
    <t>MDT-DPTSPZCH-2022-0085-O</t>
  </si>
  <si>
    <t>Bladimiro Gerardo Gomez Alvarez</t>
  </si>
  <si>
    <t>baldigomezg@gmail.com</t>
  </si>
  <si>
    <t>MDT-DPTSPZCH-2022-0340-EXTERNO</t>
  </si>
  <si>
    <t>MDT-DPTSPZCH-2022-0086-O</t>
  </si>
  <si>
    <t>Maria Fernanda Guevara Sanchez</t>
  </si>
  <si>
    <t>MDT-DPTSPOM-2022-0637-EXTERNO</t>
  </si>
  <si>
    <t>DELEGACIÓN PROVINCIAL DE TRABAJO Y SERVICIO PÚBLICO DE EL ORO - MACHALA</t>
  </si>
  <si>
    <t>MARIA ANDREA VERA MOSQUERA</t>
  </si>
  <si>
    <t>MDT-DPTSPOM-2022-0194-O</t>
  </si>
  <si>
    <t xml:space="preserve">Carlos Alberto Jima Quichimbo </t>
  </si>
  <si>
    <t xml:space="preserve">  carlosjima72@hotmail.com</t>
  </si>
  <si>
    <t>MDT-DPTSPOM-2022-0753-EXTERNO</t>
  </si>
  <si>
    <t>MDT-DPTSPOM-2022-0178-O</t>
  </si>
  <si>
    <t>Eliana Elizabeth Lopez Macas</t>
  </si>
  <si>
    <t>MDT-DPTSPOM-2022-0866-EXTERNO</t>
  </si>
  <si>
    <t xml:space="preserve">MARIA ANDREA VERA MOSQUERA </t>
  </si>
  <si>
    <t>MDT-DPTSPOM-2022-0201-O</t>
  </si>
  <si>
    <t>Manuel Raul Laines Preciado</t>
  </si>
  <si>
    <t>MDT-DPTSPOM-2022-0926-EXTERNO</t>
  </si>
  <si>
    <t>MDT-DPTSPOM-2022-0245-O</t>
  </si>
  <si>
    <t>Angel Daniel Peñafiel Orellana</t>
  </si>
  <si>
    <t>MDT-DPTSPOM-2022-0970-EXTERNO</t>
  </si>
  <si>
    <t>MDT-DPTSPOM-2022-0190-O</t>
  </si>
  <si>
    <t>Santos Guillermo Quiñonez Caicedo</t>
  </si>
  <si>
    <t>MDT-DPTSPOM-2022-0992-EXTERNO</t>
  </si>
  <si>
    <t>MDT-DPTSPOM-2022-0191-O</t>
  </si>
  <si>
    <t>Freddy Miguel Rodas Perez</t>
  </si>
  <si>
    <t>MDT-DPTSPOM-2022-0995-EXTERNO</t>
  </si>
  <si>
    <t>MDT-DPTSPOM-2022-0192-O</t>
  </si>
  <si>
    <t xml:space="preserve">Julio César Sisalima Narváez </t>
  </si>
  <si>
    <t>MDT-DPTSPOM-2022-0997-EXTERNO</t>
  </si>
  <si>
    <t>MDT-DPTSPOM-2022-0248-O</t>
  </si>
  <si>
    <t>Marcelo Xavier Aviles Ruiz</t>
  </si>
  <si>
    <t>MDT-DPTSPOM-2022-1006-EXTERNO</t>
  </si>
  <si>
    <t>MDT-DPTSPOM-2022-0193-O</t>
  </si>
  <si>
    <t>Ab. Samantha Carolina Miranda Gosdenovich</t>
  </si>
  <si>
    <t>MDT-DPTSPOM-2022-1025-EXTERNO</t>
  </si>
  <si>
    <t>MDT-DPTSPOM-2022-0195-O</t>
  </si>
  <si>
    <t>Claudia Elena Reynaldo Pupo</t>
  </si>
  <si>
    <t>MDT-DPTSPOM-2022-1027-EXTERNO</t>
  </si>
  <si>
    <t>MDT-DPTSPOM-2022-0196-O</t>
  </si>
  <si>
    <t>Jessica Victoria Sanchez Poma</t>
  </si>
  <si>
    <t>MDT-DPTSPOM-2022-1037-EXTERNO</t>
  </si>
  <si>
    <t>MDT-DPTSPOM-2022-0180-O</t>
  </si>
  <si>
    <t>Felix Ernesto Muñoz Balcazar</t>
  </si>
  <si>
    <t>MDT-DPTSPOM-2022-1054-EXTERNO</t>
  </si>
  <si>
    <t>MDT-DPTSPOM-2022-0199-O</t>
  </si>
  <si>
    <t>Manuel Enrique Salamea Yagual</t>
  </si>
  <si>
    <t>MDT-DPTSPOM-2022-1060-EXTERNO</t>
  </si>
  <si>
    <t>MDT-DPTSPOM-2022-0249-O</t>
  </si>
  <si>
    <t>Manuel Antonio Guanuche Quezada</t>
  </si>
  <si>
    <t>MDT-DPTSPOM-2022-1068-EXTERNO</t>
  </si>
  <si>
    <t>MDT-DPTSPOM-2022-0205-O</t>
  </si>
  <si>
    <t>Jorge Luis Cuenca Rios</t>
  </si>
  <si>
    <t>MDT-DPTSPOM-2022-1069-EXTERNO</t>
  </si>
  <si>
    <t>MDT-DPTSPOM-2022-0203-O</t>
  </si>
  <si>
    <t>MDT-DPTSPOM-2022-1099-EXTERNO</t>
  </si>
  <si>
    <t>MDT-DPTSPOM-2022-0182-O</t>
  </si>
  <si>
    <t xml:space="preserve">Angel Genaro Sanchez Espinoza </t>
  </si>
  <si>
    <t>MDT-DPTSPOM-2022-1100-EXTERNO</t>
  </si>
  <si>
    <t>MDT-DPTSPOM-2022-0183-O</t>
  </si>
  <si>
    <t xml:space="preserve">Reinel Francisco Romero Valdez </t>
  </si>
  <si>
    <t>MDT-DPTSPOM-2022-1116-EXTERNO</t>
  </si>
  <si>
    <t>MDT-DPTSPOM-2022-0181-O</t>
  </si>
  <si>
    <t>Julio Alfredo Villamar Santillan</t>
  </si>
  <si>
    <t>MDT-DPTSPOM-2022-1136-EXTERNO</t>
  </si>
  <si>
    <t>MDT-DPTSPOM-2022-0188-O</t>
  </si>
  <si>
    <t>Abel Mauricio Guarinda Nugra</t>
  </si>
  <si>
    <t>MDT-DPTSPOM-2022-1141-EXTERNO</t>
  </si>
  <si>
    <t>MDT-DPTSPOM-2022-0187-O</t>
  </si>
  <si>
    <t>Oswaldo Arturo Brito Chapan</t>
  </si>
  <si>
    <t xml:space="preserve">  arturobrito_23@hotmail.com</t>
  </si>
  <si>
    <t>MDT-DPTSPOM-2022-1153-EXTERNO</t>
  </si>
  <si>
    <t>MDT-DPTSPOM-2022-0198-O</t>
  </si>
  <si>
    <t>mxavieraviles@hotmail.es</t>
  </si>
  <si>
    <t>MDT-DPTSPOM-2022-1171-EXTERNO</t>
  </si>
  <si>
    <t>MDT-DPTSPOM-2022-0206-O</t>
  </si>
  <si>
    <t>Cristhian Geovanny Aguilar Enriquez</t>
  </si>
  <si>
    <t>MDT-DPTSPOM-2022-1185-EXTERNO</t>
  </si>
  <si>
    <t>MDT-DPTSPOM-2022-0212-O</t>
  </si>
  <si>
    <t>Josue Ismael Guaman Buñay</t>
  </si>
  <si>
    <t>MDT-DPTSPOM-2022-1186-EXTERNO</t>
  </si>
  <si>
    <t>MDT-DPTSPOM-2022-0213-O</t>
  </si>
  <si>
    <t xml:space="preserve">Lider Alberto Cuenca Cedeño </t>
  </si>
  <si>
    <t>MDT-DPTSPOM-2022-1187-EXTERNO</t>
  </si>
  <si>
    <t>MDT-DPTSPOM-2022-0197-O</t>
  </si>
  <si>
    <t xml:space="preserve">Maria Graciela Gaona Alvarez </t>
  </si>
  <si>
    <t>MDT-DPTSPOM-2022-1197-EXTERNO</t>
  </si>
  <si>
    <t>MDT-DPTSPOM-2022-0215-O</t>
  </si>
  <si>
    <t xml:space="preserve">Lagnado Jordan </t>
  </si>
  <si>
    <t>MDT-DPTSPOM-2022-1213-EXTERNO</t>
  </si>
  <si>
    <t>MDT-DPTSPOM-2022-0216-O</t>
  </si>
  <si>
    <t>Gina Campoverde Requelme</t>
  </si>
  <si>
    <t>MDT-DPTSPOM-2022-1217-EXTERNO</t>
  </si>
  <si>
    <t>MDT-DPTSPOM-2022-0233-O</t>
  </si>
  <si>
    <t>MDT-DPTSPOM-2022-1218-EXTERNO</t>
  </si>
  <si>
    <t>MDT-DPTSPOM-2022-0214-O</t>
  </si>
  <si>
    <t>MDT-DPTSPOM-2022-1220-EXTERNO</t>
  </si>
  <si>
    <t>MDT-DPTSPOM-2022-0217-O</t>
  </si>
  <si>
    <t>MDT-DPTSPOM-2022-1251-EXTERNO</t>
  </si>
  <si>
    <t>MDT-DPTSPOM-2022-0218-O</t>
  </si>
  <si>
    <t>MDT-DPTSPOM-2022-1255-EXTERNO</t>
  </si>
  <si>
    <t>MDT-DPTSPOM-2022-0221-O</t>
  </si>
  <si>
    <t>MDT-DPTSPOM-2022-1267-EXTERNO</t>
  </si>
  <si>
    <t>MDT-DPTSPOM-2022-0208-O</t>
  </si>
  <si>
    <t>MDT-DPTSPOM-2022-1277-EXTERNO</t>
  </si>
  <si>
    <t>MDT-DPTSPOM-2022-0269-O</t>
  </si>
  <si>
    <t>MDT-DPTSPOM-2022-1279-EXTERNO</t>
  </si>
  <si>
    <t>MDT-DPTSPOM-2022-0250-O</t>
  </si>
  <si>
    <t>MDT-DPTSPOM-2022-1303-EXTERNO</t>
  </si>
  <si>
    <t>MDT-DPTSPOM-2022-0222-O</t>
  </si>
  <si>
    <t>MDT-DPTSPOM-2022-1304-EXTERNO</t>
  </si>
  <si>
    <t>MDT-DPTSPOM-2022-0224-O</t>
  </si>
  <si>
    <t>MDT-DPTSPOM-2022-1311-EXTERNO</t>
  </si>
  <si>
    <t>MDT-DPTSPOM-2022-0225-O</t>
  </si>
  <si>
    <t>MDT-DPTSPOM-2022-1312-EXTERNO</t>
  </si>
  <si>
    <t>MDT-DPTSPOM-2022-0241-O</t>
  </si>
  <si>
    <t>MDT-DPTSPOM-2022-1313-EXTERNO</t>
  </si>
  <si>
    <t>MDT-DPTSPOM-2022-0244-O</t>
  </si>
  <si>
    <t>MDT-DPTSPOM-2022-1327-EXTERNO</t>
  </si>
  <si>
    <t>MDT-DPTSPOM-2022-0228-O</t>
  </si>
  <si>
    <t>MDT-DPTSPOM-2022-1335-EXTERNO</t>
  </si>
  <si>
    <t>MDT-DPTSPOM-2022-0236-O</t>
  </si>
  <si>
    <t>MDT-DPTSPOM-2022-1343-EXTERNO</t>
  </si>
  <si>
    <t>MDT-DPTSPOM-2022-0237-O</t>
  </si>
  <si>
    <t>MDT-DPTSPOM-2022-1358-EXTERNO</t>
  </si>
  <si>
    <t>MDT-DPTSPOM-2022-0229-O</t>
  </si>
  <si>
    <t>MDT-DPTSPOM-2022-1369-EXTERNO</t>
  </si>
  <si>
    <t>MDT-DPTSPOM-2022-0243-O</t>
  </si>
  <si>
    <t>MDT-DPTSPOM-2022-1483-EXTERNO</t>
  </si>
  <si>
    <t>MDT-DPTSPOM-2022-0253-O</t>
  </si>
  <si>
    <t>MDT-DPTSPOM-2022-1491-EXTERNO</t>
  </si>
  <si>
    <t>MDT-DPTSPOM-2022-0254-O</t>
  </si>
  <si>
    <t>MDT-DPTSPOM-2022-1520-EXTERNO</t>
  </si>
  <si>
    <t>MDT-DPTSPOM-2022-0255-O</t>
  </si>
  <si>
    <t>MDT-DPTSPOM-2022-1523-EXTERNO</t>
  </si>
  <si>
    <t>MDT-DPTSPOM-2022-0256-O</t>
  </si>
  <si>
    <t>MDT-DPTSPOM-2022-1524-EXTERNO</t>
  </si>
  <si>
    <t>MDT-DPTSPOM-2022-0257-O</t>
  </si>
  <si>
    <t>MDT-DPTSPOM-2022-1528-EXTERNO</t>
  </si>
  <si>
    <t>MDT-DPTSPOM-2022-0258-O</t>
  </si>
  <si>
    <t>MDT-DPTSPOM-2022-1537-EXTERNO</t>
  </si>
  <si>
    <t>MDT-DPTSPOM-2022-0259-O</t>
  </si>
  <si>
    <t>MDT-DPTSPOM-2022-1551-EXTERNO</t>
  </si>
  <si>
    <t>MDT-DPTSPOM-2022-0261-O</t>
  </si>
  <si>
    <t>MDT-DPTSPOM-2022-1558-EXTERNO</t>
  </si>
  <si>
    <t>MDT-DPTSPOM-2022-0262-O</t>
  </si>
  <si>
    <t>MDT-DPTSPOM-2022-1594-EXTERNO</t>
  </si>
  <si>
    <t>MDT-DPTSPOM-2022-0263-O</t>
  </si>
  <si>
    <t>MDT-DPTSPOM-2022-1156-EXTERNO</t>
  </si>
  <si>
    <t>MDT-DPTSPOM-2021-0324-O</t>
  </si>
  <si>
    <t>MDT-DPTSPOM-2022-0219-O</t>
  </si>
  <si>
    <t>MDT-DPTSPOM-2022-1376-EXTERNO</t>
  </si>
  <si>
    <t>MDT-DPTSPOM-2022-0235-O</t>
  </si>
  <si>
    <t>MDT-DPTSPOM-2022-1394-EXTERNO</t>
  </si>
  <si>
    <t>MDT-DPTSPOM-2022-0230-O</t>
  </si>
  <si>
    <t>MDT-DPTSPOM-2022-1400-EXTERNO</t>
  </si>
  <si>
    <t>MDT-DPTSPOM-2022-0231-O</t>
  </si>
  <si>
    <t>MDT-DPTSPOM-2022-1418-EXTERNO</t>
  </si>
  <si>
    <t>MDT-DPTSPOM-2022-0232-O</t>
  </si>
  <si>
    <t>MDT-DPTSPOM-2022-1419-EXTERNO</t>
  </si>
  <si>
    <t>MDT-DPTSPOM-2022-0234-O</t>
  </si>
  <si>
    <t>MDT-DPTSPOM-2022-1453-EXTERNO</t>
  </si>
  <si>
    <t>MDT-DPTSPOM-2022-0242-O</t>
  </si>
  <si>
    <t>MDT-DPTSPOM-2022-0657-EXTERNO</t>
  </si>
  <si>
    <t>MDT-DPTSPOM-2022-0220-O</t>
  </si>
  <si>
    <t>MDT-DPTSPOM-2022-1423-EXTERNO</t>
  </si>
  <si>
    <t>MDT-DPTSPOM-2022-0264-O</t>
  </si>
  <si>
    <t>MDT-DPTSPOM-2022-1573-EXTERNO</t>
  </si>
  <si>
    <t>MDT-DPTSPOM-2022-0265-O</t>
  </si>
  <si>
    <t>MDT-DPTSPOM-2022-1592-EXTERNO</t>
  </si>
  <si>
    <t>MDT-DPTSPOM-2022-0266-O</t>
  </si>
  <si>
    <t>MDT-DPTSPOM-2022-1604-EXTERNO</t>
  </si>
  <si>
    <t>MDT-DPTSPOM-2022-0267-O</t>
  </si>
  <si>
    <t>MDT-DPTSPOM-2022-1605-EXTERNO</t>
  </si>
  <si>
    <t>MDT-DPTSPOM-2022-0315-O</t>
  </si>
  <si>
    <t>MDT-DPTSPOM-2022-1615-EXTERNO</t>
  </si>
  <si>
    <t>MDT-DPTSPOM-2022-0268-O</t>
  </si>
  <si>
    <t>MDT-DPTSPOM-2022-1384-EXTERNO</t>
  </si>
  <si>
    <t>MDT-DPTSPOM-2022-0302-O</t>
  </si>
  <si>
    <t>MDT-DPTSPOM-2022-1609-EXTERNO</t>
  </si>
  <si>
    <t>MDT-DPTSPOM-2022-0283-O</t>
  </si>
  <si>
    <t>MDT-DPTSPOM-2022-1585-EXTERNO</t>
  </si>
  <si>
    <t>MDT-DPTSPOM-2022-0298-O</t>
  </si>
  <si>
    <t>MDT-DPTSPZCH-2022-0432-EXTERNO</t>
  </si>
  <si>
    <t>MDT-DRTSPL-2022-1921-O</t>
  </si>
  <si>
    <t xml:space="preserve">Byron Humberto Muñoz Flores </t>
  </si>
  <si>
    <t xml:space="preserve">NOTIFICACION ELECTRÓNICA: bmunozhumberto@gmail.com </t>
  </si>
  <si>
    <t>MDT-DRTSPL-2022-2270-EXTERNO</t>
  </si>
  <si>
    <t>MDT-DRTSPL-2022-1639-O</t>
  </si>
  <si>
    <t xml:space="preserve">Ricardo Romulo Unkuch Pujupat </t>
  </si>
  <si>
    <t>NOTIFICACION ELECTRÓNICA: rodrigo.a.castellanos.c@gmail.com</t>
  </si>
  <si>
    <t>MDT-DRTSPL-2022-2271-EXTERNO</t>
  </si>
  <si>
    <t xml:space="preserve">MDT-DRTSPL-2022-1508-O
</t>
  </si>
  <si>
    <t xml:space="preserve">Jhon Fabricio Muñoz Puga </t>
  </si>
  <si>
    <t>NOTIFICACION ELECTRÓNICA: jhonfabricio199124@gmail.com</t>
  </si>
  <si>
    <t>MDT-DRTSPL-2022-2273-EXTERNO</t>
  </si>
  <si>
    <t>MDT-DRTSPL-2022-1499-O</t>
  </si>
  <si>
    <t>NOTIFICACION ELECTRÓNICA: patricio_labanda@hotmail.com</t>
  </si>
  <si>
    <t>MDT-DRTSPL-2022-2275-EXTERNO</t>
  </si>
  <si>
    <t>MDT-DRTSPL-2022-1505-O</t>
  </si>
  <si>
    <t xml:space="preserve">Liliana Patricia Puga Medina </t>
  </si>
  <si>
    <t>NOTIFICACION ELECTRÓNICA: lilianapuga2412@gmail.com</t>
  </si>
  <si>
    <t>MDT-DRTSPL-2022-2276-EXTERNO</t>
  </si>
  <si>
    <t>MDT-DRTSPL-2022-1506-O</t>
  </si>
  <si>
    <t xml:space="preserve">Lucia Vivana Nole Vivanco </t>
  </si>
  <si>
    <t>NOTIFICACION ELECTRÓNICA: ventanillaloja@fiscalia.gob.ec</t>
  </si>
  <si>
    <t>MDT-DRTSPL-2022-2277-EXTERNO</t>
  </si>
  <si>
    <t>MDT-DRTSPL-2022-1615-O</t>
  </si>
  <si>
    <t>MDT-DRTSPL-2022-2278-EXTERNO</t>
  </si>
  <si>
    <t>MDT-DRTSPL-2022-1507-O</t>
  </si>
  <si>
    <t xml:space="preserve">Victor Hugo Sarmiento Garzón </t>
  </si>
  <si>
    <t>NOTIFICACION ELECTRÓNICA: sarmientov@fiscalia.gob.ec</t>
  </si>
  <si>
    <t>MDT-DRTSPL-2022-2279-EXTERNO</t>
  </si>
  <si>
    <t>MDT-DRTSPL-2022-1509-O</t>
  </si>
  <si>
    <t>MDT-DRTSPL-2022-2280-EXTERNO</t>
  </si>
  <si>
    <t>MDT-DRTSPL-2022-1510-O</t>
  </si>
  <si>
    <t>MDT-DRTSPL-2022-2281-EXTERNO</t>
  </si>
  <si>
    <t>MDT-DRTSPL-2022-1471-O</t>
  </si>
  <si>
    <t xml:space="preserve">Gloria Esperanza Gualán Salazar </t>
  </si>
  <si>
    <t>NOTIFICACION ELECTRÓNICA: glorita2015@yahoo.es</t>
  </si>
  <si>
    <t>MDT-DRTSPL-2022-2282-EXTERNO</t>
  </si>
  <si>
    <t>MDT-DRTSPL-2022-1511-O</t>
  </si>
  <si>
    <t xml:space="preserve">Luis Antonio Medina Cuenca </t>
  </si>
  <si>
    <t>NOTIFICACION ELECTRÓNICA: justiciaedgar@gmail.com</t>
  </si>
  <si>
    <t>MDT-DRTSPL-2022-2285-EXTERNO</t>
  </si>
  <si>
    <t>MDT-DRTSPL-2022-1512-O</t>
  </si>
  <si>
    <t xml:space="preserve">Diana Alexandra Medina Condoy </t>
  </si>
  <si>
    <t>NOTIFICACION ELECTRÓNICA: ale_909@outlook.es</t>
  </si>
  <si>
    <t>MDT-DRTSPL-2022-2286-EXTERNO</t>
  </si>
  <si>
    <t>MDT-DRTSPL-2022-1513-O</t>
  </si>
  <si>
    <t>NOTIFICACION ELECTRÓNICA: ab.salomeleonb@gmail.com</t>
  </si>
  <si>
    <t>MDT-DRTSPL-2022-2287-EXTERNO</t>
  </si>
  <si>
    <t>MDT-DRTSPL-2022-1514-O</t>
  </si>
  <si>
    <t>NOTIFICACION ELECTRÓNICA: gabyestefania1411@outlook.es</t>
  </si>
  <si>
    <t>MDT-DRTSPL-2022-2288-EXTERNO</t>
  </si>
  <si>
    <t>MDT-DRTSPL-2022-1519-O</t>
  </si>
  <si>
    <t xml:space="preserve">Mario Gander Rosas Vaca </t>
  </si>
  <si>
    <t>NOTIFICACION ELECTRÓNICA: mariorosas001@hotmail.com</t>
  </si>
  <si>
    <t>MDT-DRTSPL-2022-2290-EXTERNO</t>
  </si>
  <si>
    <t>MDT-DRTSPL-2022-1520-O</t>
  </si>
  <si>
    <t>NOTIFICACION ELECTRÓNICA: juridicosalinasy2014@gmail.com</t>
  </si>
  <si>
    <t>MDT-DRTSPL-2022-2292-EXTERNO</t>
  </si>
  <si>
    <t>MDT-DRTSPL-2022-1522-O</t>
  </si>
  <si>
    <t xml:space="preserve">Juan Pablo Dueñas Montalvan </t>
  </si>
  <si>
    <t>NOTIFICACION ELECTRÓNICA: verorey11@gmail.com</t>
  </si>
  <si>
    <t>MDT-DRTSPL-2022-2298-EXTERNO</t>
  </si>
  <si>
    <t>MDT-DRTSPL-2022-1523-O</t>
  </si>
  <si>
    <t xml:space="preserve">Glenda del Carmen Castillo Ordóñez </t>
  </si>
  <si>
    <t>NOTIFICACION ELECTRÓNICA: ceciyaguarijusticia@gmail.com</t>
  </si>
  <si>
    <t>MDT-DRTSPL-2022-2299-EXTERNO</t>
  </si>
  <si>
    <t>MDT-DRTSPL-2022-1524-O</t>
  </si>
  <si>
    <t xml:space="preserve">Hugo Damian Jiménez Loyola </t>
  </si>
  <si>
    <t>NOTIFICACION ELECTRÓNICA: hjhugojimenes7@gmail.com</t>
  </si>
  <si>
    <t>MDT-DRTSPL-2022-2301-EXTERNO</t>
  </si>
  <si>
    <t xml:space="preserve">Diana Karolina Pazmiño Tapia </t>
  </si>
  <si>
    <t>MDT-SISPTE-DRSA-SA-2022-069(4449)</t>
  </si>
  <si>
    <t xml:space="preserve">Susana Antonieta Montaño Donoso </t>
  </si>
  <si>
    <t xml:space="preserve">NOTIFICACION ELECTRÓNICA: </t>
  </si>
  <si>
    <t>MDT-DRTSPL-2022-2302-EXTERNO</t>
  </si>
  <si>
    <t>MDT-DRTSPL-2022-1526-O</t>
  </si>
  <si>
    <t>NOTIFICACION ELECTRÓNICA: gear1953@gmail.com</t>
  </si>
  <si>
    <t>MDT-DRTSPL-2022-2306-EXTERNO</t>
  </si>
  <si>
    <t>MDT-DRTSPL-2022-1527-O</t>
  </si>
  <si>
    <t xml:space="preserve">Franklin Rodolfo Cartuche Nero </t>
  </si>
  <si>
    <t>NOTIFICACION ELECTRÓNICA: juanillasaau@gmail.com</t>
  </si>
  <si>
    <t>MDT-DRTSPL-2022-2310-EXTERNO</t>
  </si>
  <si>
    <t>MDT-DRTSPL-2022-1528-O</t>
  </si>
  <si>
    <t xml:space="preserve">Luis Enrique Aguilera Suquilanda </t>
  </si>
  <si>
    <t>MDT-DRTSPL-2022-2315-EXTERNO</t>
  </si>
  <si>
    <t>MDT-DRTSPL-2022-1532-O</t>
  </si>
  <si>
    <t>NOTIFICACION ELECTRÓNICA: dianalehandra@gmail.com</t>
  </si>
  <si>
    <t>MDT-DRTSPL-2022-2316-EXTERNO</t>
  </si>
  <si>
    <t>MDT-DRTSPL-2022-1531-O</t>
  </si>
  <si>
    <t xml:space="preserve">Diana Elizabeht Angamarca Angamarca </t>
  </si>
  <si>
    <t>NOTIFICACION ELECTRÓNICA: rob.angamarca@hotmail.com</t>
  </si>
  <si>
    <t>MDT-DRTSPL-2022-2321-EXTERNO</t>
  </si>
  <si>
    <t>MDT-DRTSPL-2022-1540-O</t>
  </si>
  <si>
    <t xml:space="preserve">Edison Geovanny Chuncho Macas </t>
  </si>
  <si>
    <t>NOTIFICACION ELECTRÓNICA: jcarlosjime@hotmail.es</t>
  </si>
  <si>
    <t>MDT-DRTSPL-2022-2322-EXTERNO</t>
  </si>
  <si>
    <t>MDT-DRTSPL-2022-1541-O</t>
  </si>
  <si>
    <t xml:space="preserve">Diego Fernando Villavicencio Neira </t>
  </si>
  <si>
    <t>NOTIFICACION ELECTRÓNICA: tipico5@hotmail.com</t>
  </si>
  <si>
    <t>MDT-DRTSPL-2022-2323-EXTERNO</t>
  </si>
  <si>
    <t>MDT-DRTSPL-2022-1542-O</t>
  </si>
  <si>
    <t>NOTIFICACION ELECTRÓNICA: patriciovaldiviesoespinosa@hotmail.com</t>
  </si>
  <si>
    <t>MDT-DRTSPL-2022-2324-EXTERNO</t>
  </si>
  <si>
    <t>MDT-DRTSPL-2022-1545-O</t>
  </si>
  <si>
    <t>MDT-DRTSPL-2022-2325-EXTERNO</t>
  </si>
  <si>
    <t>MDT-DRTSPL-2022-1546-O</t>
  </si>
  <si>
    <t xml:space="preserve">Rene Favio Medina Lozano </t>
  </si>
  <si>
    <t>NOTIFICACION ELECTRÓNICA: nicoarmijos107@gmail.com</t>
  </si>
  <si>
    <t>MDT-DRTSPL-2022-2326-EXTERNO</t>
  </si>
  <si>
    <t>MDT-DRTSPL-2022-1547-O</t>
  </si>
  <si>
    <t xml:space="preserve">Americo Suárez Becerra </t>
  </si>
  <si>
    <t>NOTIFICACION ELECTRÓNICA: consorciojuridicoasociados@hotmail.com</t>
  </si>
  <si>
    <t>MDT-DRTSPL-2022-2327-EXTERNO</t>
  </si>
  <si>
    <t>MDT-DRTSPL-2022-1548-O</t>
  </si>
  <si>
    <t xml:space="preserve">Jose Eliberto Aguinzaca Sinche </t>
  </si>
  <si>
    <t>NOTIFICACION ELECTRÓNICA: dr.luiscaraguay1966@yahoo.es</t>
  </si>
  <si>
    <t>MDT-DRTSPL-2022-2338-EXTERNO</t>
  </si>
  <si>
    <t>MDT-DRTSPL-2022-1549-O</t>
  </si>
  <si>
    <t xml:space="preserve">Jimmy Florentino Sanchez Chiriboga </t>
  </si>
  <si>
    <t>NOTIFICACION ELECTRÓNICA: jimmy2022sanchez@gmail.com</t>
  </si>
  <si>
    <t>MDT-DRTSPL-2022-2341-EXTERNO</t>
  </si>
  <si>
    <t>MDT-DRTSPL-2022-1550-O</t>
  </si>
  <si>
    <t xml:space="preserve">Victor Hugo Rodriguez Lima </t>
  </si>
  <si>
    <t>NOTIFICACION ELECTRÓNICA: vhrodriguezlima@yahoo.com</t>
  </si>
  <si>
    <t>MDT-DRTSPL-2022-2342-EXTERNO</t>
  </si>
  <si>
    <t>MDT-DRTSPL-2022-1556-O</t>
  </si>
  <si>
    <t>NOTIFICACION ELECTRÓNICA: vanesaja@yahoo.es</t>
  </si>
  <si>
    <t>MDT-DRTSPL-2022-2343-EXTERNO</t>
  </si>
  <si>
    <t>MDT-DRTSPL-2022-1557-O</t>
  </si>
  <si>
    <t>MDT-DRTSPL-2022-2344-EXTERNO</t>
  </si>
  <si>
    <t>MDT-DRTSPL-2022-1558-O</t>
  </si>
  <si>
    <t>MDT-DRTSPL-2022-2350-EXTERNO</t>
  </si>
  <si>
    <t>MDT-DRTSPL-2022-1559-O</t>
  </si>
  <si>
    <t>NOTIFICACION ELECTRÓNICA: kleveralvarezh@hotmail.com</t>
  </si>
  <si>
    <t>MDT-DRTSPL-2022-2355-EXTERNO</t>
  </si>
  <si>
    <t>MDT-DRTSPL-2022-1560-O</t>
  </si>
  <si>
    <t xml:space="preserve">Jairo David Santin Hidalgo </t>
  </si>
  <si>
    <t>NOTIFICACION ELECTRÓNICA: jairosantinh@gmail.com</t>
  </si>
  <si>
    <t>MDT-DRTSPL-2022-2356-EXTERNO</t>
  </si>
  <si>
    <t>MDT-DRTSPL-2022-1565-O</t>
  </si>
  <si>
    <t>MDT-DRTSPL-2022-2357-EXTERNO</t>
  </si>
  <si>
    <t>MDT-DRTSPL-2022-1561-O</t>
  </si>
  <si>
    <t>NOTIFICACION ELECTRÓNICA: mluislautaro@yahoo.com</t>
  </si>
  <si>
    <t>MDT-DRTSPL-2022-2360-EXTERNO</t>
  </si>
  <si>
    <t>MDT-DRTSPL-2022-1563-O</t>
  </si>
  <si>
    <t xml:space="preserve">Fernando Adolfo Moreno Gonzalez </t>
  </si>
  <si>
    <t>NOTIFICACION ELECTRÓNICA: feradolfito@yahoo.es</t>
  </si>
  <si>
    <t>MDT-DRTSPL-2022-2362-EXTERNO</t>
  </si>
  <si>
    <t>MDT-DRTSPL-2022-1567-O</t>
  </si>
  <si>
    <t>MDT-DRTSPL-2022-2368-EXTERNO</t>
  </si>
  <si>
    <t>MDT-DRTSPL-2022-1568-O</t>
  </si>
  <si>
    <t xml:space="preserve">Diego Fabian Alvarez Gallegos </t>
  </si>
  <si>
    <t>NOTIFICACION ELECTRÓNICA: jor_gre1970@hotmail.com</t>
  </si>
  <si>
    <t>MDT-DRTSPL-2022-2369-EXTERNO</t>
  </si>
  <si>
    <t>MDT-DRTSPL-2022-1572-O</t>
  </si>
  <si>
    <t>MDT-DRTSPL-2022-2370-EXTERNO</t>
  </si>
  <si>
    <t>MDT-DRTSPL-2022-1570-O</t>
  </si>
  <si>
    <t xml:space="preserve">Marlon Alejandro Valecilla Sarango </t>
  </si>
  <si>
    <t>NOTIFICACION ELECTRÓNICA: marlon_alejandrov21@hotmail.com</t>
  </si>
  <si>
    <t>MDT-DRTSPL-2022-2371-EXTERNO</t>
  </si>
  <si>
    <t>MDT-DRTSPL-2022-1571-O</t>
  </si>
  <si>
    <t>MDT-DRTSPL-2022-2375-EXTERNO</t>
  </si>
  <si>
    <t>MDT-DRTSPL-2022-1574-O</t>
  </si>
  <si>
    <t>NOTIFICACION ELECTRÓNICA: taty52cas@gmail.com</t>
  </si>
  <si>
    <t>MDT-DRTSPL-2022-2376-EXTERNO</t>
  </si>
  <si>
    <t>NOTIFICACION ELECTRÓNICA: jdavidmartinez@hotmail.es</t>
  </si>
  <si>
    <t>MDT-DRTSPL-2022-2377-EXTERNO</t>
  </si>
  <si>
    <t>MDT-DRTSPL-2022-1575-O</t>
  </si>
  <si>
    <t xml:space="preserve">Jeyson Francisco Vaca Avila </t>
  </si>
  <si>
    <t>NOTIFICACION ELECTRÓNICA: meriburguan30@gmail.com</t>
  </si>
  <si>
    <t>MDT-DRTSPL-2022-2378-EXTERNO</t>
  </si>
  <si>
    <t>MDT-DRTSPL-2022-1576-O</t>
  </si>
  <si>
    <t xml:space="preserve">Romeo Basilio Gonzalez Leon </t>
  </si>
  <si>
    <t>NOTIFICACION ELECTRÓNICA: chomi_18_@hotmail.com</t>
  </si>
  <si>
    <t>MDT-DRTSPL-2022-2382-EXTERNO</t>
  </si>
  <si>
    <t>MDT-DRTSPL-2022-1577-O</t>
  </si>
  <si>
    <t>NOTIFICACION ELECTRÓNICA: jorgejimenez-aso41@hotmail.com</t>
  </si>
  <si>
    <t>MDT-DRTSPL-2022-2383-EXTERNO</t>
  </si>
  <si>
    <t>MDT-DRTSPL-2022-1578-O</t>
  </si>
  <si>
    <t>NOTIFICACION ELECTRÓNICA: Iteriqueochoa@gmail.com</t>
  </si>
  <si>
    <t>MDT-DRTSPL-2022-2386-EXTERNO</t>
  </si>
  <si>
    <t>MDT-DRTSPL-2022-1525-O</t>
  </si>
  <si>
    <t xml:space="preserve">Angel Salvador Jaramillo Guarderas </t>
  </si>
  <si>
    <t>NOTIFICACION ELECTRÓNICA: borreguito85@hotmail.com</t>
  </si>
  <si>
    <t>MDT-DRTSPL-2022-2387-EXTERNO</t>
  </si>
  <si>
    <t>MDT-DRTSPL-2022-1579-O</t>
  </si>
  <si>
    <t xml:space="preserve">William Willy Cerna Gregorio </t>
  </si>
  <si>
    <t>NOTIFICACION ELECTRÓNICA: willycerna40@gmail.com</t>
  </si>
  <si>
    <t>MDT-DRTSPL-2022-2389-EXTERNO</t>
  </si>
  <si>
    <t>MDT-DRTSPL-2022-1580-O</t>
  </si>
  <si>
    <t xml:space="preserve">Christy Elizabeth Brownjohn </t>
  </si>
  <si>
    <t>NOTIFICACION ELECTRÓNICA: chcloja@gmail.com</t>
  </si>
  <si>
    <t>MDT-DRTSPL-2022-2391-EXTERNO</t>
  </si>
  <si>
    <t>MDT-DRTSPL-2022-1581-O</t>
  </si>
  <si>
    <t xml:space="preserve">Rudy Fabián Paladines Vega </t>
  </si>
  <si>
    <t>NOTIFICACION ELECTRÓNICA: rudypaladines1@gmail.com</t>
  </si>
  <si>
    <t>MDT-DRTSPL-2022-2392-EXTERNO</t>
  </si>
  <si>
    <t>MDT-DRTSPL-2022-1582-O</t>
  </si>
  <si>
    <t>NOTIFICACION ELECTRÓNICA: d_paladines@yahoo.es</t>
  </si>
  <si>
    <t>MDT-DRTSPL-2022-2394-EXTERNO</t>
  </si>
  <si>
    <t>MDT-DRTSPL-2022-1583-O</t>
  </si>
  <si>
    <t xml:space="preserve">Eliceo Antonio Jaramillo Tenenpaguay </t>
  </si>
  <si>
    <t>NOTIFICACION ELECTRÓNICA: eliceojaramillo@outlook.es</t>
  </si>
  <si>
    <t>MDT-DRTSPL-2022-2396-EXTERNO</t>
  </si>
  <si>
    <t>MDT-DRTSPL-2022-1585-O</t>
  </si>
  <si>
    <t xml:space="preserve">Nelson Franklin Quezada Motoche </t>
  </si>
  <si>
    <t>NOTIFICACION ELECTRÓNICA: nelsonfranklinabogadoloja@gmail.com</t>
  </si>
  <si>
    <t>MDT-DRTSPL-2022-2400-EXTERNO</t>
  </si>
  <si>
    <t>MDT-DRTSPL-2022-1586-O</t>
  </si>
  <si>
    <t xml:space="preserve">Victor Alberto Burneo Herrera </t>
  </si>
  <si>
    <t>NOTIFICACION ELECTRÓNICA: pachof10@hotmail.com</t>
  </si>
  <si>
    <t>MDT-DRTSPL-2022-2401-EXTERNO</t>
  </si>
  <si>
    <t>MDT-DRTSPL-2022-1588-O</t>
  </si>
  <si>
    <t xml:space="preserve">Carlos Eduardo Vernaza Quintero </t>
  </si>
  <si>
    <t>NOTIFICACION ELECTRÓNICA: isarojitas@yahoo.es</t>
  </si>
  <si>
    <t>MDT-DRTSPL-2022-2403-EXTERNO</t>
  </si>
  <si>
    <t>MDT-DRTSPL-2022-1589-O</t>
  </si>
  <si>
    <t xml:space="preserve">Juan Polo Pardo Aguilera </t>
  </si>
  <si>
    <t>NOTIFICACION ELECTRÓNICA: pardojuan110@gmail.com</t>
  </si>
  <si>
    <t>MDT-DRTSPL-2022-2406-EXTERNO</t>
  </si>
  <si>
    <t>MDT-DRTSPL-2022-1590-O</t>
  </si>
  <si>
    <t xml:space="preserve">María Cecilia Vivanco Araujo </t>
  </si>
  <si>
    <t>MDT-DRTSPL-2022-2407-EXTERNO</t>
  </si>
  <si>
    <t>MDT-DRTSPL-2022-1591-O</t>
  </si>
  <si>
    <t xml:space="preserve">Clara del Carmen Santin </t>
  </si>
  <si>
    <t>NOTIFICACION ELECTRÓNICA: claradelcarmen1968@gmail.com</t>
  </si>
  <si>
    <t>MDT-DRTSPL-2022-2411-EXTERNO</t>
  </si>
  <si>
    <t>MDT-DRTSPL-2022-1592-O</t>
  </si>
  <si>
    <t xml:space="preserve">Miguel Enrique Luna Bravo </t>
  </si>
  <si>
    <t>NOTIFICACION ELECTRÓNICA: mglnrqlunabravo701@gmail.com</t>
  </si>
  <si>
    <t>MDT-DRTSPL-2022-2412-EXTERNO</t>
  </si>
  <si>
    <t>MDT-DRTSPL-2022-1593-O</t>
  </si>
  <si>
    <t>MDT-DRTSPL-2022-2416-EXTERNO</t>
  </si>
  <si>
    <t>MDT-DRTSPL-2022-1598-O</t>
  </si>
  <si>
    <t>NOTIFICACION ELECTRÓNICA: castillob@fiscalia.gob.ec</t>
  </si>
  <si>
    <t>MDT-DRTSPL-2022-2417-EXTERNO</t>
  </si>
  <si>
    <t>MDT-DRTSPL-2022-1601-O</t>
  </si>
  <si>
    <t>MDT-DRTSPL-2022-2418-EXTERNO</t>
  </si>
  <si>
    <t>MDT-DRTSPL-2022-1619-O</t>
  </si>
  <si>
    <t>MDT-DRTSPL-2022-2419-EXTERNO</t>
  </si>
  <si>
    <t>MDT-DRTSPL-2022-1616-O</t>
  </si>
  <si>
    <t>NOTIFICACION ELECTRÓNICA: jaramillop@fiscalia.gob.ec</t>
  </si>
  <si>
    <t>MDT-DRTSPL-2022-2420-EXTERNO</t>
  </si>
  <si>
    <t>MDT-DRTSPL-2022-1613-O</t>
  </si>
  <si>
    <t>MDT-DRTSPL-2022-2421-EXTERNO</t>
  </si>
  <si>
    <t>MDT-DRTSPL-2022-1569-O</t>
  </si>
  <si>
    <t xml:space="preserve">Pablo Andres Ucho Poma </t>
  </si>
  <si>
    <t>NOTIFICACION ELECTRÓNICA: pabucho25@gmail.com</t>
  </si>
  <si>
    <t>MDT-DRTSPL-2022-2423-EXTERNO</t>
  </si>
  <si>
    <t>MDT-DRTSPL-2022-1594-O</t>
  </si>
  <si>
    <t xml:space="preserve">Mario Tillaguango Tillaguango </t>
  </si>
  <si>
    <t>NOTIFICACION ELECTRÓNICA: luisangel-69-6@hotmail.com</t>
  </si>
  <si>
    <t>MDT-DRTSPL-2022-2427-EXTERNO</t>
  </si>
  <si>
    <t>NOTIFICACION ELECTRÓNICA: ab.galolopez91@hotmail.com</t>
  </si>
  <si>
    <t>MDT-DRTSPL-2022-2428-EXTERNO</t>
  </si>
  <si>
    <t>MDT-DRTSPL-2022-1614-O</t>
  </si>
  <si>
    <t>MDT-DRTSPL-2022-2429-EXTERNO</t>
  </si>
  <si>
    <t>MDT-DRTSPL-2022-1620-O</t>
  </si>
  <si>
    <t>MDT-DRTSPL-2022-2430-EXTERNO</t>
  </si>
  <si>
    <t>MDT-DRTSPL-2022-1618-O</t>
  </si>
  <si>
    <t>MDT-DRTSPL-2022-2431-EXTERNO</t>
  </si>
  <si>
    <t>MDT-DRTSPL-2022-1621-O</t>
  </si>
  <si>
    <t>MDT-DRTSPL-2022-2432-EXTERNO</t>
  </si>
  <si>
    <t>MDT-DRTSPL-2022-1622-O</t>
  </si>
  <si>
    <t>MDT-DRTSPL-2022-2433-EXTERNO</t>
  </si>
  <si>
    <t>MDT-DRTSPL-2022-1628-O</t>
  </si>
  <si>
    <t>MDT-DRTSPL-2022-2438-EXTERNO</t>
  </si>
  <si>
    <t>MDT-DRTSPL-2022-1629-O</t>
  </si>
  <si>
    <t xml:space="preserve">Esthela Paulina Benitez Luzuriaga </t>
  </si>
  <si>
    <t>NOTIFICACION ELECTRÓNICA: paulina_belu@hotmail.com</t>
  </si>
  <si>
    <t>MDT-DRTSPL-2022-2442-EXTERNO</t>
  </si>
  <si>
    <t>MDT-DRTSPL-2022-1630-O</t>
  </si>
  <si>
    <t xml:space="preserve">Ludwin Ermel Jimbo Matailo </t>
  </si>
  <si>
    <t>NOTIFICACION ELECTRÓNICA: celid@fiscalia.gob.ec</t>
  </si>
  <si>
    <t>MDT-DRTSPL-2022-2445-EXTERNO</t>
  </si>
  <si>
    <t>MDT-DRTSPL-2022-1631-O</t>
  </si>
  <si>
    <t>MDT-DRTSPL-2022-2446-EXTERNO</t>
  </si>
  <si>
    <t>MDT-DRTSPL-2022-1632-O</t>
  </si>
  <si>
    <t>NOTIFICACION ELECTRÓNICA: geravinipoma@hotmail.com</t>
  </si>
  <si>
    <t>MDT-DRTSPL-2022-2447-EXTERNO</t>
  </si>
  <si>
    <t>MDT-DRTSPL-2022-1633-O</t>
  </si>
  <si>
    <t>MDT-DRTSPL-2022-2450-EXTERNO</t>
  </si>
  <si>
    <t>MDT-DRTSPL-2022-1634-O</t>
  </si>
  <si>
    <t>MDT-DRTSPL-2022-2452-EXTERNO</t>
  </si>
  <si>
    <t>MDT-DRTSPL-2022-1604-O</t>
  </si>
  <si>
    <t xml:space="preserve">Ana Lucia Davila Davila </t>
  </si>
  <si>
    <t>NOTIFICACION ELECTRÓNICA: e.juridico.guzman@hotmail.com</t>
  </si>
  <si>
    <t>MDT-DRTSPL-2022-2453-EXTERNO</t>
  </si>
  <si>
    <t>MDT-DRTSPL-2022-1587-O</t>
  </si>
  <si>
    <t xml:space="preserve">Raul Santiago Cartuche Robalino </t>
  </si>
  <si>
    <t>NOTIFICACION ELECTRÓNICA: rociobuele69@outlook.es</t>
  </si>
  <si>
    <t>MDT-DRTSPL-2022-2458-EXTERNO</t>
  </si>
  <si>
    <t>MDT-DRTSPL-2022-1635-O</t>
  </si>
  <si>
    <t xml:space="preserve">Paulo Agustín Jaramillo Alvarado </t>
  </si>
  <si>
    <t>NOTIFICACION ELECTRÓNICA: pagustin1975@hotmail.com</t>
  </si>
  <si>
    <t>MDT-DRTSPL-2022-2459-EXTERNO</t>
  </si>
  <si>
    <t>MDT-DSG-2022-1504-MEMORANDO 27/04/2022</t>
  </si>
  <si>
    <t>MDT-DRTSPL-2022-1898-O</t>
  </si>
  <si>
    <t xml:space="preserve">Anita Eugenia Ojeda Piedra </t>
  </si>
  <si>
    <t>NOTIFICACION ELECTRÓNICA: conitopiedra-@hotmail.com</t>
  </si>
  <si>
    <t>MDT-DRTSPL-2022-2461-EXTERNO</t>
  </si>
  <si>
    <t>MDT-DRTSPL-2022-1728-O</t>
  </si>
  <si>
    <t xml:space="preserve">Victor Manuel Gomez Jaramillo </t>
  </si>
  <si>
    <t>NOTIFICACION ELECTRÓNICA: victormgomezjaramillo@hotmail.com</t>
  </si>
  <si>
    <t>MDT-DRTSPL-2022-2466-EXTERNO</t>
  </si>
  <si>
    <t>MDT-DRTSPL-2022-1638-O</t>
  </si>
  <si>
    <t>NOTIFICACION ELECTRÓNICA: maira_celi1983@outlook.es</t>
  </si>
  <si>
    <t>MDT-DRTSPL-2022-2468-EXTERNO</t>
  </si>
  <si>
    <t>MDT-DAS-2022-0214-M</t>
  </si>
  <si>
    <t xml:space="preserve">Feliciano Sarango Cumbicos </t>
  </si>
  <si>
    <t>MDT-DRTSPL-2022-2471-EXTERNO</t>
  </si>
  <si>
    <t>MDT-DRTSPL-2022-1640-O</t>
  </si>
  <si>
    <t>MDT-DRTSPL-2022-2473-EXTERNO</t>
  </si>
  <si>
    <t>MDT-DRTSPL-2022-1641-O</t>
  </si>
  <si>
    <t xml:space="preserve">Nilto Martin Rojas Chuncho </t>
  </si>
  <si>
    <t>MDT-DRTSPL-2022-2475-EXTERNO</t>
  </si>
  <si>
    <t>MDT-DRTSPL-2022-1642-O</t>
  </si>
  <si>
    <t xml:space="preserve">Mercedes Catalina Mendoza Encalada </t>
  </si>
  <si>
    <t>NOTIFICACION ELECTRÓNICA: ramirocj@yahoo.com</t>
  </si>
  <si>
    <t>MDT-DRTSPL-2022-2478-EXTERNO</t>
  </si>
  <si>
    <t>MDT-DRTSPL-2022-1643-O</t>
  </si>
  <si>
    <t xml:space="preserve">Jenny Orfelinda Cordero Arriola </t>
  </si>
  <si>
    <t>NOTIFICACION ELECTRÓNICA: consultoriajuridicaloja@gmail.com</t>
  </si>
  <si>
    <t>MDT-DRTSPL-2022-2480-EXTERNO</t>
  </si>
  <si>
    <t>MDT-DRTSPL-2022-1649-O</t>
  </si>
  <si>
    <t xml:space="preserve">Rocio Ximena Jaramillo Sarango </t>
  </si>
  <si>
    <t>NOTIFICACION ELECTRÓNICA: cgrandachamba@gmail.com</t>
  </si>
  <si>
    <t>MDT-DRTSPL-2022-2486-EXTERNO</t>
  </si>
  <si>
    <t>MDT-DRTSPL-2022-1651-O</t>
  </si>
  <si>
    <t xml:space="preserve">Byron Manuel Sisalima Romero </t>
  </si>
  <si>
    <t>NOTIFICACION ELECTRÓNICA: sisalimabairon03-85@gmail.com</t>
  </si>
  <si>
    <t>MDT-DRTSPL-2022-2495-EXTERNO</t>
  </si>
  <si>
    <t>MDT-DRTSPL-2022-1652-O</t>
  </si>
  <si>
    <t xml:space="preserve">Xavier Israel Jaramillo Hurtado </t>
  </si>
  <si>
    <t>MDT-DRTSPL-2022-2496-EXTERNO</t>
  </si>
  <si>
    <t>MDT-DRTSPL-2022-1731-O</t>
  </si>
  <si>
    <t xml:space="preserve">Victor Antonio Granda Ortega </t>
  </si>
  <si>
    <t>NOTIFICACION ELECTRÓNICA: ponicito319@gmail.com</t>
  </si>
  <si>
    <t>MDT-DRTSPL-2022-2497-EXTERNO</t>
  </si>
  <si>
    <t>MDT-DRTSPL-2022-1658-O</t>
  </si>
  <si>
    <t>MDT-DRTSPL-2022-2498-EXTERNO</t>
  </si>
  <si>
    <t>MDT-DRTSPL-2022-1736-O</t>
  </si>
  <si>
    <t xml:space="preserve">Eduardo Patiño Guaman </t>
  </si>
  <si>
    <t>NOTIFICACION ELECTRÓNICA: eduardo.patino1961@gmail.com</t>
  </si>
  <si>
    <t>MDT-DRTSPL-2022-2502-EXTERNO</t>
  </si>
  <si>
    <t>MDT-DRTSPL-2022-1659-O</t>
  </si>
  <si>
    <t>MDT-DRTSPL-2022-2504-EXTERNO</t>
  </si>
  <si>
    <t>MDT-DRTSPL-2022-1661-O</t>
  </si>
  <si>
    <t xml:space="preserve">Antonio Israel Ruilova Sanchez </t>
  </si>
  <si>
    <t>NOTIFICACION ELECTRÓNICA: consultoriojuridicoruilova@hotmail.es</t>
  </si>
  <si>
    <t>MDT-DRTSPL-2022-2505-EXTERNO</t>
  </si>
  <si>
    <t>MDT-DRTSPL-2022-1662-O</t>
  </si>
  <si>
    <t xml:space="preserve">Marbelia Itamar Benitez Ortega </t>
  </si>
  <si>
    <t>NOTIFICACION ELECTRÓNICA: marbeniort0506@gmail.com</t>
  </si>
  <si>
    <t>MDT-DRTSPL-2022-2509-EXTERNO</t>
  </si>
  <si>
    <t>MDT-DRTSPL-2022-1663-O</t>
  </si>
  <si>
    <t xml:space="preserve">Johisy Anahy Jaramillo Ramon </t>
  </si>
  <si>
    <t>NOTIFICACION ELECTRÓNICA: ggarciaprado@yahoo.es</t>
  </si>
  <si>
    <t>MDT-DRTSPL-2022-2513-EXTERNO</t>
  </si>
  <si>
    <t>MDT-DRTSPL-2022-1665-O</t>
  </si>
  <si>
    <t xml:space="preserve">Lucila Esperanza Curipoma Remache </t>
  </si>
  <si>
    <t>NOTIFICACION ELECTRÓNICA: medinajonathan544@gmail.com</t>
  </si>
  <si>
    <t>MDT-DRTSPL-2022-2515-EXTERNO</t>
  </si>
  <si>
    <t>MDT-DRTSPL-2022-1666-O</t>
  </si>
  <si>
    <t xml:space="preserve">Estrella de la Aurora Burneo Sanchez </t>
  </si>
  <si>
    <t>NOTIFICACION ELECTRÓNICA: diana_silva0617@outlook.com</t>
  </si>
  <si>
    <t>MDT-DRTSPL-2022-2519-EXTERNO</t>
  </si>
  <si>
    <t>MDT-DRTSPL-2022-1668-O</t>
  </si>
  <si>
    <t xml:space="preserve">Jeferson Paul Aranda Ajila </t>
  </si>
  <si>
    <t>NOTIFICACION ELECTRÓNICA: luciahurtadof@yahoo.es</t>
  </si>
  <si>
    <t>MDT-DRTSPL-2022-2521-EXTERNO</t>
  </si>
  <si>
    <t>MDT-DRTSPL-2022-1669-O</t>
  </si>
  <si>
    <t>NOTIFICACION ELECTRÓNICA: marlon.santorum@funcionjudicial.gob.ec</t>
  </si>
  <si>
    <t>MDT-DRTSPL-2022-2522-EXTERNO</t>
  </si>
  <si>
    <t>MDT-DRTSPL-2022-1671-O</t>
  </si>
  <si>
    <t>NOTIFICACION ELECTRÓNICA: wmluna_1992@hotmail.com</t>
  </si>
  <si>
    <t>MDT-DRTSPL-2022-2523-EXTERNO</t>
  </si>
  <si>
    <t>MDT-DRTSPL-2022-1673-O</t>
  </si>
  <si>
    <t>NOTIFICACION ELECTRÓNICA: javipardo@outlook.com</t>
  </si>
  <si>
    <t>MDT-DRTSPL-2022-2524-EXTERNO</t>
  </si>
  <si>
    <t>MDT-DRTSPL-2022-1675-O</t>
  </si>
  <si>
    <t xml:space="preserve">Hilda Marugita Puchaicela Abrigo </t>
  </si>
  <si>
    <t>NOTIFICACION ELECTRÓNICA: rasoto_82@hotmail.com</t>
  </si>
  <si>
    <t>MDT-DRTSPL-2022-2526-EXTERNO</t>
  </si>
  <si>
    <t>MDT-DRTSPL-2022-1681-O</t>
  </si>
  <si>
    <t>NOTIFICACION ELECTRÓNICA: yeyanena92@gmail.com</t>
  </si>
  <si>
    <t>MDT-DRTSPL-2022-2529-EXTERNO</t>
  </si>
  <si>
    <t>MDT-DRTSPL-2022-1677-O</t>
  </si>
  <si>
    <t>NOTIFICACION ELECTRÓNICA: jordonezcalva@gmail.com</t>
  </si>
  <si>
    <t>MDT-DRTSPL-2022-2530-EXTERNO</t>
  </si>
  <si>
    <t>MDT-DRTSPL-2022-1678-O</t>
  </si>
  <si>
    <t>NOTIFICACION ELECTRÓNICA: angel_pato72@hotmail.com</t>
  </si>
  <si>
    <t>MDT-DRTSPL-2022-2531-EXTERNO</t>
  </si>
  <si>
    <t>MDT-DRTSPL-2022-1683-O</t>
  </si>
  <si>
    <t>MDT-DRTSPL-2022-2532-EXTERNO</t>
  </si>
  <si>
    <t>MDT-DRTSPL-2022-1680-O</t>
  </si>
  <si>
    <t>MDT-DRTSPL-2022-2533-EXTERNO</t>
  </si>
  <si>
    <t>MDT-DRTSPL-2022-1687-O</t>
  </si>
  <si>
    <t>MDT-DRTSPL-2022-2534-EXTERNO</t>
  </si>
  <si>
    <t>MDT-DRTSPL-2022-1689-O</t>
  </si>
  <si>
    <t>MDT-DRTSPL-2022-2535-EXTERNO</t>
  </si>
  <si>
    <t>MDT-DRTSPL-2022-1699-O</t>
  </si>
  <si>
    <t>MDT-DRTSPL-2022-2536-EXTERNO</t>
  </si>
  <si>
    <t>MDT-DRTSPL-2022-1701-O</t>
  </si>
  <si>
    <t>MDT-DRTSPL-2022-2539-EXTERNO</t>
  </si>
  <si>
    <t>MDT-DRTSPL-2022-1702-O</t>
  </si>
  <si>
    <t xml:space="preserve">Nely Lourdes Masa Reyes </t>
  </si>
  <si>
    <t>NOTIFICACION ELECTRÓNICA: nelylu789@gmail.com</t>
  </si>
  <si>
    <t>MDT-DRTSPL-2022-2543-EXTERNO</t>
  </si>
  <si>
    <t>MDT-DRTSPL-2022-1703-O</t>
  </si>
  <si>
    <t xml:space="preserve">Roberto Jimenez Ocampo </t>
  </si>
  <si>
    <t>NOTIFICACION ELECTRÓNICA: robertojimenez3@hotmail.es</t>
  </si>
  <si>
    <t>MDT-DRTSPL-2022-2547-EXTERNO</t>
  </si>
  <si>
    <t>MDT-DRTSPL-2022-1690-O</t>
  </si>
  <si>
    <t xml:space="preserve">Luis Gonzalo Sanchez Sanchez </t>
  </si>
  <si>
    <t>NOTIFICACION ELECTRÓNICA: gonzalosanchez5120@gmail.com</t>
  </si>
  <si>
    <t>MDT-DRTSPL-2022-2549-EXTERNO</t>
  </si>
  <si>
    <t>MDT-DRTSPL-2022-1704-O</t>
  </si>
  <si>
    <t xml:space="preserve">Santiago Alexander Sanchez Poma </t>
  </si>
  <si>
    <t>NOTIFICACION ELECTRÓNICA: juanjose.228@hotmail.com</t>
  </si>
  <si>
    <t>MDT-DRTSPL-2022-2550-EXTERNO</t>
  </si>
  <si>
    <t>MDT-DRTSPL-2022-1705-O</t>
  </si>
  <si>
    <t>NOTIFICACION ELECTRÓNICA: mari.vivanco@gmail.com</t>
  </si>
  <si>
    <t>MDT-DRTSPL-2022-2551-EXTERNO</t>
  </si>
  <si>
    <t>MDT-DRTSPL-2022-1708-O</t>
  </si>
  <si>
    <t>MDT-DRTSPL-2022-2552-EXTERNO</t>
  </si>
  <si>
    <t>MDT-DRTSPL-2022-1709-O</t>
  </si>
  <si>
    <t>MDT-DRTSPL-2022-2554-EXTERNO</t>
  </si>
  <si>
    <t xml:space="preserve">Vinicio Fabián Obando Llamuca </t>
  </si>
  <si>
    <t xml:space="preserve">Florinda Victoria Torres Cabrera </t>
  </si>
  <si>
    <t>MDT-DRTSPL-2022-2555-EXTERNO</t>
  </si>
  <si>
    <t>MDT-DRTSPL-2022-1712-O</t>
  </si>
  <si>
    <t>NOTIFICACION ELECTRÓNICA: alpf31084@hotmail.com</t>
  </si>
  <si>
    <t>MDT-DRTSPL-2022-2556-EXTERNO</t>
  </si>
  <si>
    <t>MDT-DRTSPL-2022-1713-O</t>
  </si>
  <si>
    <t>MDT-DRTSPL-2022-2557-EXTERNO</t>
  </si>
  <si>
    <t>MDT-DRTSPL-2022-1714-O</t>
  </si>
  <si>
    <t>MDT-DRTSPL-2022-2558-EXTERNO</t>
  </si>
  <si>
    <t>MDT-DRTSPL-2022-1700-O</t>
  </si>
  <si>
    <t xml:space="preserve">Christian Patricio Rios Moreira </t>
  </si>
  <si>
    <t>NOTIFICACION ELECTRÓNICA: ch_patorios@yahoo.com</t>
  </si>
  <si>
    <t>MDT-DRTSPL-2022-2562-EXTERNO</t>
  </si>
  <si>
    <t>MDT-DRTSPL-2022-1738-O</t>
  </si>
  <si>
    <t xml:space="preserve">Luis Amable Guaman Velez </t>
  </si>
  <si>
    <t>NOTIFICACION ELECTRÓNICA: mfigurin22@hotmail.com</t>
  </si>
  <si>
    <t>MDT-DRTSPL-2022-2563-EXTERNO</t>
  </si>
  <si>
    <t>NOTIFICACION ELECTRÓNICA: kerlymaria.96@gmail.com</t>
  </si>
  <si>
    <t>MDT-DRTSPL-2022-2565-EXTERNO</t>
  </si>
  <si>
    <t>MDT-DRTSPL-2022-1718-O</t>
  </si>
  <si>
    <t xml:space="preserve">Soraida Fernanda Collaguazo Agila </t>
  </si>
  <si>
    <t>NOTIFICACION ELECTRÓNICA: collaguazo960@gmail.com</t>
  </si>
  <si>
    <t>MDT-DRTSPL-2022-2566-EXTERNO</t>
  </si>
  <si>
    <t>MDT-DRTSPL-2022-1719-O</t>
  </si>
  <si>
    <t xml:space="preserve">Monica Maritza Celi Salinas </t>
  </si>
  <si>
    <t>NOTIFICACION ELECTRÓNICA: moni_math07@hotmail.com</t>
  </si>
  <si>
    <t>MDT-DRTSPL-2022-2567-EXTERNO</t>
  </si>
  <si>
    <t>MDT-DRTSPL-2022-1720-O</t>
  </si>
  <si>
    <t xml:space="preserve">Laydy Margoth Guayllas Guarnizo </t>
  </si>
  <si>
    <t>NOTIFICACION ELECTRÓNICA: ladyguayllas88@hotmail.com</t>
  </si>
  <si>
    <t>MDT-DRTSPL-2022-2569-EXTERNO</t>
  </si>
  <si>
    <t>MDT-DRTSPL-2022-1721-O</t>
  </si>
  <si>
    <t xml:space="preserve">Hector Heladio Rogel Ambuludi </t>
  </si>
  <si>
    <t>NOTIFICACION ELECTRÓNICA: hectorrogel06@gmail.com</t>
  </si>
  <si>
    <t>MDT-DRTSPL-2022-2571-EXTERNO</t>
  </si>
  <si>
    <t>MDT-DRTSPL-2022-1717-O</t>
  </si>
  <si>
    <t xml:space="preserve">Flor Maria Correa Morocho </t>
  </si>
  <si>
    <t>NOTIFICACION ELECTRÓNICA: florjeremymartin1718@gmail.com</t>
  </si>
  <si>
    <t>MDT-DRTSPL-2022-2572-EXTERNO</t>
  </si>
  <si>
    <t>MDT-DRTSPL-2022-1815-O</t>
  </si>
  <si>
    <t xml:space="preserve">Servio Gradyn Ludeña Gonzaga </t>
  </si>
  <si>
    <t xml:space="preserve">NOTIFICACION ELECTRÓNICA: hmonterospaladines@hotmail.com </t>
  </si>
  <si>
    <t>MDT-DRTSPL-2022-2574-EXTERNO</t>
  </si>
  <si>
    <t>MDT-DRTSPL-2022-1722-O</t>
  </si>
  <si>
    <t xml:space="preserve">Héctor Efrén Burneo Saavedra </t>
  </si>
  <si>
    <t>NOTIFICACION ELECTRÓNICA: maldonadopatico@yahoo.com</t>
  </si>
  <si>
    <t>MDT-DRTSPL-2022-2576-EXTERNO</t>
  </si>
  <si>
    <t>MDT-DRTSPL-2022-1724-O</t>
  </si>
  <si>
    <t xml:space="preserve">Sonia Marlene Prieto Jimenez </t>
  </si>
  <si>
    <t>NOTIFICACION ELECTRÓNICA: libiatene@yahoo.es</t>
  </si>
  <si>
    <t>MDT-DRTSPL-2022-2577-EXTERNO</t>
  </si>
  <si>
    <t>MDT-DRTSPL-2022-1725-O</t>
  </si>
  <si>
    <t xml:space="preserve">Sonia Marlene Jimenez Cabrera </t>
  </si>
  <si>
    <t>MDT-DRTSPL-2022-2578-EXTERNO</t>
  </si>
  <si>
    <t>MDT-DRTSPL-2022-1726-O</t>
  </si>
  <si>
    <t xml:space="preserve">Segundo Daniel Silva Ordoñez </t>
  </si>
  <si>
    <t>NOTIFICACION ELECTRÓNICA: copiadorasilva@hotmail.com</t>
  </si>
  <si>
    <t>MDT-DRTSPL-2022-2579-EXTERNO</t>
  </si>
  <si>
    <t>MDT-DRTSPL-2022-1727-O</t>
  </si>
  <si>
    <t>NOTIFICACION ELECTRÓNICA: mariaosas001@hotmail.com</t>
  </si>
  <si>
    <t>MDT-DRTSPL-2022-2584-EXTERNO</t>
  </si>
  <si>
    <t>MDT-DRTSPL-2022-1729-O</t>
  </si>
  <si>
    <t>MDT-DRTSPL-2022-2585-EXTERNO</t>
  </si>
  <si>
    <t>MDT-DAS-2022-0220-M</t>
  </si>
  <si>
    <t>MDT-DRTSPL-2022-2587-EXTERNO</t>
  </si>
  <si>
    <t>MDT-DRTSPL-2022-1814-O</t>
  </si>
  <si>
    <t xml:space="preserve">Asuncion Cango </t>
  </si>
  <si>
    <t>NOTIFICACION ELECTRÓNICA: segu.27@hotmail.com</t>
  </si>
  <si>
    <t>MDT-DRTSPL-2022-2588-EXTERNO</t>
  </si>
  <si>
    <t>MDT-DRTSPL-2022-1733-O</t>
  </si>
  <si>
    <t>NOTIFICACION ELECTRÓNICA: eselisanchez@gmail.com</t>
  </si>
  <si>
    <t>MDT-DRTSPL-2022-2591-EXTERNO</t>
  </si>
  <si>
    <t xml:space="preserve">Dayana Cecibel Hidalgo Montero </t>
  </si>
  <si>
    <t>Marlene Marizaca Diaz</t>
  </si>
  <si>
    <t>POR NOTIFICAR: paquitalejandro50@live.com</t>
  </si>
  <si>
    <t>MDT-DRTSPL-2022-2599-EXTERNO</t>
  </si>
  <si>
    <t>MDT-DRTSPL-2022-1730-O</t>
  </si>
  <si>
    <t xml:space="preserve">Diego Fernando Cabrera Lalangui </t>
  </si>
  <si>
    <t>NOTIFICACION ELECTRÓNICA: diegofer1177@hotmail.com</t>
  </si>
  <si>
    <t>MDT-DRTSPL-2022-2601-EXTERNO</t>
  </si>
  <si>
    <t>MDT-DRTSPL-2022-1735-O</t>
  </si>
  <si>
    <t xml:space="preserve">Ervin David Cueva Ontaneda </t>
  </si>
  <si>
    <t>NOTIFICACION ELECTRÓNICA: ervincueva@hotmail.com</t>
  </si>
  <si>
    <t>MDT-DRTSPL-2022-2602-EXTERNO</t>
  </si>
  <si>
    <t>MDT-DRTSPL-2022-1737-O</t>
  </si>
  <si>
    <t>MDT-DRTSPL-2022-2603-EXTERNO</t>
  </si>
  <si>
    <t>MDT-DRTSPL-2022-1739-O</t>
  </si>
  <si>
    <t>MDT-DRTSPL-2022-2604-EXTERNO</t>
  </si>
  <si>
    <t>MDT-DRTSPL-2022-1740-O</t>
  </si>
  <si>
    <t>NOTIFICACION ELECTRÓNICA: coroneltp@fiscalia.gob.ec</t>
  </si>
  <si>
    <t>MDT-DRTSPL-2022-2606-EXTERNO</t>
  </si>
  <si>
    <t>MDT-DRTSPL-2022-1742-O</t>
  </si>
  <si>
    <t xml:space="preserve">Juan Carlos Rodriguez Veintimilla </t>
  </si>
  <si>
    <t>NOTIFICACION ELECTRÓNICA: juankarlitos2010@yahoo.com</t>
  </si>
  <si>
    <t>MDT-DRTSPL-2022-2607-EXTERNO</t>
  </si>
  <si>
    <t>MDT-DRTSPL-2022-1751-O</t>
  </si>
  <si>
    <t xml:space="preserve">Lenin Manuel Riofrio Mantilla </t>
  </si>
  <si>
    <t>NOTIFICACION ELECTRÓNICA: guia 1000008596</t>
  </si>
  <si>
    <t>MDT-DRTSPL-2022-2608-EXTERNO</t>
  </si>
  <si>
    <t>MDT-DRTSPL-2022-1743-O</t>
  </si>
  <si>
    <t xml:space="preserve">Luis Carlos Espinoza Balcazar </t>
  </si>
  <si>
    <t>NOTIFICACION ELECTRÓNICA: 1997lceb@gmail.com</t>
  </si>
  <si>
    <t>MDT-DRTSPL-2022-2610-EXTERNO</t>
  </si>
  <si>
    <t>MDT-DRTSPL-2022-1744-O</t>
  </si>
  <si>
    <t>NOTIFICACION ELECTRÓNICA: andy_egc@hotmail.com</t>
  </si>
  <si>
    <t>MDT-DRTSPL-2022-2611-EXTERNO</t>
  </si>
  <si>
    <t>MDT-DRTSPL-2022-1783-O</t>
  </si>
  <si>
    <t xml:space="preserve">Diego Fernando Valdivieso Eguiguren </t>
  </si>
  <si>
    <t>NOTIFICACION ELECTRÓNICA: asecontloja@gmail.com</t>
  </si>
  <si>
    <t>MDT-DRTSPL-2022-2613-EXTERNO</t>
  </si>
  <si>
    <t>MDT-DRTSPL-2022-1745-O</t>
  </si>
  <si>
    <t xml:space="preserve">Fredin Pablo Salinas Jaramillo </t>
  </si>
  <si>
    <t>NOTIFICACION ELECTRÓNICA: jonpatriciocps@hotamil.com</t>
  </si>
  <si>
    <t>MDT-DRTSPL-2022-2614-EXTERNO</t>
  </si>
  <si>
    <t>MDT-DRTSPL-2022-1748-O</t>
  </si>
  <si>
    <t>MDT-DRTSPL-2022-2615-EXTERNO</t>
  </si>
  <si>
    <t>MDT-DRTSPL-2022-1750-O</t>
  </si>
  <si>
    <t>MDT-DRTSPL-2022-2616-EXTERNO</t>
  </si>
  <si>
    <t>MDT-DRTSPL-2022-1758-O</t>
  </si>
  <si>
    <t>NOTIFICACION ELECTRÓNICA: consorciolavanda@hotmail.com</t>
  </si>
  <si>
    <t>MDT-DRTSPL-2022-2619-EXTERNO</t>
  </si>
  <si>
    <t>MDT-DRTSPL-2022-1754-O</t>
  </si>
  <si>
    <t xml:space="preserve">Diana Marcela Alfonso Torres </t>
  </si>
  <si>
    <t>NOTIFICACION ELECTRÓNICA: marcel_al18@hotmail.com</t>
  </si>
  <si>
    <t>MDT-DRTSPL-2022-2623-EXTERNO</t>
  </si>
  <si>
    <t>MDT-DRTSPL-2022-1752-O</t>
  </si>
  <si>
    <t xml:space="preserve">Luis Alfredo Mogrovejo Salcedo </t>
  </si>
  <si>
    <t>NOTIFICACION ELECTRÓNICA: luismogrovejo22@gmail.com</t>
  </si>
  <si>
    <t>MDT-DRTSPL-2022-2624-EXTERNO</t>
  </si>
  <si>
    <t>MDT-DRTSPL-2022-1753-O</t>
  </si>
  <si>
    <t xml:space="preserve">Carlos Vinicio Guajala Cuenca </t>
  </si>
  <si>
    <t>NOTIFICACION ELECTRÓNICA: charvin_18@hotmail.com</t>
  </si>
  <si>
    <t>MDT-DRTSPL-2022-2627-EXTERNO</t>
  </si>
  <si>
    <t>MDT-DRTSPL-2022-1759-O</t>
  </si>
  <si>
    <t xml:space="preserve">Ermel Rafael Costa Jimenez </t>
  </si>
  <si>
    <t>NOTIFICACION ELECTRÓNICA: dannycosta_79@hotmail.com</t>
  </si>
  <si>
    <t>MDT-DRTSPL-2022-2628-EXTERNO</t>
  </si>
  <si>
    <t>MDT-DRTSPL-2022-1760-O</t>
  </si>
  <si>
    <t xml:space="preserve">Pablo Fernando Erique Moncada </t>
  </si>
  <si>
    <t>NOTIFICACION ELECTRÓNICA: pablo.enrique@funcionjudicial.gob.ec</t>
  </si>
  <si>
    <t>MDT-DRTSPL-2022-2629-EXTERNO</t>
  </si>
  <si>
    <t>MDT-DRTSPL-2022-1761-O</t>
  </si>
  <si>
    <t>NOTIFICACION ELECTRÓNICA: yhesesama@gmail.com</t>
  </si>
  <si>
    <t>MDT-DRTSPL-2022-2630-EXTERNO</t>
  </si>
  <si>
    <t>MDT-DRTSPL-2022-1762-O</t>
  </si>
  <si>
    <t xml:space="preserve">Georgia Iris Bird </t>
  </si>
  <si>
    <t>MDT-DRTSPL-2022-2631-EXTERNO</t>
  </si>
  <si>
    <t>MDT-DRTSPL-2022-1732-O</t>
  </si>
  <si>
    <t xml:space="preserve">Blanca Esperanza Morocho Riofrio </t>
  </si>
  <si>
    <t>NOTIFICACION ELECTRÓNICA: blanca_60@yahoo.es</t>
  </si>
  <si>
    <t>MDT-DRTSPL-2022-2632-EXTERNO</t>
  </si>
  <si>
    <t>MDT-DRTSPL-2022-1764-O</t>
  </si>
  <si>
    <t xml:space="preserve">Angel Sabino Hidalgo Jaramillo </t>
  </si>
  <si>
    <t>NOTIFICACION ELECTRÓNICA: divpalac@hotmail.com</t>
  </si>
  <si>
    <t>MDT-DRTSPL-2022-2634-EXTERNO</t>
  </si>
  <si>
    <t>MDT-DRTSPL-2022-1775-O</t>
  </si>
  <si>
    <t xml:space="preserve">Pablo Enrique Guzmán Chávez </t>
  </si>
  <si>
    <t>NOTIFICACION ELECTRÓNICA: abguzmanlex@outlook.com</t>
  </si>
  <si>
    <t>MDT-DRTSPL-2022-2635-EXTERNO</t>
  </si>
  <si>
    <t>MDT-DRTSPL-2022-1765-O</t>
  </si>
  <si>
    <t xml:space="preserve">Luis Amable Cruz Matailo </t>
  </si>
  <si>
    <t>NOTIFICACION ELECTRÓNICA: mhymary2019@gmail.com</t>
  </si>
  <si>
    <t>MDT-DRTSPL-2022-2638-EXTERNO</t>
  </si>
  <si>
    <t>MDT-DRTSPL-2022-1766-O</t>
  </si>
  <si>
    <t xml:space="preserve">Gabriela Quizhpe Herrera </t>
  </si>
  <si>
    <t>NOTIFICACION ELECTRÓNICA: gaby_q190@hotmail.com</t>
  </si>
  <si>
    <t>MDT-DRTSPL-2022-2639-EXTERNO</t>
  </si>
  <si>
    <t>MDT-DRTSPL-2022-1767-O</t>
  </si>
  <si>
    <t>NOTIFICACION ELECTRÓNICA: jaimeantonio07@hotmail.es</t>
  </si>
  <si>
    <t>MDT-DRTSPL-2022-2641-EXTERNO</t>
  </si>
  <si>
    <t>MDT-DRTSPL-2022-1768-O</t>
  </si>
  <si>
    <t xml:space="preserve">Carlos Manuel Sanchez Angamarca </t>
  </si>
  <si>
    <t>MDT-DRTSPL-2022-2646-EXTERNO</t>
  </si>
  <si>
    <t>MDT-DRTSPL-2022-1769-O</t>
  </si>
  <si>
    <t xml:space="preserve">Lucia Bernarda Hurtado Flores </t>
  </si>
  <si>
    <t>MDT-DRTSPL-2022-2648-EXTERNO</t>
  </si>
  <si>
    <t>MDT-DRTSPL-2022-1770-O</t>
  </si>
  <si>
    <t xml:space="preserve">Sergio Armando Yagual Gonzalez </t>
  </si>
  <si>
    <t>NOTIFICACION ELECTRÓNICA: sergioyugual83@yahoo.com</t>
  </si>
  <si>
    <t>MDT-DRTSPL-2022-2653-EXTERNO</t>
  </si>
  <si>
    <t>MDT-DRTSPL-2022-1776-O</t>
  </si>
  <si>
    <t>NOTIFICACION ELECTRÓNICA: edualvarado82@hotmail.com</t>
  </si>
  <si>
    <t>MDT-DRTSPL-2022-2654-EXTERNO</t>
  </si>
  <si>
    <t>MDT-DRTSPL-2022-1777-O</t>
  </si>
  <si>
    <t>MDT-DRTSPL-2022-2655-EXTERNO</t>
  </si>
  <si>
    <t>MDT-DRTSPL-2022-1781-O</t>
  </si>
  <si>
    <t>MDT-DRTSPL-2022-2656-EXTERNO</t>
  </si>
  <si>
    <t>MDT-DRTSPL-2022-1780-O</t>
  </si>
  <si>
    <t>MDT-DRTSPL-2022-2657-EXTERNO</t>
  </si>
  <si>
    <t>MDT-DRTSPL-2022-1782-O</t>
  </si>
  <si>
    <t xml:space="preserve">Juan Carlos Jumbo Jumbo </t>
  </si>
  <si>
    <t>NOTIFICACION ELECTRÓNICA: juancarlos.jumbo@yahoo.es</t>
  </si>
  <si>
    <t>MDT-DRTSPL-2022-2665-EXTERNO</t>
  </si>
  <si>
    <t>MDT-DRTSPL-2022-1788-O</t>
  </si>
  <si>
    <t xml:space="preserve">Ángel Geovanny Chiriboga López </t>
  </si>
  <si>
    <t>NOTIFICACION ELECTRÓNICA: suco-1972@outlook.com</t>
  </si>
  <si>
    <t>MDT-DRTSPL-2022-2667-EXTERNO</t>
  </si>
  <si>
    <t>MDT-DRTSPL-2022-1790-O</t>
  </si>
  <si>
    <t>NOTIFICACION ELECTRÓNICA: galoortega33@hotmail.com</t>
  </si>
  <si>
    <t>MDT-DRTSPL-2022-2668-EXTERNO</t>
  </si>
  <si>
    <t>MDT-DRTSPL-2022-1793-O</t>
  </si>
  <si>
    <t>MDT-DRTSPL-2022-2669-EXTERNO</t>
  </si>
  <si>
    <t>MDT-DRTSPL-2022-1794-O</t>
  </si>
  <si>
    <t>NOTIFICACION ELECTRÓNICA: manuelbenjamin25@hotmail.com</t>
  </si>
  <si>
    <t>MDT-DRTSPL-2022-2671-EXTERNO</t>
  </si>
  <si>
    <t>MDT-DRTSPL-2022-1795-O</t>
  </si>
  <si>
    <t>MDT-DRTSPL-2022-2672-EXTERNO</t>
  </si>
  <si>
    <t>MDT-DRTSPL-2022-1796-O</t>
  </si>
  <si>
    <t xml:space="preserve">Franco Ricardo Morales Iñiguez </t>
  </si>
  <si>
    <t>NOTIFICACION ELECTRÓNICA: franco.morales@funcionjudicial.gob.ec</t>
  </si>
  <si>
    <t>MDT-DRTSPL-2022-2673-EXTERNO</t>
  </si>
  <si>
    <t>MDT-DRTSPL-2022-1797-O</t>
  </si>
  <si>
    <t xml:space="preserve">Ramiro Augusto Arévalo Malo </t>
  </si>
  <si>
    <t>MDT-DRTSPL-2022-2674-EXTERNO</t>
  </si>
  <si>
    <t>MDT-DRTSPL-2022-1798-O</t>
  </si>
  <si>
    <t>MDT-DRTSPL-2022-2675-EXTERNO</t>
  </si>
  <si>
    <t>MDT-DRTSPL-2022-1799-O</t>
  </si>
  <si>
    <t>MDT-DRTSPL-2022-2676-EXTERNO</t>
  </si>
  <si>
    <t>MDT-DRTSPL-2022-1800-O</t>
  </si>
  <si>
    <t>MDT-DRTSPL-2022-2677-EXTERNO</t>
  </si>
  <si>
    <t>MDT-DRTSPL-2022-1802-O</t>
  </si>
  <si>
    <t>NOTIFICACION ELECTRÓNICA: magalyramon@hotmail.com</t>
  </si>
  <si>
    <t>MDT-DRTSPL-2022-2678-EXTERNO</t>
  </si>
  <si>
    <t>MDT-DRTSPL-2022-1803-O</t>
  </si>
  <si>
    <t>NOTIFICACION ELECTRÓNICA: magalyramon18@hotmail.com</t>
  </si>
  <si>
    <t>MDT-DRTSPL-2022-2679-EXTERNO</t>
  </si>
  <si>
    <t>MDT-DRTSPL-2022-1804-O</t>
  </si>
  <si>
    <t>MDT-DRTSPL-2022-2680-EXTERNO</t>
  </si>
  <si>
    <t>MDT-DRTSPL-2022-1809-O</t>
  </si>
  <si>
    <t>MDT-DRTSPL-2022-2681-EXTERNO</t>
  </si>
  <si>
    <t>MDT-DRTSPL-2022-1966-O</t>
  </si>
  <si>
    <t xml:space="preserve">Jorge Oswaldo Tenepaguay Guaman </t>
  </si>
  <si>
    <t>NOTIFICACION ELECTRÓNICA: magalyramon18@hotmail.com, alexcampeon@hotmail.es</t>
  </si>
  <si>
    <t>MDT-DRTSPL-2022-2686-EXTERNO</t>
  </si>
  <si>
    <t>MDT-DRTSPL-2022-1810-O</t>
  </si>
  <si>
    <t>MDT-DRTSPL-2022-2691-EXTERNO</t>
  </si>
  <si>
    <t>MDT-DRTSPL-2022-1812-O</t>
  </si>
  <si>
    <t xml:space="preserve">Juan Carlos Montalvan Salcedo </t>
  </si>
  <si>
    <t>NOTIFICACION ELECTRÓNICA: legaltorresguerrero653@gmail.com</t>
  </si>
  <si>
    <t>MDT-DRTSPL-2022-2698-EXTERNO</t>
  </si>
  <si>
    <t>MDT-DRTSPL-2022-1813-O</t>
  </si>
  <si>
    <t xml:space="preserve">Jorge Geovanny Alvarado Guamán </t>
  </si>
  <si>
    <t>MDT-DRTSPL-2022-2699-EXTERNO</t>
  </si>
  <si>
    <t>MDT-DRTSPL-2022-1816-O</t>
  </si>
  <si>
    <t>NOTIFICACION ELECTRÓNICA: alexmartinezr8@gmail.com</t>
  </si>
  <si>
    <t>MDT-DRTSPL-2022-2715-EXTERNO</t>
  </si>
  <si>
    <t>MDT-DRTSPL-2022-1817-O</t>
  </si>
  <si>
    <t>NOTIFICACION ELECTRÓNICA: kpishy25_@hotmail.com</t>
  </si>
  <si>
    <t>MDT-DRTSPL-2022-2717-EXTERNO</t>
  </si>
  <si>
    <t>MDT-DRTSPL-2022-1818-O</t>
  </si>
  <si>
    <t xml:space="preserve">Luis Enrique Guamán Zhunaula </t>
  </si>
  <si>
    <t>NOTIFICACION ELECTRÓNICA: luiswamanzh@gmail.com</t>
  </si>
  <si>
    <t>MDT-DRTSPL-2022-2718-EXTERNO</t>
  </si>
  <si>
    <t>MDT-DRTSPL-2022-1819-O</t>
  </si>
  <si>
    <t xml:space="preserve">Isabel Birmania Velez Vicente </t>
  </si>
  <si>
    <t>NOTIFICACION ELECTRÓNICA: consuelo_diaz7@hotmail.com</t>
  </si>
  <si>
    <t>MDT-DRTSPL-2022-2720-EXTERNO</t>
  </si>
  <si>
    <t>MDT-DRTSPL-2022-1834-O</t>
  </si>
  <si>
    <t xml:space="preserve">Leonardo Amadeo Villalta Torres </t>
  </si>
  <si>
    <t>MDT-DRTSPL-2022-2721-EXTERNO</t>
  </si>
  <si>
    <t>MDT-DRTSPL-2022-1827-O</t>
  </si>
  <si>
    <t xml:space="preserve">Jorge Fabricio Campoverde Villavicencio </t>
  </si>
  <si>
    <t>NOTIFICACION ELECTRÓNICA: jorgefcvdr@hotmail.com</t>
  </si>
  <si>
    <t>MDT-DRTSPL-2022-2722-EXTERNO</t>
  </si>
  <si>
    <t>MDT-DRTSPL-2022-1882-O</t>
  </si>
  <si>
    <t xml:space="preserve">Lucia Alexandra Loaiza Yaguana </t>
  </si>
  <si>
    <t>NOTIFICACION ELECTRÓNICA: estefania2630@gmail.com</t>
  </si>
  <si>
    <t>MDT-DRTSPL-2022-2726-EXTERNO</t>
  </si>
  <si>
    <t>MDT-DRTSPL-2022-1828-O</t>
  </si>
  <si>
    <t xml:space="preserve">Servio Patricio Gonzalez Chamba </t>
  </si>
  <si>
    <t>NOTIFICACION ELECTRÓNICA: gonzalezs@fiscalia.gob.ec</t>
  </si>
  <si>
    <t>MDT-DRTSPL-2022-2730-EXTERNO</t>
  </si>
  <si>
    <t>MDT-DRTSPL-2022-1829-O</t>
  </si>
  <si>
    <t xml:space="preserve">Diego Gustavo Quezada Quezada </t>
  </si>
  <si>
    <t>NOTIFICACION ELECTRÓNICA: luissumba@hotmail.es</t>
  </si>
  <si>
    <t>MDT-DRTSPL-2022-2735-EXTERNO</t>
  </si>
  <si>
    <t>MDT-DRTSPL-2022-1845-O</t>
  </si>
  <si>
    <t>NOTIFICACION ELECTRÓNICA: guido.castillo@funcionjudicial.gob.ec guia 1000008756</t>
  </si>
  <si>
    <t>MDT-DRTSPL-2022-2736-EXTERNO</t>
  </si>
  <si>
    <t>MDT-DRTSPL-2022-1847-O</t>
  </si>
  <si>
    <t>MDT-DRTSPL-2022-2737-EXTERNO</t>
  </si>
  <si>
    <t>MDT-DRTSPL-2022-1854-O</t>
  </si>
  <si>
    <t>MDT-DRTSPL-2022-2738-EXTERNO</t>
  </si>
  <si>
    <t>MDT-DRTSPL-2022-1844-O</t>
  </si>
  <si>
    <t>MDT-DRTSPL-2022-2349-EXTERNO</t>
  </si>
  <si>
    <t>MDT-DRTSPL-2022-1566-O</t>
  </si>
  <si>
    <t>Maria del Cisne Flores Carrion</t>
  </si>
  <si>
    <t>NOTIFICACION ELECTRÓNICA: danielcuencaperalta@hotmail.com</t>
  </si>
  <si>
    <t>MDT-DPTSPOM-2022-1275-EXTERNO</t>
  </si>
  <si>
    <t>MDT-DRTSPL-2022-1667-O</t>
  </si>
  <si>
    <t>Tito Marcelo Logroño Salinas</t>
  </si>
  <si>
    <t>NOTIFICACION ELECTRÓNICA: naty.logrono@gmail.com</t>
  </si>
  <si>
    <t>MDT-DRTSPL-2022-1994-EXTERNO</t>
  </si>
  <si>
    <t>MDT-DRTSPL-2022-1670-O</t>
  </si>
  <si>
    <t xml:space="preserve">Geovanny René Morán </t>
  </si>
  <si>
    <t>NOTIFICACION ELECTRÓNICA: N/A</t>
  </si>
  <si>
    <t>MDT-DPTSPOM-2022-1446-EXTERNO</t>
  </si>
  <si>
    <t>MDT-DRTSPL-2022-1682-O</t>
  </si>
  <si>
    <t>Walter Augusto Alban Zhamungui</t>
  </si>
  <si>
    <t>NOTIFICACION ELECTRÓNICA: walter600830@hotmail.com</t>
  </si>
  <si>
    <t>MDT-DRTSPL-2022-2413-EXTERNO</t>
  </si>
  <si>
    <t>MDT-DRTSPL-2022-1684-O</t>
  </si>
  <si>
    <t>Virgilio Enrique Mogrovejo Moreira</t>
  </si>
  <si>
    <t>NOTIFICACION ELECTRÓNICA: lorearmijos@outlook.es</t>
  </si>
  <si>
    <t>MDT-DRTSPL-2022-2435-EXTERNO</t>
  </si>
  <si>
    <t>MDT-DRTSPL-2022-1686-O</t>
  </si>
  <si>
    <t>Diego Rodrigo Veintimilla Figueroa</t>
  </si>
  <si>
    <t>NOTIFICACION ELECTRÓNICA: gyaservicioslegales@gmail.com</t>
  </si>
  <si>
    <t>MDT-DRTSPL-2022-2434-EXTERNO</t>
  </si>
  <si>
    <t>MDT-DRTSPL-2022-1691-O</t>
  </si>
  <si>
    <t>Estefanía Nataly González Arboleda</t>
  </si>
  <si>
    <t>MDT-DRTSPL-2022-2474-EXTERNO</t>
  </si>
  <si>
    <t>MDT-DRTSPL-2022-1734-O</t>
  </si>
  <si>
    <t>Esthela Paulina Benitez Luzuriaga</t>
  </si>
  <si>
    <t>NOTIFICACION ELECTRÓNICA: bladimirbetancourtganillo@hotmail.com</t>
  </si>
  <si>
    <t>MDT-DRTSPL-2022-2617-EXTERNO</t>
  </si>
  <si>
    <t>MDT-DRTSPL-2022-1741-O</t>
  </si>
  <si>
    <t>Angel Ernesto Guachisaca Chocho</t>
  </si>
  <si>
    <t>NOTIFICACION ELECTRÓNICA: marlonespinozav@hotmail.com</t>
  </si>
  <si>
    <t>MDT-DRTSPL-2022-2750-EXTERNO</t>
  </si>
  <si>
    <t>MDT-DRTSPL-2022-1835-O</t>
  </si>
  <si>
    <t>NOTIFICACION ELECTRÓNICA: sorayavazquezm@yahoo.es</t>
  </si>
  <si>
    <t>MDT-DRTSPL-2022-2752-EXTERNO</t>
  </si>
  <si>
    <t>MDT-DRTSPL-2022-1841-O</t>
  </si>
  <si>
    <t>MDT-DRTSPL-2022-2753-EXTERNO</t>
  </si>
  <si>
    <t>MDT-DRTSPL-2022-1846-O</t>
  </si>
  <si>
    <t>NOTIFICACION ELECTRÓNICA: luis.samaniego@corteprovincialdejusticia.gob.ec</t>
  </si>
  <si>
    <t>MDT-DRTSPL-2022-2756-EXTERNO</t>
  </si>
  <si>
    <t>MDT-DRTSPL-2022-1843-O</t>
  </si>
  <si>
    <t xml:space="preserve">Katherine Maribel Guaman Sarango </t>
  </si>
  <si>
    <t>NOTIFICACION ELECTRÓNICA: chdiaz722@gmail.com</t>
  </si>
  <si>
    <t>MDT-DRTSPL-2022-2759-EXTERNO</t>
  </si>
  <si>
    <t>MDT-DRTSPL-2022-1848-O</t>
  </si>
  <si>
    <t xml:space="preserve">Edi Rodrigo Galvan Vivanco </t>
  </si>
  <si>
    <t>NOTIFICACION ELECTRÓNICA: edigv1969@hotmail.com</t>
  </si>
  <si>
    <t>MDT-DRTSPL-2022-2760-EXTERNO</t>
  </si>
  <si>
    <t>MDT-DRTSPL-2022-1850-O</t>
  </si>
  <si>
    <t>MDT-DRTSPL-2022-2761-EXTERNO</t>
  </si>
  <si>
    <t>MDT-DRTSPL-2022-1856-O</t>
  </si>
  <si>
    <t xml:space="preserve">Víctor Julio Illescas Correa </t>
  </si>
  <si>
    <t>NOTIFICACION ELECTRÓNICA: tannya.jaramillo@funcionjudicial.gob.ec</t>
  </si>
  <si>
    <t>MDT-DRTSPL-2022-2772-EXTERNO</t>
  </si>
  <si>
    <t>MDT-DRTSPL-2022-1851-O</t>
  </si>
  <si>
    <t>MDT-DRTSPL-2022-2774-EXTERNO</t>
  </si>
  <si>
    <t>MDT-DRTSPL-2022-1852-O</t>
  </si>
  <si>
    <t>MDT-DRTSPL-2022-2775-EXTERNO</t>
  </si>
  <si>
    <t>MDT-DRTSPL-2022-1855-O</t>
  </si>
  <si>
    <t>MDT-DRTSPL-2022-2776-EXTERNO</t>
  </si>
  <si>
    <t>MDT-DRTSPL-2022-1857-O</t>
  </si>
  <si>
    <t>MDT-DRTSPL-2022-2777-EXTERNO</t>
  </si>
  <si>
    <t>MDT-DRTSPL-2022-1858-O</t>
  </si>
  <si>
    <t>MDT-DRTSPL-2022-2778-EXTERNO</t>
  </si>
  <si>
    <t>MDT-DRTSPL-2022-1860-O</t>
  </si>
  <si>
    <t>MDT-DRTSPL-2022-2779-EXTERNO</t>
  </si>
  <si>
    <t>MDT-DRTSPL-2022-1862-O</t>
  </si>
  <si>
    <t>MDT-DRTSPL-2022-2780-EXTERNO</t>
  </si>
  <si>
    <t>MDT-DRTSPL-2022-1865-O</t>
  </si>
  <si>
    <t>MDT-DRTSPL-2022-2781-EXTERNO</t>
  </si>
  <si>
    <t>MDT-DRTSPL-2022-1866-O</t>
  </si>
  <si>
    <t>MDT-DRTSPL-2022-2782-EXTERNO</t>
  </si>
  <si>
    <t>MDT-DRTSPL-2022-1867-O</t>
  </si>
  <si>
    <t>MDT-DRTSPL-2022-2783-EXTERNO</t>
  </si>
  <si>
    <t>MDT-DRTSPL-2022-1868-O</t>
  </si>
  <si>
    <t>MDT-DRTSPL-2022-2784-EXTERNO</t>
  </si>
  <si>
    <t>MDT-DRTSPL-2022-1869-O</t>
  </si>
  <si>
    <t>MDT-DRTSPL-2022-2785-EXTERNO</t>
  </si>
  <si>
    <t>MDT-DRTSPL-2022-1870-O</t>
  </si>
  <si>
    <t>MDT-DRTSPL-2022-2786-EXTERNO</t>
  </si>
  <si>
    <t>MDT-DRTSPL-2022-1871-O</t>
  </si>
  <si>
    <t>MDT-DRTSPL-2022-2787-EXTERNO</t>
  </si>
  <si>
    <t>MDT-DRTSPL-2022-1873-O</t>
  </si>
  <si>
    <t>MDT-DRTSPL-2022-2788-EXTERNO</t>
  </si>
  <si>
    <t>MDT-DRTSPL-2022-1874-O</t>
  </si>
  <si>
    <t>MDT-DRTSPL-2022-2789-EXTERNO</t>
  </si>
  <si>
    <t>MDT-DRTSPL-2022-1878-O</t>
  </si>
  <si>
    <t>MDT-DRTSPL-2022-2790-EXTERNO</t>
  </si>
  <si>
    <t>MDT-DRTSPL-2022-1879-O</t>
  </si>
  <si>
    <t>MDT-DRTSPL-2022-2791-EXTERNO</t>
  </si>
  <si>
    <t>MDT-DRTSPL-2022-1880-O</t>
  </si>
  <si>
    <t>MDT-DRTSPL-2022-2794-EXTERNO</t>
  </si>
  <si>
    <t>MDT-DRTSPL-2022-1849-O</t>
  </si>
  <si>
    <t>MDT-DRTSPL-2022-2795-EXTERNO</t>
  </si>
  <si>
    <t>MDT-DRTSPL-2022-1881-O</t>
  </si>
  <si>
    <t xml:space="preserve">Mayra Alejandra Cumbicos Balcazar </t>
  </si>
  <si>
    <t>NOTIFICACION ELECTRÓNICA: male15@hotmail.es</t>
  </si>
  <si>
    <t>MDT-DRTSPL-2022-2797-EXTERNO</t>
  </si>
  <si>
    <t xml:space="preserve">Jhonatan Fernando Gonzalez Calero. </t>
  </si>
  <si>
    <t>MDT-DCI-2022-12817-O</t>
  </si>
  <si>
    <t>NOTIFICACION ELECTRÓNICA: mari-4828@hotmail.com</t>
  </si>
  <si>
    <t>MDT-DRTSPL-2022-2799-EXTERNO</t>
  </si>
  <si>
    <t>MDT-DRTSPL-2022-1892-O</t>
  </si>
  <si>
    <t xml:space="preserve">Carlos Efrain Gordillo Vasquez </t>
  </si>
  <si>
    <t>NOTIFICACION ELECTRÓNICA: karlitoscar36@gmail.com</t>
  </si>
  <si>
    <t>MDT-DRTSPL-2022-2800-EXTERNO</t>
  </si>
  <si>
    <t>MDT-DRTSPL-2022-1876-O</t>
  </si>
  <si>
    <t xml:space="preserve">NOTIFICACION ELECTRÓNICA: galoortega33@hotmail.com </t>
  </si>
  <si>
    <t>MDT-DRTSPL-2022-2803-EXTERNO</t>
  </si>
  <si>
    <t>MDT-DRTSPL-2022-2066-O</t>
  </si>
  <si>
    <t>MDT-DRTSPL-2022-2223-EXTERNO</t>
  </si>
  <si>
    <t>MDT-DRTSPL-2022-1842-O</t>
  </si>
  <si>
    <t xml:space="preserve">Victor Anibal Loarte Banegas </t>
  </si>
  <si>
    <t>NOTIFICACION ELECTRÓNICA: aniballoarte1967@gmail.com</t>
  </si>
  <si>
    <t>MDT-DRTSPL-2022-2805-EXTERNO</t>
  </si>
  <si>
    <t>MDT-DRTSPL-2022-1884-O</t>
  </si>
  <si>
    <t xml:space="preserve">Nancy Sandra Tituana Mendoza </t>
  </si>
  <si>
    <t>NOTIFICACION ELECTRÓNICA: abogadosdelmilenioloja@gmail.com</t>
  </si>
  <si>
    <t>MDT-DRTSPL-2022-2809-EXTERNO</t>
  </si>
  <si>
    <t>MDT-DRTSPL-2022-1863-O</t>
  </si>
  <si>
    <t xml:space="preserve">Serapio Eugenio Rojas Loaiza </t>
  </si>
  <si>
    <t>NOTIFICACION ELECTRÓNICA: rojaseugenio@hotmail.com</t>
  </si>
  <si>
    <t>MDT-DRTSPL-2022-2811-EXTERNO</t>
  </si>
  <si>
    <t>MDT-DRTSPL-2022-1885-O</t>
  </si>
  <si>
    <t xml:space="preserve">Joffre Leonardo Achupallas Jumbo </t>
  </si>
  <si>
    <t>NOTIFICACION ELECTRÓNICA: achupallasjoffre@gmail.com</t>
  </si>
  <si>
    <t>MDT-DRTSPL-2022-2812-EXTERNO</t>
  </si>
  <si>
    <t>MDT-DRTSPL-2022-2123-O</t>
  </si>
  <si>
    <t>NOTIFICACION ELECTRÓNICA: hmonterospaladines@hotmail.com</t>
  </si>
  <si>
    <t>MDT-DRTSPL-2022-2813-EXTERNO</t>
  </si>
  <si>
    <t>MDT-DRTSPL-2022-1886-O</t>
  </si>
  <si>
    <t>MDT-DRTSPL-2022-2816-EXTERNO</t>
  </si>
  <si>
    <t>MDT-DRTSPL-2022-1887-O</t>
  </si>
  <si>
    <t>NOTIFICACION ELECTRÓNICA: gladyspoma08@hotmail.com</t>
  </si>
  <si>
    <t>MDT-DRTSPL-2022-2818-EXTERNO</t>
  </si>
  <si>
    <t>MDT-DRTSPL-2022-1888-O</t>
  </si>
  <si>
    <t xml:space="preserve">German Raul Gordillo Riera </t>
  </si>
  <si>
    <t>NOTIFICACION ELECTRÓNICA: germanraul_717@hotmail.com</t>
  </si>
  <si>
    <t>MDT-DRTSPL-2022-2819-EXTERNO</t>
  </si>
  <si>
    <t>MDT-DRTSPL-2022-1889-O</t>
  </si>
  <si>
    <t>MDT-DRTSPL-2022-2825-EXTERNO</t>
  </si>
  <si>
    <t>MDT-DRTSPL-2022-1895-O</t>
  </si>
  <si>
    <t xml:space="preserve">Diomedes Faustino Molina Garcia </t>
  </si>
  <si>
    <t>NOTIFICACION ELECTRÓNICA: eydypuchaicelaleo@yahoo.com</t>
  </si>
  <si>
    <t>MDT-DRTSPL-2022-2826-EXTERNO</t>
  </si>
  <si>
    <t xml:space="preserve">Diana Mónica Toapanta Chiguano </t>
  </si>
  <si>
    <t>DIRECCIÓN DE FORTALECIMIENTO INSTITUCIONAL</t>
  </si>
  <si>
    <t>MDT-DFI-2022-0316-O</t>
  </si>
  <si>
    <t>Beatriz Elizabeth Morales Cosios (MSP)</t>
  </si>
  <si>
    <t>NOTIFICACION ELECTRÓNICA: miltoncarrion75@gmail.com</t>
  </si>
  <si>
    <t>MDT-DRTSPL-2022-2829-EXTERNO</t>
  </si>
  <si>
    <t>MDT-DRTSPL-2022-1900-O</t>
  </si>
  <si>
    <t xml:space="preserve">Manuel Ramiro Troya Capa </t>
  </si>
  <si>
    <t>NOTIFICACION ELECTRÓNICA: drmarcouchuari@hotmail.com</t>
  </si>
  <si>
    <t>MDT-DRTSPL-2022-2831-EXTERNO</t>
  </si>
  <si>
    <t>MDT-DRTSPL-2022-1897-O</t>
  </si>
  <si>
    <t xml:space="preserve">Franco Rómulo Carrión Paz </t>
  </si>
  <si>
    <t>NOTIFICACION ELECTRÓNICA: borisrafael68@gmail.com</t>
  </si>
  <si>
    <t>MDT-DRTSPL-2022-2840-EXTERNO</t>
  </si>
  <si>
    <t>MDT-DRTSPL-2022-1899-O</t>
  </si>
  <si>
    <t xml:space="preserve">Luis Eduardo Villavicencio Valdivieso </t>
  </si>
  <si>
    <t>NOTIFICACION ELECTRÓNICA: ariannavaldivieso45@hotmail.com</t>
  </si>
  <si>
    <t>MDT-DRTSPL-2022-2841-EXTERNO</t>
  </si>
  <si>
    <t>MDT-DRTSPL-2022-1901-O</t>
  </si>
  <si>
    <t>MDT-DRTSPL-2022-2842-EXTERNO</t>
  </si>
  <si>
    <t>MDT-DRTSPL-2022-1910-O</t>
  </si>
  <si>
    <t>MDT-DRTSPL-2022-2845-EXTERNO</t>
  </si>
  <si>
    <t>MDT-DRTSPL-2022-1912-O</t>
  </si>
  <si>
    <t>NOTIFICACION ELECTRÓNICA: isabelabad75@hotmail.com</t>
  </si>
  <si>
    <t>MDT-DRTSPL-2022-2847-EXTERNO</t>
  </si>
  <si>
    <t xml:space="preserve">Sergio Eduardo Chazi Capelo </t>
  </si>
  <si>
    <t>DIRECCIÓN REGIONAL DEL TRABAJO Y SERVICIO PÚBLICO DE CUENCA</t>
  </si>
  <si>
    <t>MDT-DRTSPC-2022-0900-O</t>
  </si>
  <si>
    <t xml:space="preserve">Marcos Fabian Pedrera Suquilanda </t>
  </si>
  <si>
    <t>MDT-DRTSPL-2022-2848-EXTERNO</t>
  </si>
  <si>
    <t>MDT-DRTSPL-2022-1915-O</t>
  </si>
  <si>
    <t xml:space="preserve">Lourdes Beatriz Palacios Juarez </t>
  </si>
  <si>
    <t>NOTIFICACION ELECTRÓNICA: gladysovi1988@gmail.com</t>
  </si>
  <si>
    <t>MDT-DRTSPL-2022-2849-EXTERNO</t>
  </si>
  <si>
    <t>MDT-DRTSPL-2022-1916-O</t>
  </si>
  <si>
    <t>NOTIFICACION ELECTRÓNICA: gonzalo.aguirre@funcionjudicial.gob.ec</t>
  </si>
  <si>
    <t>MDT-DRTSPL-2022-2852-EXTERNO</t>
  </si>
  <si>
    <t>MDT-DRTSPL-2022-1917-O</t>
  </si>
  <si>
    <t>NOTIFICACION ELECTRÓNICA: marlontorum@funcionjudicial.gob.ec</t>
  </si>
  <si>
    <t>MDT-DRTSPL-2022-2853-EXTERNO</t>
  </si>
  <si>
    <t>MDT-DRTSPL-2022-1918-O</t>
  </si>
  <si>
    <t>MDT-DRTSPL-2022-2854-EXTERNO</t>
  </si>
  <si>
    <t>MDT-DRTSPL-2022-1919-O</t>
  </si>
  <si>
    <t>MDT-DRTSPL-2022-2855-EXTERNO</t>
  </si>
  <si>
    <t>MDT-DRTSPL-2022-1920-O</t>
  </si>
  <si>
    <t>MDT-DRTSPL-2022-2859-EXTERNO</t>
  </si>
  <si>
    <t>MDT-DRTSPL-2022-1902-O</t>
  </si>
  <si>
    <t xml:space="preserve">Julian Martin Juarez Cango </t>
  </si>
  <si>
    <t>NOTIFICACION ELECTRÓNICA: julianjuarez723@gmail.com</t>
  </si>
  <si>
    <t>MDT-DRTSPL-2022-2860-EXTERNO</t>
  </si>
  <si>
    <t>MDT-DRTSPL-2022-1922-O</t>
  </si>
  <si>
    <t xml:space="preserve">Santos Fabian Escobar Sandoya </t>
  </si>
  <si>
    <t>NOTIFICACION ELECTRÓNICA: gutyfabianf10@hotmail.com</t>
  </si>
  <si>
    <t>MDT-DRTSPL-2022-2861-EXTERNO</t>
  </si>
  <si>
    <t>MDT-DRTSPL-2022-1923-O</t>
  </si>
  <si>
    <t>NOTIFICACION ELECTRÓNICA: armijospesantez@hotmail.com</t>
  </si>
  <si>
    <t>MDT-DRTSPL-2022-2868-EXTERNO</t>
  </si>
  <si>
    <t>MDT-DRTSPL-2022-1924-O</t>
  </si>
  <si>
    <t>NOTIFICACION ELECTRÓNICA: fernandez58@gmail.com</t>
  </si>
  <si>
    <t>MDT-DRTSPL-2022-2869-EXTERNO</t>
  </si>
  <si>
    <t>MDT-DRTSPL-2022-1925-O</t>
  </si>
  <si>
    <t>NOTIFICACION ELECTRÓNICA: fernunez25@gmail.com</t>
  </si>
  <si>
    <t>MDT-DRTSPL-2022-2884-EXTERNO</t>
  </si>
  <si>
    <t>MDT-DRTSPL-2022-1931-O</t>
  </si>
  <si>
    <t xml:space="preserve">Darwin Jasmany Pinza Ochoa </t>
  </si>
  <si>
    <t>NOTIFICACION ELECTRÓNICA: darwinpx100@gmail.com</t>
  </si>
  <si>
    <t>MDT-DRTSPL-2022-2886-EXTERNO</t>
  </si>
  <si>
    <t>MDT-DRTSPL-2022-2887-EXTERNO</t>
  </si>
  <si>
    <t>MDT-DRTSPL-2022-1936-O</t>
  </si>
  <si>
    <t xml:space="preserve">Juan Gabriel Ramon Ordoñez </t>
  </si>
  <si>
    <t>NOTIFICACION ELECTRÓNICA: edwinmasa154@gmail.com</t>
  </si>
  <si>
    <t>MDT-DRTSPL-2022-2893-EXTERNO</t>
  </si>
  <si>
    <t>MDT-DRTSPL-2022-1937-O</t>
  </si>
  <si>
    <t xml:space="preserve">Isabel de la Merced Rojas Santorum </t>
  </si>
  <si>
    <t>MDT-DRTSPL-2022-2896-EXTERNO</t>
  </si>
  <si>
    <t>Jhonatan Fernando Gonzalez Calero.</t>
  </si>
  <si>
    <t>MDT-DRTSPL-2022-2898-EXTERNO</t>
  </si>
  <si>
    <t>MDT-DRTSPL-2022-1939-O</t>
  </si>
  <si>
    <t xml:space="preserve">Mary Eliza Castillo Vega </t>
  </si>
  <si>
    <t>NOTIFICACION ELECTRÓNICA: castillovegamary@gmail.com</t>
  </si>
  <si>
    <t>MDT-DRTSPL-2022-2900-EXTERNO</t>
  </si>
  <si>
    <t>MDT-DRTSPL-2022-1940-O</t>
  </si>
  <si>
    <t>NOTIFICACION ELECTRÓNICA: luisangelbriones@gmail.com</t>
  </si>
  <si>
    <t>MDT-DPTSPOM-2022-1976-EXTERNO</t>
  </si>
  <si>
    <t>MDT-DRTSPL-2022-1947-O</t>
  </si>
  <si>
    <t>Pilar del Rocio Tituana Gonzalez</t>
  </si>
  <si>
    <t>NOTIFICACION ELECTRÓNICA: pili_go89@hotmail.com</t>
  </si>
  <si>
    <t>MDT-DPTSPOM-2022-1411-EXTERNO</t>
  </si>
  <si>
    <t>MDT-DRTSPL-2022-1478-O</t>
  </si>
  <si>
    <t>Patricia del Carmen Balcazar Collaguazo</t>
  </si>
  <si>
    <t>NOTIFICACION ELECTRÓNICA: javierordonezroman@gmail.com</t>
  </si>
  <si>
    <t>MDT-DRTSPL-2022-1439-EXTERNO</t>
  </si>
  <si>
    <t>MDT-DRTSPL-2022-1529-O</t>
  </si>
  <si>
    <t>Enoc Víctor Calva Vargas</t>
  </si>
  <si>
    <t>NOTIFICACION ELECTRÓNICA: victorcalva08@hotmail.com</t>
  </si>
  <si>
    <t>MDT-DRTSPL-2022-2920-EXTERNO</t>
  </si>
  <si>
    <t>MDT-DRTSPL-2022-1978-O</t>
  </si>
  <si>
    <t>MDT-DRTSPL-2022-2917-EXTERNO</t>
  </si>
  <si>
    <t>MDT-DRTSPL-2022-1952-O</t>
  </si>
  <si>
    <t>NOTIFICACION ELECTRÓNICA: consorciovindex@gmail.com</t>
  </si>
  <si>
    <t>MDT-DRTSPL-2022-2913-EXTERNO</t>
  </si>
  <si>
    <t>MDT-DRTSPL-2022-1950-O</t>
  </si>
  <si>
    <t xml:space="preserve">Maria Alexandra Caraguay Sanchez </t>
  </si>
  <si>
    <t>MDT-DRTSPL-2022-2910-EXTERNO</t>
  </si>
  <si>
    <t>MDT-DRTSPL-2022-1949-O</t>
  </si>
  <si>
    <t>NOTIFICACION ELECTRÓNICA: fer10cuenca@gmail.com</t>
  </si>
  <si>
    <t>MDT-DRTSPL-2022-2909-EXTERNO</t>
  </si>
  <si>
    <t>NOTIFICACION ELECTRÓNICA: oberramon@hotmail.com</t>
  </si>
  <si>
    <t>MDT-DRTSPL-2022-2908-EXTERNO</t>
  </si>
  <si>
    <t>MDT-DRTSPL-2022-1943-O</t>
  </si>
  <si>
    <t>NOTIFICACION ELECTRÓNICA: satje.loja@funcionjudicial.gob.ec</t>
  </si>
  <si>
    <t>MDT-DRTSPL-2022-2907-EXTERNO</t>
  </si>
  <si>
    <t>MDT-DRTSPL-2022-1938-O</t>
  </si>
  <si>
    <t>MDT-DRTSPL-2022-2906-EXTERNO</t>
  </si>
  <si>
    <t>MDT-DRTSPL-2022-1942-O</t>
  </si>
  <si>
    <t>MDT-DRTSPL-2022-2905-EXTERNO</t>
  </si>
  <si>
    <t>MDT-DRTSPL-2022-1941-O</t>
  </si>
  <si>
    <t xml:space="preserve">José Vladimir Simancas Merino </t>
  </si>
  <si>
    <t>NOTIFICACION ELECTRÓNICA: guaguaso15@hotmail.com</t>
  </si>
  <si>
    <t>MDT-DRTSPL-2022-2902-EXTERNO</t>
  </si>
  <si>
    <t xml:space="preserve">Sandra Maritza Torres Guarnizo </t>
  </si>
  <si>
    <t>MDT-DRTSPL-2022-2004-O</t>
  </si>
  <si>
    <t>NOTIFICACION ELECTRÓNICA: GUIA 1000009187</t>
  </si>
  <si>
    <t>MDT-DRTSPL-2022-2422-EXTERNO</t>
  </si>
  <si>
    <t>MDT-DRTSPL-2022-1596-O</t>
  </si>
  <si>
    <t xml:space="preserve">Manuel de Jesus Gallo Espinoza
</t>
  </si>
  <si>
    <t>NOTIFICACION ELECTRÓNICA: galloespinozam@hotmail.com</t>
  </si>
  <si>
    <t>MDT-DRTSPL-2022-0371-M / MDT-DCI-2022-0232-M / MDT-DRTSPL-2022-1656-O</t>
  </si>
  <si>
    <t>NOTIFICACION ELECTRÓNICA: josstalin_ig@yahoo.es</t>
  </si>
  <si>
    <t>MDT-DRTSPL-2022-2618-EXTERNO</t>
  </si>
  <si>
    <t>MDT-DRTSPL-2022-1778-O</t>
  </si>
  <si>
    <t xml:space="preserve">Angel Salvador Quizhpe Benitez
</t>
  </si>
  <si>
    <t>NOTIFICACION ELECTRÓNICA: angel_salvador75@hotmail.com</t>
  </si>
  <si>
    <t>MDT-DRTSPL-2022-2833-EXTERNO</t>
  </si>
  <si>
    <t>MDT-DRTSPL-2022-1908-O</t>
  </si>
  <si>
    <t xml:space="preserve">Rosario Elizabeth Toledo
</t>
  </si>
  <si>
    <t>NOTIFICACION ELECTRÓNICA: federacionloja@yahoo.es</t>
  </si>
  <si>
    <t>MDT-DRTSPL-2022-2851-EXTERNO</t>
  </si>
  <si>
    <t>MDT-DRTSPL-2022-1911-O</t>
  </si>
  <si>
    <t xml:space="preserve">Fernando Raul Fernandez Espinosa
</t>
  </si>
  <si>
    <t>NOTIFICACION ELECTRÓNICA: malejandracueva@gmail.com</t>
  </si>
  <si>
    <t>MDT-DRTSPL-2022-2866-EXTERNO</t>
  </si>
  <si>
    <t>MDT-DRTSPL-2022-1929-O</t>
  </si>
  <si>
    <t>MDT-DRTSPL-2022-1198-M</t>
  </si>
  <si>
    <t>MDT-DRTSPL-2022-1227-M</t>
  </si>
  <si>
    <t>NOTIFICACION ELECTRÓNICA: franco_garcia@trabajo.gob.ec</t>
  </si>
  <si>
    <t>MDT-DRTSPL-2022-1189-M</t>
  </si>
  <si>
    <t>MDT-DRTSPL-2022-1202-M</t>
  </si>
  <si>
    <t>MDT-DRTSPL-2022-1160-M</t>
  </si>
  <si>
    <t>MDT-DRTSPL-2022-1164-M</t>
  </si>
  <si>
    <t>correo electrónico</t>
  </si>
  <si>
    <t>MDT-DRTSPL-2022-1144-M</t>
  </si>
  <si>
    <t xml:space="preserve">Patricio Javier Maldonado Dutan </t>
  </si>
  <si>
    <t>NOTIFICACION ELECTRÓNICA: patricio_maldonado@trabajo.gob.ec</t>
  </si>
  <si>
    <t>MDT-DRTSPL-2022-1105-M</t>
  </si>
  <si>
    <t>MDT-DRTSPL-2022-1139-M</t>
  </si>
  <si>
    <t xml:space="preserve">Danilo Javier Cueva Cueva </t>
  </si>
  <si>
    <t>NOTIFICACION ELECTRÓNICA: danilo_cueva@trabajo.gob.ec</t>
  </si>
  <si>
    <t>MDT-DRTSPL-2022-1122-M</t>
  </si>
  <si>
    <t>MDT-DRTSPL-2022-1134-M</t>
  </si>
  <si>
    <t>MDT-DRTSPL-2022-1109-M</t>
  </si>
  <si>
    <t>MDT-DRTSPL-2022-1132-M</t>
  </si>
  <si>
    <t>MDT-DRTSPL-2022-1099-M</t>
  </si>
  <si>
    <t>MDT-DRTSPL-2022-1126-M</t>
  </si>
  <si>
    <t>MDT-DRTSPL-2022-1058-M</t>
  </si>
  <si>
    <t>MDT-DRTSPL-2022-1088-M</t>
  </si>
  <si>
    <t>Boris Jose Vivanco Muller</t>
  </si>
  <si>
    <t>NOTIFICACION ELECTRÓNICA: boris_vivanco@trabajo.gob.ec</t>
  </si>
  <si>
    <t>MDT-DRTSPL-2022-1085-M</t>
  </si>
  <si>
    <t>MDT-DRTSPL-2022-1087-M</t>
  </si>
  <si>
    <t>MDT-DRTSPL-2022-1015-M</t>
  </si>
  <si>
    <t>MDT-DRTSPL-2022-1023-M</t>
  </si>
  <si>
    <t>MDT-DRTSPL-2022-1016-M</t>
  </si>
  <si>
    <t>MDT-DRTSPL-2022-1019-M</t>
  </si>
  <si>
    <t>MDT-DRTSPL-2022-0956-M</t>
  </si>
  <si>
    <t>MDT-DRTSPL-2022-0983-M</t>
  </si>
  <si>
    <t>MDT-DPTSPOM-2022-1499-EXTERNO, i</t>
  </si>
  <si>
    <t>NOTIFICACIÓN ELECTRÓNICA</t>
  </si>
  <si>
    <t>MDT-DPTSPOM-2022-0270-O</t>
  </si>
  <si>
    <t>MDT-DPTSPOM-2022-1556-EXTERNO</t>
  </si>
  <si>
    <t>MDT-DPTSPOM-2022-0277-O</t>
  </si>
  <si>
    <t>MDT-DPTSPOM-2022-1624-EXTERNO</t>
  </si>
  <si>
    <t>MDT-DPTSPOM-2022-0278-O</t>
  </si>
  <si>
    <t>MDT-DPTSPOM-2022-1633-EXTERNO</t>
  </si>
  <si>
    <t>MDT-DPTSPOM-2022-0279-O</t>
  </si>
  <si>
    <t>MDT-DPTSPOM-2022-1634-EXTERNO</t>
  </si>
  <si>
    <t>MDT-DPTSPOM-2022-0280-O</t>
  </si>
  <si>
    <t>MDT-DPTSPOM-2022-1647-EXTERNO</t>
  </si>
  <si>
    <t>MDT-DPTSPOM-2022-0282-O</t>
  </si>
  <si>
    <t>MDT-DPTSPOM-2022-1652-EXTERNO</t>
  </si>
  <si>
    <t>MDT-DPTSPOM-2022-0281-O</t>
  </si>
  <si>
    <t>MDT-DPTSPOM-2022-1668-EXTERNO</t>
  </si>
  <si>
    <t>MDT-DPTSPOM-2022-0286-O</t>
  </si>
  <si>
    <t>MDT-DPTSPOM-2022-1667-EXTERNO</t>
  </si>
  <si>
    <t>MDT-DPTSPOM-2022-0287-O</t>
  </si>
  <si>
    <t>MDT-DPTSPOM-2022-1712-EXTERNO</t>
  </si>
  <si>
    <t>MDT-DPTSPOM-2022-0291-O</t>
  </si>
  <si>
    <t>MDT-DPTSPOM-2022-1717-EXTERNO</t>
  </si>
  <si>
    <t>MDT-DPTSPOM-2022-0293-O</t>
  </si>
  <si>
    <t>MDT-DPTSPOM-2022-1735-EXTERNO</t>
  </si>
  <si>
    <t>MDT-DPTSPOM-2022-0290-O</t>
  </si>
  <si>
    <t>MDT-DPTSPOM-2022-1747-EXTERNO</t>
  </si>
  <si>
    <t>MDT-DPTSPOM-2022-0304-O</t>
  </si>
  <si>
    <t>MDT-DPTSPOM-2022-1762-EXTERNO</t>
  </si>
  <si>
    <t>MDT-DPTSPOM-2022-0312-O</t>
  </si>
  <si>
    <t>MDT-DPTSPOM-2022-1798-EXTERNO</t>
  </si>
  <si>
    <t>MDT-DPTSPOM-2022-0305-O</t>
  </si>
  <si>
    <t>MDT-DPTSPOM-2022-1787-EXTERNO</t>
  </si>
  <si>
    <t>MDT-DPTSPOM-2022-0306-O</t>
  </si>
  <si>
    <t>MDT-DPTSPOM-2022-1793-EXTERNO</t>
  </si>
  <si>
    <t>MDT-DPTSPOM-2022-0303-O</t>
  </si>
  <si>
    <t>MDT-DPTSPOM-2022-0284-M</t>
  </si>
  <si>
    <t>MDT-DPTSPOM-2022-0313-O</t>
  </si>
  <si>
    <t>MDT-DPTSPOM-2022-1810-EXTERNO</t>
  </si>
  <si>
    <t>MDT-DPTSPOM-2022-0318-O</t>
  </si>
  <si>
    <t>MDT-DPTSPOM-2022-1833-EXTERNO</t>
  </si>
  <si>
    <t>MDT-DPTSPOM-2022-0317-O</t>
  </si>
  <si>
    <t>MDT-DPTSPOM-2022-1863-EXTERNO</t>
  </si>
  <si>
    <t>MDT-DPTSPOM-2022-0316-O</t>
  </si>
  <si>
    <t>MDT-DCI-2022-1120-M</t>
  </si>
  <si>
    <t>MDT-DCI-2022-0936-M</t>
  </si>
  <si>
    <t>MDT-DPTSPOM-2022-0309-O</t>
  </si>
  <si>
    <t>MDT-DATH-2022-2590-M</t>
  </si>
  <si>
    <t>MDT-DPTSPOM-2022-0320-O</t>
  </si>
  <si>
    <t>MDT-DPTSPOM-2022-1918-EXTERNO</t>
  </si>
  <si>
    <t>MDT-DPTSPOM-2022-0324-O</t>
  </si>
  <si>
    <t>MDT-DPTSPOM-2022-1975-EXTERNO</t>
  </si>
  <si>
    <t>MDT-DPTSPOM-2022-0325-O</t>
  </si>
  <si>
    <t>MDT-DPTSPOM-2022-2013-EXTERNO</t>
  </si>
  <si>
    <t>MDT-DPTSPOM-2022-0335-O</t>
  </si>
  <si>
    <t>MDT-DPTSPOM-2022-2014-EXTERNO</t>
  </si>
  <si>
    <t>MDT-DPTSPOM-2022-0342-O</t>
  </si>
  <si>
    <t>MDT-DPTSPOM-2022-1995-EXTERNO</t>
  </si>
  <si>
    <t>MDT-DPTSPOM-2022-0330-O</t>
  </si>
  <si>
    <t>MDT-DPTSPOM-2022-2032-EXTERNO</t>
  </si>
  <si>
    <t>MDT-DPTSPOM-2022-0329-O</t>
  </si>
  <si>
    <t>MDT-DPTSPOM-2022-2033-EXTERNO</t>
  </si>
  <si>
    <t>MDT-DPTSPOM-2022-0331-O</t>
  </si>
  <si>
    <t>MDT-DPTSPOM-2022-2039-EXTERNO</t>
  </si>
  <si>
    <t>MDT-DPTSPOM-2022-0346-O</t>
  </si>
  <si>
    <t>MDT-DPTSPOM-2022-2044-EXTERNO</t>
  </si>
  <si>
    <t>MDT-DPTSPOM-2022-0337-O</t>
  </si>
  <si>
    <t>MDT-DPTSPOM-2022-2057-EXTERNO</t>
  </si>
  <si>
    <t>MDT-DPTSPOM-2022-0338-O</t>
  </si>
  <si>
    <t>MDT-DPTSPOM-2022-2058-EXTERNO</t>
  </si>
  <si>
    <t>MDT-DPTSPOM-2022-0339-O</t>
  </si>
  <si>
    <t>MDT-DPTSPOM-2022-2063-EXTERNO</t>
  </si>
  <si>
    <t>MDT-DPTSPOM-2022-0340-O</t>
  </si>
  <si>
    <t>MDT-DPTSPOM-2022-2073-EXTERNO</t>
  </si>
  <si>
    <t>MDT-DPTSPOM-2022-0332-O</t>
  </si>
  <si>
    <t>MDT-DPTSPOM-2022-2083-EXTERNO</t>
  </si>
  <si>
    <t>MDT-DPTSPOM-2022-0333-O</t>
  </si>
  <si>
    <t>MDT-DPTSPOM-2022-2082-EXTERNO</t>
  </si>
  <si>
    <t>MDT-DPTSPOM-2022-0344-O</t>
  </si>
  <si>
    <t>MDT-DPTSPOM-2022-2084-EXTERNO</t>
  </si>
  <si>
    <t>MDT-DPTSPOM-2022-0345-O</t>
  </si>
  <si>
    <t>MDT-DTIC-2022-0665-M</t>
  </si>
  <si>
    <t>MDT-DPTSPOM-2022-0336-O</t>
  </si>
  <si>
    <t>MDT-DPTSPOM-2022-2097-EXTERNO</t>
  </si>
  <si>
    <t>MDT-DPTSPOM-2022-0347-O</t>
  </si>
  <si>
    <t>MDT-DPTSPOM-2022-2115-EXTERNO</t>
  </si>
  <si>
    <t>MDT-DPTSPOM-2022-0383-O</t>
  </si>
  <si>
    <t>MDT-DPTSPOM-2022-2112-EXTERNO</t>
  </si>
  <si>
    <t>MDT-DPTSPOM-2022-0348-O</t>
  </si>
  <si>
    <t>MDT-DPTSPOP-2022-0051-EXTERNO</t>
  </si>
  <si>
    <t>MDT-DPTSPOP-2022-0014-O</t>
  </si>
  <si>
    <t>MDT-DPTSPOP-2022-0055-EXTERNO</t>
  </si>
  <si>
    <t>MDT-DPTSPOP-2022-0015-O</t>
  </si>
  <si>
    <t>MDT-DPTSPZCH-2022-0344-EXTERNO</t>
  </si>
  <si>
    <t>DELEGACIÓN PROVINCIAL DE TRABAJO Y SERVICIO PÚBLICO DE EL ZAMORA CHINCHIPE</t>
  </si>
  <si>
    <t>MDT-DPTSPZCH-2022-0088-O</t>
  </si>
  <si>
    <t>MDT-DPTSPZCH-2022-0346-EXTERNO</t>
  </si>
  <si>
    <t>MDT-DPTSPZCH-2022-0089-O</t>
  </si>
  <si>
    <t>MDT-DPTSPZCH-2022-0090-O</t>
  </si>
  <si>
    <t>MDT-DPTSPZCH-2022-0364-EXTERNO</t>
  </si>
  <si>
    <t>MDT-DPTSPZCH-2022-0091-O</t>
  </si>
  <si>
    <t>MDT-DPTSPZCH-2022-0365-EXTERNO</t>
  </si>
  <si>
    <t>MDT-DPTSPZCH-2022-0092-O</t>
  </si>
  <si>
    <t>MDT-DPTSPZCH-2022-0366-EXTERNO</t>
  </si>
  <si>
    <t>MDT-DPTSPZCH-2022-0093-O</t>
  </si>
  <si>
    <t>MDT-DPTSPZCH-2022-0358-EXTERNO</t>
  </si>
  <si>
    <t>MDT-DPTSPZCH-2022-0094-O</t>
  </si>
  <si>
    <t>MDT-DPTSPZCH-2022-0359-EXTERNO</t>
  </si>
  <si>
    <t>MDT-DPTSPZCH-2022-0095-O</t>
  </si>
  <si>
    <t>MDT-DPTSPZCH-2022-0386-EXTERNO</t>
  </si>
  <si>
    <t>MDT-DPTSPZCH-2022-0096-O</t>
  </si>
  <si>
    <t>MDT-DPTSPZCH-2022-0387-EXTERNO</t>
  </si>
  <si>
    <t>MDT-DPTSPZCH-2022-0097-O</t>
  </si>
  <si>
    <t>MDT-DPTSPZCH-2022-0389-EXTERNO</t>
  </si>
  <si>
    <t>MDT-DPTSPZCH-2022-0098-O</t>
  </si>
  <si>
    <t>MDT-DPTSPZCH-2022-0395-EXTERNO</t>
  </si>
  <si>
    <t>MDT-DPTSPZCH-2022-0099-O</t>
  </si>
  <si>
    <t>MDT-DPTSPZCH-2022-0406-EXTERNO</t>
  </si>
  <si>
    <t>MDT-DPTSPZCH-2022-0100-O</t>
  </si>
  <si>
    <t>MDT-DPTSPZCH-2022-0408-EXTERNO</t>
  </si>
  <si>
    <t>MDT-DPTSPZCH-2022-0101-O</t>
  </si>
  <si>
    <t>MDT-DPTSPZCH-2022-0424-EXTERNO</t>
  </si>
  <si>
    <t>18/042022</t>
  </si>
  <si>
    <t>MDT-DPTSPZCH-2022-0103-O</t>
  </si>
  <si>
    <t>MDT-DPTSPZCH-2022-0422-EXTERNO</t>
  </si>
  <si>
    <t>MDT-DPTSPZCH-2022-0104-O</t>
  </si>
  <si>
    <t>MDT-DPTSPZCH-2022-0425-EXTERNO</t>
  </si>
  <si>
    <t>18/042023</t>
  </si>
  <si>
    <t>MDT-DPTSPZCH-2022-0105-O</t>
  </si>
  <si>
    <t>MDT-DPTSPZCH-2022-0456-EXTERNO</t>
  </si>
  <si>
    <t>MDT-DPTSPZCH-2022-0106-O</t>
  </si>
  <si>
    <t>MDT-DPTSPZCH-2022-0458-EXTERNO</t>
  </si>
  <si>
    <t>MDT-DPTSPZCH-2022-0107-O</t>
  </si>
  <si>
    <t>MDT-DPTSPZCH-2022-0405-EXTERNO</t>
  </si>
  <si>
    <t>20/04/202</t>
  </si>
  <si>
    <t>MDT-DPTSPZCH-2022-0108-O</t>
  </si>
  <si>
    <t>MDT-DPTSPZCH-2022-0471-EXTERNO</t>
  </si>
  <si>
    <t>MDT-DPTSPZCH-2022-0109-O</t>
  </si>
  <si>
    <t>MDT-DPTSPZCH-2022-0468-EXTERNO</t>
  </si>
  <si>
    <t>MDT-DPTSPZCH-2022-0110-O</t>
  </si>
  <si>
    <t>MDT-DPTSPZCH-2022-0475-EXTERNO</t>
  </si>
  <si>
    <t>MDT-DPTSPZCH-2022-0112-O</t>
  </si>
  <si>
    <t>MDT-DPTSPZCH-2022-0477-EXTERNO</t>
  </si>
  <si>
    <t>MDT-DPTSPZCH-2022-0113-O</t>
  </si>
  <si>
    <t>MDT-DPTSPZCH-2022-0479-EXTERNO</t>
  </si>
  <si>
    <t>MDT-DPTSPZCH-2022-0114-O</t>
  </si>
  <si>
    <t>MDT-DPTSPZCH-2022-0474-EXTERNO</t>
  </si>
  <si>
    <t>MDT-DPTSPZCH-2022-0115-O</t>
  </si>
  <si>
    <t>MDT-DPTSPZCH-2022-0481-EXTERNO</t>
  </si>
  <si>
    <t>MDT-DPTSPZCH-2022-0116-O</t>
  </si>
  <si>
    <t>MDT-DPTSPZCH-2022-0484-EXTERNO</t>
  </si>
  <si>
    <t>MDT-DPTSPZCH-2022-0117-O</t>
  </si>
  <si>
    <t>MDT-DPTSPZCH-2022-0502-EXTERNO</t>
  </si>
  <si>
    <t>MDT-DPTSPZCH-2022-0118-O</t>
  </si>
  <si>
    <t>MDT-DPTSPZCH-2022-0503-EXTERNO</t>
  </si>
  <si>
    <t>MDT-DPTSPZCH-2022-0119-O</t>
  </si>
  <si>
    <t>MDT-DPTSPZCH-2022-0507-EXTERNO</t>
  </si>
  <si>
    <t>MDT-DPTSPZCH-2022-0120-O</t>
  </si>
  <si>
    <t>MDT-DPTSPZCH-2022-0508-EXTERNO</t>
  </si>
  <si>
    <t>MDT-DPTSPZCH-2022-0121-O</t>
  </si>
  <si>
    <t>NOTIFICACIÓN ELECTRÓNICA aniballoarte1967@gmail.com</t>
  </si>
  <si>
    <t>PENDIENTE</t>
  </si>
  <si>
    <t>SOLICITUDES DE CERTIFICACIÓN DE DOCUMENTOS</t>
  </si>
  <si>
    <t>MDT-DRTSPL-2022-2926-EXTERNO</t>
  </si>
  <si>
    <t>MDT-DRTSPL-2022-1955-O</t>
  </si>
  <si>
    <t>Paúl Ricardo Coronel Torres</t>
  </si>
  <si>
    <t>NOTIFICADA POR CORREO: coroneltp@fiscalia.gob.ec</t>
  </si>
  <si>
    <t>MDT-DRTSPL-2022-2927-EXTERNO</t>
  </si>
  <si>
    <t>MDT-DRTSPL-2022-1958-O</t>
  </si>
  <si>
    <t>Gilbert Robles Moreno</t>
  </si>
  <si>
    <t>NOTIFICADA POR CORREO: gilberthrobles1494@gmail.com</t>
  </si>
  <si>
    <t>MDT-DRTSPL-2022-2930-EXTERNO</t>
  </si>
  <si>
    <t>MDT-DRTSPL-2022-2017-O</t>
  </si>
  <si>
    <t>Byron Bustamante Quezada</t>
  </si>
  <si>
    <t>NOTIFICADA POR CORREO: bbustamante77@gmail.com</t>
  </si>
  <si>
    <t>MDT-DRTSPL-2022-2931-EXTERNO</t>
  </si>
  <si>
    <t>MDT-DRTSPL-2022-1959-O</t>
  </si>
  <si>
    <t>Stalin Javier Ortega Serrano</t>
  </si>
  <si>
    <t>NOTIFICADA POR CORREO: stalinos@hotmail.com</t>
  </si>
  <si>
    <t>MDT-DRTSPL-2022-2932-EXTERNO</t>
  </si>
  <si>
    <t>MDT-DRTSPL-2022-2016-O</t>
  </si>
  <si>
    <t>Fausto Alejandro Moreno Sánchez</t>
  </si>
  <si>
    <t>NOTIFICADA POR CORREO: faustomorenos@yahoo.es</t>
  </si>
  <si>
    <t>MDT-DRTSPL-2022-2933-EXTERNO</t>
  </si>
  <si>
    <t>MDT-DRTSPL-2022-1962-O</t>
  </si>
  <si>
    <t>NOTIFICADA POR CORREO: maxrvega81@hotmail.com</t>
  </si>
  <si>
    <t>MDT-DRTSPL-2022-2948-EXTERNO</t>
  </si>
  <si>
    <t>MDT-DRTSPL-2022-1979-O</t>
  </si>
  <si>
    <t>NOTIFICADA POR CORREO: tatyszeas@gmail.com</t>
  </si>
  <si>
    <t>MDT-DRTSPL-2022-2950-EXTERNO</t>
  </si>
  <si>
    <t>MDT-DRTSPL-2022-1981-O</t>
  </si>
  <si>
    <t>NOTIFICADA POR CORREO: ramiroaguirre.ab@gmail.com</t>
  </si>
  <si>
    <t>MDT-DRTSPL-2022-2951-EXTERNO</t>
  </si>
  <si>
    <t>MDT-DRTSPL-2022-1983-O</t>
  </si>
  <si>
    <t>MDT-DRTSPL-2022-2952-EXTERNO</t>
  </si>
  <si>
    <t>MDT-DRTSPL-2022-1987-O</t>
  </si>
  <si>
    <t>Pablo Vinicio Muñoz Abarca</t>
  </si>
  <si>
    <t>MDT-DRTSPL-2022-2954-EXTERNO</t>
  </si>
  <si>
    <t>MDT-DRTSPL-2022-1988-O</t>
  </si>
  <si>
    <t>Cesar Augusto Rosillo Berliner</t>
  </si>
  <si>
    <t>NOTIFICADA POR CORREO: consorciojuridicoasociados@hotmail.com</t>
  </si>
  <si>
    <t>MDT-DRTSPL-2022-2955-EXTERNO</t>
  </si>
  <si>
    <t>MDT-DRTSPL-2022-1990-O</t>
  </si>
  <si>
    <t>Rosa Enid Alvarez Bermeo</t>
  </si>
  <si>
    <t>NOTIFICADA POR CORREO: enit-alvarez77@hotmail.com</t>
  </si>
  <si>
    <t>MDT-DRTSPL-2022-2957-EXTERNO</t>
  </si>
  <si>
    <t>MDT-DRTSPL-2022-1992-O</t>
  </si>
  <si>
    <t>NOTIFICADA POR CORREO: tannya.jaramillo@funcionjudicial.gob.ec</t>
  </si>
  <si>
    <t>MDT-DRTSPL-2022-2958-EXTERNO</t>
  </si>
  <si>
    <t>MDT-DRTSPL-2022-1993-O</t>
  </si>
  <si>
    <t>MDT-DRTSPL-2022-2959-EXTERNO</t>
  </si>
  <si>
    <t>MDT-DRTSPL-2022-1994-O</t>
  </si>
  <si>
    <t>MDT-DRTSPL-2022-2960-EXTERNO</t>
  </si>
  <si>
    <t>MDT-DRTSPL-2022-1995-O</t>
  </si>
  <si>
    <t>MDT-DRTSPL-2022-2961-EXTERNO</t>
  </si>
  <si>
    <t>MDT-DRTSPL-2022-1996-O</t>
  </si>
  <si>
    <t>Viviana Jennifer Paladines Arevalo</t>
  </si>
  <si>
    <t>NOTIFICADA POR CORREO: vivianitanahomy1994@gmail.com</t>
  </si>
  <si>
    <t>MDT-DRTSPL-2022-2962-EXTERNO</t>
  </si>
  <si>
    <t>MDT-DRTSPL-2022-1997-O</t>
  </si>
  <si>
    <t>MDT-DRTSPL-2022-2963-EXTERNO</t>
  </si>
  <si>
    <t>MDT-DRTSPL-2022-2000-O</t>
  </si>
  <si>
    <t>MDT-DRTSPL-2022-2964-EXTERNO</t>
  </si>
  <si>
    <t>MDT-DRTSPL-2022-2001-O</t>
  </si>
  <si>
    <t>MDT-DRTSPL-2022-2965-EXTERNO</t>
  </si>
  <si>
    <t>MDT-DRTSPL-2022-2002-O</t>
  </si>
  <si>
    <t>MDT-DRTSPL-2022-2966-EXTERNO</t>
  </si>
  <si>
    <t>MDT-DRTSPL-2022-2006-O</t>
  </si>
  <si>
    <t>MDT-DRTSPL-2022-2969-EXTERNO</t>
  </si>
  <si>
    <t>MDT-DRTSPL-2022-2011-O</t>
  </si>
  <si>
    <t>MDT-DRTSPL-2022-2971-EXTERNO</t>
  </si>
  <si>
    <t>MDT-DRTSPL-2022-2013-O</t>
  </si>
  <si>
    <t>MDT-DRTSPL-2022-2972-EXTERNO</t>
  </si>
  <si>
    <t>MDT-DRTSPL-2022-2015-O</t>
  </si>
  <si>
    <t>MDT-DRTSPL-2022-2973-EXTERNO</t>
  </si>
  <si>
    <t>MDT-DRTSPL-2022-2018-O</t>
  </si>
  <si>
    <t>Jhony Bolivar Sanchez Salinas</t>
  </si>
  <si>
    <t>NOTIFICADA POR CORREO: jhonybolivarsanchez@gmail.com</t>
  </si>
  <si>
    <t>MDT-DRTSPL-2022-2974-EXTERNO</t>
  </si>
  <si>
    <t>MDT-DRTSPL-2022-2019-O</t>
  </si>
  <si>
    <t>Wilman Caraguay Herrera</t>
  </si>
  <si>
    <t>NOTIFICADA POR CORREO: wilmancaraguay1972@gmail.com</t>
  </si>
  <si>
    <t>MDT-DRTSPL-2022-2975-EXTERNO</t>
  </si>
  <si>
    <t>MDT-DRTSPL-2022-1991-O</t>
  </si>
  <si>
    <t>MDT-DRTSPL-2022-2976-EXTERNO</t>
  </si>
  <si>
    <t>MDT-DRTSPL-2022-2003-O</t>
  </si>
  <si>
    <t>MDT-DRTSPL-2022-2977-EXTERNO</t>
  </si>
  <si>
    <t>MDT-DRTSPL-2022-2012-O</t>
  </si>
  <si>
    <t>MDT-DRTSPL-2022-2979-EXTERNO</t>
  </si>
  <si>
    <t>MDT-DRTSPL-2022-2027-O</t>
  </si>
  <si>
    <t>MDT-DRTSPL-2022-2980-EXTERNO</t>
  </si>
  <si>
    <t>MDT-DRTSPL-2022-2037-O</t>
  </si>
  <si>
    <t>MDT-DRTSPL-2022-2981-EXTERNO</t>
  </si>
  <si>
    <t>MDT-DRTSPL-2022-2020-O</t>
  </si>
  <si>
    <t>NOTIFICADA POR CORREO: consultoriojuridico-ng13@hotmail.com</t>
  </si>
  <si>
    <t>MDT-DRTSPL-2022-2984-EXTERNO</t>
  </si>
  <si>
    <t>MDT-DRTSPL-2022-2035-O</t>
  </si>
  <si>
    <t>Luis Rosalino Cabrera Ojeda</t>
  </si>
  <si>
    <t>NOTIFICADA POR CORREO: abg_amyyamb@hotmail.com</t>
  </si>
  <si>
    <t>MDT-DRTSPL-2022-2985-EXTERNO</t>
  </si>
  <si>
    <t>MDT-DCI-2022-13377-O</t>
  </si>
  <si>
    <t>Edgar Efren Sarango Chimbo</t>
  </si>
  <si>
    <t>NOTIFICADA POR CORREO: edgarefrensarangochimbo@yahoo.com</t>
  </si>
  <si>
    <t>MDT-DRTSPL-2022-2987-EXTERNO</t>
  </si>
  <si>
    <t>MDT-DRTSPL-2022-2038-O</t>
  </si>
  <si>
    <t>Angel Erasmo Castillo Gonzalez</t>
  </si>
  <si>
    <t>NOTIFICADA POR CORREO: angelalara193@gmail.com</t>
  </si>
  <si>
    <t>MDT-DRTSPL-2022-2988-EXTERNO</t>
  </si>
  <si>
    <t>MDT-DRTSPL-2022-2040-O</t>
  </si>
  <si>
    <t>Paulina Lizbeth Masache Jadan</t>
  </si>
  <si>
    <t>NOTIFICADA POR CORREO: yulivitalia@hotmai.es</t>
  </si>
  <si>
    <t>MDT-DRTSPL-2022-2994-EXTERNO</t>
  </si>
  <si>
    <t>MDT-DRTSPL-2022-2041-O</t>
  </si>
  <si>
    <t>NOTIFICADA POR CORREO: yhesesama@gmail.com</t>
  </si>
  <si>
    <t>MDT-DRTSPL-2022-3004-EXTERNO</t>
  </si>
  <si>
    <t>MDT-DRTSPL-2022-2043-O</t>
  </si>
  <si>
    <t>Luis Alberto Lituma Guaman</t>
  </si>
  <si>
    <t>NOTIFICADA POR CORREO: llitumag@gmail.com</t>
  </si>
  <si>
    <t>MDT-DRTSPL-2022-3008-EXTERNO</t>
  </si>
  <si>
    <t>MDT-DRTSPL-2022-1356-M</t>
  </si>
  <si>
    <t>Jorge Oswaldo Tenepaguay Guaman</t>
  </si>
  <si>
    <t>NOTIFICADA POR CORREO: secretariaregionaldeltrabajo@gmail.com</t>
  </si>
  <si>
    <t>MDT-DRTSPL-2022-3014-EXTERNO</t>
  </si>
  <si>
    <t>MDT-DRTSPL-2022-2031-O</t>
  </si>
  <si>
    <t>Guido Ivan Romero Pogo</t>
  </si>
  <si>
    <t>NOTIFICADA POR CORREO: aguilasolitaria9876@hotmail.com</t>
  </si>
  <si>
    <t>MDT-DRTSPL-2022-3015-EXTERNO</t>
  </si>
  <si>
    <t>MDT-DRTSPL-2022-2044-O</t>
  </si>
  <si>
    <t>NOTIFICADA POR CORREO: carlosortegasilva1@hotmail.com</t>
  </si>
  <si>
    <t>MDT-DRTSPL-2022-3018-EXTERNO</t>
  </si>
  <si>
    <t>MDT-DRTSPL-2022-2152-O</t>
  </si>
  <si>
    <t>MDT-DRTSPL-2022-3020-EXTERNO</t>
  </si>
  <si>
    <t>MDT-DRTSPL-2022-2078-O</t>
  </si>
  <si>
    <t>NOTIFICADA POR CORREO: yosselintenepaguay2001@gmail.com</t>
  </si>
  <si>
    <t>MDT-DRTSPL-2022-3024-EXTERNO</t>
  </si>
  <si>
    <t>MDT-DRTSPL-2022-2049-O</t>
  </si>
  <si>
    <t>Marcelo Gonzalo Ruiz Flores</t>
  </si>
  <si>
    <t>NOTIFICADA POR CORREO: ruizmarcelo440@yahoo.com</t>
  </si>
  <si>
    <t>MDT-DRTSPL-2022-3028-EXTERNO</t>
  </si>
  <si>
    <t>MDT-DRTSPL-2022-2054-O</t>
  </si>
  <si>
    <t>NOTIFICADA POR CORREO: asesorar.solucioneslegales@gmail.com</t>
  </si>
  <si>
    <t>MDT-DRTSPL-2022-3032-EXTERNO</t>
  </si>
  <si>
    <t>MDT-DRTSPL-2022-2053-O</t>
  </si>
  <si>
    <t>NOTIFICADA POR CORREO: jorgejimenez-aso41@hotmail.com</t>
  </si>
  <si>
    <t>MDT-DRTSPL-2022-3033-EXTERNO</t>
  </si>
  <si>
    <t>MDT-DRTSPL-2022-2033-O</t>
  </si>
  <si>
    <t>Elsa Victoria Orellana Quiroga</t>
  </si>
  <si>
    <t>NOTIFICADA POR CORREO: isabelabad75@hotmail.com</t>
  </si>
  <si>
    <t>MDT-DRTSPL-2022-3034-EXTERNO</t>
  </si>
  <si>
    <t>MDT-DRTSPL-2022-2034-O</t>
  </si>
  <si>
    <t>Ruben Alexis jimenez Sagbay</t>
  </si>
  <si>
    <t>NOTIFICADA POR CORREO: rajs.scorpio2610@hotmail.com</t>
  </si>
  <si>
    <t>MDT-DRTSPL-2022-3036-EXTERNO</t>
  </si>
  <si>
    <t>MDT-DRTSPL-2022-2055-O</t>
  </si>
  <si>
    <t>Nuery Manuel Vivas Sánchez</t>
  </si>
  <si>
    <t>NOTIFICADA POR CORREO: legalisconsensu@hotmail.es</t>
  </si>
  <si>
    <t>MDT-DRTSPL-2022-3037-EXTERNO</t>
  </si>
  <si>
    <t>MDT-DRTSPL-2022-2056-O</t>
  </si>
  <si>
    <t>Jose Francisco Jumbo Cruz</t>
  </si>
  <si>
    <t>NOTIFICADA POR CORREO: imedin_c@hotmail.com</t>
  </si>
  <si>
    <t>MDT-DRTSPL-2022-3040-EXTERNO</t>
  </si>
  <si>
    <t>MDT-DRTSPL-2022-2057-O</t>
  </si>
  <si>
    <t>NOTIFICADA POR CORREO: manologranillo@yahoo.es</t>
  </si>
  <si>
    <t>MDT-DRTSPL-2022-3044-EXTERNO</t>
  </si>
  <si>
    <t>MDT-DRTSPL-2022-2036-O</t>
  </si>
  <si>
    <t>Jorge Luis Montaño Rojas</t>
  </si>
  <si>
    <t>NOTIFICADA POR CORREO: gyaservicioslegales@gmail.com</t>
  </si>
  <si>
    <t>MDT-DRTSPL-2022-3045-EXTERNO</t>
  </si>
  <si>
    <t>MDT-DRTSPL-2022-2058-O</t>
  </si>
  <si>
    <t>NOTIFICADA POR CORREO: juan.montalvan@funcionjudicial.gob.ec</t>
  </si>
  <si>
    <t>MDT-DRTSPL-2022-3047-EXTERNO</t>
  </si>
  <si>
    <t>MDT-DRTSPL-2022-2062-O</t>
  </si>
  <si>
    <t>NOTIFICADA POR CORREO: d_paladines@yahoo.es</t>
  </si>
  <si>
    <t>MDT-DRTSPL-2022-3064-EXTERNO</t>
  </si>
  <si>
    <t>MDT-DRTSPL-2022-2060-O</t>
  </si>
  <si>
    <t>Byron Eduardo Medina Diaz</t>
  </si>
  <si>
    <t>NOTIFICADA POR CORREO: diegorivas1985@yahoo.es</t>
  </si>
  <si>
    <t>MDT-DRTSPL-2022-3066-EXTERNO</t>
  </si>
  <si>
    <t>MDT-DRTSPL-2022-2067-O</t>
  </si>
  <si>
    <t>NOTIFICADA POR CORREO: adrisvalladaresf@gmail.com</t>
  </si>
  <si>
    <t>MDT-DRTSPL-2022-3067-EXTERNO</t>
  </si>
  <si>
    <t>MDT-DSG-2022-1758-MEMORANDO; MDT-DRTSPL-2022-2184-O</t>
  </si>
  <si>
    <t>María Teresa Cajamarca Escaleras</t>
  </si>
  <si>
    <t>NOTIFICADA POR CORREO: l.essenia97@gmail.com</t>
  </si>
  <si>
    <t>MDT-DRTSPL-2022-3068-EXTERNO</t>
  </si>
  <si>
    <t>MDT-DRTSPL-2022-2068-O</t>
  </si>
  <si>
    <t>Xavier Israel Jaramillo Hurtado</t>
  </si>
  <si>
    <t>NOTIFICADA POR CORREO: angel_pato72@hotmail.com</t>
  </si>
  <si>
    <t>MDT-DRTSPL-2022-3069-EXTERNO</t>
  </si>
  <si>
    <t>MDT-DRTSPL-2022-2069-O</t>
  </si>
  <si>
    <t>Olger Ivan Cueva Sarango</t>
  </si>
  <si>
    <t>NOTIFICADA POR CORREO: ivan_c1488@hotmail.com</t>
  </si>
  <si>
    <t>MDT-DRTSPL-2022-3070-EXTERNO</t>
  </si>
  <si>
    <t>MDT-DRTSPL-2022-2070-O</t>
  </si>
  <si>
    <t>Luis Miguel Cumbicus Ovando</t>
  </si>
  <si>
    <t>NOTIFICADA POR CORREO: abg.luiscumbicus@gmail.com</t>
  </si>
  <si>
    <t>MDT-DRTSPL-2022-3071-EXTERNO</t>
  </si>
  <si>
    <t>MDT-DRTSPL-2022-2076-O</t>
  </si>
  <si>
    <t>Francisco Favian Torres Torres</t>
  </si>
  <si>
    <t>NOTIFICADA POR CORREO: jeffquezada@hotmail.com</t>
  </si>
  <si>
    <t>MDT-DRTSPL-2022-3073-EXTERNO</t>
  </si>
  <si>
    <t>MDT-DRTSPL-2022-2077-O</t>
  </si>
  <si>
    <t>NOTIFICADA POR CORREO: mariuxijumboramos@gmail.com</t>
  </si>
  <si>
    <t>MDT-DRTSPL-2022-3082-EXTERNO</t>
  </si>
  <si>
    <t>MDT-DRTSPL-2022-2083-O</t>
  </si>
  <si>
    <t>Diego Fabricio Tixi Torres</t>
  </si>
  <si>
    <t>NOTIFICADA POR CORREO: alpf31084@hotmail.com</t>
  </si>
  <si>
    <t>MDT-DRTSPL-2022-3083-EXTERNO</t>
  </si>
  <si>
    <t>MDT-DRTSPL-2022-2082-O</t>
  </si>
  <si>
    <t>Franco Rómulo Carrión Paz</t>
  </si>
  <si>
    <t>MDT-DRTSPL-2022-3096-EXTERNO</t>
  </si>
  <si>
    <t>MDT-DRTSPL-2022-2085-O</t>
  </si>
  <si>
    <t>NOTIFICADA POR CORREO: eselisanchez@gmail.com</t>
  </si>
  <si>
    <t>MDT-DRTSPL-2022-3101-EXTERNO</t>
  </si>
  <si>
    <t>MDT-DRTSPL-2022-2087-O</t>
  </si>
  <si>
    <t>Angela Leneida Velez Gaona</t>
  </si>
  <si>
    <t>NOTIFICADA POR CORREO: juridico.bladimirarmijos@gmail.com</t>
  </si>
  <si>
    <t>MDT-DRTSPL-2022-3104-EXTERNO</t>
  </si>
  <si>
    <t>MDT-DRTSPL-2022-2088-O</t>
  </si>
  <si>
    <t>José Miguel Chamba Quizhpe</t>
  </si>
  <si>
    <t>NOTIFICADA POR CORREO: chambaqjosemiguel@gmail.com</t>
  </si>
  <si>
    <t>MDT-DRTSPL-2022-3105-EXTERNO</t>
  </si>
  <si>
    <t>MDT-DRTSPL-2022-2089-O</t>
  </si>
  <si>
    <t>MDT-DRTSPL-2022-3106-EXTERNO</t>
  </si>
  <si>
    <t>MDT-DRTSPL-2022-2090-O</t>
  </si>
  <si>
    <t>Jordy Guillermo Villavicencio Apolo</t>
  </si>
  <si>
    <t>NOTIFICADA POR CORREO: jgvicencio.a@gmail.com</t>
  </si>
  <si>
    <t>MDT-DRTSPL-2022-3107-EXTERNO</t>
  </si>
  <si>
    <t>MDT-DRTSPL-2022-2092-O</t>
  </si>
  <si>
    <t>Oscar Dario Herrera Escaleras</t>
  </si>
  <si>
    <t>NOTIFICADA POR CORREO: oscarh1401@gmail.com</t>
  </si>
  <si>
    <t>MDT-DRTSPL-2022-3108-EXTERNO</t>
  </si>
  <si>
    <t>MDT-DRTSPL-2022-2128-O</t>
  </si>
  <si>
    <t>José Manuel Herrera Guevara</t>
  </si>
  <si>
    <t>NOTIFICADA POR CORREO: 093063568h@gmail.com</t>
  </si>
  <si>
    <t>MDT-DRTSPL-2022-3109-EXTERNO</t>
  </si>
  <si>
    <t>MDT-DRTSPL-2022-2131-O</t>
  </si>
  <si>
    <t>Klever Bladimir Tenezaca Cordova</t>
  </si>
  <si>
    <t>NOTIFICADA POR CORREO: bladitenezaca1993@gmail.com</t>
  </si>
  <si>
    <t>MDT-DRTSPL-2022-3121-EXTERNO</t>
  </si>
  <si>
    <t>MDT-DRTSPL-2022-2093-O</t>
  </si>
  <si>
    <t>NOTIFICADA POR CORREO: chdiaz722@gmail.com</t>
  </si>
  <si>
    <t>MDT-DRTSPL-2022-3124-EXTERNO</t>
  </si>
  <si>
    <t>MDT-DRTSPL-2022-2094-O</t>
  </si>
  <si>
    <t>NOTIFICADA POR CORREO: amado.bravo@funcionjudicial.gob.ec</t>
  </si>
  <si>
    <t>MDT-DRTSPL-2022-3125-EXTERNO</t>
  </si>
  <si>
    <t>MDT-DRTSPL-2022-2095-O</t>
  </si>
  <si>
    <t>NOTIFICADA POR CORREO: michaeltoscano69@gmail.com</t>
  </si>
  <si>
    <t>MDT-DRTSPL-2022-3126-EXTERNO</t>
  </si>
  <si>
    <t>MDT-DCI-2022-13732-O</t>
  </si>
  <si>
    <t>Angel Florentino Lituma Ordoñez</t>
  </si>
  <si>
    <t>MDT-DRTSPL-2022-3127-EXTERNO</t>
  </si>
  <si>
    <t>MDT-DRTSPL-2022-2084-O</t>
  </si>
  <si>
    <t>Luis Fernando Velez Jimenez</t>
  </si>
  <si>
    <t>NOTIFICADA POR CORREO: lfvj64@hotmail.es</t>
  </si>
  <si>
    <t>MDT-DRTSPL-2022-3129-EXTERNO</t>
  </si>
  <si>
    <t>MDT-DRTSPL-2022-2099-O</t>
  </si>
  <si>
    <t>Jorge Luis Orellana Samaniego</t>
  </si>
  <si>
    <t>NOTIFICADA POR CORREO: 1988jorgeluisore@gmail.com</t>
  </si>
  <si>
    <t>MDT-DRTSPL-2022-3131-EXTERNO</t>
  </si>
  <si>
    <t>MDT-DRTSPL-2022-2096-O</t>
  </si>
  <si>
    <t>Cesar Santiago Matailo Carrion</t>
  </si>
  <si>
    <t>NOTIFICADA POR CORREO: marlonespinozav@hotmail.es</t>
  </si>
  <si>
    <t>MDT-DRTSPL-2022-3132-EXTERNO</t>
  </si>
  <si>
    <t>MDT-DRTSPL-2022-2104-O</t>
  </si>
  <si>
    <t>MDT-DRTSPL-2022-3133-EXTERNO</t>
  </si>
  <si>
    <t>MDT-DRTSPL-2022-2109-O</t>
  </si>
  <si>
    <t>NOTIFICADA POR CORREO: diego.quezada@funcionjudicial.gob.ec</t>
  </si>
  <si>
    <t>MDT-DRTSPL-2022-3134-EXTERNO</t>
  </si>
  <si>
    <t>MDT-DRTSPL-2022-2130-O</t>
  </si>
  <si>
    <t>Diana Alexandra González Lavanda</t>
  </si>
  <si>
    <t>NOTIFICADA POR CORREO: efjimenezx@yahoo.com</t>
  </si>
  <si>
    <t>MDT-DRTSPL-2022-3136-EXTERNO</t>
  </si>
  <si>
    <t>MDT-DRTSPL-2022-2116-O</t>
  </si>
  <si>
    <t>NOTIFICADA POR CORREO: vanesaja@yahoo.es</t>
  </si>
  <si>
    <t>MDT-DRTSPL-2022-3137-EXTERNO</t>
  </si>
  <si>
    <t>MDT-DRTSPL-2022-2120-O</t>
  </si>
  <si>
    <t>MDT-DRTSPL-2022-3138-EXTERNO</t>
  </si>
  <si>
    <t>MDT-DRTSPL-2022-2121-O</t>
  </si>
  <si>
    <t>MDT-DRTSPL-2022-3140-EXTERNO</t>
  </si>
  <si>
    <t>MDT-DRTSPL-2022-2122-O</t>
  </si>
  <si>
    <t>NOTIFICADA POR CORREO: mglnrqlunabravo701@gmail.com</t>
  </si>
  <si>
    <t>MDT-DRTSPL-2022-3143-EXTERNO</t>
  </si>
  <si>
    <t>MDT-DRTSPL-2022-2213-O</t>
  </si>
  <si>
    <t>Jorge Luis Erazo Carrión</t>
  </si>
  <si>
    <t>NOTIFICADA POR CORREO: vilca.flar@hotmail.com</t>
  </si>
  <si>
    <t>MDT-DRTSPL-2022-3144-EXTERNO</t>
  </si>
  <si>
    <t>MDT-DRTSPL-2022-2211-O</t>
  </si>
  <si>
    <t>Fredy Leonardo Aguilera Ramón</t>
  </si>
  <si>
    <t>MDT-DRTSPL-2022-3145-EXTERNO</t>
  </si>
  <si>
    <t>MDT-DRTSPL-2022-2149-O</t>
  </si>
  <si>
    <t>María Judith Mora Riofrío</t>
  </si>
  <si>
    <t>NOTIFICADA POR CORREO: ventanillaloja@fiscalia.gob.ec</t>
  </si>
  <si>
    <t>MDT-DRTSPL-2022-3146-EXTERNO</t>
  </si>
  <si>
    <t>MDT-DRTSPL-2022-2124-O</t>
  </si>
  <si>
    <t>Victor Hugo Sarmiento Garzón</t>
  </si>
  <si>
    <t>NOTIFICADA POR CORREO: sarmientov@fiscalia.gob.ec</t>
  </si>
  <si>
    <t>MDT-DRTSPL-2022-3149-EXTERNO</t>
  </si>
  <si>
    <t>MDT-DRTSPL-2022-2125-O</t>
  </si>
  <si>
    <t>Herman Daniel Camacho Maza</t>
  </si>
  <si>
    <t>NOTIFICADA POR CORREO: danyca1994@hotmail.com</t>
  </si>
  <si>
    <t>MDT-DRTSPL-2022-3154-EXTERNO</t>
  </si>
  <si>
    <t>MDT-DRTSPL-2022-2127-O</t>
  </si>
  <si>
    <t>Segundo Manuel Murquincho Angamarca</t>
  </si>
  <si>
    <t>NOTIFICADA POR CORREO: segunalfredo1962@hotmail.com</t>
  </si>
  <si>
    <t>MDT-DRTSPL-2022-3156-EXTERNO</t>
  </si>
  <si>
    <t>MDT-DRTSPL-2022-2129-O</t>
  </si>
  <si>
    <t>MDT-DRTSPL-2022-3159-EXTERNO</t>
  </si>
  <si>
    <t>MDT-DRTSPL-2022-2132-O</t>
  </si>
  <si>
    <t>Jose Javier Guachizaca Muñoz</t>
  </si>
  <si>
    <t>NOTIFICADA POR CORREO: rosacurimilma5@gmail.com</t>
  </si>
  <si>
    <t>MDT-DRTSPL-2022-3168-EXTERNO</t>
  </si>
  <si>
    <t>MDT-DRTSPL-2022-2134-O</t>
  </si>
  <si>
    <t>Ángel Geovanny Rivera Pogo</t>
  </si>
  <si>
    <t>NOTIFICADA POR CORREO: kpishy25_@hotmail.com</t>
  </si>
  <si>
    <t>MDT-DRTSPL-2022-3173-EXTERNO</t>
  </si>
  <si>
    <t>MDT-DRTSPL-2022-2135-O</t>
  </si>
  <si>
    <t>Sandro Leonardo Ochoa Cueva</t>
  </si>
  <si>
    <t>NOTIFICADA POR CORREO: sandrochoaconsultorjuridico@hotmail.com</t>
  </si>
  <si>
    <t>MDT-DRTSPL-2022-3174-EXTERNO</t>
  </si>
  <si>
    <t>MDT-DRTSPL-2022-2136-O</t>
  </si>
  <si>
    <t>Carmen Jiménez Pineda</t>
  </si>
  <si>
    <t>NOTIFICADA POR CORREO: carmen11jp@hotmail.com</t>
  </si>
  <si>
    <t>MDT-DRTSPL-2022-3175-EXTERNO</t>
  </si>
  <si>
    <t>MDT-DRTSPL-2022-2147-O</t>
  </si>
  <si>
    <t>Guido Manuel Rosales Rosales</t>
  </si>
  <si>
    <t>MDT-DRTSPL-2022-3176-EXTERNO</t>
  </si>
  <si>
    <t>MDT-DRTSPL-2022-2148-O</t>
  </si>
  <si>
    <t>NOTIFICADA POR CORREO: rodcajase@yahoo.es</t>
  </si>
  <si>
    <t>MDT-DRTSPL-2022-3179-EXTERNO</t>
  </si>
  <si>
    <t>NOTIFICADA POR CORREO: carmenn_176@hotmail.com</t>
  </si>
  <si>
    <t>MDT-DRTSPL-2022-3182-EXTERNO</t>
  </si>
  <si>
    <t>MDT-DRTSPL-2022-2151-O</t>
  </si>
  <si>
    <t>Galo Arturo Jaramillo Gonzalez</t>
  </si>
  <si>
    <t>NOTIFICADA POR CORREO: lolam_1035@hotmail.com</t>
  </si>
  <si>
    <t>MDT-DRTSPL-2022-3186-EXTERNO</t>
  </si>
  <si>
    <t>MDT-DRTSPL-2022-2153-O</t>
  </si>
  <si>
    <t>MDT-DRTSPL-2022-3188-EXTERNO</t>
  </si>
  <si>
    <t>MDT-DRTSPL-2022-2154-O</t>
  </si>
  <si>
    <t>NOTIFICADA POR CORREO: guaguaso155@gmail.com</t>
  </si>
  <si>
    <t>MDT-DRTSPL-2022-3189-EXTERNO</t>
  </si>
  <si>
    <t xml:space="preserve">Carlos Luis Valdez Cabrera  </t>
  </si>
  <si>
    <t>MDT-DSG-2022-1924-MEMORANDO</t>
  </si>
  <si>
    <t>Amada Paulina Chacón Chacón</t>
  </si>
  <si>
    <t>NOTIFICADA POR CORREO: paulichacon73@gmail.com</t>
  </si>
  <si>
    <t>MDT-DRTSPL-2022-3192-EXTERNO</t>
  </si>
  <si>
    <t>MDT-DRTSPL-2022-2303-O</t>
  </si>
  <si>
    <t>Andrea de los Angeles Rosales Espinosa</t>
  </si>
  <si>
    <t>NOTIFICADA POR CORREO: chejp_72@hotmail.com</t>
  </si>
  <si>
    <t>MDT-DRTSPL-2022-3193-EXTERNO</t>
  </si>
  <si>
    <t>MDT-DRTSPL-2022-2217-O</t>
  </si>
  <si>
    <t>Eduardo Rigoberto Romero Calderon</t>
  </si>
  <si>
    <t>NOTIFICADA POR CORREO: segu.27@hotmail.com</t>
  </si>
  <si>
    <t>MDT-DRTSPL-2022-3203-EXTERNO</t>
  </si>
  <si>
    <t>MDT-DRTSPL-2022-2155-O</t>
  </si>
  <si>
    <t>Carmen Maritza Cuenca Carrion</t>
  </si>
  <si>
    <t>NOTIFICADA POR CORREO: rob.angamarca@hotmail.com</t>
  </si>
  <si>
    <t>MDT-DRTSPL-2022-3206-EXTERNO</t>
  </si>
  <si>
    <t>MDT-DRTSPL-2022-2157-O</t>
  </si>
  <si>
    <t>Lenin Hernan Aguilar Quezada</t>
  </si>
  <si>
    <t>NOTIFICADA POR CORREO: leninaguilar2011@hotmail.com</t>
  </si>
  <si>
    <t>MDT-DRTSPL-2022-3209-EXTERNO</t>
  </si>
  <si>
    <t>MDT-DRTSPL-2022-2158-O</t>
  </si>
  <si>
    <t>NOTIFICADA POR CORREO: wilsonquizhpe@hotmail.es</t>
  </si>
  <si>
    <t>MDT-DRTSPL-2022-3210-EXTERNO</t>
  </si>
  <si>
    <t>MDT-DRTSPL-2022-2161-O</t>
  </si>
  <si>
    <t>Ludwin Ermel Jimbo Matailo</t>
  </si>
  <si>
    <t>NOTIFICADA POR CORREO: jimbol@fiscalia.gob.ec</t>
  </si>
  <si>
    <t>MDT-DRTSPL-2022-3211-EXTERNO</t>
  </si>
  <si>
    <t>MDT-DRTSPL-2022-2294-O</t>
  </si>
  <si>
    <t>Esteban Eduardo Ordoñez</t>
  </si>
  <si>
    <t>NOTIFICADA POR CORREO: rodrigo.a.castellanos.c@gmail.com</t>
  </si>
  <si>
    <t>MDT-DRTSPL-2022-3212-EXTERNO</t>
  </si>
  <si>
    <t>MDT-DRTSPL-2022-2162-O</t>
  </si>
  <si>
    <t>Nely Lucia Godoy Neira</t>
  </si>
  <si>
    <t>NOTIFICADA POR CORREO: nely_luciakuqui@outlook.es</t>
  </si>
  <si>
    <t>MDT-DRTSPL-2022-3215-EXTERNO</t>
  </si>
  <si>
    <t>MDT-DRTSPL-2022-2164-O</t>
  </si>
  <si>
    <t>María Esperanza Jimenez Jimenez</t>
  </si>
  <si>
    <t>NOTIFICADA POR CORREO: danielaarj1982@gmail.com</t>
  </si>
  <si>
    <t>MDT-DRTSPL-2022-3217-EXTERNO</t>
  </si>
  <si>
    <t>MDT-DRTSPL-2022-2167-O</t>
  </si>
  <si>
    <t>Florentino Hermel Alvarez Alvarez</t>
  </si>
  <si>
    <t>NOTIFICADA POR CORREO: dajavier@outlook.com</t>
  </si>
  <si>
    <t>MDT-DRTSPL-2022-3221-EXTERNO</t>
  </si>
  <si>
    <t>MDT-DRTSPL-2022-2178-O</t>
  </si>
  <si>
    <t>Cristian David Ponce Pullaguari</t>
  </si>
  <si>
    <t>MDT-DRTSPL-2022-3223-EXTERNO</t>
  </si>
  <si>
    <t xml:space="preserve">Anabel Mendieta Corral  </t>
  </si>
  <si>
    <t>Servio Tulio Sánchez Zapata</t>
  </si>
  <si>
    <t xml:space="preserve">NOTIFICADA POR CORREO: </t>
  </si>
  <si>
    <t>MDT-DRTSPL-2022-3224-EXTERNO</t>
  </si>
  <si>
    <t>MDT-DRTSPL-2022-2169-O</t>
  </si>
  <si>
    <t>José Fernando Torres Torres</t>
  </si>
  <si>
    <t>NOTIFICADA POR CORREO: geovannysalinas@gmail.com</t>
  </si>
  <si>
    <t>MDT-DRTSPL-2022-3225-EXTERNO</t>
  </si>
  <si>
    <t>MDT-DRTSPL-2022-2170-O</t>
  </si>
  <si>
    <t>Jorge Luis Mendoza Sarango</t>
  </si>
  <si>
    <t>MDT-DRTSPL-2022-3226-EXTERNO</t>
  </si>
  <si>
    <t>MDT-DRTSPL-2022-2171-O</t>
  </si>
  <si>
    <t>NOTIFICADA POR CORREO: consultoriajuridicaloja@gmail.com</t>
  </si>
  <si>
    <t>MDT-DRTSPL-2022-3228-EXTERNO</t>
  </si>
  <si>
    <t>MDT-DRTSPL-2022-2176-O</t>
  </si>
  <si>
    <t>Michael Andres Valdez Maza</t>
  </si>
  <si>
    <t>NOTIFICADA POR CORREO: andresvz672@gmail.com</t>
  </si>
  <si>
    <t>MDT-DRTSPL-2022-3231-EXTERNO</t>
  </si>
  <si>
    <t>MDT-DRTSPL-2022-2179-O</t>
  </si>
  <si>
    <t>Jaime Antonio Guzmán Regalado</t>
  </si>
  <si>
    <t>NOTIFICADA POR CORREO: jaimeantonio07@hotmail.es</t>
  </si>
  <si>
    <t>MDT-DRTSPL-2022-3232-EXTERNO</t>
  </si>
  <si>
    <t>MDT-DRTSPL-2022-2180-O</t>
  </si>
  <si>
    <t>MDT-DRTSPL-2022-3233-EXTERNO</t>
  </si>
  <si>
    <t>MDT-DRTSPL-2022-2181-O</t>
  </si>
  <si>
    <t>Jaime Leonardo Medina Medina</t>
  </si>
  <si>
    <t>NOTIFICADA POR CORREO: rasoto_82@hotmail.com</t>
  </si>
  <si>
    <t>MDT-DRTSPL-2022-3234-EXTERNO</t>
  </si>
  <si>
    <t>MDT-DRTSPL-2022-2182-O</t>
  </si>
  <si>
    <t>Rodolfo Maria Lalvay Arpi</t>
  </si>
  <si>
    <t>NOTIFICADA POR CORREO: rodolfolalvay383@gmail.com</t>
  </si>
  <si>
    <t>MDT-DRTSPL-2022-3235-EXTERNO</t>
  </si>
  <si>
    <t>MDT-DRTSPL-2022-2183-O</t>
  </si>
  <si>
    <t>Detsy Giseli Rodriguez Aguirre</t>
  </si>
  <si>
    <t>NOTIFICADA POR CORREO: detsyrodriguezaguirre@gmail.com</t>
  </si>
  <si>
    <t>MDT-DRTSPL-2022-3239-EXTERNO</t>
  </si>
  <si>
    <t>MDT-DRTSPL-2022-2186-O</t>
  </si>
  <si>
    <t>Julio Cesar Gamarra Leon</t>
  </si>
  <si>
    <t>NOTIFICADA POR CORREO: colpaer@hotmail.com</t>
  </si>
  <si>
    <t>MDT-DRTSPL-2022-3242-EXTERNO</t>
  </si>
  <si>
    <t>MDT-DRTSPL-2022-2187-O</t>
  </si>
  <si>
    <t>Jonathan Fabricio Eras Andrade</t>
  </si>
  <si>
    <t>NOTIFICADA POR CORREO: jfranndy@gmail.com</t>
  </si>
  <si>
    <t>MDT-DRTSPL-2022-3245-EXTERNO</t>
  </si>
  <si>
    <t>MDT-DRTSPL-2022-2188-O</t>
  </si>
  <si>
    <t>NOTIFICADA POR CORREO: alfahi2012@hotmail.com</t>
  </si>
  <si>
    <t>MDT-DRTSPL-2022-3246-EXTERNO</t>
  </si>
  <si>
    <t>MDT-DRTSPL-2022-2189-O</t>
  </si>
  <si>
    <t>MDT-DRTSPL-2022-3247-EXTERNO</t>
  </si>
  <si>
    <t>MDT-DRTSPL-2022-2190-O</t>
  </si>
  <si>
    <t>MDT-DRTSPL-2022-3248-EXTERNO</t>
  </si>
  <si>
    <t>MDT-DRTSPL-2022-2192-O</t>
  </si>
  <si>
    <t>NOTIFICADA POR CORREO: lina.luzuriaga@funcionjudicial.gob.ec</t>
  </si>
  <si>
    <t>MDT-DRTSPL-2022-3249-EXTERNO</t>
  </si>
  <si>
    <t>MDT-DRTSPL-2022-2193-O</t>
  </si>
  <si>
    <t>NOTIFICADA POR CORREO: luisvallecuenca@hotmail.com</t>
  </si>
  <si>
    <t>MDT-DRTSPL-2022-3250-EXTERNO</t>
  </si>
  <si>
    <t>MDT-DRTSPL-2022-2194-O</t>
  </si>
  <si>
    <t>Guillermo Gonzalez</t>
  </si>
  <si>
    <t>NOTIFICADA POR CORREO: stevenguille369@gmail.com</t>
  </si>
  <si>
    <t>MDT-DRTSPL-2022-3260-EXTERNO</t>
  </si>
  <si>
    <t>MDT-DRTSPL-2022-2195-O</t>
  </si>
  <si>
    <t>Yuli Vitalia Calva Amaya</t>
  </si>
  <si>
    <t>NOTIFICADA POR CORREO: yulivitalia@hotmail.es</t>
  </si>
  <si>
    <t>MDT-DRTSPL-2022-3263-EXTERNO</t>
  </si>
  <si>
    <t>MDT-DRTSPL-2022-2197-O</t>
  </si>
  <si>
    <t>NOTIFICADA POR CORREO: jfbv_@hotmail.com</t>
  </si>
  <si>
    <t>MDT-DRTSPL-2022-3266-EXTERNO</t>
  </si>
  <si>
    <t>MDT-DRTSPL-2022-2202-O</t>
  </si>
  <si>
    <t>Henry Paúl Arévalo Arévalo</t>
  </si>
  <si>
    <t>NOTIFICADA POR CORREO: abgarevalopaul@gmail.com</t>
  </si>
  <si>
    <t>MDT-DRTSPL-2022-3267-EXTERNO</t>
  </si>
  <si>
    <t>Oscar Efren Medina Maza</t>
  </si>
  <si>
    <t>NOTIFICADA POR CORREO: jostincarrion098@gmail.com</t>
  </si>
  <si>
    <t>MDT-DRTSPL-2022-3269-EXTERNO</t>
  </si>
  <si>
    <t>Yuri Franco Bastidas Churo</t>
  </si>
  <si>
    <t>NOTIFICADA POR CORREO: ybastidasfranco@gmail.com</t>
  </si>
  <si>
    <t>MDT-DRTSPL-2022-3270-EXTERNO</t>
  </si>
  <si>
    <t>MDT-DRTSPL-2022-2355-O</t>
  </si>
  <si>
    <t>MDT-DRTSPL-2022-3272-EXTERNO</t>
  </si>
  <si>
    <t>MDT-DRTSPL-2022-2210-O</t>
  </si>
  <si>
    <t>NOTIFICADA POR CORREO: flavio.bravo@funcionjudicial.gob.ec</t>
  </si>
  <si>
    <t>MDT-DRTSPL-2022-3273-EXTERNO</t>
  </si>
  <si>
    <t xml:space="preserve">Derly Stefania Morales Arechua </t>
  </si>
  <si>
    <t>DIRECCIÓN REGIONAL DEL TRABAJO Y SERVICIO PÚBLICO DE GUAYAQUIL</t>
  </si>
  <si>
    <t>MDT-DRTSPG-2022-4959-O</t>
  </si>
  <si>
    <t>José Luis Castro Ochoa</t>
  </si>
  <si>
    <t>NOTIFICADA POR CORREO: castroochoa.joseluis@hotmail.com</t>
  </si>
  <si>
    <t>MDT-DRTSPL-2022-3275-EXTERNO</t>
  </si>
  <si>
    <t>MDT-DRTSPL-2022-2212-O</t>
  </si>
  <si>
    <t>Mario Alfonso Guerrero González</t>
  </si>
  <si>
    <t>MDT-DRTSPL-2022-3279-EXTERNO</t>
  </si>
  <si>
    <t>MDT-DRTSPL-2022-2216-O</t>
  </si>
  <si>
    <t>Genessis Mikaela Aldas Morocho</t>
  </si>
  <si>
    <t>NOTIFICADA POR CORREO: aldasmika7@gmail.com</t>
  </si>
  <si>
    <t>MDT-DRTSPL-2022-3280-EXTERNO</t>
  </si>
  <si>
    <t>MDT-DRTSPL-2022-2214-O</t>
  </si>
  <si>
    <t>Christian Ricardo Ramon Jaramillo</t>
  </si>
  <si>
    <t>NOTIFICADA POR CORREO: chrisrrj32@gmail.com</t>
  </si>
  <si>
    <t>MDT-DRTSPL-2022-3284-EXTERNO</t>
  </si>
  <si>
    <t>MDT-DRTSPL-2022-2215-O</t>
  </si>
  <si>
    <t>Ober Gustavo Ramon Ordoñez</t>
  </si>
  <si>
    <t>NOTIFICADA POR CORREO: oberramon@hotmail.com</t>
  </si>
  <si>
    <t>MDT-DRTSPL-2022-3286-EXTERNO</t>
  </si>
  <si>
    <t>MDT-DRTSPL-2022-2218-O</t>
  </si>
  <si>
    <t>NOTIFICADA POR CORREO: manuel.gonzalezz@funcionjudicial.gob.ec</t>
  </si>
  <si>
    <t>MDT-DRTSPL-2022-3294-EXTERNO</t>
  </si>
  <si>
    <t>MDT-DRTSPL-2022-2219-O</t>
  </si>
  <si>
    <t>MDT-DRTSPL-2022-3295-EXTERNO</t>
  </si>
  <si>
    <t>MDT-DRTSPL-2022-2220-O</t>
  </si>
  <si>
    <t>Sara Salome Tandazo Valarezo</t>
  </si>
  <si>
    <t>MDT-DRTSPL-2022-3297-EXTERNO</t>
  </si>
  <si>
    <t>MDT-DRTSPL-2022-2221-O</t>
  </si>
  <si>
    <t>Jefferson Gerardo Rodriguez Ordoñez</t>
  </si>
  <si>
    <t>NOTIFICADA POR CORREO: jeffrodri_1992@hotmail.com</t>
  </si>
  <si>
    <t>MDT-DRTSPL-2022-3299-EXTERNO</t>
  </si>
  <si>
    <t>MDT-DRTSPL-2022-2233-O</t>
  </si>
  <si>
    <t>Harpreet Singh Sidhu</t>
  </si>
  <si>
    <t>NOTIFICADA POR CORREO: nenag3841@gmail.com</t>
  </si>
  <si>
    <t>MDT-DRTSPL-2022-3300-EXTERNO</t>
  </si>
  <si>
    <t>MDT-DRTSPL-2022-2234-O</t>
  </si>
  <si>
    <t>MDT-DRTSPL-2022-3301-EXTERNO</t>
  </si>
  <si>
    <t>MDT-DRTSPL-2022-2235-O</t>
  </si>
  <si>
    <t>MDT-DRTSPL-2022-3304-EXTERNO</t>
  </si>
  <si>
    <t>MDT-DRTSPL-2022-2236-O</t>
  </si>
  <si>
    <t>Rafael Enrique Nero Sucunuta</t>
  </si>
  <si>
    <t>NOTIFICADA POR CORREO: guzmandelgadoyasociados@hotmail.com</t>
  </si>
  <si>
    <t>MDT-DRTSPL-2022-3307-EXTERNO</t>
  </si>
  <si>
    <t>MDT-DRTSPL-2022-2295-O</t>
  </si>
  <si>
    <t>NOTIFICADA POR CORREO: m_andreina88@hotmail.com</t>
  </si>
  <si>
    <t>MDT-DRTSPL-2022-3311-EXTERNO</t>
  </si>
  <si>
    <t>MDT-DRTSPL-2022-2237-O</t>
  </si>
  <si>
    <t>Maria Hilda Torres Pardo</t>
  </si>
  <si>
    <t>NOTIFICADA POR CORREO: mariahildatorrespardo1992@gmail.com</t>
  </si>
  <si>
    <t>MDT-DRTSPL-2022-3312-EXTERNO</t>
  </si>
  <si>
    <t>MDT-DRTSPL-2022-2238-O</t>
  </si>
  <si>
    <t>MDT-DRTSPL-2022-3313-EXTERNO</t>
  </si>
  <si>
    <t>MDT-DRTSPL-2022-2239-O</t>
  </si>
  <si>
    <t>MDT-DRTSPL-2022-3314-EXTERNO</t>
  </si>
  <si>
    <t>MDT-DRTSPL-2022-2241-O</t>
  </si>
  <si>
    <t>MDT-DRTSPL-2022-3315-EXTERNO</t>
  </si>
  <si>
    <t>MDT-DRTSPL-2022-2242-O</t>
  </si>
  <si>
    <t>MDT-DRTSPL-2022-3316-EXTERNO</t>
  </si>
  <si>
    <t>MDT-DRTSPL-2022-2243-O</t>
  </si>
  <si>
    <t>MDT-DRTSPL-2022-3317-EXTERNO</t>
  </si>
  <si>
    <t>MDT-DRTSPL-2022-2244-O</t>
  </si>
  <si>
    <t>MDT-DRTSPL-2022-3319-EXTERNO</t>
  </si>
  <si>
    <t>MDT-DRTSPL-2022-2248-O</t>
  </si>
  <si>
    <t>MDT-DRTSPL-2022-3320-EXTERNO</t>
  </si>
  <si>
    <t>MDT-DRTSPL-2022-2249-O</t>
  </si>
  <si>
    <t>MDT-DRTSPL-2022-3321-EXTERNO</t>
  </si>
  <si>
    <t>MDT-DRTSPL-2022-2251-O</t>
  </si>
  <si>
    <t>MDT-DRTSPL-2022-3322-EXTERNO</t>
  </si>
  <si>
    <t>MDT-DRTSPL-2022-2258-O</t>
  </si>
  <si>
    <t>MDT-DRTSPL-2022-3323-EXTERNO</t>
  </si>
  <si>
    <t>MDT-DRTSPL-2022-2260-O</t>
  </si>
  <si>
    <t>MDT-DRTSPL-2022-3324-EXTERNO</t>
  </si>
  <si>
    <t>MDT-DRTSPL-2022-2261-O</t>
  </si>
  <si>
    <t>MDT-DRTSPL-2022-3325-EXTERNO</t>
  </si>
  <si>
    <t>MDT-DRTSPL-2022-2262-O</t>
  </si>
  <si>
    <t>MDT-DRTSPL-2022-3327-EXTERNO</t>
  </si>
  <si>
    <t>MDT-DRTSPL-2022-2265-O</t>
  </si>
  <si>
    <t>MDT-DRTSPL-2022-3328-EXTERNO</t>
  </si>
  <si>
    <t>MDT-DRTSPL-2022-2266-O</t>
  </si>
  <si>
    <t>NOTIFICADA POR CORREO: mluislautaro@yahoo.com</t>
  </si>
  <si>
    <t>MDT-DRTSPL-2022-3331-EXTERNO</t>
  </si>
  <si>
    <t>MDT-DRTSPL-2022-2267-O</t>
  </si>
  <si>
    <t>NOTIFICADA POR CORREO: esperanzaleon81@hotmail.com</t>
  </si>
  <si>
    <t>MDT-DRTSPL-2022-3332-EXTERNO</t>
  </si>
  <si>
    <t>MDT-DRTSPL-2022-2268-O</t>
  </si>
  <si>
    <t>NOTIFICADA POR CORREO: pablo.paguirre@gmail.com</t>
  </si>
  <si>
    <t>MDT-DRTSPL-2022-3333-EXTERNO</t>
  </si>
  <si>
    <t>MDT-DRTSPL-2022-2226-O</t>
  </si>
  <si>
    <t>MDT-DRTSPL-2022-3335-EXTERNO</t>
  </si>
  <si>
    <t>MDT-DRTSPL-2022-2269-O</t>
  </si>
  <si>
    <t>MDT-DRTSPL-2022-3343-EXTERNO</t>
  </si>
  <si>
    <t>MDT-DRTSPL-2022-2270-O</t>
  </si>
  <si>
    <t>Fabricio Ramiro Maurad Fernández</t>
  </si>
  <si>
    <t>NOTIFICADA POR CORREO: consorciojuridicoloxa@gmail.com</t>
  </si>
  <si>
    <t>MDT-DRTSPL-2022-3352-EXTERNO</t>
  </si>
  <si>
    <t xml:space="preserve">Wilmer Ricardo Vallejos Cazar  </t>
  </si>
  <si>
    <t>DIRECCIÓN DE ORGANIZACIONES LABORALES / DIRECCIÓN DE SECRETARIA GENERAL</t>
  </si>
  <si>
    <t>MDT-DSG-2022-2046-MEMORANDO; MDT-DRTSPQ-2022-5183-M</t>
  </si>
  <si>
    <t>Miguel Angel Malo Veintimilla (EERSSA)</t>
  </si>
  <si>
    <t>NOTIFICADA POR CORREO: miguel.malo@yahoo.com</t>
  </si>
  <si>
    <t>MDT-DRTSPL-2022-3353-EXTERNO</t>
  </si>
  <si>
    <t>MDT-DRTSPL-2022-2273-O</t>
  </si>
  <si>
    <t>Raúl Marcelo Mogrovejo León (IESS)</t>
  </si>
  <si>
    <t>NOTIFICADA POR CORREO: saritaencarnacion@hotmail.com</t>
  </si>
  <si>
    <t>MDT-DRTSPL-2022-3355-EXTERNO</t>
  </si>
  <si>
    <t>MDT-DRTSPL-2022-2276-O</t>
  </si>
  <si>
    <t>Jeovany Patricio Robles Barsallo</t>
  </si>
  <si>
    <t>NOTIFICADA POR CORREO: miguicho91@outlook.com</t>
  </si>
  <si>
    <t>MDT-DRTSPL-2022-3357-EXTERNO</t>
  </si>
  <si>
    <t>MDT-DRTSPL-2022-2277-O</t>
  </si>
  <si>
    <t>Edison Hermel Garcia Celi</t>
  </si>
  <si>
    <t>NOTIFICADA POR CORREO: abedygarcia76@gmail.com</t>
  </si>
  <si>
    <t>MDT-DRTSPL-2022-3358-EXTERNO</t>
  </si>
  <si>
    <t>MDT-DRTSPL-2022-2278-O</t>
  </si>
  <si>
    <t>MDT-DRTSPL-2022-3364-EXTERNO</t>
  </si>
  <si>
    <t>MDT-DRTSPL-2022-2280-O</t>
  </si>
  <si>
    <t>Holger Antonio Rivera Iriarte</t>
  </si>
  <si>
    <t>NOTIFICADA POR CORREO: holgerriverai@hotmail.com</t>
  </si>
  <si>
    <t>MDT-DRTSPL-2022-3366-EXTERNO</t>
  </si>
  <si>
    <t>MDT-DRTSPL-2022-2281-O</t>
  </si>
  <si>
    <t>NOTIFICADA POR CORREO: nandita196@outlook.com</t>
  </si>
  <si>
    <t>MDT-DRTSPL-2022-3368-EXTERNO</t>
  </si>
  <si>
    <t>MDT-DRTSPL-2022-2282-O</t>
  </si>
  <si>
    <t>NOTIFICADA POR CORREO: marlon1_leon@hotmail.com</t>
  </si>
  <si>
    <t>MDT-DRTSPL-2022-3370-EXTERNO</t>
  </si>
  <si>
    <t>MDT-DRTSPL-2022-2284-O</t>
  </si>
  <si>
    <t>NOTIFICADA POR CORREO: guidoebravo@hotmail.com</t>
  </si>
  <si>
    <t>MDT-DRTSPL-2022-3372-EXTERNO</t>
  </si>
  <si>
    <t>MDT-DRTSPL-2022-2285-O</t>
  </si>
  <si>
    <t>MDT-DRTSPL-2022-3374-EXTERNO</t>
  </si>
  <si>
    <t>MDT-DRTSPL-2022-2250-O</t>
  </si>
  <si>
    <t>Angel Geovanny Coronel Rogel</t>
  </si>
  <si>
    <t>NOTIFICADA POR CORREO: ventas.lactofino@gmail.com</t>
  </si>
  <si>
    <t>MDT-DRTSPL-2022-3377-EXTERNO</t>
  </si>
  <si>
    <t>MDT-DRTSPL-2022-2288-O</t>
  </si>
  <si>
    <t>NOTIFICADA POR CORREO: tanyacumbicus@hotmail.com</t>
  </si>
  <si>
    <t>MDT-DRTSPL-2022-3379-EXTERNO</t>
  </si>
  <si>
    <t>MDT-DRTSPL-2022-2289-O</t>
  </si>
  <si>
    <t>Dina Maria Orellana Aguilar</t>
  </si>
  <si>
    <t>NOTIFICADA POR CORREO: juanjose.228@hotmail.com</t>
  </si>
  <si>
    <t>MDT-DRTSPL-2022-3386-EXTERNO</t>
  </si>
  <si>
    <t>MDT-DRTSPL-2022-2290-O</t>
  </si>
  <si>
    <t>Roberto Efrain Lopez Chavez</t>
  </si>
  <si>
    <t>NOTIFICADA POR CORREO: donlude@hotmail.com</t>
  </si>
  <si>
    <t>MDT-DRTSPL-2022-3387-EXTERNO</t>
  </si>
  <si>
    <t>MDT-DRTSPL-2022-2291-O</t>
  </si>
  <si>
    <t>James Vicente Loaiza Riofrío</t>
  </si>
  <si>
    <t>NOTIFICADA POR CORREO: loreruiz@lojagas.com</t>
  </si>
  <si>
    <t>MDT-DRTSPL-2022-3388-EXTERNO</t>
  </si>
  <si>
    <t>MDT-DRTSPL-2022-2292-O</t>
  </si>
  <si>
    <t>Angel Oswaldo Poma Iriarte</t>
  </si>
  <si>
    <t>NOTIFICADA POR CORREO: melanysarango1@gmail.com</t>
  </si>
  <si>
    <t>MDT-DRTSPL-2022-3389-EXTERNO</t>
  </si>
  <si>
    <t>MDT-DRTSPL-2022-2263-O</t>
  </si>
  <si>
    <t>Diego Fernando Pardo Rodríguez</t>
  </si>
  <si>
    <t>NOTIFICADA POR CORREO: diegopppprodriguez@hotmail.com</t>
  </si>
  <si>
    <t>MDT-DRTSPL-2022-3391-EXTERNO</t>
  </si>
  <si>
    <t>MDT-DRTSPL-2022-2293-O</t>
  </si>
  <si>
    <t>Pedro Efrain Cueva Herrera</t>
  </si>
  <si>
    <t>NOTIFICADA POR CORREO: jonhs_95h@live.com</t>
  </si>
  <si>
    <t>MDT-DRTSPL-2022-3392-EXTERNO</t>
  </si>
  <si>
    <t>MDT-DRTSPL-2022-2300-O</t>
  </si>
  <si>
    <t>René Fabricio Agila Guamán</t>
  </si>
  <si>
    <t>MDT-DRTSPL-2022-3395-EXTERNO</t>
  </si>
  <si>
    <t>MDT-DRTSPL-2022-2301-O</t>
  </si>
  <si>
    <t>Juan Francisco Alvarez Alvarez</t>
  </si>
  <si>
    <t>NOTIFICADA POR CORREO: gabyestefania1411@outlook.es</t>
  </si>
  <si>
    <t>MDT-DRTSPL-2022-3396-EXTERNO</t>
  </si>
  <si>
    <t>MDT-DRTSPL-2022-2302-O</t>
  </si>
  <si>
    <t>Diego Xavier Rodriguez Peñarreta</t>
  </si>
  <si>
    <t>NOTIFICADA POR CORREO: diego.rodriguezasesorialegal@hotmail.com</t>
  </si>
  <si>
    <t>MDT-DRTSPL-2022-3397-EXTERNO</t>
  </si>
  <si>
    <t>MDT-DRTSPL-2022-2304-O</t>
  </si>
  <si>
    <t>MDT-DRTSPL-2022-3402-EXTERNO</t>
  </si>
  <si>
    <t>MDT-DRTSPL-2022-2305-O</t>
  </si>
  <si>
    <t>Angel Rafael Tituana Gonzalez</t>
  </si>
  <si>
    <t>NOTIFICADA POR CORREO: esperanzaleon81@hotmail.es</t>
  </si>
  <si>
    <t>MDT-DRTSPL-2022-3406-EXTERNO</t>
  </si>
  <si>
    <t>MDT-DRTSPL-2022-2306-O</t>
  </si>
  <si>
    <t>Michelle Alejandra Zhanay Cueva</t>
  </si>
  <si>
    <t>NOTIFICADA POR CORREO: michellezhanay745@gmail.com</t>
  </si>
  <si>
    <t>MDT-DRTSPL-2022-3407-EXTERNO</t>
  </si>
  <si>
    <t>MDT-DRTSPL-2022-2307-O</t>
  </si>
  <si>
    <t>NOTIFICADA POR CORREO: saraalexandralaposolano@gmail.com</t>
  </si>
  <si>
    <t>MDT-DRTSPL-2022-3410-EXTERNO</t>
  </si>
  <si>
    <t>MDT-DRTSPL-2022-2308-O</t>
  </si>
  <si>
    <t>NOTIFICADA POR CORREO: crmariasoledad123@gmail.com</t>
  </si>
  <si>
    <t>MDT-DRTSPL-2022-3411-EXTERNO</t>
  </si>
  <si>
    <t>MDT-DRTSPL-2022-2309-O</t>
  </si>
  <si>
    <t>Jorge Gabriel Vivanco Obando</t>
  </si>
  <si>
    <t>NOTIFICADA POR CORREO: jorgeandes98@gmail.com</t>
  </si>
  <si>
    <t>MDT-DRTSPL-2022-3413-EXTERNO</t>
  </si>
  <si>
    <t>MDT-DRTSPL-2022-2310-O</t>
  </si>
  <si>
    <t>MDT-DRTSPL-2022-3417-EXTERNO</t>
  </si>
  <si>
    <t>MDT-DRTSPL-2022-2311-O</t>
  </si>
  <si>
    <t>Katty Elizabeth Chillogallo Guartan</t>
  </si>
  <si>
    <t>NOTIFICADA POR CORREO: asalas_1971@hotmail.com</t>
  </si>
  <si>
    <t>MDT-DRTSPL-2022-3424-EXTERNO</t>
  </si>
  <si>
    <t>MDT-DRTSPL-2022-2312-O</t>
  </si>
  <si>
    <t>Hilda Esperanza Tapia Rivera</t>
  </si>
  <si>
    <t>NOTIFICADA POR CORREO: divpalac@hotmail.com</t>
  </si>
  <si>
    <t>MDT-DRTSPL-2022-3430-EXTERNO</t>
  </si>
  <si>
    <t>MDT-DRTSPL-2022-2313-O</t>
  </si>
  <si>
    <t>MDT-DRTSPL-2022-3432-EXTERNO</t>
  </si>
  <si>
    <t>MDT-DRTSPL-2022-2316-O</t>
  </si>
  <si>
    <t>MDT-DRTSPL-2022-3433-EXTERNO</t>
  </si>
  <si>
    <t>MDT-DRTSPL-2022-2315-O</t>
  </si>
  <si>
    <t>Gonzalo Iván Aguirre Valdivieso</t>
  </si>
  <si>
    <t>NOTIFICADA POR CORREO: luismontoya_75@hotmail.com</t>
  </si>
  <si>
    <t>MDT-DRTSPL-2022-3434-EXTERNO</t>
  </si>
  <si>
    <t>MDT-DRTSPL-2022-2317-O</t>
  </si>
  <si>
    <t>MDT-DRTSPL-2022-3435-EXTERNO</t>
  </si>
  <si>
    <t>MDT-DRTSPL-2022-2318-O</t>
  </si>
  <si>
    <t>MDT-DRTSPL-2022-3436-EXTERNO</t>
  </si>
  <si>
    <t>MDT-DRTSPL-2022-2319-O</t>
  </si>
  <si>
    <t>MDT-DRTSPL-2022-3437-EXTERNO</t>
  </si>
  <si>
    <t>MDT-DRTSPL-2022-2320-O</t>
  </si>
  <si>
    <t>MDT-DRTSPL-2022-3438-EXTERNO</t>
  </si>
  <si>
    <t>MDT-DRTSPL-2022-2336-O</t>
  </si>
  <si>
    <t>MDT-DRTSPL-2022-3439-EXTERNO</t>
  </si>
  <si>
    <t>MDT-DRTSPL-2022-2337-O</t>
  </si>
  <si>
    <t>MDT-DRTSPL-2022-3440-EXTERNO</t>
  </si>
  <si>
    <t>MDT-DRTSPL-2022-2338-O</t>
  </si>
  <si>
    <t>MDT-DRTSPL-2022-3441-EXTERNO</t>
  </si>
  <si>
    <t>MDT-DRTSPL-2022-2340-O</t>
  </si>
  <si>
    <t>MDT-DRTSPL-2022-3442-EXTERNO</t>
  </si>
  <si>
    <t>MDT-DRTSPL-2022-2341-O</t>
  </si>
  <si>
    <t>MDT-DRTSPL-2022-3443-EXTERNO</t>
  </si>
  <si>
    <t>MDT-DRTSPL-2022-2342-O</t>
  </si>
  <si>
    <t>MDT-DRTSPL-2022-3444-EXTERNO</t>
  </si>
  <si>
    <t>MDT-DRTSPL-2022-2343-O</t>
  </si>
  <si>
    <t>MDT-DRTSPL-2022-3445-EXTERNO</t>
  </si>
  <si>
    <t>MDT-DRTSPL-2022-2344-O</t>
  </si>
  <si>
    <t>MDT-DRTSPL-2022-3446-EXTERNO</t>
  </si>
  <si>
    <t>MDT-DRTSPL-2022-2314-O</t>
  </si>
  <si>
    <t>MDT-DRTSPL-2022-3447-EXTERNO</t>
  </si>
  <si>
    <t>MDT-DRTSPL-2022-2347-O</t>
  </si>
  <si>
    <t>MDT-DRTSPL-2022-3448-EXTERNO</t>
  </si>
  <si>
    <t>MDT-DRTSPL-2022-2348-O</t>
  </si>
  <si>
    <t>MDT-DRTSPL-2022-3449-EXTERNO</t>
  </si>
  <si>
    <t>MDT-DRTSPL-2022-2349-O</t>
  </si>
  <si>
    <t>MDT-DRTSPL-2022-3450-EXTERNO</t>
  </si>
  <si>
    <t>MDT-DRTSPL-2022-2350-O</t>
  </si>
  <si>
    <t>MDT-DRTSPL-2022-3451-EXTERNO</t>
  </si>
  <si>
    <t>MDT-DRTSPL-2022-2351-O</t>
  </si>
  <si>
    <t>MDT-DRTSPL-2022-3452-EXTERNO</t>
  </si>
  <si>
    <t>MDT-DRTSPL-2022-2352-O</t>
  </si>
  <si>
    <t>MDT-DRTSPL-2022-3453-EXTERNO</t>
  </si>
  <si>
    <t>MDT-DRTSPL-2022-2353-O</t>
  </si>
  <si>
    <t>MDT-DRTSPL-2022-3454-EXTERNO</t>
  </si>
  <si>
    <t>MDT-DRTSPL-2022-2354-O</t>
  </si>
  <si>
    <t>MDT-DRTSPL-2022-3455-EXTERNO</t>
  </si>
  <si>
    <t>MDT-DRTSPL-2022-2331-O</t>
  </si>
  <si>
    <t>MDT-DRTSPL-2022-3456-EXTERNO</t>
  </si>
  <si>
    <t>MDT-DRTSPL-2022-2434-O</t>
  </si>
  <si>
    <t>MDT-DRTSPL-2022-3457-EXTERNO</t>
  </si>
  <si>
    <t>MDT-DRTSPL-2022-2435-O</t>
  </si>
  <si>
    <t>MDT-DRTSPL-2022-3458-EXTERNO</t>
  </si>
  <si>
    <t>MDT-DRTSPL-2022-2436-O</t>
  </si>
  <si>
    <t>MDT-DRTSPL-2022-3459-EXTERNO</t>
  </si>
  <si>
    <t>MDT-DRTSPL-2022-2437-O</t>
  </si>
  <si>
    <t>MDT-DRTSPL-2022-3463-EXTERNO</t>
  </si>
  <si>
    <t>MDT-DRTSPL-2022-2370-O</t>
  </si>
  <si>
    <t>MDT-DRTSPL-2022-3464-EXTERNO</t>
  </si>
  <si>
    <t>MDT-DRTSPL-2022-2371-O</t>
  </si>
  <si>
    <t>MDT-DRTSPL-2022-3465-EXTERNO</t>
  </si>
  <si>
    <t>MDT-DRTSPL-2022-2372-O</t>
  </si>
  <si>
    <t>MDT-DRTSPL-2022-3466-EXTERNO</t>
  </si>
  <si>
    <t>MDT-DRTSPL-2022-2396-O</t>
  </si>
  <si>
    <t>NOTIFICADA POR CORREO: isarojitas@yahoo.es</t>
  </si>
  <si>
    <t>MDT-DRTSPL-2022-3468-EXTERNO</t>
  </si>
  <si>
    <t>MDT-DRTSPL-2022-2394-O</t>
  </si>
  <si>
    <t>NOTIFICADA POR CORREO: juridico450@hotmail.com</t>
  </si>
  <si>
    <t>MDT-DRTSPL-2022-3469-EXTERNO</t>
  </si>
  <si>
    <t>MDT-DRTSPL-2022-2398-O</t>
  </si>
  <si>
    <t>NOTIFICADA POR CORREO: jaramillop@fiscalia.gob.ec</t>
  </si>
  <si>
    <t>MDT-DRTSPL-2022-3470-EXTERNO</t>
  </si>
  <si>
    <t>MDT-DRTSPL-2022-2379-O</t>
  </si>
  <si>
    <t>NOTIFICADA POR CORREO: fernandavidal345@gmail.com</t>
  </si>
  <si>
    <t>MDT-DRTSPL-2022-3471-EXTERNO</t>
  </si>
  <si>
    <t>MDT-DRTSPL-2022-2380-O</t>
  </si>
  <si>
    <t>NOTIFICADA POR CORREO: overramon@hotmail.com</t>
  </si>
  <si>
    <t>MDT-DRTSPL-2022-3472-EXTERNO</t>
  </si>
  <si>
    <t>MDT-DRTSPL-2022-2381-O</t>
  </si>
  <si>
    <t>Yhelenna Angélica Loján Armijos</t>
  </si>
  <si>
    <t>NOTIFICADA POR CORREO: sender@funcionjudicial.gob.ec</t>
  </si>
  <si>
    <t>MDT-DRTSPL-2022-3473-EXTERNO</t>
  </si>
  <si>
    <t>MDT-DRTSPL-2022-2382-O</t>
  </si>
  <si>
    <t>Leidy Elizabeth Condoy Nole</t>
  </si>
  <si>
    <t xml:space="preserve">NOTIFICADA POR CORREO: enviado con guía 1000010302 </t>
  </si>
  <si>
    <t>MDT-DRTSPL-2022-3474-EXTERNO</t>
  </si>
  <si>
    <t>MDT-DRTSPL-2022-2384-O</t>
  </si>
  <si>
    <t>Carlos Oswaldo Delgado Gonzalez</t>
  </si>
  <si>
    <t>NOTIFICADA POR CORREO: carlos_rocio77@hotmail.com</t>
  </si>
  <si>
    <t>MDT-DRTSPL-2022-3476-EXTERNO</t>
  </si>
  <si>
    <t>MDT-DRTSPL-2022-2386-O</t>
  </si>
  <si>
    <t>Marbelia Itamar Benítez Ortega</t>
  </si>
  <si>
    <t>NOTIFICADA POR CORREO: marbeniort0506@gmail.com</t>
  </si>
  <si>
    <t>MDT-DRTSPL-2022-3477-EXTERNO</t>
  </si>
  <si>
    <t>MDT-DRTSPL-2022-2388-O</t>
  </si>
  <si>
    <t>Oswaldo Paz Alejandro</t>
  </si>
  <si>
    <t>NOTIFICADA POR CORREO: jonhs_65h@live.com</t>
  </si>
  <si>
    <t>MDT-DRTSPL-2022-3484-EXTERNO</t>
  </si>
  <si>
    <t>MDT-DRTSPL-2022-2345-O</t>
  </si>
  <si>
    <t>Marlon Santiago Orellana Maza</t>
  </si>
  <si>
    <t>NOTIFICADA POR CORREO: santy-1910@outlook.com</t>
  </si>
  <si>
    <t>MDT-DRTSPL-2022-3487-EXTERNO</t>
  </si>
  <si>
    <t>MDT-DRTSPL-2022-2401-O</t>
  </si>
  <si>
    <t>NOTIFICADA POR CORREO: narcisatorres52@hotmail.com</t>
  </si>
  <si>
    <t>MDT-DRTSPL-2022-3490-EXTERNO</t>
  </si>
  <si>
    <t>MDT-DRTSPL-2022-2389-O</t>
  </si>
  <si>
    <t>Rosa Amelia Avila Zapata</t>
  </si>
  <si>
    <t>NOTIFICADA POR CORREO: rosavilazapata76@gmail.com</t>
  </si>
  <si>
    <t>MDT-DRTSPL-2022-3491-EXTERNO</t>
  </si>
  <si>
    <t>Yandry Moises Jaramillo Hidalgo</t>
  </si>
  <si>
    <t>NOTIFICADA POR CORREO: yandryjh@hotmail.com</t>
  </si>
  <si>
    <t>MDT-DRTSPL-2022-3492-EXTERNO</t>
  </si>
  <si>
    <t>MDT-DRTSPL-2022-2390-O</t>
  </si>
  <si>
    <t>Mayra Janeth Medina Capa</t>
  </si>
  <si>
    <t>NOTIFICADA POR CORREO: mayrajaneth2285@hotmail.com</t>
  </si>
  <si>
    <t>MDT-DRTSPL-2022-3493-EXTERNO</t>
  </si>
  <si>
    <t>MDT-DRTSPL-2022-2402-O</t>
  </si>
  <si>
    <t>MDT-DRTSPL-2022-3495-EXTERNO</t>
  </si>
  <si>
    <t>MDT-DRTSPL-2022-2363-O</t>
  </si>
  <si>
    <t>Hugo Efren Celi</t>
  </si>
  <si>
    <t>NOTIFICADA POR CORREO: huece2005@gmail.com</t>
  </si>
  <si>
    <t>MDT-DRTSPL-2022-3496-EXTERNO</t>
  </si>
  <si>
    <t>MDT-DRTSPL-2022-2392-O</t>
  </si>
  <si>
    <t>MDT-DRTSPL-2022-3497-EXTERNO</t>
  </si>
  <si>
    <t>MDT-DRTSPL-2022-2425-O</t>
  </si>
  <si>
    <t>Fanny Enith Salas Sanchez</t>
  </si>
  <si>
    <t>NOTIFICADA POR CORREO: fannysalassanchez@hotmail.com</t>
  </si>
  <si>
    <t>MDT-DRTSPL-2022-3499-EXTERNO</t>
  </si>
  <si>
    <t>MDT-DRTSPL-2022-2393-O</t>
  </si>
  <si>
    <t>Jimmy Florentino Sanchez Chiriboga</t>
  </si>
  <si>
    <t>NOTIFICADA POR CORREO: jimmysanchez252@hotmail.com</t>
  </si>
  <si>
    <t>MDT-DRTSPL-2022-3505-EXTERNO</t>
  </si>
  <si>
    <t>MDT-DRTSPL-2022-2403-O</t>
  </si>
  <si>
    <t>NOTIFICADA POR CORREO: borisrafael68@gmail.com</t>
  </si>
  <si>
    <t>MDT-DRTSPL-2022-3506-EXTERNO</t>
  </si>
  <si>
    <t>MDT-DRTSPL-2022-2404-O</t>
  </si>
  <si>
    <t>MDT-DRTSPL-2022-3509-EXTERNO</t>
  </si>
  <si>
    <t>MDT-DRTSPL-2022-2438-O</t>
  </si>
  <si>
    <t>MDT-DRTSPL-2022-3510-EXTERNO</t>
  </si>
  <si>
    <t>MDT-DRTSPL-2022-2439-O</t>
  </si>
  <si>
    <t>MDT-DRTSPL-2022-3511-EXTERNO</t>
  </si>
  <si>
    <t>MDT-DRTSPL-2022-2440-O</t>
  </si>
  <si>
    <t>MDT-DRTSPL-2022-3512-EXTERNO</t>
  </si>
  <si>
    <t>MDT-DRTSPL-2022-2441-O</t>
  </si>
  <si>
    <t>MDT-DRTSPL-2022-3513-EXTERNO</t>
  </si>
  <si>
    <t>MDT-DRTSPL-2022-2442-O</t>
  </si>
  <si>
    <t>MDT-DRTSPL-2022-3514-EXTERNO</t>
  </si>
  <si>
    <t>MDT-DRTSPL-2022-2443-O</t>
  </si>
  <si>
    <t>MDT-DRTSPL-2022-3515-EXTERNO</t>
  </si>
  <si>
    <t>MDT-DRTSPL-2022-2444-O</t>
  </si>
  <si>
    <t>MDT-DRTSPL-2022-3516-EXTERNO</t>
  </si>
  <si>
    <t>MDT-DRTSPL-2022-3517-EXTERNO</t>
  </si>
  <si>
    <t>MDT-DRTSPL-2022-2446-O</t>
  </si>
  <si>
    <t>MDT-DRTSPL-2022-3518-EXTERNO</t>
  </si>
  <si>
    <t>MDT-DRTSPL-2022-2405-O</t>
  </si>
  <si>
    <t>MDT-DRTSPL-2022-3520-EXTERNO</t>
  </si>
  <si>
    <t xml:space="preserve">Marlon Wladimir Reinoso León </t>
  </si>
  <si>
    <t>DIRECCIÓN REGIONAL DEL TRABAJO Y SERVICIO PÚBLICO DE QUITO</t>
  </si>
  <si>
    <t>MDT-DRTSPQ-2022-5007-M; MDT-DRTSPQ-2022-4073-O</t>
  </si>
  <si>
    <t>NOTIFICADA POR CORREO: milton.carrion@hotmail.com</t>
  </si>
  <si>
    <t>MDT-DRTSPL-2022-3521-EXTERNO</t>
  </si>
  <si>
    <t>MDT-DRTSPL-2022-2406-O</t>
  </si>
  <si>
    <t>José Pablo Febres Eguiguren</t>
  </si>
  <si>
    <t>NOTIFICADA POR CORREO: jose.feb@hotmail.com</t>
  </si>
  <si>
    <t>MDT-DRTSPL-2022-3525-EXTERNO</t>
  </si>
  <si>
    <t>MDT-DRTSPL-2022-2426-O</t>
  </si>
  <si>
    <t>Nataly Elizabeth Castillo Galvez</t>
  </si>
  <si>
    <t>NOTIFICADA POR CORREO: natalycastillo9595@gmail.com</t>
  </si>
  <si>
    <t>MDT-DRTSPL-2022-3531-EXTERNO</t>
  </si>
  <si>
    <t>MDT-DRTSPL-2022-2407-O</t>
  </si>
  <si>
    <t>Henry Eduardo Romero Espinosa</t>
  </si>
  <si>
    <t>NOTIFICADA POR CORREO: abogadoandresSalinas@gmail.com</t>
  </si>
  <si>
    <t>MDT-DRTSPL-2022-3532-EXTERNO</t>
  </si>
  <si>
    <t>MDT-DRTSPL-2022-2408-O</t>
  </si>
  <si>
    <t>Luis Rodrigo Sanchez Sanchez</t>
  </si>
  <si>
    <t>NOTIFICADA POR CORREO: marijo_1992mj@hotmail.com</t>
  </si>
  <si>
    <t>MDT-DRTSPL-2022-3537-EXTERNO</t>
  </si>
  <si>
    <t>MDT-DRTSPL-2022-2415-O</t>
  </si>
  <si>
    <t>NOTIFICADA POR CORREO: consultoriojuridicoruilova@hotmail.es</t>
  </si>
  <si>
    <t>MDT-DRTSPL-2022-3539-EXTERNO</t>
  </si>
  <si>
    <t>MDT-DRTSPL-2022-2416-O</t>
  </si>
  <si>
    <t>MDT-DRTSPL-2022-3540-EXTERNO</t>
  </si>
  <si>
    <t>MDT-DRTSPL-2022-2409-O</t>
  </si>
  <si>
    <t>MDT-DRTSPL-2022-3549-EXTERNO</t>
  </si>
  <si>
    <t>MDT-DRTSPL-2022-2417-O</t>
  </si>
  <si>
    <t>Alberto Bladimir Astudillo Izquierdo</t>
  </si>
  <si>
    <t>NOTIFICADA POR CORREO: abgjastudillo@gmail.com</t>
  </si>
  <si>
    <t>MDT-DRTSPL-2022-3555-EXTERNO</t>
  </si>
  <si>
    <t>MDT-DRTSPL-2022-2418-O</t>
  </si>
  <si>
    <t>Maria Gloria Malacatus Merino</t>
  </si>
  <si>
    <t>MDT-DRTSPL-2022-3556-EXTERNO</t>
  </si>
  <si>
    <t>MDT-DRTSPL-2022-2419-O</t>
  </si>
  <si>
    <t>NOTIFICADA POR CORREO: mjramirez29@gmail.com</t>
  </si>
  <si>
    <t>MDT-DRTSPL-2022-3557-EXTERNO</t>
  </si>
  <si>
    <t>MDT-DRTSPL-2022-2420-O</t>
  </si>
  <si>
    <t>NOTIFICADA POR CORREO: pomavargassairaalexandra15@gmail.com</t>
  </si>
  <si>
    <t>MDT-DRTSPL-2022-3560-EXTERNO</t>
  </si>
  <si>
    <t>MDT-DRTSPL-2022-2364-O</t>
  </si>
  <si>
    <t>Dario Xavier Leiva Elizalde</t>
  </si>
  <si>
    <t>NOTIFICADA POR CORREO: darioxavier.dxle28@gmail.com</t>
  </si>
  <si>
    <t>MDT-DRTSPL-2022-3561-EXTERNO</t>
  </si>
  <si>
    <t>MDT-DRTSPL-2022-2421-O</t>
  </si>
  <si>
    <t>Josue David Villacis Gualan</t>
  </si>
  <si>
    <t>MDT-DRTSPL-2022-3574-EXTERNO</t>
  </si>
  <si>
    <t>MDT-DRTSPL-2022-2422-O</t>
  </si>
  <si>
    <t>MDT-DRTSPL-2022-3585-EXTERNO</t>
  </si>
  <si>
    <t>MDT-DRTSPL-2022-2424-O</t>
  </si>
  <si>
    <t>MDT-DRTSPL-2022-3587-EXTERNO</t>
  </si>
  <si>
    <t>MDT-DRTSPL-2022-2423-O</t>
  </si>
  <si>
    <t>Marco Ruben Flores Benalcazar</t>
  </si>
  <si>
    <t>NOTIFICADA POR CORREO: ab.kevingonzalez@hotmail.com</t>
  </si>
  <si>
    <t>MDT-DRTSPL-2022-3590-EXTERNO</t>
  </si>
  <si>
    <t>MDT-DRTSPL-2022-2427-O</t>
  </si>
  <si>
    <t>Vinicio Nicolas Lozano Tenepaguay</t>
  </si>
  <si>
    <t>NOTIFICADA POR CORREO: viniciolozano67198u@gmail.com</t>
  </si>
  <si>
    <t>MDT-DRTSPL-2022-3595-EXTERNO</t>
  </si>
  <si>
    <t>MDT-DRTSPL-2022-2395-O</t>
  </si>
  <si>
    <t>Jenny Elizabeth Armijos Salinas</t>
  </si>
  <si>
    <t>NOTIFICADA POR CORREO: yennyely3@gmail.com</t>
  </si>
  <si>
    <t>MDT-DRTSPL-2022-3598-EXTERNO</t>
  </si>
  <si>
    <t>MDT-DRTSPL-2022-2428-O</t>
  </si>
  <si>
    <t>Andres Masa Benitez</t>
  </si>
  <si>
    <t>MDT-DRTSPL-2022-3601-EXTERNO</t>
  </si>
  <si>
    <t>MDT-DRTSPL-2022-2430-O</t>
  </si>
  <si>
    <t>Rosa Maria Banegas Malla</t>
  </si>
  <si>
    <t>NOTIFICADA POR CORREO: dary2207@hotmail.es</t>
  </si>
  <si>
    <t>MDT-DRTSPL-2022-3603-EXTERNO</t>
  </si>
  <si>
    <t>MDT-DRTSPL-2022-2448-O</t>
  </si>
  <si>
    <t>Andrea de los Angeles Maurat Cueva</t>
  </si>
  <si>
    <t>NOTIFICADA POR CORREO: andreamaurat3@gmail.com</t>
  </si>
  <si>
    <t>MDT-DRTSPL-2022-3605-EXTERNO</t>
  </si>
  <si>
    <t>MDT-DRTSPL-2022-2449-O</t>
  </si>
  <si>
    <t>Fidelina del Carmen Álvarez Ramírez</t>
  </si>
  <si>
    <t>NOTIFICADA POR CORREO: fidealva1976@yahoo.com</t>
  </si>
  <si>
    <t>MDT-DRTSPP-2022-4546-EXTERNO</t>
  </si>
  <si>
    <t>DIRECCIÓN REGIONAL DEL TRABAJO Y SERVICIO PÚBLICO DE PORTOVIEJO</t>
  </si>
  <si>
    <t>MDT-DRTSPL-2022-2074-O</t>
  </si>
  <si>
    <t>Maria Alicia Benavidez Amari</t>
  </si>
  <si>
    <t>NOTIFICADA POR CORREO: mariaaliciabenavidez1970@gmail.com</t>
  </si>
  <si>
    <t>MDT-DPTSPOM-2022-2590-EXTERNO</t>
  </si>
  <si>
    <t>DELEGACIÓN PROVINCIAL DEL TRABAJO Y SERVICIO PUBLICO DE MACHALA</t>
  </si>
  <si>
    <t>MDT-DRTSPL-2022-2283-O</t>
  </si>
  <si>
    <t>Tiffany Angely Valarezo Loaiza</t>
  </si>
  <si>
    <t>NOTIFICADA POR CORREO: tiffany.valarezo04@gmail.com</t>
  </si>
  <si>
    <t>MDT-DRTSPL-2022-3253-EXTERNO</t>
  </si>
  <si>
    <t xml:space="preserve">Víctor Julio Illescas Correa
</t>
  </si>
  <si>
    <t>MDT-DRTSPL-2022-3254-EXTERNO</t>
  </si>
  <si>
    <t>MDT-DRTSPL-2022-1308-M</t>
  </si>
  <si>
    <t>MDT-DRTSPL-2022-1320-M</t>
  </si>
  <si>
    <t xml:space="preserve">Fernando Moisés Ochoa Montero
</t>
  </si>
  <si>
    <t>NOTIFICADA POR CORREO: fernando_ochoa@trabajo.gob.ec</t>
  </si>
  <si>
    <t>MDT-DRTSPL-2022-1407-M</t>
  </si>
  <si>
    <t>MDT-DRTSPL-2022-1425-M</t>
  </si>
  <si>
    <t>NOTIFICADA POR CORREO: franco_garcia@trabajo.gob.ec</t>
  </si>
  <si>
    <t>MDT-DRTSPL-2022-1405-M</t>
  </si>
  <si>
    <t>MDT-DRTSPL-2022-1448-M</t>
  </si>
  <si>
    <t>MDT-DRTSPL-2022-1406-M</t>
  </si>
  <si>
    <t>MDT-DRTSPL-2022-1449-M</t>
  </si>
  <si>
    <t>MDT-DRTSPL-2022-1456-M</t>
  </si>
  <si>
    <t>MDT-DRTSPL-2022-1525-M</t>
  </si>
  <si>
    <t>MDT-DRTSPL-2022-1534-M</t>
  </si>
  <si>
    <t>MDT-DRTSPL-2022-1546-M</t>
  </si>
  <si>
    <t>MDT-DRTSPL-2022-1553-M</t>
  </si>
  <si>
    <t>MDT-DRTSPL-2022-1561-M</t>
  </si>
  <si>
    <t>MDT-DRTSPL-2022-1565-M</t>
  </si>
  <si>
    <t>MDT-DRTSPL-2022-1560-M</t>
  </si>
  <si>
    <t>MDT-DRTSPL-2022-1586-M</t>
  </si>
  <si>
    <t>MDT-DRTSPL-2022-2666-EXTERNO</t>
  </si>
  <si>
    <t>MDT-DRTSPL-2022-2126-O</t>
  </si>
  <si>
    <t>José Miguel Sarango Eras</t>
  </si>
  <si>
    <t>NOTIFICADA POR CORREO: staen_13@yahoo.es</t>
  </si>
  <si>
    <t>MDT-DPTSPZCH-2022-0513-EXTERNO</t>
  </si>
  <si>
    <t>MDT-DPTSPZCH-2022-0122-O</t>
  </si>
  <si>
    <t>Morocho Guaillas Diego Lenín</t>
  </si>
  <si>
    <t>NOTIFICADA POR CORREO:  dmorocho229@gmail.com</t>
  </si>
  <si>
    <t>DENTRO DEL TIEMPO</t>
  </si>
  <si>
    <t>MDT-DPTSPZCH-2022-0514-EXTERNO</t>
  </si>
  <si>
    <t>MDT-DPTSPZCH-2022-0123-O</t>
  </si>
  <si>
    <t>Regalado Zambrano Lenin Alberto</t>
  </si>
  <si>
    <t>NOTIFICADA POR CORREO:  psvyant@gmail.com</t>
  </si>
  <si>
    <t>MDT-DPTSPZCH-2022-0530-EXTERNO</t>
  </si>
  <si>
    <t>MDT-DPTSPZCH-2022-0124-O</t>
  </si>
  <si>
    <t>Carrión Iñiguez Oswaldo Arturo</t>
  </si>
  <si>
    <t>NOTIFICADA POR CORREO:  nicolecarrion-2008@yahoo.es</t>
  </si>
  <si>
    <t>MDT-DPTSPZCH-2022-0125-O</t>
  </si>
  <si>
    <t>Regalado Sambrano Lenin Alberto</t>
  </si>
  <si>
    <t>MDT-DPTSPZCH-2022-0531-EXTERNO</t>
  </si>
  <si>
    <t>MDT-DPTSPZCH-2022-0126-O</t>
  </si>
  <si>
    <t>Alcelia Moreno Nancy</t>
  </si>
  <si>
    <t>NOTIFICADA POR CORREO:  N/A</t>
  </si>
  <si>
    <t>MDT-DPTSPZCH-2022-0535-EXTERNO</t>
  </si>
  <si>
    <t>MDT-DPTSPZCH-2022-0127-O</t>
  </si>
  <si>
    <t>Díaz Cumbicus Juan carlos</t>
  </si>
  <si>
    <t>NOTIFICADA POR CORREO:  juancarlosdiazcumbicos@gmail.com</t>
  </si>
  <si>
    <t>MDT-DPTSPZCH-2022-0537-EXTERNO</t>
  </si>
  <si>
    <t>MDT-DPTSPZCH-2022-0128-O</t>
  </si>
  <si>
    <t>Espinosa Ordóñez Herman Edi</t>
  </si>
  <si>
    <t>NOTIFICADA POR CORREO:  herman_e69@hotmail.com</t>
  </si>
  <si>
    <t>MDT-DPTSPZCH-2022-0546-EXTERNO</t>
  </si>
  <si>
    <t>MDT-DPTSPZCH-2022-0129-O</t>
  </si>
  <si>
    <t>Suin Jiménez Manuel Vicente</t>
  </si>
  <si>
    <t>NOTIFICADA POR CORREO:  migueltello1995@hotmail.com</t>
  </si>
  <si>
    <t>MDT-DPTSPZCH-2022-0550-EXTERNO</t>
  </si>
  <si>
    <t>MDT-DPTSPZCH-2022-0130-O</t>
  </si>
  <si>
    <t>Carpio Gutierrez Luis Fernando</t>
  </si>
  <si>
    <t>NOTIFICADA POR CORREO:  markoleonw@hotmail.com</t>
  </si>
  <si>
    <t>MDT-DRTSPQ-2022-9363-EXTERNO</t>
  </si>
  <si>
    <t>MDT-DPTSPZCH-2022-0131-O</t>
  </si>
  <si>
    <t>Andrade Tanguin Fernando David</t>
  </si>
  <si>
    <t>NOTIFICADA POR CORREO:  patriciayanza132@gmail.com</t>
  </si>
  <si>
    <t>MDT-DPTSPZCH-2022-0553-EXTERNO</t>
  </si>
  <si>
    <t>MDT-DPTSPZCH-2022-0132-O</t>
  </si>
  <si>
    <t>Guarnizo Torres Héctor Rodrigo</t>
  </si>
  <si>
    <t>NOTIFICADA POR CORREO:  rodrigoguarnizo1987@gmail.com</t>
  </si>
  <si>
    <t>MDT-DPTSPZCH-2022-0565-EXTERNO</t>
  </si>
  <si>
    <t>MDT-DPTSPZCH-2022-0133-O</t>
  </si>
  <si>
    <t>Medina Medina Marco Patricio</t>
  </si>
  <si>
    <t>NOTIFICADA POR CORREO:  marco1985medina@gmail.com</t>
  </si>
  <si>
    <t>MDT-DPTSPZCH-2022-0569-EXTERNO</t>
  </si>
  <si>
    <t>MDT-DPTSPZCH-2022-0134-O</t>
  </si>
  <si>
    <t>Granda Siquilanda José Humberto</t>
  </si>
  <si>
    <t>NOTIFICADA POR CORREO:  humbertogranda20@hotmail.com</t>
  </si>
  <si>
    <t>MDT-DPTSPZCH-2022-0564-EXTERNO</t>
  </si>
  <si>
    <t>MDT-DPTSPZCH-2022-0135O</t>
  </si>
  <si>
    <t>Soto Rey Mylenna Cumanda</t>
  </si>
  <si>
    <t>NOTIFICADA POR CORREO:  ferleoncal97@gmail.com</t>
  </si>
  <si>
    <t>MDT-DPTSPZCH-2022-0574-EXTERNO</t>
  </si>
  <si>
    <t>MDT-DPTSPZCH-2022-0136-O</t>
  </si>
  <si>
    <t>Castillo Sarango Sandra Elizabeth</t>
  </si>
  <si>
    <t>NOTIFICADA POR CORREO:  ffajardo@defensoria.gob.ec</t>
  </si>
  <si>
    <t>MDT-DPTSPZCH-2022-0575-EXTERNO</t>
  </si>
  <si>
    <t>MDT-DPTSPZCH-2022-0137-O</t>
  </si>
  <si>
    <t>Mazza Gómez Isabel María</t>
  </si>
  <si>
    <t>MDT-DPTSPZCH-2022-0579-EXTERNO</t>
  </si>
  <si>
    <t>MDT-DPTSPZCH-2022-0138-O</t>
  </si>
  <si>
    <t>Santana Díaz Angelica Alejandra</t>
  </si>
  <si>
    <t>NOTIFICADA POR CORREO:  cbenalcazar@luminex.ec</t>
  </si>
  <si>
    <t>MDT-DPTSPZCH-2022-0594-EXTERNO</t>
  </si>
  <si>
    <t>MDT-DPTSPZCH-2022-0139-O</t>
  </si>
  <si>
    <t>Pintado Sánchez Celena del Carmen</t>
  </si>
  <si>
    <t>NOTIFICADA POR CORREO:  www.funcionjudicial.gob.ec</t>
  </si>
  <si>
    <t>MDT-DPTSPZCH-2022-0597-EXTERNO</t>
  </si>
  <si>
    <t>MDT-DPTSPZCH-2022-0140-O</t>
  </si>
  <si>
    <t>PaucarMinga Cristian Gonzalo</t>
  </si>
  <si>
    <t>NOTIFICADA POR CORREO:  critiquian@hotmail.com</t>
  </si>
  <si>
    <t>MDT-DPTSPZCH-2022-0598-EXTERNO</t>
  </si>
  <si>
    <t>MDT-DPTSPZCH-2022-0141-O</t>
  </si>
  <si>
    <t>MDT-DPTSPZCH-2022-0604-EXTERNO</t>
  </si>
  <si>
    <t>MDT-DPTSPZCH-2022-0142-O</t>
  </si>
  <si>
    <t>Luzuriaga Rosales Ramiro Francisco</t>
  </si>
  <si>
    <t>NOTIFICADA POR CORREO:  segundolarreategui@gmail.com</t>
  </si>
  <si>
    <t>MDT-DPTSPZCH-2022-0605-EXTERNO</t>
  </si>
  <si>
    <t>MDT-DPTSPZCH-2022-0143-O</t>
  </si>
  <si>
    <t>MDT-DPTSPZCH-2022-0606-EXTERNO</t>
  </si>
  <si>
    <t>MDT-DPTSPZCH-2022-0144-O</t>
  </si>
  <si>
    <t>Mácas Toledo Verónica Roslía</t>
  </si>
  <si>
    <t>MDT-DPTSPZCH-2022-0609-EXTERNO</t>
  </si>
  <si>
    <t>MDT-DPTSPZCH-2022-0145-O</t>
  </si>
  <si>
    <t>Herrera Bravo David Alexander</t>
  </si>
  <si>
    <t>NOTIFICADA POR CORREO:  david-25-09@hotmail.com</t>
  </si>
  <si>
    <t>MDT-DPTSPZCH-2022-0613-EXTERNO</t>
  </si>
  <si>
    <t>MDT-DPTSPZCH-2022-0146-O</t>
  </si>
  <si>
    <t xml:space="preserve">Camoverde Chamorro Oswaldo </t>
  </si>
  <si>
    <t>MDT-DPTSPZCH-2022-0618-EXTERNO</t>
  </si>
  <si>
    <t>MDT-DPTSPZCH-2022-0147-O</t>
  </si>
  <si>
    <t>Alverca Calva Fabricio Enrrique</t>
  </si>
  <si>
    <t>NOTIFICADA POR CORREO:  fealver@yahoo.es</t>
  </si>
  <si>
    <t>MDT-DPTSPOM-2022-2292-EXTERNO</t>
  </si>
  <si>
    <t>MDT-DPTSPOM-2022-0370-O</t>
  </si>
  <si>
    <t>MDT-DPTSPOM-2022-1996-EXTERNO</t>
  </si>
  <si>
    <t>MDT-DPTSPOM-2022-0456-O</t>
  </si>
  <si>
    <t>MDT-DPTSPOM-2022-1784-EXTERNO</t>
  </si>
  <si>
    <t>MDT-DPTSPOM-2022-0354-O</t>
  </si>
  <si>
    <t>MDT-DPTSPOM-2022-1718-EXTERNO</t>
  </si>
  <si>
    <t>MDT-DPTSPOM-2022-0357-O</t>
  </si>
  <si>
    <t>MDT-DPTSPOM-2022-2101-EXTERNO</t>
  </si>
  <si>
    <t>FERNADO LEON</t>
  </si>
  <si>
    <t>MDT-DPTSPOM-2022-0363-O</t>
  </si>
  <si>
    <t>MDT-DPTSPOM-2022-2043-EXTERNO</t>
  </si>
  <si>
    <t>MDT-DPTSPOM-2022-0358-O</t>
  </si>
  <si>
    <t>MDT-DPTSPOM-2022-1706-EXTERNO</t>
  </si>
  <si>
    <t>MDT-DPTSPOM-2022-0384-O</t>
  </si>
  <si>
    <t>MDT-DPTSPOM-2022-2325-EXTERNO</t>
  </si>
  <si>
    <t>MDT-DPTSPOM-2022-0352-O</t>
  </si>
  <si>
    <t>MDT-DPTSPOM-2022-0993-EXTERNO</t>
  </si>
  <si>
    <t>MDT-DPTSPOM-2022-0353-O</t>
  </si>
  <si>
    <t>MDT-DPTSPOM-2022-2308-EXTERNO</t>
  </si>
  <si>
    <t>MDT-DPTSPOM-2022-0386-O</t>
  </si>
  <si>
    <t>MDT-DPTSPOM-2022-2329-EXTERNO</t>
  </si>
  <si>
    <t>MDT-DPTSPOM-2022-0361-O</t>
  </si>
  <si>
    <t>MDT-DPTSPOM-2022-2330-EXTERNO</t>
  </si>
  <si>
    <t>MDT-DPTSPOM-2022-0362-O</t>
  </si>
  <si>
    <t>MDT-DPTSPOM-2022-2331-EXTERNO</t>
  </si>
  <si>
    <t>MDT-DPTSPOM-2022-0364-O</t>
  </si>
  <si>
    <t>MDT-DPTSPOM-2022-2335-EXTERNO</t>
  </si>
  <si>
    <t>MDT-DPTSPOM-2022-0366-O</t>
  </si>
  <si>
    <t>MDT-DPTSPOM-2022-2251-EXTERNO</t>
  </si>
  <si>
    <t>MDT-DPTSPOM-2022-0367-O</t>
  </si>
  <si>
    <t>MDT-DPTSPOM-2022-2252-EXTERNO</t>
  </si>
  <si>
    <t>MDT-DPTSPOM-2022-0416-O</t>
  </si>
  <si>
    <t>MDT-DPTSPOM-2022-2298-EXTERNO</t>
  </si>
  <si>
    <t>MDT-DPTSPOM-2022-0414-O</t>
  </si>
  <si>
    <t>MDT-DPTSPOM-2022-2256-EXTERNO</t>
  </si>
  <si>
    <t>MDT-DPTSPOM-2022-0509-O</t>
  </si>
  <si>
    <t>MDT-DPTSPOM-2022-2287-EXTERNO</t>
  </si>
  <si>
    <t>MDT-DPTSPOM-2022-0377-O</t>
  </si>
  <si>
    <t>MDT-DPTSPOM-2022-2356-EXTERNO</t>
  </si>
  <si>
    <t>MDT-DPTSPOM-2022-0368-O</t>
  </si>
  <si>
    <t>MDT-DPTSPOM-2022-2405-EXTERNO</t>
  </si>
  <si>
    <t>MDT-DPTSPOM-2022-0462-O</t>
  </si>
  <si>
    <t>MDT-DPTSPOM-2022-2351-EXTERNO</t>
  </si>
  <si>
    <t>MDT-DPTSPOM-2022-0438-O</t>
  </si>
  <si>
    <t>MDT-DPTSPOM-2022-2362-EXTERNO</t>
  </si>
  <si>
    <t>MDT-DPTSPOM-2022-0372-O</t>
  </si>
  <si>
    <t>MDT-DPTSPOM-2022-2375-EXTERNO</t>
  </si>
  <si>
    <t>MDT-DPTSPOM-2022-0373-O</t>
  </si>
  <si>
    <t>MDT-DPTSPOM-2022-2444-EXTERNO</t>
  </si>
  <si>
    <t>MDT-DPTSPOM-2022-0463-O</t>
  </si>
  <si>
    <t>MDT-DPTSPOM-2022-2455-EXTERNO</t>
  </si>
  <si>
    <t>MDT-DPTSPOM-2022-0376-O</t>
  </si>
  <si>
    <t>MDT-DPTSPOM-2022-2411-EXTERNO</t>
  </si>
  <si>
    <t>MDT-DPTSPOM-2022-0369-O</t>
  </si>
  <si>
    <t>MDT-DPTSPOM-2022-2418-EXTERNO</t>
  </si>
  <si>
    <t>MDT-DPTSPOM-2022-0378-O</t>
  </si>
  <si>
    <t>MDT-DPTSPOM-2022-2380-EXTERNO</t>
  </si>
  <si>
    <t>MDT-DPTSPOM-2022-0379-O</t>
  </si>
  <si>
    <t>MDT-DPTSPOM-2022-2384-EXTERNO</t>
  </si>
  <si>
    <t>MDT-DPTSPOM-2022-0413-O</t>
  </si>
  <si>
    <t>MDT-DPTSPOM-2022-1473-EXTERNO</t>
  </si>
  <si>
    <t>MDT-DPTSPOM-2022-0381-O</t>
  </si>
  <si>
    <t>MDT-DPTSPOM-2022-2478-EXTERNO</t>
  </si>
  <si>
    <t>MDT-DPTSPOM-2022-0466-O</t>
  </si>
  <si>
    <t>MDT-DPTSPOM-2022-2395-EXTERNO</t>
  </si>
  <si>
    <t>MDT-DPTSPOM-2022-0380-O</t>
  </si>
  <si>
    <t>MDT-DPTSPOM-2022-2462-EXTERNO</t>
  </si>
  <si>
    <t>MDT-DPTSPOM-2022-0387-O</t>
  </si>
  <si>
    <t>MDT-DPTSPOM-2022-2464-EXTERNO</t>
  </si>
  <si>
    <t>MDT-DPTSPOM-2022-0388-O</t>
  </si>
  <si>
    <t>MDT-DPTSPOM-2022-2465-EXTERNO</t>
  </si>
  <si>
    <t>MDT-DPTSPOM-2022-0389-O</t>
  </si>
  <si>
    <t>MDT-DPTSPOM-2022-2466-EXTERNO</t>
  </si>
  <si>
    <t>MDT-DPTSPOM-2022-0390-O</t>
  </si>
  <si>
    <t>MDT-DPTSPOM-2022-2467-EXTERNO</t>
  </si>
  <si>
    <t>MDT-DPTSPOM-2022-0391-O</t>
  </si>
  <si>
    <t>MDT-DPTSPOM-2022-2468-EXTERNO</t>
  </si>
  <si>
    <t>MDT-DPTSPOM-2022-0392-O</t>
  </si>
  <si>
    <t>MDT-DPTSPOM-2022-2469-EXTERNO</t>
  </si>
  <si>
    <t>MDT-DPTSPOM-2022-0393-O</t>
  </si>
  <si>
    <t>MDT-DPTSPOM-2022-2470-EXTERNO</t>
  </si>
  <si>
    <t>MDT-DPTSPOM-2022-0394-O</t>
  </si>
  <si>
    <t>MDT-DPTSPOM-2022-2471-EXTERNO</t>
  </si>
  <si>
    <t>MDT-DPTSPOM-2022-0395-O</t>
  </si>
  <si>
    <t>MDT-DPTSPOM-2022-2474-EXTERNO</t>
  </si>
  <si>
    <t>MDT-DPTSPOM-2022-0375-O</t>
  </si>
  <si>
    <t>MDT-DPTSPOM-2022-2476-EXTERNO</t>
  </si>
  <si>
    <t>MDT-DPTSPOM-2022-0396-O</t>
  </si>
  <si>
    <t>MDT-DPTSPOM-2022-2479-EXTERNO</t>
  </si>
  <si>
    <t>MDT-DPTSPOM-2022-0397-O</t>
  </si>
  <si>
    <t>MDT-DPTSPOM-2022-2480-EXTERNO</t>
  </si>
  <si>
    <t>MDT-DPTSPOM-2022-0398-O</t>
  </si>
  <si>
    <t>MDT-DPTSPOM-2022-2483-EXTERNO</t>
  </si>
  <si>
    <t>MDT-DPTSPOM-2022-0399-O</t>
  </si>
  <si>
    <t>MDT-DPTSPOM-2022-2484-EXTERNO</t>
  </si>
  <si>
    <t>MDT-DPTSPOM-2022-0400-O</t>
  </si>
  <si>
    <t>MDT-DPTSPOM-2022-2490-EXTERNO</t>
  </si>
  <si>
    <t>MDT-DPTSPOM-2022-0401-O</t>
  </si>
  <si>
    <t>MDT-DPTSPOM-2022-2492-EXTERNO</t>
  </si>
  <si>
    <t>MDT-DPTSPOM-2022-0402-O</t>
  </si>
  <si>
    <t>MDT-DPTSPOM-2022-2494-EXTERNO</t>
  </si>
  <si>
    <t>MDT-DPTSPOM-2022-0403-O</t>
  </si>
  <si>
    <t>MDT-DPTSPOM-2022-2497-EXTERNO</t>
  </si>
  <si>
    <t>MDT-DPTSPOM-2022-0404-O</t>
  </si>
  <si>
    <t>MDT-DPTSPOM-2022-2511-EXTERNO</t>
  </si>
  <si>
    <t>MDT-DPTSPOM-2022-0405-O</t>
  </si>
  <si>
    <t>MDT-DPTSPOM-2022-2535-EXTERNO</t>
  </si>
  <si>
    <t>MDT-DPTSPOM-2022-0406-O</t>
  </si>
  <si>
    <t>MDT-DPTSPOM-2022-2537-EXTERNO</t>
  </si>
  <si>
    <t>MDT-DPTSPOM-2022-0407-O</t>
  </si>
  <si>
    <t>MDT-DPTSPOM-2022-2543-EXTERNO</t>
  </si>
  <si>
    <t>MDT-DPTSPOM-2022-0409-O</t>
  </si>
  <si>
    <t>MDT-DPTSPOM-2022-2550-EXTERNO</t>
  </si>
  <si>
    <t>MDT-DPTSPOM-2022-0410-O</t>
  </si>
  <si>
    <t>MDT-DPTSPOM-2022-2556-EXTERNO</t>
  </si>
  <si>
    <t>MDT-DPTSPOM-2022-0468-O</t>
  </si>
  <si>
    <t>MDT-DPTSPOM-2022-2579-EXTERNO</t>
  </si>
  <si>
    <t>MDT-DPTSPOM-2022-0411-O</t>
  </si>
  <si>
    <t>MDT-DPTSPOM-2022-2580-EXTERNO</t>
  </si>
  <si>
    <t>MDT-DPTSPOM-2022-0419-O</t>
  </si>
  <si>
    <t>MDT-DPTSPOM-2022-2602-EXTERNO</t>
  </si>
  <si>
    <t>MDT-DPTSPOM-2022-0420-O</t>
  </si>
  <si>
    <t>MDT-DPTSPOM-2022-2610-EXTERNO</t>
  </si>
  <si>
    <t>MDT-DPTSPOM-2022-0421-O</t>
  </si>
  <si>
    <t>MDT-DPTSPOM-2022-2614-EXTERNO</t>
  </si>
  <si>
    <t>MDT-DPTSPOM-2022-0423-O</t>
  </si>
  <si>
    <t>MDT-DPTSPOM-2022-2617-EXTERNO</t>
  </si>
  <si>
    <t>MDT-DPTSPOM-2022-0424-O</t>
  </si>
  <si>
    <t>MDT-DPTSPOM-2022-2618-EXTERNO</t>
  </si>
  <si>
    <t>MDT-DPTSPOM-2022-0429-O</t>
  </si>
  <si>
    <t>MDT-DPTSPOM-2022-2619-EXTERNO</t>
  </si>
  <si>
    <t>MDT-DPTSPOM-2022-0432-O</t>
  </si>
  <si>
    <t>MDT-DPTSPOM-2022-2647-EXTERNO</t>
  </si>
  <si>
    <t>MDT-DPTSPOM-2022-0433-O</t>
  </si>
  <si>
    <t>MDT-DPTSPOM-2022-2661-EXTERNO</t>
  </si>
  <si>
    <t>MDT-DPTSPOM-2022-0470-O</t>
  </si>
  <si>
    <t>MDT-DPTSPOM-2022-2665-EXTERNO</t>
  </si>
  <si>
    <t>MDT-DPTSPOM-2022-0434-O</t>
  </si>
  <si>
    <t>MDT-DPTSPOM-2022-2691-EXTERNO</t>
  </si>
  <si>
    <t>MDT-DPTSPOM-2022-0435-O</t>
  </si>
  <si>
    <t>MDT-DPTSPOM-2022-2704-EXTERNO</t>
  </si>
  <si>
    <t>MDT-DPTSPOM-2022-0441-O</t>
  </si>
  <si>
    <t>MDT-DPTSPOM-2022-2712-EXTERNO</t>
  </si>
  <si>
    <t>MDT-DPTSPOM-2022-0471-O</t>
  </si>
  <si>
    <t>MDT-DPTSPOM-2022-2718-EXTERNO</t>
  </si>
  <si>
    <t>MDT-DPTSPOM-2022-0442-O</t>
  </si>
  <si>
    <t>MDT-DPTSPOM-2022-2726-EXTERNO</t>
  </si>
  <si>
    <t>MDT-DPTSPOM-2022-0444-O</t>
  </si>
  <si>
    <t>MDT-DPTSPOM-2022-2720-EXTERNO</t>
  </si>
  <si>
    <t>MDT-DPTSPOM-2022-0443-O</t>
  </si>
  <si>
    <t>MDT-DPTSPOM-2022-2740-EXTERNO</t>
  </si>
  <si>
    <t>MDT-DPTSPOM-2022-0445-O</t>
  </si>
  <si>
    <t>MDT-DRTSPL-2022-3378-EXTERNO</t>
  </si>
  <si>
    <t>MDT-DPTSPOM-2022-0412-O</t>
  </si>
  <si>
    <t>MDT-DPTSPOM-2022-1687-EXTERNO</t>
  </si>
  <si>
    <t>MDT-DPTSPOM-2022-0382-O</t>
  </si>
  <si>
    <t>MDT-DRTSPL-2022-3613-EXTERNO</t>
  </si>
  <si>
    <t>MDT-DRTSPL-2022-2451-O</t>
  </si>
  <si>
    <t xml:space="preserve">Santos Tito Torres Cueva </t>
  </si>
  <si>
    <t>NOTIFICACION POR CORREO yenirosbal7@gmail.com</t>
  </si>
  <si>
    <t>MDT-DRTSPL-2022-3615-EXTERNO</t>
  </si>
  <si>
    <t>MDT-DRTSPL-2022-2453-O</t>
  </si>
  <si>
    <t xml:space="preserve">Segundo Fernando Japón Loja </t>
  </si>
  <si>
    <t>NOTIFICACION POR CORREO chinoja.@hotmail.com</t>
  </si>
  <si>
    <t>MDT-DRTSPL-2022-3621-EXTERNO</t>
  </si>
  <si>
    <t>MDT-DRTSPL-2022-2454-O</t>
  </si>
  <si>
    <t xml:space="preserve">Luis Humberto Cartuche Robalino </t>
  </si>
  <si>
    <t>NOTIFICACION POR CORREO rociobuele69@outlook.es</t>
  </si>
  <si>
    <t>MDT-DRTSPL-2022-3624-EXTERNO</t>
  </si>
  <si>
    <t>MDT-DRTSPL-2022-2455-O</t>
  </si>
  <si>
    <t xml:space="preserve">Holger Jose Suarez Esparza </t>
  </si>
  <si>
    <t>NOTIFICACION POR CORREO consorciovindex@gmail.com</t>
  </si>
  <si>
    <t>MDT-DRTSPL-2022-3628-EXTERNO</t>
  </si>
  <si>
    <t>MDT-DRTSPL-2022-2452-O</t>
  </si>
  <si>
    <t xml:space="preserve">Luis Amable Jimenez Songor </t>
  </si>
  <si>
    <t>NOTIFICACION POR CORREO gyaservicioslegales@gmail.com</t>
  </si>
  <si>
    <t>MDT-DRTSPL-2022-3639-EXTERNO</t>
  </si>
  <si>
    <t>MDT-DRTSPL-2022-2493-O</t>
  </si>
  <si>
    <t xml:space="preserve">Carlos Pardo </t>
  </si>
  <si>
    <t>NOTIFICACION POR CORREO dianys_39@hotmail.com</t>
  </si>
  <si>
    <t>MDT-DRTSPL-2022-3643-EXTERNO</t>
  </si>
  <si>
    <t>MDT-DRTSPL-2022-2479-O</t>
  </si>
  <si>
    <t xml:space="preserve">Zulay Katherine Torres Abrigo </t>
  </si>
  <si>
    <t>NOTIFICACION POR CORREO zulaykathe.torres@gmail.com</t>
  </si>
  <si>
    <t>MDT-DRTSPL-2022-3646-EXTERNO</t>
  </si>
  <si>
    <t>MDT-DRTSPL-2022-2450-O</t>
  </si>
  <si>
    <t xml:space="preserve">Antonio David Ortega Espinosa </t>
  </si>
  <si>
    <t>NOTIFICACION POR CORREO wilworld1979@hotmail.com</t>
  </si>
  <si>
    <t>MDT-DRTSPL-2022-3649-EXTERNO</t>
  </si>
  <si>
    <t>MDT-DRTSPL-2022-2456-O</t>
  </si>
  <si>
    <t xml:space="preserve">Juleidy Jaritza Gordillo Jimenez </t>
  </si>
  <si>
    <t>NOTIFICACION POR CORREO cjuridicogratuito.unl@hotmail.com</t>
  </si>
  <si>
    <t>MDT-DRTSPL-2022-3653-EXTERNO</t>
  </si>
  <si>
    <t>MDT-DRTSPL-2022-2457-O</t>
  </si>
  <si>
    <t xml:space="preserve">Juan Jose Riofrio Diaz </t>
  </si>
  <si>
    <t>NOTIFICACION POR CORREO miguicho91@outlook.com</t>
  </si>
  <si>
    <t>MDT-DRTSPL-2022-3666-EXTERNO</t>
  </si>
  <si>
    <t>MDT-DRTSPL-2022-2461-O</t>
  </si>
  <si>
    <t xml:space="preserve">Mayra Alejandra Gomez Garrochamba </t>
  </si>
  <si>
    <t>NOTIFICACION POR CORREO maiia_danan1993@gmail.com</t>
  </si>
  <si>
    <t>MDT-DRTSPL-2022-3667-EXTERNO</t>
  </si>
  <si>
    <t>MDT-DRTSPL-2022-2462-O</t>
  </si>
  <si>
    <t>NOTIFICACION POR CORREO borisrafael68@gmail.com</t>
  </si>
  <si>
    <t>MDT-DRTSPL-2022-3671-EXTERNO</t>
  </si>
  <si>
    <t>MDT-DRTSPL-2022-2463-O</t>
  </si>
  <si>
    <t xml:space="preserve">Jefferson Rodrigo Lasso Acaro </t>
  </si>
  <si>
    <t>NOTIFICACION POR CORREO jeankar22@hotmail.com</t>
  </si>
  <si>
    <t>MDT-DRTSPL-2022-3673-EXTERNO</t>
  </si>
  <si>
    <t>MDT-DRTSPL-2022-2464-O</t>
  </si>
  <si>
    <t>NOTIFICACION POR CORREO diego.rodriguezasesorialegal@hotmail.com</t>
  </si>
  <si>
    <t>MDT-DRTSPL-2022-3674-EXTERNO</t>
  </si>
  <si>
    <t>MDT-DRTSPL-2022-2465-O</t>
  </si>
  <si>
    <t>NOTIFICACION POR CORREO mluislautaro@yahoo.com</t>
  </si>
  <si>
    <t>MDT-DRTSPL-2022-3675-EXTERNO</t>
  </si>
  <si>
    <t>MDT-DRTSPL-2022-2466-O</t>
  </si>
  <si>
    <t>MDT-DRTSPL-2022-3676-EXTERNO</t>
  </si>
  <si>
    <t>MDT-DRTSPL-2022-2468-O</t>
  </si>
  <si>
    <t>MDT-DRTSPL-2022-3678-EXTERNO</t>
  </si>
  <si>
    <t>MDT-DRTSPL-2022-2469-O</t>
  </si>
  <si>
    <t>MDT-DRTSPL-2022-3681-EXTERNO</t>
  </si>
  <si>
    <t>MDT-DRTSPL-2022-2470-O</t>
  </si>
  <si>
    <t>NOTIFICACION POR CORREO tannya.jaramillo@funcionjudicial.gob.ec</t>
  </si>
  <si>
    <t>MDT-DRTSPL-2022-3683-EXTERNO</t>
  </si>
  <si>
    <t>MDT-DRTSPL-2022-2473-O</t>
  </si>
  <si>
    <t>MDT-DRTSPL-2022-3684-EXTERNO</t>
  </si>
  <si>
    <t>MDT-DRTSPL-2022-2474-O</t>
  </si>
  <si>
    <t>MDT-DRTSPL-2022-3685-EXTERNO</t>
  </si>
  <si>
    <t>MDT-DRTSPL-2022-2481-O</t>
  </si>
  <si>
    <t>MDT-DRTSPL-2022-3686-EXTERNO</t>
  </si>
  <si>
    <t>MDT-DRTSPL-2022-2480-O</t>
  </si>
  <si>
    <t>MDT-DRTSPL-2022-3687-EXTERNO</t>
  </si>
  <si>
    <t>MDT-DRTSPL-2022-2482-O</t>
  </si>
  <si>
    <t>MDT-DRTSPL-2022-3688-EXTERNO</t>
  </si>
  <si>
    <t>MDT-DRTSPL-2022-2483-O</t>
  </si>
  <si>
    <t>MDT-DRTSPL-2022-3689-EXTERNO</t>
  </si>
  <si>
    <t>MDT-DRTSPL-2022-2485-O</t>
  </si>
  <si>
    <t xml:space="preserve">Flor del Rosio Quezada Torres </t>
  </si>
  <si>
    <t>NOTIFICACION POR CORREO bladimirbetancourtgranillo@hotmail.com</t>
  </si>
  <si>
    <t>MDT-DRTSPL-2022-3690-EXTERNO</t>
  </si>
  <si>
    <t>MDT-DRTSPL-2022-2504-O</t>
  </si>
  <si>
    <t>NOTIFICACION POR CORREO andrea.ordonezy@funcionjudicial.gob.ec</t>
  </si>
  <si>
    <t>MDT-DRTSPL-2022-3693-EXTERNO</t>
  </si>
  <si>
    <t>MDT-DRTSPL-2022-2494-O</t>
  </si>
  <si>
    <t xml:space="preserve">Miryan del Cisne Guevara Rios </t>
  </si>
  <si>
    <t>NOTIFICACION POR CORREO edgarroberto_villa@hotmail.com</t>
  </si>
  <si>
    <t>MDT-DRTSPL-2022-3695-EXTERNO</t>
  </si>
  <si>
    <t>MDT-DRTSPL-2022-2487-O</t>
  </si>
  <si>
    <t xml:space="preserve">Diego Fernando Jara Carrion </t>
  </si>
  <si>
    <t>NOTIFICACION POR CORREO diegojar200186@hotmail.com</t>
  </si>
  <si>
    <t>MDT-DRTSPL-2022-3696-EXTERNO</t>
  </si>
  <si>
    <t>MDT-DRTSPL-2022-2490-O</t>
  </si>
  <si>
    <t>NOTIFICACION POR CORREO mariuxijumboramos@gmail.com</t>
  </si>
  <si>
    <t>MDT-DRTSPL-2022-3699-EXTERNO</t>
  </si>
  <si>
    <t>MDT-DRTSPL-2022-2491-O</t>
  </si>
  <si>
    <t xml:space="preserve">Mauro Alberto Contento Ortiz </t>
  </si>
  <si>
    <t>NOTIFICACION POR CORREO maurocontento19@gmail.com</t>
  </si>
  <si>
    <t>MDT-DRTSPL-2022-3705-EXTERNO</t>
  </si>
  <si>
    <t>MDT-DRTSPL-2022-2498-O</t>
  </si>
  <si>
    <t xml:space="preserve">Geovanna Tamara Chango Maldonado </t>
  </si>
  <si>
    <t>NOTIFICACION POR CORREO mglnrqlunabravo701@gmail.com</t>
  </si>
  <si>
    <t>MDT-DRTSPL-2022-3706-EXTERNO</t>
  </si>
  <si>
    <t>MDT-DRTSPL-2022-2499-O</t>
  </si>
  <si>
    <t>NOTIFICACION POR CORREO lady.abarca56@gmail.com</t>
  </si>
  <si>
    <t>MDT-DRTSPL-2022-3709-EXTERNO</t>
  </si>
  <si>
    <t>MDT-DRTSPL-2022-2501-O</t>
  </si>
  <si>
    <t>NOTIFICACION POR CORREO jimbol@fiscalia.gob.ec</t>
  </si>
  <si>
    <t>MDT-DRTSPL-2022-3711-EXTERNO</t>
  </si>
  <si>
    <t>MDT-DRTSPL-2022-2502-O</t>
  </si>
  <si>
    <t xml:space="preserve">Joseph Tadeo Pareja Hidalgo </t>
  </si>
  <si>
    <t>NOTIFICACION POR CORREO rita.jh@hotmail.com</t>
  </si>
  <si>
    <t>MDT-DRTSPL-2022-3717-EXTERNO</t>
  </si>
  <si>
    <t>MDT-DRTSPL-2022-2506-O</t>
  </si>
  <si>
    <t xml:space="preserve">María Judith Mora Riofrío </t>
  </si>
  <si>
    <t>NOTIFICACION POR CORREO ventanillaloja@fiscalia.gob.ec</t>
  </si>
  <si>
    <t>MDT-DRTSPL-2022-3721-EXTERNO</t>
  </si>
  <si>
    <t>MDT-DRTSPL-2022-2507-O</t>
  </si>
  <si>
    <t>NOTIFICACION POR CORREO paulca1962@hotmail.com</t>
  </si>
  <si>
    <t>MDT-DRTSPL-2022-3722-EXTERNO</t>
  </si>
  <si>
    <t>MDT-DRTSPL-2022-2509-O</t>
  </si>
  <si>
    <t>MDT-DRTSPL-2022-3723-EXTERNO</t>
  </si>
  <si>
    <t>MDT-DRTSPL-2022-2510-O</t>
  </si>
  <si>
    <t>MDT-DRTSPL-2022-3734-EXTERNO</t>
  </si>
  <si>
    <t>MDT-DRTSPL-2022-2511-O</t>
  </si>
  <si>
    <t>NOTIFICACION POR CORREO patriciovaldiviesoespinosa@hotmail.com</t>
  </si>
  <si>
    <t>MDT-DRTSPL-2022-3735-EXTERNO</t>
  </si>
  <si>
    <t>MDT-DRTSPL-2022-2512-O</t>
  </si>
  <si>
    <t>MDT-DRTSPL-2022-3736-EXTERNO</t>
  </si>
  <si>
    <t>MDT-DRTSPL-2022-2513-O</t>
  </si>
  <si>
    <t>MDT-DRTSPL-2022-3737-EXTERNO</t>
  </si>
  <si>
    <t>MDT-DRTSPL-2022-2514-O</t>
  </si>
  <si>
    <t>MDT-DRTSPL-2022-3738-EXTERNO</t>
  </si>
  <si>
    <t>MDT-DRTSPL-2022-2515-O</t>
  </si>
  <si>
    <t>MDT-DRTSPL-2022-3739-EXTERNO</t>
  </si>
  <si>
    <t>MDT-DRTSPL-2022-2516-O</t>
  </si>
  <si>
    <t>MDT-DRTSPL-2022-3740-EXTERNO</t>
  </si>
  <si>
    <t>MDT-DRTSPL-2022-2517-O</t>
  </si>
  <si>
    <t>MDT-DRTSPL-2022-3741-EXTERNO</t>
  </si>
  <si>
    <t>MDT-DRTSPL-2022-2640-O</t>
  </si>
  <si>
    <t xml:space="preserve">Elsa Victoria Orellana Quiroga </t>
  </si>
  <si>
    <t>NOTIFICACION POR CORREO isabelabad75@hotmail.com</t>
  </si>
  <si>
    <t>MDT-DRTSPL-2022-3742-EXTERNO</t>
  </si>
  <si>
    <t>MDT-DRTSPL-2022-2519-O</t>
  </si>
  <si>
    <t>NOTIFICACION POR CORREO vivancojoffre@gmail.com</t>
  </si>
  <si>
    <t>MDT-DRTSPL-2022-3743-EXTERNO</t>
  </si>
  <si>
    <t>MDT-DRTSPL-2022-2521-O</t>
  </si>
  <si>
    <t xml:space="preserve">Gladys Sulema Cruz Silva </t>
  </si>
  <si>
    <t>NOTIFICACION POR CORREO sulecruzsilva@hotmail.com</t>
  </si>
  <si>
    <t>MDT-DRTSPL-2022-3745-EXTERNO</t>
  </si>
  <si>
    <t>MDT-DRTSPL-2022-2522-O</t>
  </si>
  <si>
    <t xml:space="preserve">Diego Danilo Guaya Delgado </t>
  </si>
  <si>
    <t>NOTIFICACION POR CORREO daniloguaya2006@gmail.com</t>
  </si>
  <si>
    <t>MDT-DRTSPL-2022-3746-EXTERNO</t>
  </si>
  <si>
    <t>MDT-DRTSPL-2022-2523-O</t>
  </si>
  <si>
    <t xml:space="preserve">Alex Damian Torres Robalino </t>
  </si>
  <si>
    <t>NOTIFICACION POR CORREO ecosur-07@hotmail.com</t>
  </si>
  <si>
    <t>MDT-DRTSPL-2022-3747-EXTERNO</t>
  </si>
  <si>
    <t>MDT-DRTSPL-2022-2525-O</t>
  </si>
  <si>
    <t>MDT-DRTSPL-2022-3748-EXTERNO</t>
  </si>
  <si>
    <t>MDT-DRTSPL-2022-2526-O</t>
  </si>
  <si>
    <t xml:space="preserve">Diego Fabricio Tixi Torres </t>
  </si>
  <si>
    <t>MDT-DRTSPL-2022-3749-EXTERNO</t>
  </si>
  <si>
    <t>MDT-DRTSPL-2022-2527-O</t>
  </si>
  <si>
    <t>MDT-DRTSPL-2022-3750-EXTERNO</t>
  </si>
  <si>
    <t>MDT-DRTSPL-2022-2528-O</t>
  </si>
  <si>
    <t>MDT-DRTSPL-2022-3751-EXTERNO</t>
  </si>
  <si>
    <t>MDT-DRTSPL-2022-2533-O</t>
  </si>
  <si>
    <t>MDT-DRTSPL-2022-3752-EXTERNO</t>
  </si>
  <si>
    <t>MDT-DRTSPL-2022-2537-O</t>
  </si>
  <si>
    <t>MDT-DRTSPL-2022-3753-EXTERNO</t>
  </si>
  <si>
    <t>MDT-DRTSPL-2022-2538-O</t>
  </si>
  <si>
    <t>MDT-DRTSPL-2022-3754-EXTERNO</t>
  </si>
  <si>
    <t>MDT-DRTSPL-2022-2539-O</t>
  </si>
  <si>
    <t>MDT-DRTSPL-2022-3755-EXTERNO</t>
  </si>
  <si>
    <t>MDT-DRTSPL-2022-2540-O</t>
  </si>
  <si>
    <t>MDT-DRTSPL-2022-3756-EXTERNO</t>
  </si>
  <si>
    <t>MDT-DRTSPL-2022-2541-O</t>
  </si>
  <si>
    <t>MDT-DRTSPL-2022-3759-EXTERNO</t>
  </si>
  <si>
    <t>MDT-DRTSPL-2022-2500-O</t>
  </si>
  <si>
    <t xml:space="preserve">Mario Manuel Ramirez Rivera </t>
  </si>
  <si>
    <t>NOTIFICACION POR CORREO ab.julioquezada@outlook.com</t>
  </si>
  <si>
    <t>MDT-DRTSPL-2022-3764-EXTERNO</t>
  </si>
  <si>
    <t>MDT-DRTSPL-2022-2542-O</t>
  </si>
  <si>
    <t xml:space="preserve">Michael Alexander Velez Sucunuta </t>
  </si>
  <si>
    <t>NOTIFICACION POR CORREO michaelvelez2850@gmail.com</t>
  </si>
  <si>
    <t>MDT-DRTSPL-2022-3765-EXTERNO</t>
  </si>
  <si>
    <t>MDT-DRTSPL-2022-2543-O</t>
  </si>
  <si>
    <t>MDT-DRTSPL-2022-3766-EXTERNO</t>
  </si>
  <si>
    <t>MDT-DRTSPL-2022-2544-O</t>
  </si>
  <si>
    <t>MDT-DRTSPL-2022-3767-EXTERNO</t>
  </si>
  <si>
    <t>MDT-DRTSPL-2022-2545-O</t>
  </si>
  <si>
    <t>MDT-DRTSPL-2022-3768-EXTERNO</t>
  </si>
  <si>
    <t>MDT-DRTSPL-2022-2553-O</t>
  </si>
  <si>
    <t>MDT-DRTSPL-2022-3769-EXTERNO</t>
  </si>
  <si>
    <t>MDT-DRTSPL-2022-2554-O</t>
  </si>
  <si>
    <t>MDT-DRTSPL-2022-3770-EXTERNO</t>
  </si>
  <si>
    <t>MDT-DRTSPL-2022-2555-O</t>
  </si>
  <si>
    <t>MDT-DRTSPL-2022-3771-EXTERNO</t>
  </si>
  <si>
    <t>MDT-DRTSPL-2022-2559-O</t>
  </si>
  <si>
    <t>MDT-DRTSPL-2022-3772-EXTERNO</t>
  </si>
  <si>
    <t>MDT-DRTSPL-2022-2570-O</t>
  </si>
  <si>
    <t>MDT-DRTSPL-2022-3775-EXTERNO</t>
  </si>
  <si>
    <t>MDT-DRTSPL-2022-2563-O</t>
  </si>
  <si>
    <t xml:space="preserve">Norman Edmundo Montaño Mora </t>
  </si>
  <si>
    <t>NOTIFICACION POR CORREO normanmontano33@gmail.com</t>
  </si>
  <si>
    <t>MDT-DRTSPL-2022-3776-EXTERNO</t>
  </si>
  <si>
    <t>MDT-DRTSPL-2022-2565-O</t>
  </si>
  <si>
    <t xml:space="preserve">Carlos Daniel Luzuriaga Guachizaca </t>
  </si>
  <si>
    <t>NOTIFICACION POR CORREO carlosluzuriaga24@gmail.com</t>
  </si>
  <si>
    <t>MDT-DRTSPL-2022-3781-EXTERNO</t>
  </si>
  <si>
    <t>MDT-DSG-2022-1706-OFICO</t>
  </si>
  <si>
    <t xml:space="preserve">José Miguel Quevedo Huertas </t>
  </si>
  <si>
    <t>NOTIFICACION POR CORREO jose.quevedoht@gmail.com</t>
  </si>
  <si>
    <t>MDT-DRTSPL-2022-3787-EXTERNO</t>
  </si>
  <si>
    <t>MDT-DRTSPL-2022-2567-O</t>
  </si>
  <si>
    <t xml:space="preserve">Ana Vanessa Gonzalez Gonzalez </t>
  </si>
  <si>
    <t>NOTIFICACION POR CORREO asesorar.solucioneslegales@gmail.com</t>
  </si>
  <si>
    <t>MDT-DRTSPL-2022-3789-EXTERNO</t>
  </si>
  <si>
    <t>MDT-DRTSPL-2022-2571-O</t>
  </si>
  <si>
    <t xml:space="preserve">Yhelenna Angélica Loján Armijos </t>
  </si>
  <si>
    <t>NOTIFICACION POR CORREO yhelenna.Lojan@funcionjudicial.gob.ec</t>
  </si>
  <si>
    <t>MDT-DRTSPL-2022-3790-EXTERNO</t>
  </si>
  <si>
    <t>MDT-DRTSPL-2022-2573-O</t>
  </si>
  <si>
    <t>NOTIFICACION POR CORREO sarmientov@fiscalia.gob.ec</t>
  </si>
  <si>
    <t>MDT-DRTSPL-2022-3791-EXTERNO</t>
  </si>
  <si>
    <t>MDT-DRTSPL-2022-2575-O</t>
  </si>
  <si>
    <t>MDT-DRTSPL-2022-3792-EXTERNO</t>
  </si>
  <si>
    <t>MDT-DRTSPL-2022-2576-O</t>
  </si>
  <si>
    <t>MDT-DRTSPL-2022-3793-EXTERNO</t>
  </si>
  <si>
    <t>MDT-DRTSPL-2022-2577-O</t>
  </si>
  <si>
    <t>MDT-DRTSPL-2022-3794-EXTERNO</t>
  </si>
  <si>
    <t>MDT-DRTSPL-2022-2579-O</t>
  </si>
  <si>
    <t>MDT-DRTSPL-2022-3796-EXTERNO</t>
  </si>
  <si>
    <t>MDT-DRTSPL-2022-2574-O</t>
  </si>
  <si>
    <t>NOTIFICACION POR CORREO yuliana.elizabeth.2000@gmail.com</t>
  </si>
  <si>
    <t>MDT-DRTSPL-2022-3798-EXTERNO</t>
  </si>
  <si>
    <t>MDT-DRTSPL-2022-2569-O</t>
  </si>
  <si>
    <t xml:space="preserve">Teresa Micaela Pizarro Giron </t>
  </si>
  <si>
    <t>MDT-DRTSPL-2022-3801-EXTERNO</t>
  </si>
  <si>
    <t>MDT-DRTSPL-2022-2589-O</t>
  </si>
  <si>
    <t xml:space="preserve">Leonel Efrain Maldonado Delgado </t>
  </si>
  <si>
    <t>NOTIFICACION POR CORREO leo18maldonado@hotmail.com</t>
  </si>
  <si>
    <t>MDT-DRTSPL-2022-3806-EXTERNO</t>
  </si>
  <si>
    <t>MDT-DRTSPL-2022-2572-O</t>
  </si>
  <si>
    <t xml:space="preserve">Rodin Anibal Castillo Huanca </t>
  </si>
  <si>
    <t>NOTIFICACION POR CORREO rodinc72@hotmail.com</t>
  </si>
  <si>
    <t>MDT-DRTSPL-2022-3807-EXTERNO</t>
  </si>
  <si>
    <t>MDT-DRTSPL-2022-2590-O</t>
  </si>
  <si>
    <t xml:space="preserve">Luis Porfirio Pardo Abad </t>
  </si>
  <si>
    <t>NOTIFICACION POR CORREO esperanzaleon81@hotmail.es</t>
  </si>
  <si>
    <t>MDT-DRTSPL-2022-3809-EXTERNO</t>
  </si>
  <si>
    <t>MDT-DRTSPL-2022-2591-O</t>
  </si>
  <si>
    <t>NOTIFICACION POR CORREO ceciliamartinezr@hotmail.es</t>
  </si>
  <si>
    <t>MDT-DRTSPL-2022-3810-EXTERNO</t>
  </si>
  <si>
    <t>MDT-DSG-2022-2348-MEMORANDO</t>
  </si>
  <si>
    <t xml:space="preserve">Carmen Maria Rodriguez Urrego </t>
  </si>
  <si>
    <t>NOTIFICACION POR CORREO dani_el_hidalgo@hotmail.com</t>
  </si>
  <si>
    <t>MDT-DRTSPL-2022-3813-EXTERNO</t>
  </si>
  <si>
    <t>MDT-DRTSPL-2022-2592-O</t>
  </si>
  <si>
    <t>MDT-DRTSPL-2022-3818-EXTERNO</t>
  </si>
  <si>
    <t>MDT-DRTSPL-2022-2564-O</t>
  </si>
  <si>
    <t>NOTIFICACION POR CORREO ab.kevingonzalez@hotmail.com</t>
  </si>
  <si>
    <t>MDT-DRTSPL-2022-3821-EXTERNO</t>
  </si>
  <si>
    <t>MDT-DRTSPL-2022-2566-O</t>
  </si>
  <si>
    <t xml:space="preserve">Jose Ivan Sanmartin Torres </t>
  </si>
  <si>
    <t>NOTIFICACION POR CORREO raquelpanchana@hotmail.com</t>
  </si>
  <si>
    <t>MDT-DRTSPL-2022-3823-EXTERNO</t>
  </si>
  <si>
    <t>MDT-DRTSPL-2022-2593-O</t>
  </si>
  <si>
    <t xml:space="preserve">Jorge Estuardo Toledo Valladares </t>
  </si>
  <si>
    <t>NOTIFICACION POR CORREO jorgetol01@hotmail.com</t>
  </si>
  <si>
    <t>MDT-DRTSPL-2022-3826-EXTERNO</t>
  </si>
  <si>
    <t>MDT-DRTSPL-2022-2594-O</t>
  </si>
  <si>
    <t xml:space="preserve">Pablo Alberto Cordova Nagua </t>
  </si>
  <si>
    <t>NOTIFICACION POR CORREO pabloalbertocordovanagua@gmail.com</t>
  </si>
  <si>
    <t>MDT-DRTSPL-2022-3828-EXTERNO</t>
  </si>
  <si>
    <t>MDT-DRTSPL-2022-2596-O</t>
  </si>
  <si>
    <t>NOTIFICACION POR CORREO maldonadopatico@yahoo.com</t>
  </si>
  <si>
    <t>MDT-DRTSPL-2022-3830-EXTERNO</t>
  </si>
  <si>
    <t>MDT-DRTSPL-2022-2597-O</t>
  </si>
  <si>
    <t>MDT-DRTSPL-2022-3832-EXTERNO</t>
  </si>
  <si>
    <t>MDT-DRTSPL-2022-2598-O</t>
  </si>
  <si>
    <t xml:space="preserve">Rodrigo Avila Avila </t>
  </si>
  <si>
    <t>NOTIFICACION POR CORREO galofa_1983@hotmail.com</t>
  </si>
  <si>
    <t>MDT-DRTSPL-2022-3836-EXTERNO</t>
  </si>
  <si>
    <t>MDT-DRTSPL-2022-2599-O</t>
  </si>
  <si>
    <t xml:space="preserve">Rosalia Alejandrina Samaniego Leon </t>
  </si>
  <si>
    <t>NOTIFICACION POR CORREO rosaliaalejandrina@gmail.com</t>
  </si>
  <si>
    <t>MDT-DRTSPL-2022-3841-EXTERNO</t>
  </si>
  <si>
    <t xml:space="preserve">Carlos Luis Valdez Cabrera </t>
  </si>
  <si>
    <t>MDT-DSG-2022-2253-MEMORANDO</t>
  </si>
  <si>
    <t xml:space="preserve">Carlos Alberto Villa Romero </t>
  </si>
  <si>
    <t>NOTIFICACION POR CORREO carlosalbertovillaromero@gmail.com</t>
  </si>
  <si>
    <t>MDT-DRTSPL-2022-3842-EXTERNO</t>
  </si>
  <si>
    <t>MDT-DRTSPL-2022-2608-O</t>
  </si>
  <si>
    <t xml:space="preserve">Marco Antonio Ortega Encalada </t>
  </si>
  <si>
    <t>NOTIFICACION POR CORREO yandryjh@hotmail.com</t>
  </si>
  <si>
    <t>MDT-DRTSPL-2022-3845-EXTERNO</t>
  </si>
  <si>
    <t>MDT-DRTSPL-2022-2610-O</t>
  </si>
  <si>
    <t>NOTIFICACION POR CORREO isarojitas@yahoo.es</t>
  </si>
  <si>
    <t>MDT-DRTSPL-2022-3847-EXTERNO</t>
  </si>
  <si>
    <t>MDT-DRTSPL-2022-2611-O</t>
  </si>
  <si>
    <t xml:space="preserve">Deydi Hernan Velez Jimenez </t>
  </si>
  <si>
    <t>NOTIFICACION POR CORREO deydivelez@gmail.com</t>
  </si>
  <si>
    <t>MDT-DRTSPL-2022-3848-EXTERNO</t>
  </si>
  <si>
    <t>MDT-DRTSPL-2022-2620-O</t>
  </si>
  <si>
    <t xml:space="preserve">Manuel de Jesús Jara Delgado </t>
  </si>
  <si>
    <t>NOTIFICACION POR CORREO majara689@hotmail.com</t>
  </si>
  <si>
    <t>MDT-DRTSPL-2022-3849-EXTERNO</t>
  </si>
  <si>
    <t>MDT-DRTSPL-2022-2621-O</t>
  </si>
  <si>
    <t>NOTIFICACION POR CORREO loremoreno023@gmail.com</t>
  </si>
  <si>
    <t>MDT-DRTSPL-2022-3850-EXTERNO</t>
  </si>
  <si>
    <t>MDT-DRTSPL-2022-2622-O</t>
  </si>
  <si>
    <t xml:space="preserve">Hilda del Rosario Luna Rojas </t>
  </si>
  <si>
    <t>NOTIFICACION POR CORREO hlunarosario02091972@outlook.es</t>
  </si>
  <si>
    <t>MDT-DRTSPL-2022-3851-EXTERNO</t>
  </si>
  <si>
    <t>MDT-DRTSPL-2022-2631-O</t>
  </si>
  <si>
    <t>NOTIFICACION POR CORREO jpablo984@hotmail.com</t>
  </si>
  <si>
    <t>MDT-DRTSPL-2022-3853-EXTERNO</t>
  </si>
  <si>
    <t>MDT-DRTSPL-2022-2632-O</t>
  </si>
  <si>
    <t xml:space="preserve">Wilmer Vicente Camacho Puglla </t>
  </si>
  <si>
    <t>NOTIFICACION POR CORREO wilmervicentecamacho@gmail.com</t>
  </si>
  <si>
    <t>MDT-DRTSPL-2022-3859-EXTERNO</t>
  </si>
  <si>
    <t>MDT-DRTSPL-2022-2635-O</t>
  </si>
  <si>
    <t>NOTIFICACION POR CORREO consorciojuridicoastudillos@gmail.com</t>
  </si>
  <si>
    <t>MDT-DRTSPL-2022-3860-EXTERNO</t>
  </si>
  <si>
    <t xml:space="preserve">Jorge Andres Bermeo Larrea </t>
  </si>
  <si>
    <t>MDT-DRTSPL-2022-3864-EXTERNO</t>
  </si>
  <si>
    <t>MDT-DRTSPL-2022-2638-O</t>
  </si>
  <si>
    <t xml:space="preserve">Luis Patricio Jaramillo Reyes </t>
  </si>
  <si>
    <t>MDT-DRTSPL-2022-3868-EXTERNO</t>
  </si>
  <si>
    <t>MDT-DRTSPL-2022-2641-O</t>
  </si>
  <si>
    <t xml:space="preserve">Herman Daniel Camacho Maza </t>
  </si>
  <si>
    <t>NOTIFICACION POR CORREO danyca1994@hotmail.com</t>
  </si>
  <si>
    <t>MDT-DRTSPL-2022-3870-EXTERNO</t>
  </si>
  <si>
    <t>MDT-DRTSPL-2022-2642-O</t>
  </si>
  <si>
    <t xml:space="preserve">Ronald Vicente Valladares Ruiz </t>
  </si>
  <si>
    <t>NOTIFICACION POR CORREO ruizrony43@gmail.com</t>
  </si>
  <si>
    <t>MDT-DRTSPL-2022-3871-EXTERNO</t>
  </si>
  <si>
    <t>MDT-DRTSPL-2022-2636-O</t>
  </si>
  <si>
    <t xml:space="preserve">Fabricio Fernando González Rivera </t>
  </si>
  <si>
    <t>NOTIFICACION POR CORREO fabriciofernandog11@yahoo.es</t>
  </si>
  <si>
    <t>MDT-DRTSPL-2022-3874-EXTERNO</t>
  </si>
  <si>
    <t>MDT-DRTSPL-2022-2646-O</t>
  </si>
  <si>
    <t>NOTIFICACION POR CORREO N/A</t>
  </si>
  <si>
    <t>MDT-DRTSPL-2022-3882-EXTERNO</t>
  </si>
  <si>
    <t>MDT-DRTSPL-2022-2647-O</t>
  </si>
  <si>
    <t>MDT-DRTSPL-2022-3883-EXTERNO</t>
  </si>
  <si>
    <t>MDT-DRTSPL-2022-2651-O</t>
  </si>
  <si>
    <t>MDT-DRTSPL-2022-3884-EXTERNO</t>
  </si>
  <si>
    <t>MDT-DRTSPL-2022-2652-O</t>
  </si>
  <si>
    <t>MDT-DRTSPL-2022-3886-EXTERNO</t>
  </si>
  <si>
    <t>MDT-DRTSPL-2022-2659-O</t>
  </si>
  <si>
    <t xml:space="preserve">Leydi Isabel Apolo Gonzaga </t>
  </si>
  <si>
    <t>NOTIFICACION POR CORREO abogadoandresSalinas@gmail.com</t>
  </si>
  <si>
    <t>MDT-DRTSPL-2022-3889-EXTERNO</t>
  </si>
  <si>
    <t>MDT-DRTSPL-2022-2653-O</t>
  </si>
  <si>
    <t xml:space="preserve">Junior Stalin Medina Armijos </t>
  </si>
  <si>
    <t>NOTIFICACION POR CORREO luisangel-69-6@hotmail.com</t>
  </si>
  <si>
    <t>MDT-DRTSPL-2022-3891-EXTERNO</t>
  </si>
  <si>
    <t>MDT-DRTSPL-2022-2660-O</t>
  </si>
  <si>
    <t xml:space="preserve">Víctor Emilio Santín Salazar </t>
  </si>
  <si>
    <t>NOTIFICACION POR CORREO asalas_1971@hotmail.com</t>
  </si>
  <si>
    <t>MDT-DRTSPL-2022-3892-EXTERNO</t>
  </si>
  <si>
    <t>MDT-DRTSPL-2022-2661-O</t>
  </si>
  <si>
    <t>MDT-DRTSPL-2022-3896-EXTERNO</t>
  </si>
  <si>
    <t>MDT-DRTSPL-2022-2662-O</t>
  </si>
  <si>
    <t>NOTIFICACION POR CORREO jaimeantonio07@hotmail.es</t>
  </si>
  <si>
    <t>MDT-DRTSPL-2022-3897-EXTERNO</t>
  </si>
  <si>
    <t>Mario Wladimir Pacheco Ibarra.</t>
  </si>
  <si>
    <t>DIRECCIÓN DE TECNOLOGÍAS DE LA INFORMACIÓN Y COMUNICACIÓN</t>
  </si>
  <si>
    <t>MDT-DTIC-2022-0934-M</t>
  </si>
  <si>
    <t xml:space="preserve">Ana Elizabeth Soto Carrion </t>
  </si>
  <si>
    <t>MDT-DRTSPL-2022-3898-EXTERNO</t>
  </si>
  <si>
    <t xml:space="preserve">Judy Paulina Galarraga Luzo </t>
  </si>
  <si>
    <t>DIRECCION REGIONAL DEL TRABAJO Y SERVICIO PÚBLICO DE QUITO</t>
  </si>
  <si>
    <t xml:space="preserve">Darwin Vinicio Villamagua Abarca </t>
  </si>
  <si>
    <t xml:space="preserve">NOTIFICACION POR CORREO </t>
  </si>
  <si>
    <t>MDT-DRTSPL-2022-3899-EXTERNO</t>
  </si>
  <si>
    <t>MDT-DRTSPL-2022-2649-O</t>
  </si>
  <si>
    <t>NOTIFICACION POR CORREO villamagua@outlook.es</t>
  </si>
  <si>
    <t>MDT-DRTSPL-2022-3907-EXTERNO</t>
  </si>
  <si>
    <t>MDT-DRTSPL-2022-2671-O</t>
  </si>
  <si>
    <t xml:space="preserve">Rosario Elizabeth Toledo </t>
  </si>
  <si>
    <t>NOTIFICACION POR CORREO federacionloja@yahoo.es</t>
  </si>
  <si>
    <t>MDT-DRTSPL-2022-3908-EXTERNO</t>
  </si>
  <si>
    <t>MDT-DRTSPL-2022-2673-O</t>
  </si>
  <si>
    <t>MDT-DRTSPL-2022-3909-EXTERNO</t>
  </si>
  <si>
    <t>MDT-DRTSPL-2022-2750-O</t>
  </si>
  <si>
    <t xml:space="preserve">Ángel Reinaldo Jiménez Villalta </t>
  </si>
  <si>
    <t>NOTIFICACION POR CORREO angelreynaldo1@hotmail.com</t>
  </si>
  <si>
    <t>MDT-DRTSPL-2022-3910-EXTERNO</t>
  </si>
  <si>
    <t>MDT-DRTSPL-2022-2681-O</t>
  </si>
  <si>
    <t xml:space="preserve">Nelson Augusto Pitisaca Flores </t>
  </si>
  <si>
    <t>NOTIFICACION POR CORREO santy-1910@outlook.com</t>
  </si>
  <si>
    <t>MDT-DRTSPL-2022-3911-EXTERNO</t>
  </si>
  <si>
    <t>MDT-DRTSPL-2022-2674-O</t>
  </si>
  <si>
    <t>NOTIFICACION POR CORREO jmarisol87@hotmail.com</t>
  </si>
  <si>
    <t>MDT-DRTSPL-2022-3912-EXTERNO</t>
  </si>
  <si>
    <t>MDT-DRTSPL-2022-2675-O</t>
  </si>
  <si>
    <t>MDT-DRTSPL-2022-3915-EXTERNO</t>
  </si>
  <si>
    <t>MDT-DRTSPL-2022-2676-O</t>
  </si>
  <si>
    <t xml:space="preserve">Ramón Gilberto Rodríguez Torres </t>
  </si>
  <si>
    <t>NOTIFICACION POR CORREO ramongrtorres@gmail.com</t>
  </si>
  <si>
    <t>MDT-DRTSPL-2022-3917-EXTERNO</t>
  </si>
  <si>
    <t>MDT-DRTSPL-2022-2683-O</t>
  </si>
  <si>
    <t xml:space="preserve">Alex Segundo Quezada Moncayo </t>
  </si>
  <si>
    <t>NOTIFICACION POR CORREO castroochoa.joseluis@hotmail.com</t>
  </si>
  <si>
    <t>MDT-DRTSPL-2022-3918-EXTERNO</t>
  </si>
  <si>
    <t>MDT-DRTSPL-2022-3922-EXTERNO</t>
  </si>
  <si>
    <t>MDT-DRTSPL-2022-2678-O</t>
  </si>
  <si>
    <t>NOTIFICACION POR CORREO marizacaljudicial@gmail.com</t>
  </si>
  <si>
    <t>MDT-DRTSPL-2022-3924-EXTERNO</t>
  </si>
  <si>
    <t>MDT-DRTSPL-2022-2682-O</t>
  </si>
  <si>
    <t xml:space="preserve">Diego Michael Iñiguez Caraguay </t>
  </si>
  <si>
    <t>NOTIFICACION POR CORREO diegoiniguez.1998@gmail.com</t>
  </si>
  <si>
    <t>MDT-DRTSPL-2022-3925-EXTERNO</t>
  </si>
  <si>
    <t>MDT-DRTSPL-2022-2684-O</t>
  </si>
  <si>
    <t xml:space="preserve">Toribio Fernando Vargas Jimenez </t>
  </si>
  <si>
    <t>NOTIFICACION POR CORREO fernandovargas1995@gmail.com</t>
  </si>
  <si>
    <t>MDT-DRTSPL-2022-3931-EXTERNO</t>
  </si>
  <si>
    <t>MDT-DRTSPL-2022-2685-O</t>
  </si>
  <si>
    <t>MDT-DRTSPL-2022-3932-EXTERNO</t>
  </si>
  <si>
    <t>MDT-DRTSPL-2022-2686-O</t>
  </si>
  <si>
    <t>NOTIFICACION POR CORREO jlqm1980@yahoo.es</t>
  </si>
  <si>
    <t>MDT-DRTSPL-2022-3937-EXTERNO</t>
  </si>
  <si>
    <t>MDT-DRTSPL-2022-2691-O</t>
  </si>
  <si>
    <t xml:space="preserve">Fausto Vinicio Sozoranga Chuncho </t>
  </si>
  <si>
    <t>NOTIFICACION POR CORREO faustosozo@hotmail.com</t>
  </si>
  <si>
    <t>MDT-DRTSPL-2022-3938-EXTERNO</t>
  </si>
  <si>
    <t>MDT-DRTSPL-2022-2692-O</t>
  </si>
  <si>
    <t xml:space="preserve">Sarita Azucena Ochoa Tamay </t>
  </si>
  <si>
    <t>NOTIFICACION POR CORREO gaby-q190@hotmail.com</t>
  </si>
  <si>
    <t>MDT-DRTSPL-2022-3939-EXTERNO</t>
  </si>
  <si>
    <t>MDT-DRTSPL-2022-2693-O</t>
  </si>
  <si>
    <t>NOTIFICACION POR CORREO henry198446@hotmail.com</t>
  </si>
  <si>
    <t>MDT-DRTSPL-2022-3940-EXTERNO</t>
  </si>
  <si>
    <t>MDT-DRTSPL-2022-2694-O</t>
  </si>
  <si>
    <t xml:space="preserve">Walter Alfredo Burneo Álvarez </t>
  </si>
  <si>
    <t>NOTIFICACION POR CORREO walterburneoa@hotmail.com</t>
  </si>
  <si>
    <t>MDT-DRTSPL-2022-3943-EXTERNO</t>
  </si>
  <si>
    <t>MDT-DRTSPL-2022-2695-O</t>
  </si>
  <si>
    <t>NOTIFICACION POR CORREO galoortega33@hotmail.com</t>
  </si>
  <si>
    <t>MDT-DRTSPL-2022-3946-EXTERNO</t>
  </si>
  <si>
    <t>MDT-DRTSPL-2022-2746-O</t>
  </si>
  <si>
    <t xml:space="preserve">Carlos Manuel Guarnizo </t>
  </si>
  <si>
    <t>NOTIFICACION POR CORREO frank_sinatra99@yahoo.es</t>
  </si>
  <si>
    <t>MDT-DRTSPL-2022-3947-EXTERNO</t>
  </si>
  <si>
    <t>MDT-DRTSPL-2022-2768-O</t>
  </si>
  <si>
    <t xml:space="preserve">Agalito Servilio Correa Guarnizo </t>
  </si>
  <si>
    <t>MDT-DRTSPL-2022-3948-EXTERNO</t>
  </si>
  <si>
    <t>MDT-DRTSPL-2022-2696-O</t>
  </si>
  <si>
    <t>MDT-DRTSPL-2022-3951-EXTERNO</t>
  </si>
  <si>
    <t>MDT-DRTSPL-2022-2687-O</t>
  </si>
  <si>
    <t>NOTIFICACION POR CORREO eduardo.espinosa@hotmail.com</t>
  </si>
  <si>
    <t>MDT-DRTSPL-2022-3953-EXTERNO</t>
  </si>
  <si>
    <t>MDT-DRTSPL-2022-2697-O</t>
  </si>
  <si>
    <t xml:space="preserve">Spencer Reiman Bledsoe </t>
  </si>
  <si>
    <t>NOTIFICACION POR CORREO jose.feb@hotmail.com</t>
  </si>
  <si>
    <t>MDT-DRTSPL-2022-3954-EXTERNO</t>
  </si>
  <si>
    <t>MDT-DRTSPL-2022-2700-O</t>
  </si>
  <si>
    <t>NOTIFICACION POR CORREO verorey11@gmail.com</t>
  </si>
  <si>
    <t>MDT-DRTSPL-2022-3969-EXTERNO</t>
  </si>
  <si>
    <t>MDT-DRTSPL-2022-2706-O</t>
  </si>
  <si>
    <t>NOTIFICACION POR CORREO lklaussdag16@hotmail.com</t>
  </si>
  <si>
    <t>MDT-DRTSPL-2022-3972-EXTERNO</t>
  </si>
  <si>
    <t>MDT-DRTSPL-2022-2707-O</t>
  </si>
  <si>
    <t xml:space="preserve">Ernesto Salvador Alvear Sarmiento </t>
  </si>
  <si>
    <t>NOTIFICACION POR CORREO alvear.1977@gmail.com</t>
  </si>
  <si>
    <t>MDT-DRTSPL-2022-3978-EXTERNO</t>
  </si>
  <si>
    <t>MDT-DRTSPL-2022-2708-O</t>
  </si>
  <si>
    <t>NOTIFICACION POR CORREO maryromero1963@hotmail.com</t>
  </si>
  <si>
    <t>MDT-DRTSPL-2022-3979-EXTERNO</t>
  </si>
  <si>
    <t>MDT-DRTSPL-2022-2710-O</t>
  </si>
  <si>
    <t>NOTIFICACION POR CORREO leosantin13@hotmail.com</t>
  </si>
  <si>
    <t>MDT-DRTSPL-2022-3983-EXTERNO</t>
  </si>
  <si>
    <t>MDT-DRTSPL-2022-2709-O</t>
  </si>
  <si>
    <t xml:space="preserve">Franklin Vinicio Cuenca Zhingre </t>
  </si>
  <si>
    <t>NOTIFICACION POR CORREO frankca81@outlook.com</t>
  </si>
  <si>
    <t>MDT-DRTSPL-2022-3984-EXTERNO</t>
  </si>
  <si>
    <t>MDT-DRTSPL-2022-2740-O</t>
  </si>
  <si>
    <t xml:space="preserve">Dennys Gonzalo Gabela Guamán </t>
  </si>
  <si>
    <t>NOTIFICACION POR CORREO fhdegab@gmail.com</t>
  </si>
  <si>
    <t>MDT-DRTSPL-2022-3986-EXTERNO</t>
  </si>
  <si>
    <t>MDT-DRTSPL-2022-2711-O</t>
  </si>
  <si>
    <t xml:space="preserve">Fernandez Torres Jack Alexander </t>
  </si>
  <si>
    <t>MDT-DRTSPL-2022-3987-EXTERNO</t>
  </si>
  <si>
    <t>MDT-DRTSPL-2022-2712-O</t>
  </si>
  <si>
    <t>MDT-DRTSPL-2022-3997-EXTERNO</t>
  </si>
  <si>
    <t>MDT-DRTSPL-2022-2713-O</t>
  </si>
  <si>
    <t>MDT-DRTSPL-2022-3999-EXTERNO</t>
  </si>
  <si>
    <t>MDT-DRTSPL-2022-2714-O</t>
  </si>
  <si>
    <t>NOTIFICACION POR CORREO lydiamedina274@gmail.com</t>
  </si>
  <si>
    <t>MDT-DRTSPL-2022-4004-EXTERNO</t>
  </si>
  <si>
    <t>MDT-DRTSPL-2022-2715-O</t>
  </si>
  <si>
    <t xml:space="preserve">Luz Maria Paucar Alvarado </t>
  </si>
  <si>
    <t>NOTIFICACION POR CORREO lusyta_13@hotmail.com</t>
  </si>
  <si>
    <t>MDT-DRTSPL-2022-4005-EXTERNO</t>
  </si>
  <si>
    <t>MDT-DRTSPL-2022-2717-O</t>
  </si>
  <si>
    <t>MDT-DRTSPL-2022-4008-EXTERNO</t>
  </si>
  <si>
    <t>MDT-DRTSPL-2022-2718-O</t>
  </si>
  <si>
    <t xml:space="preserve">Nora Carolina Leon Quizhpe </t>
  </si>
  <si>
    <t>NOTIFICACION POR CORREO rob.angamarca@hotmail.com</t>
  </si>
  <si>
    <t>MDT-DRTSPL-2022-4015-EXTERNO</t>
  </si>
  <si>
    <t>MDT-DRTSPL-2022-2719-O</t>
  </si>
  <si>
    <t>NOTIFICACION POR CORREO michaeltoscano69@gmail.com</t>
  </si>
  <si>
    <t>MDT-DRTSPL-2022-4016-EXTERNO</t>
  </si>
  <si>
    <t>MDT-DRTSPL-2022-2720-O</t>
  </si>
  <si>
    <t xml:space="preserve">Diego Israel Sisalima Delgado </t>
  </si>
  <si>
    <t>NOTIFICACION POR CORREO diegosisalima7@gmail.com</t>
  </si>
  <si>
    <t>MDT-DRTSPL-2022-4018-EXTERNO</t>
  </si>
  <si>
    <t>MDT-DRTSPL-2022-2721-O</t>
  </si>
  <si>
    <t xml:space="preserve">Ángel Geovanny Rivera Pogo </t>
  </si>
  <si>
    <t>NOTIFICACION POR CORREO kpishy25_@hotmail.com</t>
  </si>
  <si>
    <t>MDT-DRTSPL-2022-4019-EXTERNO</t>
  </si>
  <si>
    <t>MDT-DRTSPL-2022-2724-O</t>
  </si>
  <si>
    <t>NOTIFICACION POR CORREO manologranillo@hotmail.com</t>
  </si>
  <si>
    <t>MDT-DRTSPL-2022-4020-EXTERNO</t>
  </si>
  <si>
    <t>MDT-DRTSPL-2022-2723-O</t>
  </si>
  <si>
    <t xml:space="preserve">Luis Alberto Diaz Sandoya </t>
  </si>
  <si>
    <t>NOTIFICACION POR CORREO jgvicencio.a@gmail.com</t>
  </si>
  <si>
    <t>MDT-DRTSPL-2022-4029-EXTERNO</t>
  </si>
  <si>
    <t xml:space="preserve">Edgar Manuel Azuero Yunga </t>
  </si>
  <si>
    <t>NOTIFICACION POR CORREO rdelgado2012@hotmail.es</t>
  </si>
  <si>
    <t>MDT-DRTSPL-2022-4032-EXTERNO</t>
  </si>
  <si>
    <t>MDT-DRTSPL-2022-2725-O</t>
  </si>
  <si>
    <t xml:space="preserve">Angel Alfredo Armijos Armijos </t>
  </si>
  <si>
    <t>NOTIFICACION POR CORREO angelarmijos09@hotmail.com</t>
  </si>
  <si>
    <t>MDT-DRTSPL-2022-4033-EXTERNO</t>
  </si>
  <si>
    <t>MDT-DRTSPL-2022-2726-O</t>
  </si>
  <si>
    <t xml:space="preserve">Victor Elias Silva Ordoñez </t>
  </si>
  <si>
    <t>NOTIFICACION POR CORREO eliansilva1992@gmail.com</t>
  </si>
  <si>
    <t>MDT-DRTSPL-2022-4035-EXTERNO</t>
  </si>
  <si>
    <t>MDT-DRTSPL-2022-2727-O</t>
  </si>
  <si>
    <t>MDT-DRTSPL-2022-4036-EXTERNO</t>
  </si>
  <si>
    <t>MDT-DRTSPL-2022-2732-O</t>
  </si>
  <si>
    <t>MDT-DRTSPL-2022-4040-EXTERNO</t>
  </si>
  <si>
    <t xml:space="preserve">Santos Abelardo López Martínez  </t>
  </si>
  <si>
    <t>MDT-DOL-2022-0549-O</t>
  </si>
  <si>
    <t>MDT-DRTSPL-2022-4043-EXTERNO</t>
  </si>
  <si>
    <t>MDT-DRTSPL-2022-2733-O</t>
  </si>
  <si>
    <t xml:space="preserve">Juan Carlos Apolo </t>
  </si>
  <si>
    <t>MDT-DRTSPL-2022-4047-EXTERNO</t>
  </si>
  <si>
    <t>MDT-DRTSPL-2022-2747-O</t>
  </si>
  <si>
    <t xml:space="preserve">Angel Ramiro Vasquez Ruiz </t>
  </si>
  <si>
    <t>NOTIFICACION POR CORREO ramirovasq357@gmail.com</t>
  </si>
  <si>
    <t>MDT-DRTSPL-2022-4049-EXTERNO</t>
  </si>
  <si>
    <t>MDT-DRTSPL-2022-2748-O</t>
  </si>
  <si>
    <t>NOTIFICACION POR CORREO maverlegal@gmail.com</t>
  </si>
  <si>
    <t>MDT-DRTSPL-2022-4050-EXTERNO</t>
  </si>
  <si>
    <t>MDT-DRTSPL-2022-2749-O</t>
  </si>
  <si>
    <t xml:space="preserve">Pablo Vinicio Cordova Lanche </t>
  </si>
  <si>
    <t>NOTIFICACION POR CORREO pablocordova825@gmail.com</t>
  </si>
  <si>
    <t>MDT-DRTSPL-2022-4051-EXTERNO</t>
  </si>
  <si>
    <t>MDT-DRTSPL-2022-2752-O</t>
  </si>
  <si>
    <t xml:space="preserve">Nancy Patricia Veintimilla Puga </t>
  </si>
  <si>
    <t>MDT-DRTSPL-2022-4052-EXTERNO</t>
  </si>
  <si>
    <t>MDT-DRTSPL-2022-2751-O</t>
  </si>
  <si>
    <t xml:space="preserve">Carlos Eduardo Mera Mera </t>
  </si>
  <si>
    <t>NOTIFICACION POR CORREO huilmer2013@gmail.com</t>
  </si>
  <si>
    <t>MDT-DRTSPL-2022-4053-EXTERNO</t>
  </si>
  <si>
    <t>MDT-DRTSPL-2022-2814-O</t>
  </si>
  <si>
    <t>MDT-DRTSPL-2022-4057-EXTERNO</t>
  </si>
  <si>
    <t>MDT-DRTSPL-2022-2755-O</t>
  </si>
  <si>
    <t xml:space="preserve">Alex Ricardo Valarezo Veintimilla </t>
  </si>
  <si>
    <t>NOTIFICACION POR CORREO axlvala@hotmail.com</t>
  </si>
  <si>
    <t>MDT-DRTSPL-2022-4058-EXTERNO</t>
  </si>
  <si>
    <t>MDT-DRTSPL-2022-2756-O</t>
  </si>
  <si>
    <t xml:space="preserve">Jose Fernando Peña Moreno </t>
  </si>
  <si>
    <t>NOTIFICACION POR CORREO jfernandop6@gmail.com</t>
  </si>
  <si>
    <t>MDT-DRTSPL-2022-4062-EXTERNO</t>
  </si>
  <si>
    <t>MDT-DRTSPL-2022-2757-O</t>
  </si>
  <si>
    <t>NOTIFICACION POR CORREO tipico5@hotmail.com</t>
  </si>
  <si>
    <t>MDT-DRTSPL-2022-4063-EXTERNO</t>
  </si>
  <si>
    <t>MDT-DRTSPL-2022-2758-O</t>
  </si>
  <si>
    <t>NOTIFICACION POR CORREO gerardo_carrion10@yahoo.com</t>
  </si>
  <si>
    <t>MDT-DRTSPL-2022-4064-EXTERNO</t>
  </si>
  <si>
    <t>MDT-DRTSPL-2022-2759-O</t>
  </si>
  <si>
    <t xml:space="preserve">Victor Renato Ramon Medina </t>
  </si>
  <si>
    <t>NOTIFICACION POR CORREO renatooramon@gmail.com</t>
  </si>
  <si>
    <t>MDT-DRTSPL-2022-4067-EXTERNO</t>
  </si>
  <si>
    <t>MDT-DRTSPL-2022-2760-O</t>
  </si>
  <si>
    <t xml:space="preserve">Luis Rene Colaizaca Criollo </t>
  </si>
  <si>
    <t>NOTIFICACION POR CORREO luisreneco.11031@gmail.com</t>
  </si>
  <si>
    <t>MDT-DRTSPL-2022-4068-EXTERNO</t>
  </si>
  <si>
    <t>MDT-DRTSPL-2022-2778-O</t>
  </si>
  <si>
    <t xml:space="preserve">Lorena Yadira Luna Jaramillo </t>
  </si>
  <si>
    <t>NOTIFICACION POR CORREO cadm2005@hotmail.com</t>
  </si>
  <si>
    <t>MDT-DRTSPL-2022-4074-EXTERNO</t>
  </si>
  <si>
    <t>MDT-DRTSPL-2022-2763-O</t>
  </si>
  <si>
    <t xml:space="preserve">Edwin Patricio Cuenca Poma </t>
  </si>
  <si>
    <t>NOTIFICACION POR CORREO cuencapomae@gmail.com</t>
  </si>
  <si>
    <t>MDT-DRTSPL-2022-4075-EXTERNO</t>
  </si>
  <si>
    <t>MDT-DRTSPL-2022-2764-O</t>
  </si>
  <si>
    <t xml:space="preserve">Walter Mauricio Angamarca Angamarca </t>
  </si>
  <si>
    <t>NOTIFICACION POR CORREO manucok1984@hotmail.com</t>
  </si>
  <si>
    <t>MDT-DRTSPL-2022-4078-EXTERNO</t>
  </si>
  <si>
    <t>MDT-DRTSPL-2022-2765-O</t>
  </si>
  <si>
    <t>MDT-DRTSPL-2022-4080-EXTERNO</t>
  </si>
  <si>
    <t>MDT-DRTSPL-2022-2766-O</t>
  </si>
  <si>
    <t xml:space="preserve">Briggite Adamaris Mijas Valencia </t>
  </si>
  <si>
    <t>NOTIFICACION POR CORREO jorgejimenez-aso41@hotmail.com</t>
  </si>
  <si>
    <t>MDT-DRTSPL-2022-4084-EXTERNO</t>
  </si>
  <si>
    <t>MDT-DRTSPL-2022-2767-O</t>
  </si>
  <si>
    <t xml:space="preserve">July Elizabeth Obaco Cajas </t>
  </si>
  <si>
    <t>NOTIFICACION POR CORREO cajasduarte-jc@hotmail.com</t>
  </si>
  <si>
    <t>MDT-DRTSPL-2022-4085-EXTERNO</t>
  </si>
  <si>
    <t>MDT-DRTSPL-2022-2769-O</t>
  </si>
  <si>
    <t>NOTIFICACION POR CORREO vanesaja@yahoo.es</t>
  </si>
  <si>
    <t>MDT-DRTSPL-2022-4086-EXTERNO</t>
  </si>
  <si>
    <t>MDT-DRTSPL-2022-2771-O</t>
  </si>
  <si>
    <t>MDT-DRTSPL-2022-4087-EXTERNO</t>
  </si>
  <si>
    <t>MDT-DRTSPL-2022-2772-O</t>
  </si>
  <si>
    <t>MDT-DRTSPL-2022-4088-EXTERNO</t>
  </si>
  <si>
    <t>MDT-DRTSPL-2022-2773-O</t>
  </si>
  <si>
    <t>MDT-DRTSPL-2022-4089-EXTERNO</t>
  </si>
  <si>
    <t>MDT-DRTSPL-2022-2774-O</t>
  </si>
  <si>
    <t>MDT-DRTSPL-2022-4091-EXTERNO</t>
  </si>
  <si>
    <t>MDT-DRTSPL-2022-2775-O</t>
  </si>
  <si>
    <t>NOTIFICACION POR CORREO me6897529@gmail.com</t>
  </si>
  <si>
    <t>MDT-DRTSPL-2022-4092-EXTERNO</t>
  </si>
  <si>
    <t>MDT-DRTSPL-2022-2776-O</t>
  </si>
  <si>
    <t xml:space="preserve">Domingo Francisco Alejo Michay </t>
  </si>
  <si>
    <t>NOTIFICACION POR CORREO ramirocj@yahoo.com</t>
  </si>
  <si>
    <t>MDT-DRTSPL-2022-4093-EXTERNO</t>
  </si>
  <si>
    <t>MDT-DRTSPL-2022-2777-O</t>
  </si>
  <si>
    <t>NOTIFICACION POR CORREO ramiroaguirre.ab@gmail.com</t>
  </si>
  <si>
    <t>MDT-DRTSPL-2022-4094-EXTERNO</t>
  </si>
  <si>
    <t xml:space="preserve">Rosa Marlene Rey Curay </t>
  </si>
  <si>
    <t>MDT-DPTSPZCH-2022-0173-O</t>
  </si>
  <si>
    <t xml:space="preserve">Carlos Antonio Delgado Montoya </t>
  </si>
  <si>
    <t>MDT-DRTSPL-2022-4102-EXTERNO</t>
  </si>
  <si>
    <t>MDT-DRTSPL-2022-2779-O</t>
  </si>
  <si>
    <t>MDT-DRTSPL-2022-4104-EXTERNO</t>
  </si>
  <si>
    <t>MDT-DRTSPL-2022-2780-O</t>
  </si>
  <si>
    <t>NOTIFICACION POR CORREO quezadaojedajorgericardo@yahoo.es</t>
  </si>
  <si>
    <t>MDT-DRTSPL-2022-4105-EXTERNO</t>
  </si>
  <si>
    <t>MDT-DRTSPL-2022-2781-O</t>
  </si>
  <si>
    <t>MDT-DRTSPL-2022-4106-EXTERNO</t>
  </si>
  <si>
    <t>MDT-DRTSPL-2022-2787-O</t>
  </si>
  <si>
    <t>MDT-DRTSPL-2022-4107-EXTERNO</t>
  </si>
  <si>
    <t>MDT-DRTSPL-2022-2739-O</t>
  </si>
  <si>
    <t xml:space="preserve">Manuel David Guaman Encalada </t>
  </si>
  <si>
    <t>NOTIFICACION POR CORREO karlagr1986@gmail.com</t>
  </si>
  <si>
    <t>MDT-DRTSPL-2022-4110-EXTERNO</t>
  </si>
  <si>
    <t>MDT-DRTSPL-2022-2789-O</t>
  </si>
  <si>
    <t>MDT-DRTSPL-2022-4111-EXTERNO</t>
  </si>
  <si>
    <t>MDT-DRTSPL-2022-2790-O</t>
  </si>
  <si>
    <t>MDT-DRTSPL-2022-4112-EXTERNO</t>
  </si>
  <si>
    <t>MDT-DRTSPL-2022-2791-O</t>
  </si>
  <si>
    <t>MDT-DRTSPL-2022-4113-EXTERNO</t>
  </si>
  <si>
    <t>MDT-DRTSPL-2022-2811-O</t>
  </si>
  <si>
    <t>MDT-DRTSPL-2022-4114-EXTERNO</t>
  </si>
  <si>
    <t>MDT-DRTSPL-2022-2812-O</t>
  </si>
  <si>
    <t>MDT-DRTSPL-2022-4115-EXTERNO</t>
  </si>
  <si>
    <t>MDT-DRTSPL-2022-2815-O</t>
  </si>
  <si>
    <t>MDT-DRTSPL-2022-4116-EXTERNO</t>
  </si>
  <si>
    <t>MDT-DRTSPL-2022-2816-O</t>
  </si>
  <si>
    <t>MDT-DRTSPL-2022-4117-EXTERNO</t>
  </si>
  <si>
    <t>MDT-DRTSPL-2022-2817-O</t>
  </si>
  <si>
    <t>MDT-DRTSPL-2022-4118-EXTERNO</t>
  </si>
  <si>
    <t>MDT-DRTSPL-2022-2818-O</t>
  </si>
  <si>
    <t>MDT-DRTSPL-2022-4119-EXTERNO</t>
  </si>
  <si>
    <t>MDT-DRTSPL-2022-2822-O</t>
  </si>
  <si>
    <t>MDT-DRTSPL-2022-4120-EXTERNO</t>
  </si>
  <si>
    <t>MDT-DRTSPL-2022-2823-O</t>
  </si>
  <si>
    <t>MDT-DRTSPL-2022-4121-EXTERNO</t>
  </si>
  <si>
    <t>MDT-DRTSPL-2022-2824-O</t>
  </si>
  <si>
    <t>MDT-DRTSPL-2022-4122-EXTERNO</t>
  </si>
  <si>
    <t>MDT-DRTSPL-2022-2825-O</t>
  </si>
  <si>
    <t>MDT-DRTSPL-2022-4123-EXTERNO</t>
  </si>
  <si>
    <t>MDT-DRTSPL-2022-2827-O</t>
  </si>
  <si>
    <t>MDT-DRTSPL-2022-4124-EXTERNO</t>
  </si>
  <si>
    <t>MDT-DSG-2022-2481-MEMORANDO / MDT-DRTSPL-2022-3064-O</t>
  </si>
  <si>
    <t xml:space="preserve">Eduardo Patricio Armijos Tandazo </t>
  </si>
  <si>
    <t>NOTIFICACION POR CORREO diegorivas1985@yahoo.es</t>
  </si>
  <si>
    <t>MDT-DRTSPL-2022-4131-EXTERNO</t>
  </si>
  <si>
    <t>MDT-DRTSPL-2022-2793-O</t>
  </si>
  <si>
    <t xml:space="preserve">Andres Ivan Correa Cardenas </t>
  </si>
  <si>
    <t>MDT-DRTSPL-2022-4132-EXTERNO</t>
  </si>
  <si>
    <t>MDT-DRTSPL-2022-2794-O</t>
  </si>
  <si>
    <t>MDT-DRTSPL-2022-4133-EXTERNO</t>
  </si>
  <si>
    <t>MDT-DRTSPL-2022-2797-O</t>
  </si>
  <si>
    <t xml:space="preserve">Angel Ramiro Curipoma Curipoma </t>
  </si>
  <si>
    <t>NOTIFICACION POR CORREO ab.franklinangamarca@hotmail.com</t>
  </si>
  <si>
    <t>MDT-DRTSPL-2022-4134-EXTERNO</t>
  </si>
  <si>
    <t>MDT-DRTSPL-2022-2795-O</t>
  </si>
  <si>
    <t>MDT-DRTSPL-2022-4138-EXTERNO</t>
  </si>
  <si>
    <t>MDT-DRTSPL-2022-2804-O</t>
  </si>
  <si>
    <t xml:space="preserve">Mauricio Castillo Peña </t>
  </si>
  <si>
    <t>NOTIFICACION POR CORREO rioacuamp3120@gmail.com</t>
  </si>
  <si>
    <t>MDT-DRTSPL-2022-4139-EXTERNO</t>
  </si>
  <si>
    <t>MDT-DRTSPL-2022-2805-O</t>
  </si>
  <si>
    <t>NOTIFICACION POR CORREO consuelo_diaz7@hotmail.com</t>
  </si>
  <si>
    <t>MDT-DRTSPL-2022-4140-EXTERNO</t>
  </si>
  <si>
    <t>MDT-DRTSPL-2022-2842-O</t>
  </si>
  <si>
    <t xml:space="preserve">Milton Efren Jimenez Salazar </t>
  </si>
  <si>
    <t>NOTIFICACION POR CORREO richinchao@outlook.es</t>
  </si>
  <si>
    <t>MDT-DRTSPL-2022-4141-EXTERNO</t>
  </si>
  <si>
    <t>MDT-DRTSPL-2022-2792-O</t>
  </si>
  <si>
    <t xml:space="preserve">Germán Anibal Cochancela Narváez </t>
  </si>
  <si>
    <t>MDT-DRTSPL-2022-4142-EXTERNO</t>
  </si>
  <si>
    <t>MDT-DRTSPL-2022-2806-O</t>
  </si>
  <si>
    <t>MDT-DRTSPL-2022-4143-EXTERNO</t>
  </si>
  <si>
    <t>MDT-DRTSPL-2022-2807-O</t>
  </si>
  <si>
    <t>MDT-DRTSPL-2022-4146-EXTERNO</t>
  </si>
  <si>
    <t>MDT-DRTSPL-2022-2837-O</t>
  </si>
  <si>
    <t xml:space="preserve">Jorge Mauricio Jaramillo Villamagua </t>
  </si>
  <si>
    <t>NOTIFICACION POR CORREO jjaramillovi@gmail.com</t>
  </si>
  <si>
    <t>MDT-DRTSPL-2022-4148-EXTERNO</t>
  </si>
  <si>
    <t>MDT-DRTSPL-2022-2782-O</t>
  </si>
  <si>
    <t xml:space="preserve">Jorge Luis Espinoza Gálvez </t>
  </si>
  <si>
    <t>NOTIFICACION POR CORREO j.lespinoza@hotmail.com</t>
  </si>
  <si>
    <t>MDT-DRTSPL-2022-4149-EXTERNO</t>
  </si>
  <si>
    <t>MDT-DRTSPL-2022-2921-O</t>
  </si>
  <si>
    <t>NOTIFICACION POR CORREO entrega física</t>
  </si>
  <si>
    <t>MDT-DRTSPL-2022-4150-EXTERNO</t>
  </si>
  <si>
    <t>MDT-DRTSPL-2022-2808-O</t>
  </si>
  <si>
    <t>NOTIFICACION POR CORREO coroneltp@fiscalia.gob.ec</t>
  </si>
  <si>
    <t>MDT-DRTSPL-2022-4155-EXTERNO</t>
  </si>
  <si>
    <t>MDT-DRTSPL-2022-2809-O</t>
  </si>
  <si>
    <t xml:space="preserve">Jonathan Andres Muñoz Cevallos </t>
  </si>
  <si>
    <t>NOTIFICACION POR CORREO jmunozab93@gmail.com</t>
  </si>
  <si>
    <t>MDT-DRTSPL-2022-4156-EXTERNO</t>
  </si>
  <si>
    <t>MDT-DRTSPL-2022-2810-O</t>
  </si>
  <si>
    <t xml:space="preserve">Miguel Angel Placencia Macas </t>
  </si>
  <si>
    <t>NOTIFICACION POR CORREO mig_elito_23@hotmail.es</t>
  </si>
  <si>
    <t>MDT-DRTSPL-2022-4161-EXTERNO</t>
  </si>
  <si>
    <t>MDT-DRTSPL-2022-2828-O</t>
  </si>
  <si>
    <t xml:space="preserve">Luis Alfonso Medina Gordillo </t>
  </si>
  <si>
    <t>NOTIFICACION POR CORREO yerela@yahoo.es</t>
  </si>
  <si>
    <t>MDT-DRTSPL-2022-4164-EXTERNO</t>
  </si>
  <si>
    <t>MDT-DRTSPL-2022-2844-O</t>
  </si>
  <si>
    <t xml:space="preserve">Maria Ines Palacios Alvarado </t>
  </si>
  <si>
    <t>NOTIFICACION POR CORREO dichuro3005@gmail.com</t>
  </si>
  <si>
    <t>MDT-DRTSPL-2022-4166-EXTERNO</t>
  </si>
  <si>
    <t>MDT-DRTSPL-2022-2813-O</t>
  </si>
  <si>
    <t xml:space="preserve">Carlos Humberto Ochoa Valdivieso </t>
  </si>
  <si>
    <t>NOTIFICACION POR CORREO xime26ochoa@gmail.com</t>
  </si>
  <si>
    <t>MDT-DRTSPL-2022-4173-EXTERNO</t>
  </si>
  <si>
    <t>MDT-DRTSPL-2022-2846-O</t>
  </si>
  <si>
    <t>Patricia Catalina Picoita Astudillo</t>
  </si>
  <si>
    <t>NOTIFICACION POR CORREO soledadceli-16@hotmail.com</t>
  </si>
  <si>
    <t>MDT-DRTSPL-2022-4175-EXTERNO</t>
  </si>
  <si>
    <t>MDT-DRTSPL-2022-2829-O</t>
  </si>
  <si>
    <t xml:space="preserve">Joffre Rigoberto Moreno Samaniego </t>
  </si>
  <si>
    <t>NOTIFICACION POR CORREO joffremoreno89@gmail.com</t>
  </si>
  <si>
    <t>MDT-DRTSPL-2022-4180-EXTERNO</t>
  </si>
  <si>
    <t>MDT-DRTSPL-2022-2831-O</t>
  </si>
  <si>
    <t xml:space="preserve">Cesar Anibal Gonzalez Gualan </t>
  </si>
  <si>
    <t>MDT-DRTSPL-2022-4191-EXTERNO</t>
  </si>
  <si>
    <t>MDT-DRTSPL-2022-2833-O</t>
  </si>
  <si>
    <t>NOTIFICACION POR CORREO jcarlosjime@hotmail.es</t>
  </si>
  <si>
    <t>MDT-DRTSPL-2022-4192-EXTERNO</t>
  </si>
  <si>
    <t>MDT-DRTSPL-2022-2848-O</t>
  </si>
  <si>
    <t xml:space="preserve">Rosa Margarita Morocho Aguilar </t>
  </si>
  <si>
    <t>NOTIFICACION POR CORREO rosamar97611@hotmail.com</t>
  </si>
  <si>
    <t>MDT-DRTSPL-2022-4193-EXTERNO</t>
  </si>
  <si>
    <t>MDT-DRTSPL-2022-2834-O</t>
  </si>
  <si>
    <t>MDT-DRTSPL-2022-4197-EXTERNO</t>
  </si>
  <si>
    <t>MDT-DRTSPL-2022-2835-O</t>
  </si>
  <si>
    <t xml:space="preserve">Julio Fabian Paladines Diaz </t>
  </si>
  <si>
    <t>NOTIFICACION POR CORREO jfpaladines1988@hotmail.com</t>
  </si>
  <si>
    <t>MDT-DRTSPL-2022-4200-EXTERNO</t>
  </si>
  <si>
    <t>MDT-DRTSPL-2022-2836-O</t>
  </si>
  <si>
    <t xml:space="preserve">David Stalin Faican Gonzalez </t>
  </si>
  <si>
    <t>NOTIFICACION POR CORREO davidfaican13@gmail.com</t>
  </si>
  <si>
    <t>MDT-DRTSPL-2022-4201-EXTERNO</t>
  </si>
  <si>
    <t>MDT-DRTSPL-2022-2838-O</t>
  </si>
  <si>
    <t xml:space="preserve">Carlos Alberto Cuenca Cabrera </t>
  </si>
  <si>
    <t>NOTIFICACION POR CORREO abgcabrera.carlos45@gmail.com</t>
  </si>
  <si>
    <t>MDT-DRTSPL-2022-4223-EXTERNO</t>
  </si>
  <si>
    <t>MDT-DRTSPL-2022-2839-O</t>
  </si>
  <si>
    <t xml:space="preserve">Jesus Alfonso Villalobos Villalobos </t>
  </si>
  <si>
    <t>NOTIFICACION POR CORREO jesusvillalobos06@gmail.com</t>
  </si>
  <si>
    <t>MDT-DRTSPL-2022-4224-EXTERNO</t>
  </si>
  <si>
    <t xml:space="preserve">Irene Maricela Llumipanta Llumipanta </t>
  </si>
  <si>
    <t>MDT-DSG-2022-2563-MEMORAND</t>
  </si>
  <si>
    <t>NOTIFICACION POR CORREO diana_silva0617@outlook.com</t>
  </si>
  <si>
    <t>MDT-DRTSPL-2022-4227-EXTERNO</t>
  </si>
  <si>
    <t>MDT-DRTSPL-2022-2894-O</t>
  </si>
  <si>
    <t xml:space="preserve">Mariela Karina Jimenez Tocto </t>
  </si>
  <si>
    <t>NOTIFICACION POR CORREO marielajimenez1995@gmail.com</t>
  </si>
  <si>
    <t>MDT-DRTSPL-2022-4228-EXTERNO</t>
  </si>
  <si>
    <t>MDT-DRTSPL-2022-2843-O</t>
  </si>
  <si>
    <t xml:space="preserve">Wilson Vicente Maldonado Hoyos </t>
  </si>
  <si>
    <t>NOTIFICACION POR CORREO expovisa@yahoo.es</t>
  </si>
  <si>
    <t>MDT-DRTSPL-2022-4229-EXTERNO</t>
  </si>
  <si>
    <t>MDT-DRTSPL-2022-2841-O</t>
  </si>
  <si>
    <t xml:space="preserve">Jhofre Anibal Chamba Valdiviezo </t>
  </si>
  <si>
    <t>NOTIFICACION POR CORREO diegocm12396@gmail.com</t>
  </si>
  <si>
    <t>MDT-DRTSPL-2022-4230-EXTERNO</t>
  </si>
  <si>
    <t>MDT-DRTSPL-2022-2840-O</t>
  </si>
  <si>
    <t xml:space="preserve">Marco Vinicio Jimenez Pereira </t>
  </si>
  <si>
    <t>NOTIFICACION POR CORREO marco.vinic@hotmail.es</t>
  </si>
  <si>
    <t>MDT-DRTSPL-2022-4232-EXTERNO</t>
  </si>
  <si>
    <t>MDT-DRTSPL-2022-2845-O</t>
  </si>
  <si>
    <t>MDT-DRTSPL-2022-4233-EXTERNO</t>
  </si>
  <si>
    <t>MDT-DRTSPL-2022-2847-O</t>
  </si>
  <si>
    <t xml:space="preserve">Fátima María Alves Naranjo </t>
  </si>
  <si>
    <t>NOTIFICACION POR CORREO fmalves7@gmail.com</t>
  </si>
  <si>
    <t>MDT-DRTSPL-2022-4234-EXTERNO</t>
  </si>
  <si>
    <t>MDT-DRTSPL-2022-2861-O</t>
  </si>
  <si>
    <t xml:space="preserve">Pablo Geovanny Cruz Herrera </t>
  </si>
  <si>
    <t>NOTIFICACION POR CORREO pablo.cruz88@gmail.com</t>
  </si>
  <si>
    <t>MDT-DRTSPL-2022-4237-EXTERNO</t>
  </si>
  <si>
    <t>MDT-DRTSPL-2022-2851-O</t>
  </si>
  <si>
    <t xml:space="preserve">Edwin Rolando Minga Chimbo </t>
  </si>
  <si>
    <t>NOTIFICACION POR CORREO mriansol@gmail.com</t>
  </si>
  <si>
    <t>MDT-DRTSPL-2022-4238-EXTERNO</t>
  </si>
  <si>
    <t>MDT-DRTSPL-2022-2852-O</t>
  </si>
  <si>
    <t>MDT-DRTSPL-2022-4239-EXTERNO</t>
  </si>
  <si>
    <t>MDT-DRTSPL-2022-2853-O</t>
  </si>
  <si>
    <t>MDT-DRTSPL-2022-4240-EXTERNO</t>
  </si>
  <si>
    <t>MDT-DRTSPL-2022-2854-O</t>
  </si>
  <si>
    <t>MDT-DRTSPL-2022-4241-EXTERNO</t>
  </si>
  <si>
    <t>MDT-DRTSPL-2022-2855-O</t>
  </si>
  <si>
    <t>MDT-DRTSPL-2022-4242-EXTERNO</t>
  </si>
  <si>
    <t>MDT-DRTSPL-2022-2856-O</t>
  </si>
  <si>
    <t>MDT-DRTSPL-2022-4243-EXTERNO</t>
  </si>
  <si>
    <t>MDT-DRTSPL-2022-2857-O</t>
  </si>
  <si>
    <t>MDT-DRTSPL-2022-4244-EXTERNO</t>
  </si>
  <si>
    <t>MDT-DRTSPL-2022-2858-O</t>
  </si>
  <si>
    <t>MDT-DRTSPL-2022-4245-EXTERNO</t>
  </si>
  <si>
    <t>MDT-DRTSPL-2022-2859-O</t>
  </si>
  <si>
    <t>MDT-DRTSPL-2022-4246-EXTERNO</t>
  </si>
  <si>
    <t>MDT-DRTSPL-2022-2860-O</t>
  </si>
  <si>
    <t>MDT-DRTSPL-2022-4247-EXTERNO</t>
  </si>
  <si>
    <t>MDT-DRTSPL-2022-2862-O</t>
  </si>
  <si>
    <t>MDT-DRTSPL-2022-4248-EXTERNO</t>
  </si>
  <si>
    <t>MDT-DRTSPL-2022-2863-O</t>
  </si>
  <si>
    <t>MDT-DRTSPL-2022-4249-EXTERNO</t>
  </si>
  <si>
    <t>MDT-DRTSPL-2022-2869-O</t>
  </si>
  <si>
    <t>MDT-DRTSPL-2022-4250-EXTERNO</t>
  </si>
  <si>
    <t>MDT-DRTSPL-2022-2870-O</t>
  </si>
  <si>
    <t>MDT-DRTSPL-2022-4251-EXTERNO</t>
  </si>
  <si>
    <t>MDT-DRTSPL-2022-2878-O</t>
  </si>
  <si>
    <t>MDT-DRTSPL-2022-4252-EXTERNO</t>
  </si>
  <si>
    <t>MDT-DRTSPL-2022-2879-O</t>
  </si>
  <si>
    <t>MDT-DRTSPL-2022-4253-EXTERNO</t>
  </si>
  <si>
    <t>MDT-DRTSPL-2022-2881-O</t>
  </si>
  <si>
    <t>MDT-DRTSPL-2022-4254-EXTERNO</t>
  </si>
  <si>
    <t>MDT-DRTSPL-2022-2882-O</t>
  </si>
  <si>
    <t>MDT-DRTSPL-2022-4255-EXTERNO</t>
  </si>
  <si>
    <t>MDT-DRTSPL-2022-2883-O</t>
  </si>
  <si>
    <t>MDT-DRTSPL-2022-4256-EXTERNO</t>
  </si>
  <si>
    <t>MDT-DRTSPL-2022-2884-O</t>
  </si>
  <si>
    <t>MDT-DRTSPL-2022-4257-EXTERNO</t>
  </si>
  <si>
    <t>MDT-DRTSPL-2022-2887-O</t>
  </si>
  <si>
    <t>MDT-DRTSPL-2022-4258-EXTERNO</t>
  </si>
  <si>
    <t>MDT-DRTSPL-2022-2888-O</t>
  </si>
  <si>
    <t>MDT-DRTSPL-2022-4259-EXTERNO</t>
  </si>
  <si>
    <t>MDT-DRTSPL-2022-2849-O</t>
  </si>
  <si>
    <t xml:space="preserve">Miriam Susana González Gordillo </t>
  </si>
  <si>
    <t>NOTIFICACION POR CORREO mgonzalezgordillo@gmail.com</t>
  </si>
  <si>
    <t>MDT-DRTSPL-2022-4260-EXTERNO</t>
  </si>
  <si>
    <t>MDT-DRTSPL-2022-2889-O</t>
  </si>
  <si>
    <t>MDT-DRTSPL-2022-4261-EXTERNO</t>
  </si>
  <si>
    <t>MDT-DRTSPL-2022-2890-O</t>
  </si>
  <si>
    <t>MDT-DRTSPL-2022-4262-EXTERNO</t>
  </si>
  <si>
    <t>MDT-DRTSPL-2022-2880-O</t>
  </si>
  <si>
    <t xml:space="preserve">John Mora Atarihuana </t>
  </si>
  <si>
    <t>NOTIFICACION POR CORREO pcarrion@prefecturaloja.gob.ec</t>
  </si>
  <si>
    <t>MDT-DRTSPL-2022-4263-EXTERNO</t>
  </si>
  <si>
    <t>MDT-DRTSPL-2022-2877-O</t>
  </si>
  <si>
    <t>NOTIFICACION POR CORREO pagustin1975@hotmail.com</t>
  </si>
  <si>
    <t>MDT-DRTSPL-2022-4264-EXTERNO</t>
  </si>
  <si>
    <t>MDT-DRTSPL-2022-2910-O</t>
  </si>
  <si>
    <t xml:space="preserve">Rommel Vicente Paladines Flores </t>
  </si>
  <si>
    <t>NOTIFICACION POR CORREO rommelitopaladines@hotmail.com</t>
  </si>
  <si>
    <t>MDT-DRTSPL-2022-4265-EXTERNO</t>
  </si>
  <si>
    <t>MDT-DRTSPL-2022-2909-O</t>
  </si>
  <si>
    <t xml:space="preserve">Carlos Joel Velez Quizhpe </t>
  </si>
  <si>
    <t>NOTIFICACION POR CORREO corina.quizhpe@gmail.com</t>
  </si>
  <si>
    <t>MDT-DRTSPL-2022-4267-EXTERNO</t>
  </si>
  <si>
    <t>MDT-DRTSPL-2022-2850-O</t>
  </si>
  <si>
    <t xml:space="preserve">Jose Maria Jaramillo Eguiguren </t>
  </si>
  <si>
    <t>NOTIFICACION POR CORREO mbyronernesto@gmail.com</t>
  </si>
  <si>
    <t>MDT-DRTSPL-2022-4272-EXTERNO</t>
  </si>
  <si>
    <t>María Nely Terán Villarreal</t>
  </si>
  <si>
    <t>DIRECCIÓN DE ANÁLISIS SALARIAL</t>
  </si>
  <si>
    <t>MDT-DAS-2022-0327-M / MDT-DSG-2022-1772-OFICIO</t>
  </si>
  <si>
    <t>NOTIFICACION POR CORREO marijo_1992mj@hotmail.com</t>
  </si>
  <si>
    <t>MDT-DRTSPL-2022-4273-EXTERNO</t>
  </si>
  <si>
    <t>MDT-DRTSPL-2022-2871-O</t>
  </si>
  <si>
    <t xml:space="preserve">Wilson Alfredo Shanay Zhanay </t>
  </si>
  <si>
    <t>NOTIFICACION POR CORREO wilsonshanay1985@gmail.com</t>
  </si>
  <si>
    <t>MDT-DRTSPL-2022-4274-EXTERNO</t>
  </si>
  <si>
    <t>MDT-DRTSPL-2022-2891-O</t>
  </si>
  <si>
    <t>NOTIFICACION POR CORREO aura.pardo@funcionjudicial.gob.ec</t>
  </si>
  <si>
    <t>MDT-DATH-2022-3205-M</t>
  </si>
  <si>
    <t>MDT-DRTSPL-2022-1763-M</t>
  </si>
  <si>
    <t>NOTIFICACION POR CORREO franco_garcia@trabajo.gob.ec</t>
  </si>
  <si>
    <t>MDT-DRTSPL-2022-1727-M</t>
  </si>
  <si>
    <t>MDT-DRTSPL-2022-1764-M</t>
  </si>
  <si>
    <t>MDT-DRTSPL-2022-1733-M</t>
  </si>
  <si>
    <t>MDT-DRTSPL-2022-1766-M</t>
  </si>
  <si>
    <t>MDT-DRTSPL-2022-1757-M</t>
  </si>
  <si>
    <t>MDT-DRTSPL-2022-1768-M</t>
  </si>
  <si>
    <t>MDT-DRTSPL-2022-1782-M</t>
  </si>
  <si>
    <t>MDT-DRTSPL-2022-1819-M</t>
  </si>
  <si>
    <t>MDT-DPTSPOM-2022-0653-M</t>
  </si>
  <si>
    <t>MDT-DRTSPL-2022-1829-M</t>
  </si>
  <si>
    <t xml:space="preserve">Danilo Gabriel Calero Mora </t>
  </si>
  <si>
    <t>NOTIFICACION POR CORREO danilo_calero@trabajo.gob.ec</t>
  </si>
  <si>
    <t>MDT-DRTSPL-2022-1860-M</t>
  </si>
  <si>
    <t>MDT-DRTSPL-2022-1861-M</t>
  </si>
  <si>
    <t>MDT-DRTSPL-2022-1864-M</t>
  </si>
  <si>
    <t>MDT-DRTSPL-2022-1870-M</t>
  </si>
  <si>
    <t>NOTIFICACION POR CORREO sandra_torres@trabajo.gob.ec</t>
  </si>
  <si>
    <t>MDT-DRTSPL-2022-1874-M</t>
  </si>
  <si>
    <t>MDT-DRTSPL-2022-1881-M</t>
  </si>
  <si>
    <t>MDT-DRTSPL-2022-1873-M</t>
  </si>
  <si>
    <t>MDT-DRTSPL-2022-1885-M</t>
  </si>
  <si>
    <t>MDT-DRTSPL-2022-1892-M</t>
  </si>
  <si>
    <t>MDT-DRTSPL-2022-1904-M</t>
  </si>
  <si>
    <t>MDT-DRTSPL-2022-1951-M</t>
  </si>
  <si>
    <t>MDT-DRTSPL-2022-1956-M</t>
  </si>
  <si>
    <t>MDT-DRTSPL-2022-1963-M</t>
  </si>
  <si>
    <t>MDT-DRTSPL-2022-1972-M</t>
  </si>
  <si>
    <t>MDT-DRTSPL-2022-3219-EXTERNO</t>
  </si>
  <si>
    <t>MDT-DCI-2022-1553-M; MDT-DRTSPL-2022-2832-O</t>
  </si>
  <si>
    <t>Patricia Gabriela Criollo Ramirez (CIUDADANO)</t>
  </si>
  <si>
    <t>NOTIFICACION POR CORREO jahuiracocha@gmail.com</t>
  </si>
  <si>
    <t>MDT-DRTSPL-2022-3268-EXTERNO</t>
  </si>
  <si>
    <t>2022-05-17 00:00:00 (GMT-5)</t>
  </si>
  <si>
    <t>MDT-DCI-2022-1507-M; MDT-DRTSPL-2022-2639-O</t>
  </si>
  <si>
    <t>Bilma Paquita Valarezo Pereira (CIUDADANO)</t>
  </si>
  <si>
    <t>NOTIFICACION POR CORREO vilmapaquita1970@outlook.es</t>
  </si>
  <si>
    <t>MDT-DRTSPL-2022-3475-EXTERNO</t>
  </si>
  <si>
    <t>2022-05-25 00:00:00 (GMT-5)</t>
  </si>
  <si>
    <t>MDT-DRTSPL-2022-2637-O</t>
  </si>
  <si>
    <t>Alex Ricardo Valarezo Veintimilla (CIUDADANO)</t>
  </si>
  <si>
    <t>MDT-DRTSPL-2022-3562-EXTERNO</t>
  </si>
  <si>
    <t>2022-05-30 00:00:00 (GMT-5)</t>
  </si>
  <si>
    <t>MDT-DRTSPL-2022-2698-O</t>
  </si>
  <si>
    <t>Juan Manuel Jimenez Ramirez (CIUDADANO)</t>
  </si>
  <si>
    <t>MDT-DPTSPOM-2022-2040-EXTERNO</t>
  </si>
  <si>
    <t>MDT-DRTSPL-2022-2432-O</t>
  </si>
  <si>
    <t>Borys Lington Duarte Serrano</t>
  </si>
  <si>
    <t>NOTIFICACION POR CORREO ab.nora.90@gmail.com</t>
  </si>
  <si>
    <t>MDT-DPTSPOM-2022-2612-EXTERNO</t>
  </si>
  <si>
    <t>MDT-DRTSPL-2022-2433-O</t>
  </si>
  <si>
    <t xml:space="preserve">Carlos Andres Lopez Apolo
</t>
  </si>
  <si>
    <t>NOTIFICACION POR CORREO departamentolegalcarlos@hotmail.com</t>
  </si>
  <si>
    <t>MDT-DRTSPL-2022-1659-M</t>
  </si>
  <si>
    <t xml:space="preserve">Franco Leonardo Garcia Celi
</t>
  </si>
  <si>
    <t>MDT-DRTSPL-2022-3021-EXTERNO</t>
  </si>
  <si>
    <t>MDT-DRTSPL-2022-2578-O</t>
  </si>
  <si>
    <t>Segundo Nolberto Ajila Cañar</t>
  </si>
  <si>
    <t>NOTIFICACION POR CORREO drwalterbustamante@hotmail.com</t>
  </si>
  <si>
    <t>MDT-DPTSPOM-2022-2991-EXTERNO</t>
  </si>
  <si>
    <t>MDT-DRTSPL-2022-2623-O</t>
  </si>
  <si>
    <t>Glenda Marycruz Rojas Granda</t>
  </si>
  <si>
    <t>NOTIFICACION POR CORREO abgsilviocastillo@hotmail.com</t>
  </si>
  <si>
    <t>MDT-DRTSPL-2022-3877-EXTERNO</t>
  </si>
  <si>
    <t>MDT-DRTSPL-2022-2650-O</t>
  </si>
  <si>
    <t>Aura Maria Aguilar Espinoza</t>
  </si>
  <si>
    <t>NOTIFICACION POR CORREO tp.salati@gobernacioneloro.gob.ec</t>
  </si>
  <si>
    <t>MDT-DRTSPL-2022-3900-EXTERNO</t>
  </si>
  <si>
    <t>MDT-DRTSPL-2022-2667-O</t>
  </si>
  <si>
    <t>Rosario Elizabeth Toledo</t>
  </si>
  <si>
    <t>MDT-DRTSPL-2022-3901-EXTERNO</t>
  </si>
  <si>
    <t>MDT-DRTSPL-2022-2668-O</t>
  </si>
  <si>
    <t>MDT-DRTSPL-2022-3902-EXTERNO</t>
  </si>
  <si>
    <t>MDT-DRTSPL-2022-2669-O</t>
  </si>
  <si>
    <t>MDT-DRTSPL-2022-3903-EXTERNO</t>
  </si>
  <si>
    <t>MDT-DRTSPL-2022-2670-O</t>
  </si>
  <si>
    <t>MDT-DRTSPL-2022-3904-EXTERNO</t>
  </si>
  <si>
    <t>MDT-DRTSPL-2022-2679-O</t>
  </si>
  <si>
    <t>MDT-DRTSPL-2022-3905-EXTERNO</t>
  </si>
  <si>
    <t>MDT-DRTSPL-2022-2680-O</t>
  </si>
  <si>
    <t>MDT-DRTSPL-2022-3906-EXTERNO</t>
  </si>
  <si>
    <t>MDT-DRTSPL-2022-2672-O</t>
  </si>
  <si>
    <t>MDT-DPTSPOM-2022-2719-EXTERNO</t>
  </si>
  <si>
    <t>MDT-DRTSPL-2022-2699-O</t>
  </si>
  <si>
    <t>Eleuterio Edulfo Aguilar Heredia</t>
  </si>
  <si>
    <t>NOTIFICACION POR CORREO ventanilla virtual judicatura</t>
  </si>
  <si>
    <t>MDT-DRTSPL-2022-4101-EXTERNO</t>
  </si>
  <si>
    <t>MDT-DRTSPL-2022-2786-O</t>
  </si>
  <si>
    <t>Fausto Rene Cardenas Plaza</t>
  </si>
  <si>
    <t>NOTIFICACION POR CORREO faustocardenas22@gmail.com</t>
  </si>
  <si>
    <t>MDT-DCI-2022-1447-M / MDT-DRTSPL-2022-2830-O</t>
  </si>
  <si>
    <t>Héctor Efrén Burneo Saavedra (CIUDADANO)</t>
  </si>
  <si>
    <t>MDT-DPTSPOM-2022-1796-EXTERNO</t>
  </si>
  <si>
    <t>DELEGACIÓN PROVINCIAL DE TRABAJO Y SERVICIO PÚBLICO DE EL ORO MACHALA</t>
  </si>
  <si>
    <t>MDT-DPTSPOM-2022-0458-O</t>
  </si>
  <si>
    <t>enviado quipux correo electronico</t>
  </si>
  <si>
    <t>MDT-DPTSPOP-2022-0078-EXTERNO</t>
  </si>
  <si>
    <t>MDT-DPTSPOM-2022-0461-O</t>
  </si>
  <si>
    <t>MDT-DPTSPOM-2022-2435-EXTERNO</t>
  </si>
  <si>
    <t>MDT-DPTSPOM-2022-0425-O</t>
  </si>
  <si>
    <t>MDT-DPTSPOP-2022-0079-EXTERNO</t>
  </si>
  <si>
    <t>MDT-DPTSPOM-2022-0464-O</t>
  </si>
  <si>
    <t>MDT-DPTSPOP-2022-0081-EXTERNO</t>
  </si>
  <si>
    <t>MDT-DPTSPOM-2022-0467-O</t>
  </si>
  <si>
    <t>MDT-DPTSPOM-2022-2534-EXTERNO</t>
  </si>
  <si>
    <t>MDT-DPTSPOM-2022-0504-O</t>
  </si>
  <si>
    <t>MDT-DPTSPOM-2022-2769-EXTERNO</t>
  </si>
  <si>
    <t>MDT-DPTSPOM-2022-0505-O</t>
  </si>
  <si>
    <t>MDT-DPTSPOM-2022-2800-EXTERNO</t>
  </si>
  <si>
    <t>MDT-DPTSPOM-2022-0446-O</t>
  </si>
  <si>
    <t>MDT-DPTSPOM-2022-2808-EXTERNO</t>
  </si>
  <si>
    <t>MDT-DPTSPOM-2022-0447-O</t>
  </si>
  <si>
    <t>MDT-DPTSPOM-2022-2811-EXTERNO</t>
  </si>
  <si>
    <t>MDT-DPTSPOM-2022-0426-O</t>
  </si>
  <si>
    <t>MDT-DPTSPOM-2022-2812-EXTERNO</t>
  </si>
  <si>
    <t>MDT-DPTSPOM-2022-0448-O</t>
  </si>
  <si>
    <t>MDT-DPTSPOM-2022-2813-EXTERNO</t>
  </si>
  <si>
    <t>MDT-DPTSPOM-2022-0427-O</t>
  </si>
  <si>
    <t>MDT-DPTSPOM-2022-2820-EXTERNO</t>
  </si>
  <si>
    <t>MDT-DPTSPOM-2022-0457-O</t>
  </si>
  <si>
    <t>MDT-DPTSPOM-2022-2826-EXTERNO</t>
  </si>
  <si>
    <t>MDT-DPTSPOM-2022-0572-O</t>
  </si>
  <si>
    <t>MDT-DPTSPOM-2022-2823-EXTERNO</t>
  </si>
  <si>
    <t>MDT-DPTSPOM-2022-0510-O</t>
  </si>
  <si>
    <t>MDT-DPTSPOM-2022-2882-EXTERNO</t>
  </si>
  <si>
    <t>MDT-DPTSPOM-2022-0477-O</t>
  </si>
  <si>
    <t>MDT-DPTSPOM-2022-2883-EXTERNO</t>
  </si>
  <si>
    <t>EN TRAMITE</t>
  </si>
  <si>
    <t>MDT-DPTSPOM-2022-0494-O</t>
  </si>
  <si>
    <t>MDT-DPTSPOM-2022-2897-EXTERNO</t>
  </si>
  <si>
    <t>MDT-DPTSPOM-2022-0451-O</t>
  </si>
  <si>
    <t>MDT-DPTSPOM-2022-2903-EXTERNO</t>
  </si>
  <si>
    <t>MDT-DPTSPOM-2022-0452-O</t>
  </si>
  <si>
    <t>MDT-DPTSPOM-2022-2930-EXTERNO</t>
  </si>
  <si>
    <t>MDT-DPTSPOM-2022-0475-O</t>
  </si>
  <si>
    <t>MDT-DPTSPOM-2022-2921-EXTERNO</t>
  </si>
  <si>
    <t>MDT-DPTSPOM-2022-0453-O</t>
  </si>
  <si>
    <t>MDT-DPTSPOM-2022-2919-EXTERNO</t>
  </si>
  <si>
    <t>MDT-DPTSPOM-2022-0473-O</t>
  </si>
  <si>
    <t>MDT-DPTSPOM-2022-2917-EXTERNO</t>
  </si>
  <si>
    <t>MDT-DPTSPOM-2022-2945-EXTERNO</t>
  </si>
  <si>
    <t>MDT-DPTSPOM-2022-0476-O</t>
  </si>
  <si>
    <t>MDT-DPTSPOM-2022-2954-EXTERNO</t>
  </si>
  <si>
    <t>MDT-DPTSPOM-2022-0478-O</t>
  </si>
  <si>
    <t>MDT-DRTSPG-2022-16821-EXTERNO</t>
  </si>
  <si>
    <t>MDT-DPTSPOM-2022-0512-O</t>
  </si>
  <si>
    <t>MDT-DPTSPOM-2022-2983-EXTERNO</t>
  </si>
  <si>
    <t>MDT-DPTSPOM-2022-0474-O</t>
  </si>
  <si>
    <t>MDT-DPTSPOM-2022-2999-EXTERNO</t>
  </si>
  <si>
    <t>MDT-DPTSPOM-2022-0493-O</t>
  </si>
  <si>
    <t>MDT-DPTSPOM-2022-3009-EXTERNO</t>
  </si>
  <si>
    <t>MDT-DPTSPOM-2022-0484-O</t>
  </si>
  <si>
    <t>MDT-DPTSPOM-2022-3017-EXTERNO</t>
  </si>
  <si>
    <t>MDT-DPTSPOM-2022-0469-O</t>
  </si>
  <si>
    <t>MDT-DPTSPOM-2022-3031-EXTERNO</t>
  </si>
  <si>
    <t>MDT-DPTSPOM-2022-0487-O</t>
  </si>
  <si>
    <t>MDT-DPTSPOM-2022-3056-EXTERNO</t>
  </si>
  <si>
    <t>MDT-DPTSPOM-2022-0488-O</t>
  </si>
  <si>
    <t>MDT-DPTSPOM-2022-3065-EXTERNO</t>
  </si>
  <si>
    <t>MDT-DPTSPOM-2022-0489-O</t>
  </si>
  <si>
    <t>MDT-DPTSPOM-2022-3069-EXTERNO</t>
  </si>
  <si>
    <t>MDT-DPTSPOM-2022-0511-O</t>
  </si>
  <si>
    <t>MDT-DPTSPOM-2022-3052-EXTERNO</t>
  </si>
  <si>
    <t>MDT-DPTSPOM-2022-0528-O</t>
  </si>
  <si>
    <t>MDT-DPTSPOM-2022-3051-EXTERNO</t>
  </si>
  <si>
    <t>MDT-DPTSPOM-2022-0550-O</t>
  </si>
  <si>
    <t>MDT-DPTSPOM-2022-3083-EXTERNO</t>
  </si>
  <si>
    <t>MDT-DPTSPOM-2022-0490-O</t>
  </si>
  <si>
    <t>MDT-DPTSPOM-2022-3084-EXTERNO</t>
  </si>
  <si>
    <t>MDT-DPTSPOM-2022-0491-O</t>
  </si>
  <si>
    <t>MDT-DPTSPOP-2022-0120-EXTERNO</t>
  </si>
  <si>
    <t>MDT-DPTSPOM-2022-0482-O</t>
  </si>
  <si>
    <t>MDT-DPTSPOP-2022-0121-EXTERNO</t>
  </si>
  <si>
    <t>MDT-DPTSPOM-2022-0483-O</t>
  </si>
  <si>
    <t>MDT-DPTSPOP-2022-0119-EXTERNO</t>
  </si>
  <si>
    <t>MDT-DPTSPOM-2022-0502-O</t>
  </si>
  <si>
    <t>MDT-DPTSPOM-2022-3113-EXTERNO</t>
  </si>
  <si>
    <t>MDT-DPTSPOM-2022-0526-O</t>
  </si>
  <si>
    <t>MDT-DPTSPOM-2022-3132-EXTERNO</t>
  </si>
  <si>
    <t>MDT-DPTSPOM-2022-0496-O</t>
  </si>
  <si>
    <t>MDT-DPTSPOM-2022-3116-EXTERNO</t>
  </si>
  <si>
    <t>MDT-DPTSPOM-2022-0538-O</t>
  </si>
  <si>
    <t>MDT-DPTSPOM-2022-3114-EXTERNO</t>
  </si>
  <si>
    <t>MDT-DPTSPOM-2022-0536-O</t>
  </si>
  <si>
    <t>MDT-DPTSPOM-2022-3115-EXTERNO</t>
  </si>
  <si>
    <t>MDT-DPTSPOM-2022-0537-O</t>
  </si>
  <si>
    <t>MDT-DPTSPOM-2022-3146-EXTERNO</t>
  </si>
  <si>
    <t>MDT-DPTSPOM-2022-0497-O</t>
  </si>
  <si>
    <t>MDT-DPTSPOM-2022-3153-EXTERNO</t>
  </si>
  <si>
    <t>MDT-DPTSPOM-2022-0498-O</t>
  </si>
  <si>
    <t>MDT-DPTSPOM-2022-3162-EXTERNO</t>
  </si>
  <si>
    <t>MDT-DPTSPOM-2022-0499-O</t>
  </si>
  <si>
    <t>MDT-DPTSPOM-2022-3179-EXTERNO</t>
  </si>
  <si>
    <t>MDT-DPTSPOM-2022-0500-O</t>
  </si>
  <si>
    <t>MDT-DPTSPOM-2022-3193-EXTERNO</t>
  </si>
  <si>
    <t>MDT-DPTSPOM-2022-0501-O</t>
  </si>
  <si>
    <t>MDT-DPTSPOM-2022-3208-EXTERNO</t>
  </si>
  <si>
    <t>MDT-DPTSPOM-2022-0513-O</t>
  </si>
  <si>
    <t>MDT-DPTSPOM-2022-3224-EXTERNO</t>
  </si>
  <si>
    <t>MDT-DPTSPOM-2022-0514-O</t>
  </si>
  <si>
    <t>MDT-DPTSPOM-2022-3238-EXTERNO</t>
  </si>
  <si>
    <t>MDT-DPTSPOM-2022-0515-O</t>
  </si>
  <si>
    <t>MDT-DPTSPOM-2022-3242-EXTERNO</t>
  </si>
  <si>
    <t>MDT-DPTSPOM-2022-0516-O</t>
  </si>
  <si>
    <t>MDT-DPTSPOM-2022-3227-EXTERNO</t>
  </si>
  <si>
    <t>MDT-DPTSPOM-2022-0535-O</t>
  </si>
  <si>
    <t>MDT-DPTSPOM-2022-3249-EXTERNO</t>
  </si>
  <si>
    <t>MDT-DPTSPOM-2022-0517-O</t>
  </si>
  <si>
    <t>MDT-DPTSPOM-2022-3250-EXTERNO</t>
  </si>
  <si>
    <t>MDT-DPTSPOM-2022-0520-O</t>
  </si>
  <si>
    <t>MDT-DPTSPOM-2022-3252-EXTERNO</t>
  </si>
  <si>
    <t>MDT-DPTSPOM-2022-0521-O</t>
  </si>
  <si>
    <t>MDT-DPTSPOM-2022-3253-EXTERNO</t>
  </si>
  <si>
    <t>MDT-DPTSPOM-2022-0522-O</t>
  </si>
  <si>
    <t>MDT-DPTSPOM-2022-3255-EXTERNO</t>
  </si>
  <si>
    <t>MDT-DPTSPOM-2022-0527-O</t>
  </si>
  <si>
    <t>MDT-DPTSPOP-2022-0122-EXTERNO</t>
  </si>
  <si>
    <t>DELEGACIÓN PROVINCIAL DE TRABAJO Y SERVICIO PÚBLICO DE EL ORO PORTOVELO</t>
  </si>
  <si>
    <t>MDT-DPTSPOP-2022-0019-O</t>
  </si>
  <si>
    <t>MDT-DPTSPOP-2022-0125-EXTERNO</t>
  </si>
  <si>
    <t>MDT-DPTSPOP-2022-0126-EXTERNO</t>
  </si>
  <si>
    <t>20/006/2022</t>
  </si>
  <si>
    <t>MDT-DPTSPOP-2022-0021-O</t>
  </si>
  <si>
    <t>MDT-DPTSPOP-2022-0127-EXTERNO</t>
  </si>
  <si>
    <t>MDT-DPTSPOP-2022-0022-O</t>
  </si>
  <si>
    <t>MDT-DPTSPOP-2022-0128-EXTERNO</t>
  </si>
  <si>
    <t>MDT-DPTSPOP-2022-0023-O</t>
  </si>
  <si>
    <t>MDT-DPTSPOP-2022-0129-EXTERNO</t>
  </si>
  <si>
    <t>MDT-DPTSPOP-2022-0024-O</t>
  </si>
  <si>
    <t>MDT-DPTSPOP-2022-0130-EXTERNO</t>
  </si>
  <si>
    <t>MDT-DPTSPOP-2022-0025-O</t>
  </si>
  <si>
    <t>MDT-DPTSPOP-2022-0133-EXTERNO</t>
  </si>
  <si>
    <t>MDT-DPTSPOP-2022-0134-EXTERNO</t>
  </si>
  <si>
    <t>MDT-DPTSPOP-2022-0018-O</t>
  </si>
  <si>
    <t>MDT-DPTSPZCH-2022-0621-EXTERNO</t>
  </si>
  <si>
    <t>MDT-DPTSPZCH-2022-0148-O</t>
  </si>
  <si>
    <t>MDT-DPTSPZCH-2022-0622-EXTERNO</t>
  </si>
  <si>
    <t>MDT-DPTSPZCH-2022-0149-O</t>
  </si>
  <si>
    <t>MDT-DPTSPZCH-2022-0646-EXTERNO</t>
  </si>
  <si>
    <t>MDT-DPTSPZCH-2022-0150-O</t>
  </si>
  <si>
    <t>MDT-DPTSPZCH-2022-0661-EXTERNO</t>
  </si>
  <si>
    <t>MDT-DPTSPZCH-2022-0151-O</t>
  </si>
  <si>
    <t>MDT-DPTSPZCH-2022-0662-EXTERNO</t>
  </si>
  <si>
    <t>MDT-DPTSPZCH-2022-0152-O</t>
  </si>
  <si>
    <t>MDT-DPTSPZCH-2022-0675-EXTERNO</t>
  </si>
  <si>
    <t>MDT-DPTSPZCH-2022-0154-O</t>
  </si>
  <si>
    <t>MDT-DPTSPZCH-2022-0687-EXTERNO</t>
  </si>
  <si>
    <t>MDT-DPTSPZCH-2022-0155-O</t>
  </si>
  <si>
    <t>MDT-DPTSPZCH-2022-0691-EXTERNO</t>
  </si>
  <si>
    <t>MDT-DPTSPZCH-2022-0156-O</t>
  </si>
  <si>
    <t>MDT-DPTSPZCH-2022-0694-EXTERNO</t>
  </si>
  <si>
    <t>MDT-DPTSPZCH-2022-0157-O</t>
  </si>
  <si>
    <t>MDT-DRTSPZCH-2022-2022--EXTERNO</t>
  </si>
  <si>
    <t>MDT-DPTSPZCH-2022-0158-O</t>
  </si>
  <si>
    <t>MDT-DPTSPZCH-2022-0696-EXTERNO</t>
  </si>
  <si>
    <t>MDT-DPTSPZCH-2022-0159-O</t>
  </si>
  <si>
    <t>MDT-DPTSPZCH-2022-0698-EXTERNO</t>
  </si>
  <si>
    <t>MDT-DPTSPZCH-2022-0160-O</t>
  </si>
  <si>
    <t>MDT-DPTSPZCH-2022-0699-EXTERNO</t>
  </si>
  <si>
    <t>MDT-DPTSPZCH-2022-0161-O</t>
  </si>
  <si>
    <t>MDT-DPTSPZCH-2022-0704-EXTERNO</t>
  </si>
  <si>
    <t>MDT-DPTSPZCH-2022-0162-O</t>
  </si>
  <si>
    <t>MDT-DPTSPZCH-2022-0705-EXTERNO</t>
  </si>
  <si>
    <t>MDT-DPTSPZCH-2022-0163-O</t>
  </si>
  <si>
    <t>MDT-DPTSPZCH-2022-0706-EXTERNO</t>
  </si>
  <si>
    <t>MDT-DPTSPZCH-2022-0164-O</t>
  </si>
  <si>
    <t>MDT-DPTSPZCH-2022-0707-EXTERNO</t>
  </si>
  <si>
    <t>MDT-DPTSPZCH-2022-0165-O</t>
  </si>
  <si>
    <t>MDT-DPTSPZCH-2022-0709-EXTERNO</t>
  </si>
  <si>
    <t>MDT-DPTSPZCH-2022-0166-O</t>
  </si>
  <si>
    <t>MDT-DPTSPZCH-2022-0710-EXTERNO</t>
  </si>
  <si>
    <t>MDT-DPTSPZCH-2022-0167-O</t>
  </si>
  <si>
    <t>MDT-DPTSPZCH-2022-0711-EXTERNO</t>
  </si>
  <si>
    <t>MDT-DPTSPZCH-2022-0168-O</t>
  </si>
  <si>
    <t>MDT-DPTSPZCH-2022-0716-EXTERNO</t>
  </si>
  <si>
    <t>MDT-DPTSPZCH-2022-0169-O</t>
  </si>
  <si>
    <t>MDT-DPTSPZCH-2022-0718-EXTERNO</t>
  </si>
  <si>
    <t>MDT-DPTSPZCH-2022-0170-O</t>
  </si>
  <si>
    <t>MDT-DPTSPZCH-2022-0717-EXTERNO</t>
  </si>
  <si>
    <t>MDT-DPTSPZCH-2022-0171-O</t>
  </si>
  <si>
    <t>MDT-DRTSPL-2022-04094-EXTERNO</t>
  </si>
  <si>
    <t>MDT-DPTSPZCH-2022-0744-EXTERNO</t>
  </si>
  <si>
    <t>2806/2022</t>
  </si>
  <si>
    <t>MDT-DPTSPZCH-2022-0174-O</t>
  </si>
  <si>
    <t>MDT-DPTSPZCH-2022-0753-EXTERNO</t>
  </si>
  <si>
    <t>MDT-DPTSPZCH-2022-0175-O</t>
  </si>
  <si>
    <t>MDT-DPTSPZCH-2022-0754-EXTERNO</t>
  </si>
  <si>
    <t>MDT-DPTSPZCH-2022-0176-O</t>
  </si>
  <si>
    <t>MDT-DPTSPZCH-2022-0755-EXTERNO</t>
  </si>
  <si>
    <t>MDT-DPTSPZCH-2022-0177-O</t>
  </si>
  <si>
    <t>MDT-DPTSPZCH-2022-0761-EXTERNO</t>
  </si>
  <si>
    <t>MDT-DPTSPZCH-2022-0178-O</t>
  </si>
  <si>
    <t>MDT-DRTSPL-2022-4285-EXTERNO</t>
  </si>
  <si>
    <t>MDT-DRTSPL-2022-2892-O</t>
  </si>
  <si>
    <t>MDT-DRTSPL-2022-4286-EXTERNO</t>
  </si>
  <si>
    <t>MDT-DRTSPL-2022-2886-O</t>
  </si>
  <si>
    <t>MDT-DRTSPL-2022-4290-EXTERNO</t>
  </si>
  <si>
    <t>MDT-DRTSPL-2022-2895-O</t>
  </si>
  <si>
    <t>MDT-DRTSPL-2022-4291-EXTERNO</t>
  </si>
  <si>
    <t>MDT-DRTSPL-2022-2896-O</t>
  </si>
  <si>
    <t>diana@ablitco.com</t>
  </si>
  <si>
    <t>MDT-DRTSPL-2022-4293-EXTERNO</t>
  </si>
  <si>
    <t>MDT-DRTSPL-2022-2900-O</t>
  </si>
  <si>
    <t>MDT-DRTSPL-2022-4294-EXTERNO</t>
  </si>
  <si>
    <t>MDT-DRTSPL-2022-2902-O</t>
  </si>
  <si>
    <t>MDT-DRTSPL-2022-4295-EXTERNO</t>
  </si>
  <si>
    <t>MDT-DRTSPL-2022-2903-O</t>
  </si>
  <si>
    <t>MDT-DRTSPL-2022-4297-EXTERNO</t>
  </si>
  <si>
    <t>MDT-DRTSPL-2022-2904-O</t>
  </si>
  <si>
    <t xml:space="preserve">Pablo Antonio Jaramillo Cabrera </t>
  </si>
  <si>
    <t>MDT-DRTSPL-2022-4299-EXTERNO</t>
  </si>
  <si>
    <t>MDT-DRTSPL-2022-2905-O</t>
  </si>
  <si>
    <t xml:space="preserve">Jeffersson Alexander Quezada Jimenez </t>
  </si>
  <si>
    <t>MDT-DRTSPL-2022-4302-EXTERNO</t>
  </si>
  <si>
    <t xml:space="preserve">Jhonatan Fernando Gonzalez Calero </t>
  </si>
  <si>
    <t>Jhonatan Fernando Gonzalez Calero (MDT)</t>
  </si>
  <si>
    <t>asesoriaslegalesloja@gmail.com</t>
  </si>
  <si>
    <t>MDT-DRTSPL-2022-4303-EXTERNO</t>
  </si>
  <si>
    <t>MDT-DRTSPL-2022-2907-O</t>
  </si>
  <si>
    <t>MDT-DRTSPL-2022-4304-EXTERNO</t>
  </si>
  <si>
    <t>MDT-DRTSPL-2022-2923-O</t>
  </si>
  <si>
    <t xml:space="preserve">Paul Andres Carrion Samaniego </t>
  </si>
  <si>
    <t>pacarrions@hotmail.com</t>
  </si>
  <si>
    <t>MDT-DRTSPL-2022-4306-EXTERNO</t>
  </si>
  <si>
    <t>MDT-DRTSPL-2022-2908-O</t>
  </si>
  <si>
    <t>adrian.ortega@unl.edu.ec</t>
  </si>
  <si>
    <t>MDT-DRTSPL-2022-4308-EXTERNO</t>
  </si>
  <si>
    <t>MDT-DRTSPL-2022-2924-O</t>
  </si>
  <si>
    <t xml:space="preserve">Michael Walker Pineda Salazar </t>
  </si>
  <si>
    <t>michazalazar.18@gmail.com</t>
  </si>
  <si>
    <t>MDT-DRTSPL-2022-4309-EXTERNO</t>
  </si>
  <si>
    <t>MDT-DRTSPL-2022-2911-O</t>
  </si>
  <si>
    <t>MDT-DRTSPL-2022-4310-EXTERNO</t>
  </si>
  <si>
    <t>MDT-DRTSPL-2022-2912-O</t>
  </si>
  <si>
    <t>MDT-DRTSPL-2022-4311-EXTERNO</t>
  </si>
  <si>
    <t>MDT-DRTSPL-2022-2915-O</t>
  </si>
  <si>
    <t xml:space="preserve">Alex Damián Torres Robalino </t>
  </si>
  <si>
    <t>MDT-DRTSPL-2022-4312-EXTERNO</t>
  </si>
  <si>
    <t>MDT-DRTSPL-2022-2916-O</t>
  </si>
  <si>
    <t>MDT-DRTSPL-2022-4313-EXTERNO</t>
  </si>
  <si>
    <t>MDT-DRTSPL-2022-2922-O</t>
  </si>
  <si>
    <t>MDT-DRTSPL-2022-4314-EXTERNO</t>
  </si>
  <si>
    <t>MDT-DRTSPL-2022-2926-O</t>
  </si>
  <si>
    <t>MDT-DRTSPL-2022-4319-EXTERNO</t>
  </si>
  <si>
    <t xml:space="preserve">Silvia Del Carmen Erazo Guerrero </t>
  </si>
  <si>
    <t>Silvia Del Carmen Erazo Guerrero (MDT)</t>
  </si>
  <si>
    <t>MDT-DSG-2022-2500-MEMORANDO</t>
  </si>
  <si>
    <t xml:space="preserve">Jose Antoliano Medina Camacho </t>
  </si>
  <si>
    <t>MDT-DRTSPL-2022-4326-EXTERNO</t>
  </si>
  <si>
    <t>MDT-DRTSPL-2022-2928-O</t>
  </si>
  <si>
    <t>MDT-DRTSPL-2022-4328-EXTERNO</t>
  </si>
  <si>
    <t>MDT-DRTSPL-2022-2929-O</t>
  </si>
  <si>
    <t xml:space="preserve">Richard Efren Paladines Costa </t>
  </si>
  <si>
    <t>MDT-DRTSPL-2022-4336-EXTERNO</t>
  </si>
  <si>
    <t xml:space="preserve">Hilda Mercedes Acurio </t>
  </si>
  <si>
    <t>Hilda Mercedes Acurio (MDT)</t>
  </si>
  <si>
    <t>MDT-DOL-2022-2197-M</t>
  </si>
  <si>
    <t xml:space="preserve">Jacqueline Mabel Cabrera Heras </t>
  </si>
  <si>
    <t>cliente2021sri@gmail.com</t>
  </si>
  <si>
    <t>MDT-DRTSPL-2022-4337-EXTERNO</t>
  </si>
  <si>
    <t>MDT-DRTSPL-2022-2930-O</t>
  </si>
  <si>
    <t xml:space="preserve">Héctor Floresmilo Pesantes Sigcho </t>
  </si>
  <si>
    <t>malurueda1978@gmail.com</t>
  </si>
  <si>
    <t>MDT-DRTSPL-2022-4339-EXTERNO</t>
  </si>
  <si>
    <t>MDT-DRTSPL-2022-2932-O</t>
  </si>
  <si>
    <t xml:space="preserve">Ruy Guillermo Palacios Luna </t>
  </si>
  <si>
    <t>guillopalacios4@gmail.com</t>
  </si>
  <si>
    <t>MDT-DRTSPL-2022-4340-EXTERNO</t>
  </si>
  <si>
    <t>MDT-DRTSPL-2022-2913-O</t>
  </si>
  <si>
    <t>pardocarlos1949@gmail.com</t>
  </si>
  <si>
    <t>MDT-DRTSPL-2022-4341-EXTERNO</t>
  </si>
  <si>
    <t>MDT-DRTSPL-2022-2914-O</t>
  </si>
  <si>
    <t xml:space="preserve">Sebastian Ramon </t>
  </si>
  <si>
    <t>sramon7472@gmail.com</t>
  </si>
  <si>
    <t>MDT-DRTSPL-2022-4343-EXTERNO</t>
  </si>
  <si>
    <t>MDT-DRTSPL-2022-2946-O</t>
  </si>
  <si>
    <t>chavezyp90@gmail.com</t>
  </si>
  <si>
    <t>MDT-DRTSPL-2022-4345-EXTERNO</t>
  </si>
  <si>
    <t>MDT-DRTSPL-2022-2933-O</t>
  </si>
  <si>
    <t>MDT-DRTSPL-2022-4346-EXTERNO</t>
  </si>
  <si>
    <t>MDT-DRTSPL-2022-2931-O</t>
  </si>
  <si>
    <t>MDT-DRTSPL-2022-4347-EXTERNO</t>
  </si>
  <si>
    <t>MDT-DRTSPL-2022-2936-O</t>
  </si>
  <si>
    <t>MDT-DRTSPL-2022-4351-EXTERNO</t>
  </si>
  <si>
    <t>MDT-DRTSPL-2022-2944-O</t>
  </si>
  <si>
    <t xml:space="preserve">Jose David Antonio Saenz de Viteri Almeida </t>
  </si>
  <si>
    <t>david.tonyalmeida@gmail.com</t>
  </si>
  <si>
    <t>MDT-DRTSPL-2022-4359-EXTERNO</t>
  </si>
  <si>
    <t>MDT-DRTSPL-2022-2947-O</t>
  </si>
  <si>
    <t xml:space="preserve">Nelly Beatriz Perez Perez </t>
  </si>
  <si>
    <t>jonny17ale@gmail.com</t>
  </si>
  <si>
    <t>MDT-DRTSPL-2022-4362-EXTERNO</t>
  </si>
  <si>
    <t>MDT-DRTSPL-2022-2925-O</t>
  </si>
  <si>
    <t xml:space="preserve">Javier Andres Diaz Toro </t>
  </si>
  <si>
    <t>ecuared.talentohumano@gmail.com</t>
  </si>
  <si>
    <t>MDT-DRTSPL-2022-4363-EXTERNO</t>
  </si>
  <si>
    <t>MDT-DRTSPL-2022-2961-O</t>
  </si>
  <si>
    <t>ENTREGA FISICA</t>
  </si>
  <si>
    <t>MDT-DRTSPL-2022-4366-EXTERNO</t>
  </si>
  <si>
    <t>MDT-DRTSPL-2022-2927-O</t>
  </si>
  <si>
    <t xml:space="preserve">Manuel Pineda </t>
  </si>
  <si>
    <t>manuelpineda2349@gmail.com</t>
  </si>
  <si>
    <t>MDT-DRTSPL-2022-4367-EXTERNO</t>
  </si>
  <si>
    <t>MDT-DRTSPL-2022-2948-O</t>
  </si>
  <si>
    <t xml:space="preserve">Martha Veronica Bermeo Jimenez </t>
  </si>
  <si>
    <t>MDT-DRTSPL-2022-4371-EXTERNO</t>
  </si>
  <si>
    <t>MDT-DRTSPL-2022-2949-O</t>
  </si>
  <si>
    <t xml:space="preserve">Eddy Leonardo Saca Pullaguari </t>
  </si>
  <si>
    <t>eddysaca18@gmail.com</t>
  </si>
  <si>
    <t>MDT-DRTSPL-2022-4372-EXTERNO</t>
  </si>
  <si>
    <t>MDT-DRTSPL-2022-2950-O</t>
  </si>
  <si>
    <t>danyca1994@hotmail.com</t>
  </si>
  <si>
    <t>MDT-DRTSPL-2022-4373-EXTERNO</t>
  </si>
  <si>
    <t>MDT-DRTSPL-2022-2951-O</t>
  </si>
  <si>
    <t>MDT-DRTSPL-2022-4374-EXTERNO</t>
  </si>
  <si>
    <t>MDT-DRTSPL-2022-2952-O</t>
  </si>
  <si>
    <t>MDT-DRTSPL-2022-4378-EXTERNO</t>
  </si>
  <si>
    <t>MDT-DRTSPL-2022-2957-O</t>
  </si>
  <si>
    <t xml:space="preserve">Franklin Ivan Angamarca Puchaicela </t>
  </si>
  <si>
    <t>ab.franklinangamarca@hotmail.com</t>
  </si>
  <si>
    <t>MDT-DRTSPL-2022-4379-EXTERNO</t>
  </si>
  <si>
    <t>MDT-DRTSPL-2022-2958-O</t>
  </si>
  <si>
    <t xml:space="preserve">Carmen Efigenia Salazar Castillo </t>
  </si>
  <si>
    <t>efigenia186@gmail.com</t>
  </si>
  <si>
    <t>MDT-DRTSPL-2022-4382-EXTERNO</t>
  </si>
  <si>
    <t>MDT-DRTSPL-2022-2959-O</t>
  </si>
  <si>
    <t xml:space="preserve">Juan Carlos Sinche Guerron </t>
  </si>
  <si>
    <t>juankarlossincheguerron@gmail.com</t>
  </si>
  <si>
    <t>MDT-DRTSPL-2022-4385-EXTERNO</t>
  </si>
  <si>
    <t>MDT-DRTSPL-2022-2974-O</t>
  </si>
  <si>
    <t xml:space="preserve">Rene Camilo Florencio Brito Duran </t>
  </si>
  <si>
    <t>castroochoa.joseluis@hotmail.com</t>
  </si>
  <si>
    <t>MDT-DRTSPL-2022-4388-EXTERNO</t>
  </si>
  <si>
    <t>MDT-DRTSPL-2022-2954-O</t>
  </si>
  <si>
    <t>MDT-DRTSPL-2022-4389-EXTERNO</t>
  </si>
  <si>
    <t>MDT-DRTSPL-2022-2960-O</t>
  </si>
  <si>
    <t>MDT-DRTSPL-2022-4390-EXTERNO</t>
  </si>
  <si>
    <t>MDT-DRTSPL-2022-2962-O</t>
  </si>
  <si>
    <t>MDT-DRTSPL-2022-4391-EXTERNO</t>
  </si>
  <si>
    <t>MDT-DRTSPL-2022-2963-O</t>
  </si>
  <si>
    <t>MDT-DRTSPL-2022-4392-EXTERNO</t>
  </si>
  <si>
    <t>MDT-DRTSPL-2022-2964-O</t>
  </si>
  <si>
    <t>MDT-DRTSPL-2022-4393-EXTERNO</t>
  </si>
  <si>
    <t>MDT-DRTSPL-2022-2966-O</t>
  </si>
  <si>
    <t>pablo.paguirre@gmail.com</t>
  </si>
  <si>
    <t>MDT-DRTSPL-2022-4394-EXTERNO</t>
  </si>
  <si>
    <t>MDT-DRTSPL-2022-2968-O</t>
  </si>
  <si>
    <t>MDT-DRTSPL-2022-4395-EXTERNO</t>
  </si>
  <si>
    <t>MDT-DRTSPL-2022-2972-O</t>
  </si>
  <si>
    <t>MDT-DRTSPL-2022-4396-EXTERNO</t>
  </si>
  <si>
    <t>MDT-DRTSPL-2022-2973-O</t>
  </si>
  <si>
    <t>MDT-DRTSPL-2022-4397-EXTERNO</t>
  </si>
  <si>
    <t>MDT-DRTSPL-2022-2975-O</t>
  </si>
  <si>
    <t>MDT-DRTSPL-2022-4398-EXTERNO</t>
  </si>
  <si>
    <t>MDT-DRTSPL-2022-2978-O</t>
  </si>
  <si>
    <t>MDT-DRTSPL-2022-4401-EXTERNO</t>
  </si>
  <si>
    <t>MDT-DRTSPL-2022-2980-O</t>
  </si>
  <si>
    <t>MDT-DRTSPL-2022-4402-EXTERNO</t>
  </si>
  <si>
    <t>MDT-DRTSPL-2022-2981-O</t>
  </si>
  <si>
    <t>MDT-DRTSPL-2022-4403-EXTERNO</t>
  </si>
  <si>
    <t>MDT-DRTSPL-2022-2982-O</t>
  </si>
  <si>
    <t>MDT-DRTSPL-2022-4404-EXTERNO</t>
  </si>
  <si>
    <t>MDT-DRTSPL-2022-2983-O</t>
  </si>
  <si>
    <t>MDT-DRTSPL-2022-4406-EXTERNO</t>
  </si>
  <si>
    <t>MDT-DRTSPL-2022-2984-O</t>
  </si>
  <si>
    <t>MDT-DRTSPL-2022-4407-EXTERNO</t>
  </si>
  <si>
    <t>MDT-DRTSPL-2022-2985-O</t>
  </si>
  <si>
    <t>MDT-DRTSPL-2022-4408-EXTERNO</t>
  </si>
  <si>
    <t>MDT-DRTSPL-2022-2986-O</t>
  </si>
  <si>
    <t>MDT-DRTSPL-2022-4409-EXTERNO</t>
  </si>
  <si>
    <t>MDT-DRTSPL-2022-2989-O</t>
  </si>
  <si>
    <t>MDT-DRTSPL-2022-4410-EXTERNO</t>
  </si>
  <si>
    <t>MDT-DRTSPL-2022-2990-O</t>
  </si>
  <si>
    <t>hectorrogel06@gmail.com</t>
  </si>
  <si>
    <t>MDT-DRTSPL-2022-4411-EXTERNO</t>
  </si>
  <si>
    <t>MDT-DRTSPL-2022-2991-O</t>
  </si>
  <si>
    <t xml:space="preserve">Anthony Paul Jimenez Guayanay </t>
  </si>
  <si>
    <t>dajavier@outlook.com</t>
  </si>
  <si>
    <t>MDT-DRTSPL-2022-4412-EXTERNO</t>
  </si>
  <si>
    <t>MDT-DRTSPL-2022-2992-O</t>
  </si>
  <si>
    <t xml:space="preserve">Marbelia Itamar Benítez Ortega </t>
  </si>
  <si>
    <t>MDT-DRTSPL-2022-4414-EXTERNO</t>
  </si>
  <si>
    <t>MDT-DRTSPL-2022-2993-O</t>
  </si>
  <si>
    <t>MDT-DRTSPL-2022-4415-EXTERNO</t>
  </si>
  <si>
    <t>MDT-DRTSPL-2022-2994-O</t>
  </si>
  <si>
    <t>MDT-DRTSPL-2022-4417-EXTERNO</t>
  </si>
  <si>
    <t>MDT-DRTSPL-2022-2996-O</t>
  </si>
  <si>
    <t>MDT-DRTSPL-2022-4420-EXTERNO</t>
  </si>
  <si>
    <t>MDT-DRTSPL-2022-2997-O</t>
  </si>
  <si>
    <t xml:space="preserve">Pablo Israel Salinas Carrion </t>
  </si>
  <si>
    <t>pabloisrr12@gmail.com</t>
  </si>
  <si>
    <t>MDT-DRTSPL-2022-4422-EXTERNO</t>
  </si>
  <si>
    <t>MDT-DRTSPL-2022-2998-O</t>
  </si>
  <si>
    <t>MDT-DRTSPL-2022-4423-EXTERNO</t>
  </si>
  <si>
    <t>MDT-DRTSPL-2022-2999-O</t>
  </si>
  <si>
    <t>MDT-DRTSPL-2022-4424-EXTERNO</t>
  </si>
  <si>
    <t>MDT-DRTSPL-2022-3000-O</t>
  </si>
  <si>
    <t>MDT-DRTSPL-2022-4425-EXTERNO</t>
  </si>
  <si>
    <t>MDT-DRTSPL-2022-3001-O</t>
  </si>
  <si>
    <t>MDT-DRTSPL-2022-4426-EXTERNO</t>
  </si>
  <si>
    <t>MDT-DRTSPL-2022-3002-O</t>
  </si>
  <si>
    <t>MDT-DRTSPL-2022-4429-EXTERNO</t>
  </si>
  <si>
    <t>MDT-DRTSPL-2022-3003-O</t>
  </si>
  <si>
    <t>MDT-DRTSPL-2022-4430-EXTERNO</t>
  </si>
  <si>
    <t>MDT-DRTSPL-2022-3004-O</t>
  </si>
  <si>
    <t>MDT-DRTSPL-2022-4431-EXTERNO</t>
  </si>
  <si>
    <t>MDT-DRTSPL-2022-3005-O</t>
  </si>
  <si>
    <t>MDT-DRTSPL-2022-4432-EXTERNO</t>
  </si>
  <si>
    <t>MDT-DRTSPL-2022-3006-O</t>
  </si>
  <si>
    <t>MDT-DRTSPL-2022-4433-EXTERNO</t>
  </si>
  <si>
    <t>MDT-DRTSPL-2022-4434-EXTERNO</t>
  </si>
  <si>
    <t>MDT-DRTSPL-2022-3008-O</t>
  </si>
  <si>
    <t>MDT-DRTSPL-2022-4435-EXTERNO</t>
  </si>
  <si>
    <t>MDT-DRTSPL-2022-3009-O</t>
  </si>
  <si>
    <t xml:space="preserve">Edisson Vinicio Saca Aguinsaca </t>
  </si>
  <si>
    <t>MDT-DRTSPL-2022-4443-EXTERNO</t>
  </si>
  <si>
    <t>MDT-DRTSPL-2022-3079-O</t>
  </si>
  <si>
    <t xml:space="preserve">Eduardo Ramiro Moreno Robles </t>
  </si>
  <si>
    <t>ventanillazamora@fiscalia.gob.ec</t>
  </si>
  <si>
    <t>MDT-DRTSPL-2022-4444-EXTERNO</t>
  </si>
  <si>
    <t>MDT-DRTSPL-2022-3028-O</t>
  </si>
  <si>
    <t>talentohumano@espindola.gob.ec</t>
  </si>
  <si>
    <t>MDT-DRTSPL-2022-4446-EXTERNO</t>
  </si>
  <si>
    <t>MDT-DRTSPL-2022-3010-O</t>
  </si>
  <si>
    <t xml:space="preserve">Juana Catalina Malacatus Morocho </t>
  </si>
  <si>
    <t>charrYsoto04@hotmail.com</t>
  </si>
  <si>
    <t>MDT-DRTSPL-2022-4447-EXTERNO</t>
  </si>
  <si>
    <t>MDT-DRTSPL-2022-3024-O</t>
  </si>
  <si>
    <t xml:space="preserve">Jose Luis Silverio Palacios </t>
  </si>
  <si>
    <t>abogadosloja@hotmail.com</t>
  </si>
  <si>
    <t>MDT-DRTSPL-2022-4449-EXTERNO</t>
  </si>
  <si>
    <t>MDT-DRTSPL-2022-3012-O</t>
  </si>
  <si>
    <t xml:space="preserve">Freddy Lenin Riofrio Moreno </t>
  </si>
  <si>
    <t>riofriofreddy55@gmail.com</t>
  </si>
  <si>
    <t>MDT-DRTSPL-2022-4453-EXTERNO</t>
  </si>
  <si>
    <t>MDT-DRTSPL-2022-3016-O</t>
  </si>
  <si>
    <t>ecosur_07@hotmail.com</t>
  </si>
  <si>
    <t>MDT-DRTSPL-2022-4456-EXTERNO</t>
  </si>
  <si>
    <t>MDT-DRTSPL-2022-3018-O</t>
  </si>
  <si>
    <t>MDT-DRTSPL-2022-4457-EXTERNO</t>
  </si>
  <si>
    <t>MDT-DRTSPL-2022-3020-O</t>
  </si>
  <si>
    <t>MDT-DRTSPL-2022-4458-EXTERNO</t>
  </si>
  <si>
    <t>MDT-DRTSPL-2022-3022-O</t>
  </si>
  <si>
    <t>MDT-DRTSPL-2022-4459-EXTERNO</t>
  </si>
  <si>
    <t>MDT-DRTSPL-2022-3025-O</t>
  </si>
  <si>
    <t>MDT-DRTSPL-2022-4460-EXTERNO</t>
  </si>
  <si>
    <t>MDT-DRTSPL-2022-3026-O</t>
  </si>
  <si>
    <t>MDT-DRTSPL-2022-4461-EXTERNO</t>
  </si>
  <si>
    <t>MDT-DRTSPL-2022-3027-O</t>
  </si>
  <si>
    <t>MDT-DRTSPL-2022-4462-EXTERNO</t>
  </si>
  <si>
    <t>MDT-DRTSPL-2022-3029-O</t>
  </si>
  <si>
    <t>MDT-DRTSPL-2022-4463-EXTERNO</t>
  </si>
  <si>
    <t>MDT-DRTSPL-2022-3030-O</t>
  </si>
  <si>
    <t>MDT-DRTSPL-2022-4464-EXTERNO</t>
  </si>
  <si>
    <t>MDT-DRTSPL-2022-2976-O</t>
  </si>
  <si>
    <t xml:space="preserve">Luis Alipio Curimilma Maza </t>
  </si>
  <si>
    <t>lac110025@gmail.com</t>
  </si>
  <si>
    <t>MDT-DRTSPL-2022-4465-EXTERNO</t>
  </si>
  <si>
    <t>MDT-DRTSPL-2022-3031-O</t>
  </si>
  <si>
    <t>MDT-DRTSPL-2022-4466-EXTERNO</t>
  </si>
  <si>
    <t>MDT-DRTSPL-2022-3032-O</t>
  </si>
  <si>
    <t>MDT-DRTSPL-2022-4468-EXTERNO</t>
  </si>
  <si>
    <t>MDT-DRTSPL-2022-3033-O</t>
  </si>
  <si>
    <t>MDT-DRTSPL-2022-4469-EXTERNO</t>
  </si>
  <si>
    <t>MDT-DRTSPL-2022-3034-O</t>
  </si>
  <si>
    <t>MDT-DRTSPL-2022-4470-EXTERNO</t>
  </si>
  <si>
    <t>MDT-DRTSPL-2022-3036-O</t>
  </si>
  <si>
    <t>MDT-DRTSPL-2022-4471-EXTERNO</t>
  </si>
  <si>
    <t>MDT-DRTSPL-2022-3037-O</t>
  </si>
  <si>
    <t>MDT-DRTSPL-2022-4473-EXTERNO</t>
  </si>
  <si>
    <t>MDT-DRTSPL-2022-2977-O</t>
  </si>
  <si>
    <t xml:space="preserve">Luis Sacarias Santin Solorzano </t>
  </si>
  <si>
    <t>santinluissacarias@gmail.com</t>
  </si>
  <si>
    <t>MDT-DRTSPL-2022-4474-EXTERNO</t>
  </si>
  <si>
    <t>MDT-DRTSPL-2022-3038-O</t>
  </si>
  <si>
    <t>MDT-DRTSPL-2022-4476-EXTERNO</t>
  </si>
  <si>
    <t>MDT-DRTSPL-2022-3040-O</t>
  </si>
  <si>
    <t>MDT-DRTSPL-2022-4480-EXTERNO</t>
  </si>
  <si>
    <t>MDT-DRTSPL-2022-3042-O</t>
  </si>
  <si>
    <t>williamjosephrodriguezcueva@gmail.com</t>
  </si>
  <si>
    <t>MDT-DRTSPL-2022-4481-EXTERNO</t>
  </si>
  <si>
    <t>MDT-DRTSPL-2022-2979-O</t>
  </si>
  <si>
    <t xml:space="preserve">Jose Nicolas Barros Jara </t>
  </si>
  <si>
    <t>josebarrosjara1941@gmail.com</t>
  </si>
  <si>
    <t>MDT-DRTSPL-2022-4485-EXTERNO</t>
  </si>
  <si>
    <t>MDT-DRTSPL-2022-3045-O</t>
  </si>
  <si>
    <t>MDT-DRTSPL-2022-4486-EXTERNO</t>
  </si>
  <si>
    <t>MDT-DRTSPL-2022-3048-O</t>
  </si>
  <si>
    <t xml:space="preserve">Talia Maldonado Castro </t>
  </si>
  <si>
    <t>MDT-DRTSPL-2022-4487-EXTERNO</t>
  </si>
  <si>
    <t>MDT-DRTSPL-2022-3049-O</t>
  </si>
  <si>
    <t>MDT-DRTSPL-2022-4488-EXTERNO</t>
  </si>
  <si>
    <t>MDT-DRTSPL-2022-3021-O</t>
  </si>
  <si>
    <t xml:space="preserve">Dora Jackeline Vera Arias </t>
  </si>
  <si>
    <t>MDT-DRTSPL-2022-4492-EXTERNO</t>
  </si>
  <si>
    <t>MDT-DRTSPL-2022-3041-O</t>
  </si>
  <si>
    <t xml:space="preserve">Jose Jaime Rivera Jara </t>
  </si>
  <si>
    <t>josejaimeriverajara@gmail.com</t>
  </si>
  <si>
    <t>MDT-DRTSPL-2022-4493-EXTERNO</t>
  </si>
  <si>
    <t>MDT-DRTSPL-2022-3043-O</t>
  </si>
  <si>
    <t xml:space="preserve">Washington Antonio Leon Japon </t>
  </si>
  <si>
    <t>leonos5999@gmail.com</t>
  </si>
  <si>
    <t>MDT-DRTSPL-2022-4495-EXTERNO</t>
  </si>
  <si>
    <t>MDT-DRTSPL-2022-3044-O</t>
  </si>
  <si>
    <t xml:space="preserve">Manuel Angel Caigua Ruales </t>
  </si>
  <si>
    <t>macr11004@gmail.com</t>
  </si>
  <si>
    <t>MDT-DRTSPL-2022-4496-EXTERNO</t>
  </si>
  <si>
    <t>MDT-DRTSPL-2022-3051-O</t>
  </si>
  <si>
    <t xml:space="preserve">Noela Soledad Bustamante Castro </t>
  </si>
  <si>
    <t>flaqui_04@hotmail.com</t>
  </si>
  <si>
    <t>MDT-DRTSPL-2022-4499-EXTERNO</t>
  </si>
  <si>
    <t>MDT-DRTSPL-2022-3046-O</t>
  </si>
  <si>
    <t xml:space="preserve">Juan Tomas de Dios Leon Maldonado </t>
  </si>
  <si>
    <t>juantomas1940leon@gmail.com</t>
  </si>
  <si>
    <t>MDT-DRTSPL-2022-4500-EXTERNO</t>
  </si>
  <si>
    <t>MDT-DRTSPL-2022-3047-O</t>
  </si>
  <si>
    <t xml:space="preserve">Eliceo Guillermo Godoy </t>
  </si>
  <si>
    <t>godoyguillermo60@gmail.com</t>
  </si>
  <si>
    <t>MDT-DRTSPL-2022-4502-EXTERNO</t>
  </si>
  <si>
    <t>MDT-DRTSPL-2022-3055-O</t>
  </si>
  <si>
    <t xml:space="preserve">Brian Andres Muñoz Quezada </t>
  </si>
  <si>
    <t>andresbri52@gmail.com</t>
  </si>
  <si>
    <t>MDT-DRTSPL-2022-4505-EXTERNO</t>
  </si>
  <si>
    <t>MDT-DRTSPL-2022-3056-O</t>
  </si>
  <si>
    <t xml:space="preserve">Blanca Mendoza Guzmán </t>
  </si>
  <si>
    <t>asesorar.solucioneslegales@gmail.com</t>
  </si>
  <si>
    <t>MDT-DRTSPL-2022-4508-EXTERNO</t>
  </si>
  <si>
    <t>MDT-DRTSPL-2022-3050-O</t>
  </si>
  <si>
    <t xml:space="preserve">Carlos Alberto Lanche </t>
  </si>
  <si>
    <t>carloslanche41@gmail.com</t>
  </si>
  <si>
    <t>MDT-DRTSPL-2022-4510-EXTERNO</t>
  </si>
  <si>
    <t>MDT-DRTSPL-2022-3053-O</t>
  </si>
  <si>
    <t>michasalazar.18@gmail.com</t>
  </si>
  <si>
    <t>MDT-DRTSPL-2022-4512-EXTERNO</t>
  </si>
  <si>
    <t>MDT-DRTSPL-2022-3058-O</t>
  </si>
  <si>
    <t>MDT-DRTSPL-2022-4517-EXTERNO</t>
  </si>
  <si>
    <t>MDT-DRTSPL-2022-3060-O</t>
  </si>
  <si>
    <t>MDT-DRTSPL-2022-4518-EXTERNO</t>
  </si>
  <si>
    <t>MDT-DRTSPL-2022-3061-O</t>
  </si>
  <si>
    <t>MDT-DRTSPL-2022-4519-EXTERNO</t>
  </si>
  <si>
    <t>MDT-DRTSPL-2022-3035-O</t>
  </si>
  <si>
    <t xml:space="preserve">Guido Ivan Romero Pogo </t>
  </si>
  <si>
    <t>aguilasolitaria9876@hotmail.com</t>
  </si>
  <si>
    <t>MDT-DRTSPL-2022-4520-EXTERNO</t>
  </si>
  <si>
    <t>MDT-DRTSPL-2022-3307-O</t>
  </si>
  <si>
    <t xml:space="preserve">Lady Antonia Jimenez Jimenez </t>
  </si>
  <si>
    <t>jladyantonia@gmail.com</t>
  </si>
  <si>
    <t>MDT-DRTSPL-2022-4523-EXTERNO</t>
  </si>
  <si>
    <t>MDT-DRTSPL-2022-3113-O</t>
  </si>
  <si>
    <t>MDT-DRTSPL-2022-4524-EXTERNO</t>
  </si>
  <si>
    <t>MDT-DRTSPL-2022-3062-O</t>
  </si>
  <si>
    <t xml:space="preserve">Wilman Bairon Moreno Samaniego </t>
  </si>
  <si>
    <t>wvitic@gmail.com</t>
  </si>
  <si>
    <t>MDT-DRTSPL-2022-4525-EXTERNO</t>
  </si>
  <si>
    <t>MDT-DRTSPL-2022-3054-O</t>
  </si>
  <si>
    <t xml:space="preserve">Jose Maria Paucha </t>
  </si>
  <si>
    <t>pepe120819@gmail.com</t>
  </si>
  <si>
    <t>MDT-DRTSPL-2022-4526-EXTERNO</t>
  </si>
  <si>
    <t>MDT-DRTSPL-2022-3057-O</t>
  </si>
  <si>
    <t xml:space="preserve">Fredy Antonio Bustos </t>
  </si>
  <si>
    <t>fredybustos66@gmail.com</t>
  </si>
  <si>
    <t>MDT-DRTSPL-2022-4528-EXTERNO</t>
  </si>
  <si>
    <t>Jhonatan Fernando Gonzalez Calero. (MDT)</t>
  </si>
  <si>
    <t>MDT-DRTSPL-2022-4530-EXTERNO</t>
  </si>
  <si>
    <t>MDT-DRTSPL-2022-3059-O</t>
  </si>
  <si>
    <t xml:space="preserve">Manuel Benigno Jaramillo Martinez </t>
  </si>
  <si>
    <t>manueljaramillo1100@gmail.com</t>
  </si>
  <si>
    <t>MDT-DRTSPL-2022-4532-EXTERNO</t>
  </si>
  <si>
    <t xml:space="preserve">Juan Carlos Moreno </t>
  </si>
  <si>
    <t>Juan Carlos Moreno (MDT)</t>
  </si>
  <si>
    <t xml:space="preserve">Maria Elizabeth Baculima Silva </t>
  </si>
  <si>
    <t>elizabaculima@yahoo.es</t>
  </si>
  <si>
    <t>MDT-DRTSPL-2022-4533-EXTERNO</t>
  </si>
  <si>
    <t>MDT-DRTSPL-2022-3069-O</t>
  </si>
  <si>
    <t xml:space="preserve">Ivo Hernan Pacheco Guaman </t>
  </si>
  <si>
    <t>ivohernanpacheco@gmail.com</t>
  </si>
  <si>
    <t>MDT-DRTSPL-2022-4535-EXTERNO</t>
  </si>
  <si>
    <t>MDT-DRTSPL-2022-3070-O</t>
  </si>
  <si>
    <t>asesorialegalhij3@hotmail.com</t>
  </si>
  <si>
    <t>MDT-DRTSPL-2022-4536-EXTERNO</t>
  </si>
  <si>
    <t>MDT-DRTSPL-2022-3039-O</t>
  </si>
  <si>
    <t xml:space="preserve">Danny Jefferson Armijos Cuenca </t>
  </si>
  <si>
    <t>dannyjefferson1217@gmail.com</t>
  </si>
  <si>
    <t>MDT-DRTSPL-2022-4537-EXTERNO</t>
  </si>
  <si>
    <t>MDT-DRTSPL-2022-3071-O</t>
  </si>
  <si>
    <t>MDT-DRTSPL-2022-4538-EXTERNO</t>
  </si>
  <si>
    <t>MDT-DRTSPL-2022-3072-O</t>
  </si>
  <si>
    <t>MDT-DRTSPL-2022-4539-EXTERNO</t>
  </si>
  <si>
    <t>MDT-DRTSPL-2022-3074-O</t>
  </si>
  <si>
    <t>MDT-DRTSPL-2022-4540-EXTERNO</t>
  </si>
  <si>
    <t>MDT-DRTSPL-2022-3075-O</t>
  </si>
  <si>
    <t>MDT-DRTSPL-2022-4542-EXTERNO</t>
  </si>
  <si>
    <t>MDT-DRTSPL-2022-3076-O</t>
  </si>
  <si>
    <t>sarmientov@fiscalia.gob.ec</t>
  </si>
  <si>
    <t>MDT-DRTSPL-2022-4543-EXTERNO</t>
  </si>
  <si>
    <t>MDT-DRTSPL-2022-3272-O</t>
  </si>
  <si>
    <t xml:space="preserve">José Moises Quito Villa </t>
  </si>
  <si>
    <t>quitojose415@gmail.com</t>
  </si>
  <si>
    <t>MDT-DRTSPL-2022-4545-EXTERNO</t>
  </si>
  <si>
    <t>MDT-DRTSPL-2022-3063-O</t>
  </si>
  <si>
    <t xml:space="preserve">Julio Eulogio Lopez Chalan </t>
  </si>
  <si>
    <t>MDT-DRTSPL-2022-4547-EXTERNO</t>
  </si>
  <si>
    <t>MDT-DRTSPL-2022-3077-O</t>
  </si>
  <si>
    <t>MDT-DRTSPL-2022-4548-EXTERNO</t>
  </si>
  <si>
    <t>MDT-DRTSPL-2022-3078-O</t>
  </si>
  <si>
    <t>cadm2005@hotmail.com</t>
  </si>
  <si>
    <t>MDT-DRTSPL-2022-4553-EXTERNO</t>
  </si>
  <si>
    <t>MDT-DRTSPL-2022-3085-O</t>
  </si>
  <si>
    <t>MDT-DRTSPL-2022-4556-EXTERNO</t>
  </si>
  <si>
    <t>MDT-DRTSPL-2022-3081-O</t>
  </si>
  <si>
    <t>aniluciajg@gmail.com</t>
  </si>
  <si>
    <t>MDT-DRTSPL-2022-4557-EXTERNO</t>
  </si>
  <si>
    <t>MDT-DRTSPL-2022-3087-O</t>
  </si>
  <si>
    <t xml:space="preserve">Amable Anibal Guarnizo Jaramillo </t>
  </si>
  <si>
    <t>anibal20guarnizoj@gmail.com</t>
  </si>
  <si>
    <t>MDT-DRTSPL-2022-4559-EXTERNO</t>
  </si>
  <si>
    <t>MDT-DRTSPL-2022-3080-O</t>
  </si>
  <si>
    <t xml:space="preserve">Rosa Margarita Morocho Lituma </t>
  </si>
  <si>
    <t>rosamargaritamorocholituma@gmail.com</t>
  </si>
  <si>
    <t>MDT-DRTSPL-2022-4562-EXTERNO</t>
  </si>
  <si>
    <t>MDT-DRTSPL-2022-3088-O</t>
  </si>
  <si>
    <t>MDT-DRTSPL-2022-4563-EXTERNO</t>
  </si>
  <si>
    <t>MDT-DRTSPL-2022-3089-O</t>
  </si>
  <si>
    <t>andrea.aguirre@funcionjudicial.gob.ec</t>
  </si>
  <si>
    <t>MDT-DRTSPL-2022-4564-EXTERNO</t>
  </si>
  <si>
    <t xml:space="preserve">Wilson Enrique Tigsi Salamea </t>
  </si>
  <si>
    <t>Wilson Enrique Tigsi Salamea (MDT)</t>
  </si>
  <si>
    <t xml:space="preserve">Juan José Puertas Ortega </t>
  </si>
  <si>
    <t>MDT-DRTSPL-2022-4566-EXTERNO</t>
  </si>
  <si>
    <t xml:space="preserve">Vicenta Cumandá Hurtado Hurtado </t>
  </si>
  <si>
    <t>vicent_cum63@hotmail.com</t>
  </si>
  <si>
    <t>MDT-DRTSPL-2022-4569-EXTERNO</t>
  </si>
  <si>
    <t>MDT-DRTSPL-2022-3091-O</t>
  </si>
  <si>
    <t>MDT-DRTSPL-2022-4574-EXTERNO</t>
  </si>
  <si>
    <t>MDT-DRTSPL-2022-3092-O</t>
  </si>
  <si>
    <t>MDT-DRTSPL-2022-4576-EXTERNO</t>
  </si>
  <si>
    <t>MDT-DRTSPL-2022-3093-O</t>
  </si>
  <si>
    <t>asesleg@hotmail.com</t>
  </si>
  <si>
    <t>MDT-DRTSPL-2022-4578-EXTERNO</t>
  </si>
  <si>
    <t>MDT-DRTSPL-2022-3094-O</t>
  </si>
  <si>
    <t>MDT-DRTSPL-2022-4581-EXTERNO</t>
  </si>
  <si>
    <t>MDT-DRTSPL-2022-3095-O</t>
  </si>
  <si>
    <t>consultoriojuridicoruilova@hotmail.es</t>
  </si>
  <si>
    <t>MDT-DRTSPL-2022-4582-EXTERNO</t>
  </si>
  <si>
    <t>MDT-DRTSPL-2022-3096-O</t>
  </si>
  <si>
    <t>MDT-DRTSPL-2022-4584-EXTERNO</t>
  </si>
  <si>
    <t>MDT-DRTSPL-2022-3099-O</t>
  </si>
  <si>
    <t>MDT-DRTSPL-2022-4585-EXTERNO</t>
  </si>
  <si>
    <t>MDT-DRTSPL-2022-3100-O</t>
  </si>
  <si>
    <t>MDT-DRTSPL-2022-4586-EXTERNO</t>
  </si>
  <si>
    <t>MDT-DRTSPL-2022-3101-O</t>
  </si>
  <si>
    <t>MDT-DRTSPL-2022-4587-EXTERNO</t>
  </si>
  <si>
    <t>MDT-DRTSPL-2022-3102-O</t>
  </si>
  <si>
    <t xml:space="preserve">Jorge Geovanny Labanda Sanchez </t>
  </si>
  <si>
    <t>jorgelabanda66@gmail.com</t>
  </si>
  <si>
    <t>MDT-DRTSPL-2022-4588-EXTERNO</t>
  </si>
  <si>
    <t>MDT-DRTSPL-2022-3103-O</t>
  </si>
  <si>
    <t xml:space="preserve">Anthony Paul Iñiguez Moncayo </t>
  </si>
  <si>
    <t>MDT-DRTSPL-2022-4591-EXTERNO</t>
  </si>
  <si>
    <t>Dayana Cecibel Hidalgo Montero (MDT)</t>
  </si>
  <si>
    <t xml:space="preserve">Maria del Carmen Ortega Chamba </t>
  </si>
  <si>
    <t>valeskvalort18@gmail.com</t>
  </si>
  <si>
    <t>MDT-DRTSPL-2022-4592-EXTERNO</t>
  </si>
  <si>
    <t>MDT-DRTSPL-2022-3104-O</t>
  </si>
  <si>
    <t>MDT-DRTSPL-2022-4595-EXTERNO</t>
  </si>
  <si>
    <t>MDT-DRTSPL-2022-3105-O</t>
  </si>
  <si>
    <t>MDT-DRTSPL-2022-4596-EXTERNO</t>
  </si>
  <si>
    <t>MDT-DRTSPL-2022-3110-O</t>
  </si>
  <si>
    <t>chejp_72@hotmail.com</t>
  </si>
  <si>
    <t>MDT-DRTSPL-2022-4598-EXTERNO</t>
  </si>
  <si>
    <t>MDT-DRTSPL-2022-3114-O</t>
  </si>
  <si>
    <t xml:space="preserve">Orfelina Maria Salinas Morocho </t>
  </si>
  <si>
    <t>ggarciaprado@yahoo.es</t>
  </si>
  <si>
    <t>MDT-DRTSPL-2022-4599-EXTERNO</t>
  </si>
  <si>
    <t>MDT-DRTSPL-2022-3334-O</t>
  </si>
  <si>
    <t>MDT-DRTSPL-2022-4600-EXTERNO</t>
  </si>
  <si>
    <t>MDT-DRTSPL-2022-3330-O</t>
  </si>
  <si>
    <t>MDT-DRTSPL-2022-4603-EXTERNO</t>
  </si>
  <si>
    <t>MDT-DRTSPL-2022-3127-O</t>
  </si>
  <si>
    <t>MDT-DRTSPL-2022-4604-EXTERNO</t>
  </si>
  <si>
    <t>MDT-DRTSPL-2022-3274-O</t>
  </si>
  <si>
    <t xml:space="preserve">Jorge Eli Abad Toledo </t>
  </si>
  <si>
    <t>MDT-DRTSPL-2022-4605-EXTERNO</t>
  </si>
  <si>
    <t>MDT-DRTSPL-2022-3108-O</t>
  </si>
  <si>
    <t>MDT-DRTSPL-2022-4606-EXTERNO</t>
  </si>
  <si>
    <t>MDT-DRTSPL-2022-3109-O</t>
  </si>
  <si>
    <t>MDT-DRTSPL-2022-4612-EXTERNO</t>
  </si>
  <si>
    <t>MDT-DRTSPL-2022-3119-O</t>
  </si>
  <si>
    <t xml:space="preserve">Galo Arturo Jaramillo Gonzalez </t>
  </si>
  <si>
    <t>galo.jaramillo@funcionjudicial.gob.ec</t>
  </si>
  <si>
    <t>MDT-DRTSPL-2022-4613-EXTERNO</t>
  </si>
  <si>
    <t>MDT-DRTSPL-2022-3120-O</t>
  </si>
  <si>
    <t xml:space="preserve">Fausto Euclides Paucar Capa </t>
  </si>
  <si>
    <t>MDT-DRTSPL-2022-4616-EXTERNO</t>
  </si>
  <si>
    <t>MDT-DRTSPL-2022-3122-O</t>
  </si>
  <si>
    <t>jimbol@fiscalia.gob.ec</t>
  </si>
  <si>
    <t>MDT-DRTSPL-2022-4620-EXTERNO</t>
  </si>
  <si>
    <t>MDT-DRTSPL-2022-3123-O</t>
  </si>
  <si>
    <t>MDT-DRTSPL-2022-4621-EXTERNO</t>
  </si>
  <si>
    <t>MDT-DRTSPL-2022-3287-O</t>
  </si>
  <si>
    <t xml:space="preserve">Betti Ines Obando </t>
  </si>
  <si>
    <t>bettysantin_72@hotmail.com</t>
  </si>
  <si>
    <t>MDT-DRTSPL-2022-4622-EXTERNO</t>
  </si>
  <si>
    <t>MDT-DRTSPL-2022-3124-O</t>
  </si>
  <si>
    <t>MDT-DPTSPOM-2022-3586-EXTERNO</t>
  </si>
  <si>
    <t>MDT-DRTSPL-2022-3118-O</t>
  </si>
  <si>
    <t>Marcos Alberto Avelino Granda</t>
  </si>
  <si>
    <t>marquitos_avelino@hotmail.com</t>
  </si>
  <si>
    <t>MDT-DRTSPL-2022-4624-EXTERNO</t>
  </si>
  <si>
    <t>MDT-DRTSPL-2022-3116-O</t>
  </si>
  <si>
    <t xml:space="preserve">Willan Reinerio Acaro Castillo </t>
  </si>
  <si>
    <t>william.acarocastillo24@gmail.com</t>
  </si>
  <si>
    <t>MDT-DRTSPL-2022-4625-EXTERNO</t>
  </si>
  <si>
    <t>MDT-DRTSPL-2022-3257-O</t>
  </si>
  <si>
    <t xml:space="preserve">Maria Agusta Bravo Iñiguez </t>
  </si>
  <si>
    <t>edudavid8a@gmail.com</t>
  </si>
  <si>
    <t>MDT-DRTSPL-2022-4627-EXTERNO</t>
  </si>
  <si>
    <t>MDT-DRTSPL-2022-3152-O</t>
  </si>
  <si>
    <t>MDT-DRTSPL-2022-4630-EXTERNO</t>
  </si>
  <si>
    <t>MDT-DRTSPL-2022-3128-O</t>
  </si>
  <si>
    <t>espinosaramirezruiz5@gmail.com</t>
  </si>
  <si>
    <t>MDT-DRTSPL-2022-4631-EXTERNO</t>
  </si>
  <si>
    <t>MDT-DRTSPL-2022-3130-O</t>
  </si>
  <si>
    <t>MDT-DRTSPL-2022-4632-EXTERNO</t>
  </si>
  <si>
    <t>MDT-DRTSPL-2022-3133-O</t>
  </si>
  <si>
    <t>MDT-DRTSPL-2022-4635-EXTERNO</t>
  </si>
  <si>
    <t>MDT-DRTSPL-2022-3134-O</t>
  </si>
  <si>
    <t>MDT-DRTSPL-2022-4636-EXTERNO</t>
  </si>
  <si>
    <t>MDT-DRTSPL-2022-3135-O</t>
  </si>
  <si>
    <t>MDT-DRTSPL-2022-4637-EXTERNO</t>
  </si>
  <si>
    <t>MDT-DRTSPL-2022-4640-EXTERNO</t>
  </si>
  <si>
    <t>MDT-DRTSPL-2022-3137-O</t>
  </si>
  <si>
    <t xml:space="preserve">Segundo Amable Puglla Pineda </t>
  </si>
  <si>
    <t>puglla-segundo1103@hotmail.com</t>
  </si>
  <si>
    <t>MDT-DRTSPL-2022-4645-EXTERNO</t>
  </si>
  <si>
    <t>MDT-DRTSPL-2022-3138-O</t>
  </si>
  <si>
    <t>luis.jaramillor@funcionjudicial.gob.ec</t>
  </si>
  <si>
    <t>MDT-DRTSPL-2022-4647-EXTERNO</t>
  </si>
  <si>
    <t>MDT-DRTSPL-2022-3139-O</t>
  </si>
  <si>
    <t>MDT-DRTSPL-2022-4648-EXTERNO</t>
  </si>
  <si>
    <t>MDT-DRTSPL-2022-3140-O</t>
  </si>
  <si>
    <t>MDT-DRTSPL-2022-4649-EXTERNO</t>
  </si>
  <si>
    <t>MDT-DRTSPL-2022-3141-O</t>
  </si>
  <si>
    <t>MDT-DRTSPL-2022-4650-EXTERNO</t>
  </si>
  <si>
    <t>MDT-DRTSPL-2022-3142-O</t>
  </si>
  <si>
    <t>MDT-DRTSPL-2022-4651-EXTERNO</t>
  </si>
  <si>
    <t>MDT-DRTSPL-2022-3143-O</t>
  </si>
  <si>
    <t>MDT-DRTSPL-2022-4653-EXTERNO</t>
  </si>
  <si>
    <t>MDT-DRTSPL-2022-3145-O</t>
  </si>
  <si>
    <t xml:space="preserve">Bayron Rodrigo Jimenez </t>
  </si>
  <si>
    <t>byloja@hotmail.com</t>
  </si>
  <si>
    <t>MDT-DRTSPL-2022-4656-EXTERNO</t>
  </si>
  <si>
    <t>MDT-DRTSPL-2022-3184-O</t>
  </si>
  <si>
    <t xml:space="preserve">Luis Alfredo Salazar Ordoñez </t>
  </si>
  <si>
    <t>laso110028@gmail.com</t>
  </si>
  <si>
    <t>MDT-DRTSPL-2022-4657-EXTERNO</t>
  </si>
  <si>
    <t xml:space="preserve">Mirian Jackeline Molina Luzuriaga </t>
  </si>
  <si>
    <t>seguridadprivadag2m@gmail.com</t>
  </si>
  <si>
    <t>MDT-DRTSPL-2022-4659-EXTERNO</t>
  </si>
  <si>
    <t>MDT-DRTSPL-2022-3155-O</t>
  </si>
  <si>
    <t xml:space="preserve">Victor Hugo Jaramillo Peralta </t>
  </si>
  <si>
    <t>jaramilloperaltavictorhugo@gmail.com</t>
  </si>
  <si>
    <t>MDT-DRTSPL-2022-4660-EXTERNO</t>
  </si>
  <si>
    <t>MDT-DRTSPL-2022-3156-O</t>
  </si>
  <si>
    <t>victorvaldiviesoj19@gmail.com</t>
  </si>
  <si>
    <t>MDT-DRTSPL-2022-4661-EXTERNO</t>
  </si>
  <si>
    <t>MDT-DRTSPL-2022-3160-O</t>
  </si>
  <si>
    <t xml:space="preserve">Francisco Roberto Carrion Carrion </t>
  </si>
  <si>
    <t>panchocarrion38@gmail.com</t>
  </si>
  <si>
    <t>MDT-DRTSPL-2022-4662-EXTERNO</t>
  </si>
  <si>
    <t>MDT-DRTSPL-2022-3151-O</t>
  </si>
  <si>
    <t>MDT-DRTSPL-2022-4665-EXTERNO</t>
  </si>
  <si>
    <t>MDT-DRTSPL-2022-3161-O</t>
  </si>
  <si>
    <t>MDT-DRTSPL-2022-4667-EXTERNO</t>
  </si>
  <si>
    <t>MDT-DRTSPL-2022-3166-O</t>
  </si>
  <si>
    <t>MDT-DRTSPL-2022-4676-EXTERNO</t>
  </si>
  <si>
    <t>MDT-DRTSPL-2022-3153-O</t>
  </si>
  <si>
    <t xml:space="preserve">Frank Editson Castillo Ramirez </t>
  </si>
  <si>
    <t>MDT-DRTSPL-2022-4677-EXTERNO</t>
  </si>
  <si>
    <t>MDT-DCI-2022-1742-M</t>
  </si>
  <si>
    <t>MDT-DRTSPL-2022-4678-EXTERNO</t>
  </si>
  <si>
    <t>MDT-DRTSPL-2022-3163-O</t>
  </si>
  <si>
    <t xml:space="preserve">Enrique Cuenca Pucha </t>
  </si>
  <si>
    <t>ruthlion@hotmail.com</t>
  </si>
  <si>
    <t>MDT-DRTSPL-2022-4679-EXTERNO</t>
  </si>
  <si>
    <t>MDT-DRTSPL-2022-3157-O</t>
  </si>
  <si>
    <t xml:space="preserve">Jhonny Esteban Yuquilema Bagua </t>
  </si>
  <si>
    <t>elkin12yuquilema@gmail.com</t>
  </si>
  <si>
    <t>MDT-DRTSPL-2022-4681-EXTERNO</t>
  </si>
  <si>
    <t>MDT-DRTSPL-2022-3165-O</t>
  </si>
  <si>
    <t xml:space="preserve">Luis Miguel Cumbicus Ovando </t>
  </si>
  <si>
    <t>abg.luiscumbicus@gmail.com</t>
  </si>
  <si>
    <t>MDT-DRTSPL-2022-4683-EXTERNO</t>
  </si>
  <si>
    <t>MDT-DRTSPL-2022-3171-O</t>
  </si>
  <si>
    <t xml:space="preserve">Víctor Hernán Bustamante Castillo </t>
  </si>
  <si>
    <t>victorbustamante1618@gmail.com</t>
  </si>
  <si>
    <t>MDT-DRTSPL-2022-4684-EXTERNO</t>
  </si>
  <si>
    <t>MDT-DRTSPL-2022-3170-O</t>
  </si>
  <si>
    <t xml:space="preserve">Jose Daniel Sarango Ramon </t>
  </si>
  <si>
    <t>jdanielsarangor@gmail.com</t>
  </si>
  <si>
    <t>MDT-DRTSPL-2022-4685-EXTERNO</t>
  </si>
  <si>
    <t>MDT-DRTSPL-2022-3172-O</t>
  </si>
  <si>
    <t>MDT-DRTSPL-2022-4686-EXTERNO</t>
  </si>
  <si>
    <t>MDT-DRTSPL-2022-3174-O</t>
  </si>
  <si>
    <t xml:space="preserve">Karina Fernanda Ramirez Ramirez </t>
  </si>
  <si>
    <t>fr812135@gmail.com</t>
  </si>
  <si>
    <t>MDT-DRTSPL-2022-4687-EXTERNO</t>
  </si>
  <si>
    <t>MDT-DRTSPL-2022-3175-O</t>
  </si>
  <si>
    <t xml:space="preserve">Fabricio Ramiro Maurad Fernández </t>
  </si>
  <si>
    <t>consorciojuridicooxa12@gmail.com</t>
  </si>
  <si>
    <t>MDT-DRTSPL-2022-4689-EXTERNO</t>
  </si>
  <si>
    <t>MDT-DRTSPL-2022-3176-O</t>
  </si>
  <si>
    <t xml:space="preserve">Tula Enith Burneo Escudero </t>
  </si>
  <si>
    <t>lexconsultestudiojuridico@yahoo.es</t>
  </si>
  <si>
    <t>MDT-DRTSPL-2022-4696-EXTERNO</t>
  </si>
  <si>
    <t>MDT-DRTSPL-2022-3162-O</t>
  </si>
  <si>
    <t xml:space="preserve">Vicente Javier Ontaneda Andrade </t>
  </si>
  <si>
    <t>rovel76@hotmail.com</t>
  </si>
  <si>
    <t>MDT-DRTSPL-2022-4699-EXTERNO</t>
  </si>
  <si>
    <t>MDT-DRTSPL-2022-3178-O</t>
  </si>
  <si>
    <t>yorkiaguilar@yahoo.es</t>
  </si>
  <si>
    <t>MDT-DRTSPL-2022-4702-EXTERNO</t>
  </si>
  <si>
    <t>MDT-DRTSPL-2022-3185-O</t>
  </si>
  <si>
    <t>MDT-DRTSPL-2022-4704-EXTERNO</t>
  </si>
  <si>
    <t>MDT-DRTSPL-2022-3186-O</t>
  </si>
  <si>
    <t xml:space="preserve">Blanca Georgina Mendoza Guzman </t>
  </si>
  <si>
    <t>MDT-DRTSPL-2022-4705-EXTERNO</t>
  </si>
  <si>
    <t>MDT-DRTSPL-2022-3187-O</t>
  </si>
  <si>
    <t xml:space="preserve">Franz Rolando Quezada Zhanay </t>
  </si>
  <si>
    <t>franzqezada@gmail.com</t>
  </si>
  <si>
    <t>MDT-DRTSPL-2022-4713-EXTERNO</t>
  </si>
  <si>
    <t>MDT-DRTSPL-2022-3209-O</t>
  </si>
  <si>
    <t xml:space="preserve">Joofre Patricio Vicente Soto </t>
  </si>
  <si>
    <t>joofrevicente@hotmail.com</t>
  </si>
  <si>
    <t>MDT-DRTSPL-2022-4718-EXTERNO</t>
  </si>
  <si>
    <t>MDT-DRTSPL-2022-3188-O</t>
  </si>
  <si>
    <t>vicente1656@hotmail.com</t>
  </si>
  <si>
    <t>MDT-DRTSPL-2022-4722-EXTERNO</t>
  </si>
  <si>
    <t>MDT-DRTSPL-2022-3189-O</t>
  </si>
  <si>
    <t>MDT-DRTSPL-2022-4723-EXTERNO</t>
  </si>
  <si>
    <t>MDT-DRTSPL-2022-3190-O</t>
  </si>
  <si>
    <t xml:space="preserve">Ilda Narciza Guaillas Quizhpe </t>
  </si>
  <si>
    <t>casillero255@gmail.com</t>
  </si>
  <si>
    <t>MDT-DRTSPL-2022-4724-EXTERNO</t>
  </si>
  <si>
    <t>MDT-DRTSPL-2022-3192-O</t>
  </si>
  <si>
    <t xml:space="preserve">Lenny Cecilia Villalta Castillo </t>
  </si>
  <si>
    <t>javalarezo3@hotmail.com</t>
  </si>
  <si>
    <t>MDT-DRTSPL-2022-4727-EXTERNO</t>
  </si>
  <si>
    <t>MDT-DRTSPL-2022-3193-O</t>
  </si>
  <si>
    <t xml:space="preserve">Luis Gilder Herrera Paredes </t>
  </si>
  <si>
    <t>gilder_herrera@yahoo.com</t>
  </si>
  <si>
    <t>MDT-DRTSPL-2022-4728-EXTERNO</t>
  </si>
  <si>
    <t>MDT-DRTSPL-2022-3194-O</t>
  </si>
  <si>
    <t xml:space="preserve">Luz America Agila </t>
  </si>
  <si>
    <t>MDT-DRTSPL-2022-4729-EXTERNO</t>
  </si>
  <si>
    <t>MDT-DRTSPL-2022-3195-O</t>
  </si>
  <si>
    <t>MDT-DRTSPL-2022-4730-EXTERNO</t>
  </si>
  <si>
    <t>MDT-DRTSPL-2022-3200-O</t>
  </si>
  <si>
    <t>MDT-DRTSPL-2022-4731-EXTERNO</t>
  </si>
  <si>
    <t>MDT-DRTSPL-2022-3201-O</t>
  </si>
  <si>
    <t>MDT-DRTSPL-2022-4732-EXTERNO</t>
  </si>
  <si>
    <t>MDT-DRTSPL-2022-3202-O</t>
  </si>
  <si>
    <t>MDT-DRTSPL-2022-4733-EXTERNO</t>
  </si>
  <si>
    <t>MDT-DRTSPL-2022-3203-O</t>
  </si>
  <si>
    <t>MDT-DRTSPL-2022-4734-EXTERNO</t>
  </si>
  <si>
    <t>MDT-DRTSPL-2022-3279-O</t>
  </si>
  <si>
    <t>MDT-DRTSPL-2022-4735-EXTERNO</t>
  </si>
  <si>
    <t>MDT-DRTSPL-2022-3204-O</t>
  </si>
  <si>
    <t>legalisconsensu@hotmail.es</t>
  </si>
  <si>
    <t>MDT-DRTSPL-2022-4737-EXTERNO</t>
  </si>
  <si>
    <t>MDT-DRTSPL-2022-3250-O</t>
  </si>
  <si>
    <t xml:space="preserve">Luis Hernan Cisneros Jaramillo </t>
  </si>
  <si>
    <t>luiscisneros@cne.gob.ec</t>
  </si>
  <si>
    <t>MDT-DRTSPL-2022-4744-EXTERNO</t>
  </si>
  <si>
    <t>MDT-DRTSPL-2022-3205-O</t>
  </si>
  <si>
    <t>MDT-DRTSPL-2022-4745-EXTERNO</t>
  </si>
  <si>
    <t>MDT-DRTSPL-2022-3206-O</t>
  </si>
  <si>
    <t>guido.castillo@funcionjudicial.gob.ec</t>
  </si>
  <si>
    <t>MDT-DRTSPL-2022-4746-EXTERNO</t>
  </si>
  <si>
    <t>MDT-DRTSPL-2022-3214-O</t>
  </si>
  <si>
    <t>MDT-DRTSPL-2022-4747-EXTERNO</t>
  </si>
  <si>
    <t>MDT-DRTSPL-2022-3215-O</t>
  </si>
  <si>
    <t>MDT-DRTSPL-2022-4748-EXTERNO</t>
  </si>
  <si>
    <t>MDT-DRTSPL-2022-3216-O</t>
  </si>
  <si>
    <t>MDT-DRTSPL-2022-4751-EXTERNO</t>
  </si>
  <si>
    <t>MDT-DRTSPL-2022-3219-O</t>
  </si>
  <si>
    <t xml:space="preserve">Luz Marina Zhigui Armijos </t>
  </si>
  <si>
    <t>luzzhiguiarmijos@gmail.com</t>
  </si>
  <si>
    <t>MDT-DRTSPL-2022-4752-EXTERNO</t>
  </si>
  <si>
    <t>MDT-DRTSPL-2022-3221-O</t>
  </si>
  <si>
    <t>MDT-DRTSPL-2022-4753-EXTERNO</t>
  </si>
  <si>
    <t>MDT-DRTSPL-2022-3222-O</t>
  </si>
  <si>
    <t xml:space="preserve">Jorge Patricio Morocho Barrera </t>
  </si>
  <si>
    <t>morochop@fiscalia.gob.ec</t>
  </si>
  <si>
    <t>MDT-DRTSPL-2022-4758-EXTERNO</t>
  </si>
  <si>
    <t>MDT-DRTSPL-2022-3223-O</t>
  </si>
  <si>
    <t xml:space="preserve">Stalin René Enriquez Mora </t>
  </si>
  <si>
    <t>staen_13@yahoo.es</t>
  </si>
  <si>
    <t>MDT-DRTSPL-2022-4759-EXTERNO</t>
  </si>
  <si>
    <t>MDT-DRTSPL-2022-3224-O</t>
  </si>
  <si>
    <t>MDT-DRTSPL-2022-4761-EXTERNO</t>
  </si>
  <si>
    <t>MDT-DRTSPL-2022-3225-O</t>
  </si>
  <si>
    <t xml:space="preserve">Karina Elizabeth Sedamanos Iñahuazo </t>
  </si>
  <si>
    <t>karina_160990@hotmail.com</t>
  </si>
  <si>
    <t>MDT-DRTSPL-2022-4768-EXTERNO</t>
  </si>
  <si>
    <t>MDT-DRTSPL-2022-3226-O</t>
  </si>
  <si>
    <t xml:space="preserve">Freddy Patricio Camacho Morocho </t>
  </si>
  <si>
    <t>andrescorrealoja@gmail.com</t>
  </si>
  <si>
    <t>MDT-DRTSPL-2022-4769-EXTERNO</t>
  </si>
  <si>
    <t xml:space="preserve">Melissa Jacqueline Valle Larraga </t>
  </si>
  <si>
    <t>Melissa Jacqueline Valle Larraga (MDT)</t>
  </si>
  <si>
    <t xml:space="preserve">Dayanna Michelle Troya Armijos </t>
  </si>
  <si>
    <t>MDT-DRTSPL-2022-4770-EXTERNO</t>
  </si>
  <si>
    <t>MDT-DRTSPL-2022-3210-O</t>
  </si>
  <si>
    <t xml:space="preserve">Franklin Bolivar Quirola Chavez </t>
  </si>
  <si>
    <t>elyzacastillo20@gmail.com</t>
  </si>
  <si>
    <t>MDT-DRTSPL-2022-4771-EXTERNO</t>
  </si>
  <si>
    <t>MDT-DRTSPL-2022-3241-O</t>
  </si>
  <si>
    <t xml:space="preserve">Manuel Alfonso Manitio Conumba </t>
  </si>
  <si>
    <t>alfonsomanitio@yahoo.com</t>
  </si>
  <si>
    <t>MDT-DRTSPL-2022-4775-EXTERNO</t>
  </si>
  <si>
    <t>MDT-DRTSPL-2022-3217-O</t>
  </si>
  <si>
    <t xml:space="preserve">Diego Andres Chalan Romero </t>
  </si>
  <si>
    <t>andresadvanced@hotmail.com</t>
  </si>
  <si>
    <t>MDT-DRTSPL-2022-4777-EXTERNO</t>
  </si>
  <si>
    <t>MDT-DRTSPL-2022-3227-O</t>
  </si>
  <si>
    <t xml:space="preserve">Efren Orlando Quishpe Cabrera </t>
  </si>
  <si>
    <t>efren.orlando@yahoo.com</t>
  </si>
  <si>
    <t>MDT-DRTSPL-2022-4778-EXTERNO</t>
  </si>
  <si>
    <t>MDT-DRTSPL-2022-3228-O</t>
  </si>
  <si>
    <t xml:space="preserve">Dalton Eleuterio Cueva Moreno </t>
  </si>
  <si>
    <t>daltoncueva@yahoo.es</t>
  </si>
  <si>
    <t>MDT-DRTSPL-2022-4782-EXTERNO</t>
  </si>
  <si>
    <t>MDT-DRTSPL-2022-3229-O</t>
  </si>
  <si>
    <t xml:space="preserve">Heraldo Vladimir Torres Guerrero </t>
  </si>
  <si>
    <t>heviatoge@hotmail.com</t>
  </si>
  <si>
    <t>MDT-DRTSPL-2022-4783-EXTERNO</t>
  </si>
  <si>
    <t>MDT-DRTSPL-2022-3230-O</t>
  </si>
  <si>
    <t>heylatoge@hotmail.com</t>
  </si>
  <si>
    <t>MDT-DRTSPL-2022-4792-EXTERNO</t>
  </si>
  <si>
    <t>MDT-DRTSPL-2022-3249-O</t>
  </si>
  <si>
    <t xml:space="preserve">Manuel Leonidas Paredes Mayanquer </t>
  </si>
  <si>
    <t>manucok1984@hotmail.com</t>
  </si>
  <si>
    <t>MDT-DRTSPL-2022-4793-EXTERNO</t>
  </si>
  <si>
    <t>MDT-DRTSPL-2022-3248-O</t>
  </si>
  <si>
    <t>MDT-DRTSPL-2022-4794-EXTERNO</t>
  </si>
  <si>
    <t>MDT-DRTSPL-2022-3251-O</t>
  </si>
  <si>
    <t>MDT-DRTSPL-2022-4795-EXTERNO</t>
  </si>
  <si>
    <t>MDT-DRTSPL-2022-3252-O</t>
  </si>
  <si>
    <t>MDT-DRTSPL-2022-4798-EXTERNO</t>
  </si>
  <si>
    <t>MDT-DRTSPL-2022-3253-O</t>
  </si>
  <si>
    <t xml:space="preserve">Diego Vinicio Paladines Costa </t>
  </si>
  <si>
    <t>MDT-DRTSPL-2022-4800-EXTERNO</t>
  </si>
  <si>
    <t>MDT-DRTSPL-2022-3292-O</t>
  </si>
  <si>
    <t xml:space="preserve">Javier Ignacio Landi Jimenez </t>
  </si>
  <si>
    <t>javierlandi6@gmail.com</t>
  </si>
  <si>
    <t>MDT-DRTSPL-2022-4803-EXTERNO</t>
  </si>
  <si>
    <t>MDT-DRTSPL-2022-3280-O</t>
  </si>
  <si>
    <t>MDT-DRTSPL-2022-4805-EXTERNO</t>
  </si>
  <si>
    <t>MDT-DRTSPL-2022-3255-O</t>
  </si>
  <si>
    <t>MDT-DRTSPL-2022-4806-EXTERNO</t>
  </si>
  <si>
    <t>MDT-DRTSPL-2022-3256-O</t>
  </si>
  <si>
    <t>MDT-DRTSPL-2022-4810-EXTERNO</t>
  </si>
  <si>
    <t>MDT-DRTSPL-2022-3258-O</t>
  </si>
  <si>
    <t>MDT-DRTSPL-2022-4811-EXTERNO</t>
  </si>
  <si>
    <t>MDT-DRTSPL-2022-3259-O</t>
  </si>
  <si>
    <t>MDT-DRTSPL-2022-4812-EXTERNO</t>
  </si>
  <si>
    <t>MDT-DRTSPL-2022-3261-O</t>
  </si>
  <si>
    <t>MDT-DRTSPL-2022-4814-EXTERNO</t>
  </si>
  <si>
    <t>MDT-DRTSPL-2022-3262-O</t>
  </si>
  <si>
    <t xml:space="preserve">Hernán Ramiro Peñaherrera Dìaz </t>
  </si>
  <si>
    <t>MDT-DRTSPL-2022-4815-EXTERNO</t>
  </si>
  <si>
    <t>MDT-DRTSPL-2022-3263-O</t>
  </si>
  <si>
    <t xml:space="preserve">Max Alejandro Tandazo Encalada </t>
  </si>
  <si>
    <t>MDT-DRTSPL-2022-4816-EXTERNO</t>
  </si>
  <si>
    <t>MDT-DRTSPL-2022-3260-O</t>
  </si>
  <si>
    <t>MDT-DRTSPL-2022-4820-EXTERNO</t>
  </si>
  <si>
    <t>MDT-DRTSPL-2022-3265-O</t>
  </si>
  <si>
    <t xml:space="preserve">Victor Manuel Ponce Espinoza </t>
  </si>
  <si>
    <t>MDT-DRTSPL-2022-4823-EXTERNO</t>
  </si>
  <si>
    <t>MDT-DRTSPL-2022-3266-O</t>
  </si>
  <si>
    <t xml:space="preserve">Ulises Orlando Sarango Jadan </t>
  </si>
  <si>
    <t>ulisarango123@gmail.com</t>
  </si>
  <si>
    <t>MDT-DRTSPL-2022-4824-EXTERNO</t>
  </si>
  <si>
    <t>MDT-DRTSPL-2022-3270-O</t>
  </si>
  <si>
    <t xml:space="preserve">Gloria Noemi Cajas Alvarado </t>
  </si>
  <si>
    <t>MDT-DRTSPL-2022-4825-EXTERNO</t>
  </si>
  <si>
    <t>MDT-DRTSPL-2022-3271-O</t>
  </si>
  <si>
    <t xml:space="preserve">Angel Rodrigo Uchuari Cuenca </t>
  </si>
  <si>
    <t>alexcampeon@hotmail.es</t>
  </si>
  <si>
    <t>MDT-DRTSPL-2022-4826-EXTERNO</t>
  </si>
  <si>
    <t>MDT-DRTSPL-2022-3282-O</t>
  </si>
  <si>
    <t>MDT-DRTSPL-2022-4834-EXTERNO</t>
  </si>
  <si>
    <t>MDT-DRTSPL-2022-3273-O</t>
  </si>
  <si>
    <t xml:space="preserve">Jorge Patricio Espinoza Quizhpe </t>
  </si>
  <si>
    <t>MDT-DRTSPL-2022-4835-EXTERNO</t>
  </si>
  <si>
    <t>MDT-DRTSPL-2022-3333-O</t>
  </si>
  <si>
    <t>MDT-DRTSPL-2022-4837-EXTERNO</t>
  </si>
  <si>
    <t>MDT-DRTSPL-2022-3289-O</t>
  </si>
  <si>
    <t>Rene Camilo Florencio Brito Duran</t>
  </si>
  <si>
    <t>jimmyleodantorrestorres@hotmail.com</t>
  </si>
  <si>
    <t>MDT-DRTSPL-2022-4838-EXTERNO</t>
  </si>
  <si>
    <t>MDT-DRTSPL-2022-3275-O</t>
  </si>
  <si>
    <t>MDT-DRTSPL-2022-4862-EXTERNO</t>
  </si>
  <si>
    <t>MDT-DRTSPL-2022-3285-O</t>
  </si>
  <si>
    <t>MDT-DRTSPL-2022-4864-EXTERNO</t>
  </si>
  <si>
    <t>MDT-DRTSPL-2022-3281-O</t>
  </si>
  <si>
    <t>MDT-DRTSPL-2022-4867-EXTERNO</t>
  </si>
  <si>
    <t>MDT-DRTSPL-2022-3291-O</t>
  </si>
  <si>
    <t xml:space="preserve">Christian Rafael Agila Sepa </t>
  </si>
  <si>
    <t>christianagila@calasanzloja.edu.ec</t>
  </si>
  <si>
    <t>MDT-DRTSPL-2022-4868-EXTERNO</t>
  </si>
  <si>
    <t>MDT-DRTSPL-2022-3283-O</t>
  </si>
  <si>
    <t>MDT-DRTSPL-2022-4869-EXTERNO</t>
  </si>
  <si>
    <t>MDT-DRTSPL-2022-3293-O</t>
  </si>
  <si>
    <t>MDT-DRTSPL-2022-4870-EXTERNO</t>
  </si>
  <si>
    <t>MDT-DRTSPL-2022-3294-O</t>
  </si>
  <si>
    <t>MDT-DRTSPL-2022-4872-EXTERNO</t>
  </si>
  <si>
    <t>MDT-DRTSPL-2022-3296-O</t>
  </si>
  <si>
    <t xml:space="preserve">Reinaldo Agustin Cueva Ramos </t>
  </si>
  <si>
    <t>abogadovillavicencio@gmail.com</t>
  </si>
  <si>
    <t>MDT-DRTSPL-2022-4876-EXTERNO</t>
  </si>
  <si>
    <t>MDT-DRTSPL-2022-3297-O</t>
  </si>
  <si>
    <t xml:space="preserve">Lenin Hernan Aguilar Quezada </t>
  </si>
  <si>
    <t>leninaguilar2011@hotmail.com</t>
  </si>
  <si>
    <t>MDT-DRTSPL-2022-4877-EXTERNO</t>
  </si>
  <si>
    <t>MDT-DRTSPL-2022-3300-O</t>
  </si>
  <si>
    <t xml:space="preserve">Jose Carlos Avila Andrade </t>
  </si>
  <si>
    <t>ckai4ever@gmail.com</t>
  </si>
  <si>
    <t>MDT-DRTSPL-2022-4878-EXTERNO</t>
  </si>
  <si>
    <t>MDT-DRTSPL-2022-3303-O</t>
  </si>
  <si>
    <t>MDT-DRTSPL-2022-4880-EXTERNO</t>
  </si>
  <si>
    <t>MDT-DRTSPL-2022-3299-O</t>
  </si>
  <si>
    <t xml:space="preserve">Jean Paul Pineda Tandazo </t>
  </si>
  <si>
    <t>jean.pined21@gmail.com</t>
  </si>
  <si>
    <t>MDT-DRTSPL-2022-4882-EXTERNO</t>
  </si>
  <si>
    <t>MDT-DRTSPL-2022-3298-O</t>
  </si>
  <si>
    <t xml:space="preserve">Dany Alfonso Granda Cueva </t>
  </si>
  <si>
    <t>fonchiqc@gmail.com</t>
  </si>
  <si>
    <t>MDT-DRTSPL-2022-4490-EXTERNO</t>
  </si>
  <si>
    <t>MDT-DRTSPL-2022-3314-O</t>
  </si>
  <si>
    <t xml:space="preserve">Oswaldo Ignacio Arias Garcia </t>
  </si>
  <si>
    <t>ab.nardyfierro@hotmail.com</t>
  </si>
  <si>
    <t>MDT-DRTSPL-2022-4893-EXTERNO</t>
  </si>
  <si>
    <t>MDT-DRTSPL-2022-3305-O</t>
  </si>
  <si>
    <t xml:space="preserve">Israel Enrique Espinoza Aguirre </t>
  </si>
  <si>
    <t>conjuriaguirreaguirreasociados@gmail.com</t>
  </si>
  <si>
    <t>MDT-DRTSPL-2022-4895-EXTERNO</t>
  </si>
  <si>
    <t>MDT-DRTSPL-2022-3319-O</t>
  </si>
  <si>
    <t xml:space="preserve">Oswaldo Vitelio Reyes </t>
  </si>
  <si>
    <t>oswaldo_reyes125@gmail.com</t>
  </si>
  <si>
    <t>MDT-DRTSPL-2022-4901-EXTERNO</t>
  </si>
  <si>
    <t>MDT-DRTSPL-2022-3379-O</t>
  </si>
  <si>
    <t xml:space="preserve">Byron Leonardo Rojas Mejia </t>
  </si>
  <si>
    <t>bejaranoortegamariaantonia@gmail.com</t>
  </si>
  <si>
    <t>MDT-DRTSPL-2022-4902-EXTERNO</t>
  </si>
  <si>
    <t>MDT-DRTSPL-2022-3308-O</t>
  </si>
  <si>
    <t>carmenrosalesV@gmail.com</t>
  </si>
  <si>
    <t>MDT-DRTSPL-2022-4903-EXTERNO</t>
  </si>
  <si>
    <t>MDT-DRTSPL-2022-3309-O</t>
  </si>
  <si>
    <t>MDT-DRTSPL-2022-4906-EXTERNO</t>
  </si>
  <si>
    <t>MDT-DRTSPL-2022-3311-O</t>
  </si>
  <si>
    <t>MDT-DRTSPL-2022-4912-EXTERNO</t>
  </si>
  <si>
    <t>MDT-DRTSPL-2022-3312-O</t>
  </si>
  <si>
    <t xml:space="preserve">Marco Antonio Sanchez Tacuri </t>
  </si>
  <si>
    <t>vvtabares1@hotmail.com</t>
  </si>
  <si>
    <t>MDT-DRTSPL-2022-4913-EXTERNO</t>
  </si>
  <si>
    <t>MDT-DRTSPL-2022-3313-O</t>
  </si>
  <si>
    <t>MDT-DRTSPL-2022-4914-EXTERNO</t>
  </si>
  <si>
    <t>MDT-DRTSPL-2022-3315-O</t>
  </si>
  <si>
    <t>MDT-DRTSPL-2022-4915-EXTERNO</t>
  </si>
  <si>
    <t>MDT-DRTSPL-2022-3316-O</t>
  </si>
  <si>
    <t>MDT-DRTSPL-2022-4916-EXTERNO</t>
  </si>
  <si>
    <t>MDT-DRTSPL-2022-3321-O</t>
  </si>
  <si>
    <t xml:space="preserve">Marco Antonio León Pomaquiza </t>
  </si>
  <si>
    <t>markoleonw@hotmail.com</t>
  </si>
  <si>
    <t>MDT-DRTSPL-2022-4918-EXTERNO</t>
  </si>
  <si>
    <t>MDT-DRTSPL-2022-3329-O</t>
  </si>
  <si>
    <t xml:space="preserve">Rossana Nasary Ramon Lapo </t>
  </si>
  <si>
    <t>yuli0303ord@gmail.com</t>
  </si>
  <si>
    <t>MDT-DRTSPL-2022-4919-EXTERNO</t>
  </si>
  <si>
    <t>MDT-DRTSPL-2022-3331-O</t>
  </si>
  <si>
    <t xml:space="preserve">Mirian Janeth Puga Medina </t>
  </si>
  <si>
    <t>janethpuga06@gmail.com</t>
  </si>
  <si>
    <t>MDT-DRTSPL-2022-4922-EXTERNO</t>
  </si>
  <si>
    <t>MDT-DRTSPL-2022-3332-O</t>
  </si>
  <si>
    <t xml:space="preserve">Armando Ermenegildo Villavicencio Valencia </t>
  </si>
  <si>
    <t>armandovillavicencio1961@gmail.com</t>
  </si>
  <si>
    <t>MDT-DRTSPL-2022-4923-EXTERNO</t>
  </si>
  <si>
    <t>MDT-DRTSPL-2022-3335-O</t>
  </si>
  <si>
    <t xml:space="preserve">Luis Alfredo Ochoa Bravo </t>
  </si>
  <si>
    <t>luisalfredochoa@gmail.com</t>
  </si>
  <si>
    <t>MDT-DRTSPL-2022-4925-EXTERNO</t>
  </si>
  <si>
    <t>MDT-DRTSPL-2022-3339-O</t>
  </si>
  <si>
    <t>lisandrachimboc@gmail.com</t>
  </si>
  <si>
    <t>MDT-DRTSPL-2022-4927-EXTERNO</t>
  </si>
  <si>
    <t>MDT-DRTSPL-2022-3340-O</t>
  </si>
  <si>
    <t>abgjelp@hotmail.com</t>
  </si>
  <si>
    <t>MDT-DRTSPL-2022-4928-EXTERNO</t>
  </si>
  <si>
    <t>MDT-DRTSPL-2022-3341-O</t>
  </si>
  <si>
    <t>MDT-DRTSPL-2022-4930-EXTERNO</t>
  </si>
  <si>
    <t>MDT-DRTSPL-2022-3342-O</t>
  </si>
  <si>
    <t>MDT-DRTSPL-2022-4934-EXTERNO</t>
  </si>
  <si>
    <t>MDT-DRTSPL-2022-3348-O</t>
  </si>
  <si>
    <t xml:space="preserve">Carlos Andres Arevalo Ortega </t>
  </si>
  <si>
    <t>legalcarlosarevalo@hotmail.com</t>
  </si>
  <si>
    <t>MDT-DRTSPL-2022-4942-EXTERNO</t>
  </si>
  <si>
    <t>MDT-DRTSPL-2022-3355-O</t>
  </si>
  <si>
    <t xml:space="preserve">Daniel Ernesto Lanche Peñarreta </t>
  </si>
  <si>
    <t>daniellanche1994@gmail.com</t>
  </si>
  <si>
    <t>MDT-DRTSPL-2022-4943 -EXTERNO</t>
  </si>
  <si>
    <t>MDT-DRTSPL-2022-3352-O</t>
  </si>
  <si>
    <t xml:space="preserve">Manuel Eduardo Quizhpe Coronel </t>
  </si>
  <si>
    <t>eduuquizhpe@gmail.com</t>
  </si>
  <si>
    <t>MDT-DRTSPL-2022-4944-EXTERNO</t>
  </si>
  <si>
    <t>MDT-DRTSPL-2022-3354-O</t>
  </si>
  <si>
    <t>normaantoniovillamagua@hotmail.com</t>
  </si>
  <si>
    <t>MDT-DRTSPL-2022-4945-EXTERNO</t>
  </si>
  <si>
    <t>MDT-DRTSPL-2022-3357-O</t>
  </si>
  <si>
    <t>MDT-DRTSPL-2022-4946-EXTERNO</t>
  </si>
  <si>
    <t>MDT-DRTSPL-2022-3358-O</t>
  </si>
  <si>
    <t>MDT-DRTSPL-2022-4947-EXTERNO</t>
  </si>
  <si>
    <t>MDT-DRTSPL-2022-3359-O</t>
  </si>
  <si>
    <t>MDT-DRTSPL-2022-4949-EXTERNO</t>
  </si>
  <si>
    <t>MDT-DRTSPL-2022-3360-O</t>
  </si>
  <si>
    <t>MDT-DRTSPL-2022-2252-M</t>
  </si>
  <si>
    <t>MDT-DRTSPL-2022-260-M</t>
  </si>
  <si>
    <t>MDT-DRTSPL-2022-3822-EXTERNO</t>
  </si>
  <si>
    <t>MDT-DRTSPL-2022-3343-O</t>
  </si>
  <si>
    <t xml:space="preserve">Wilson Stalin Castillo Abad </t>
  </si>
  <si>
    <t>raquelpanchana@hotmail.com</t>
  </si>
  <si>
    <t>MDT-DPTSPOM-2022-3842-EXTERNO</t>
  </si>
  <si>
    <t>MDT-DRTSPL-2022-3351-O</t>
  </si>
  <si>
    <t>Narciza Yadira Celi Pasiche</t>
  </si>
  <si>
    <t>guamanyasociados@gmail.com</t>
  </si>
  <si>
    <t>MDT-DPTSPZCH-2022-0865-EXTERNO</t>
  </si>
  <si>
    <t>MDT-DPTSPZCH-2022-0201-O</t>
  </si>
  <si>
    <t>MDT-DPTSPZCH-2022-0868-EXTERNO</t>
  </si>
  <si>
    <t>05//08/2022</t>
  </si>
  <si>
    <t>MDT-DPTSPZCH-2022-0203-O</t>
  </si>
  <si>
    <t>MDT-DPTSPZCH-2022-0870-EXTERNO</t>
  </si>
  <si>
    <t>MDT-DPTSPZCH-2022-0204-O</t>
  </si>
  <si>
    <t>MDT-DPTSPZCH-2022-0890-EXTERNO</t>
  </si>
  <si>
    <t>MDT-DPTSPZCH-2022-0205-O</t>
  </si>
  <si>
    <t>MDT-DPTSPZCH-2022-0872-EXTERNO</t>
  </si>
  <si>
    <t>MDT-DPTSPZCH-2022-0206-O</t>
  </si>
  <si>
    <t>MDT-DPTSPZCH-2022-0892-EXTERNO</t>
  </si>
  <si>
    <t>0908/2022</t>
  </si>
  <si>
    <t>MDT-DPTSPZCH-2022-0207-O</t>
  </si>
  <si>
    <t>MDT-DPTSPZCH-2022-0894-EXTERNO</t>
  </si>
  <si>
    <t>MDT-DPTSPZCH-2022-0208-O</t>
  </si>
  <si>
    <t>MDT-DPTSPZCH-2022-0897-EXTERNO</t>
  </si>
  <si>
    <t>11/08/200</t>
  </si>
  <si>
    <t>MDT-DPTSPZCH-2022-0210-O</t>
  </si>
  <si>
    <t>MDT-DRTSPZCH-2022-0898--EXTERNO</t>
  </si>
  <si>
    <t>11/082022</t>
  </si>
  <si>
    <t>MDT-DPTSPZCH-2022-0211-O</t>
  </si>
  <si>
    <t>MDT-DPTSPZCH-2022-0903-EXTERNO</t>
  </si>
  <si>
    <t>MDT-DPTSPZCH-2022-0212-O</t>
  </si>
  <si>
    <t>MDT-DPTSPZCH-2022-0915-EXTERNO</t>
  </si>
  <si>
    <t>MDT-DPTSPZCH-2022-0917-EXTERNO</t>
  </si>
  <si>
    <t>MDT-DPTSPZCH-2022-0214-O</t>
  </si>
  <si>
    <t>MDT-DPTSPZCH-2022-0918-EXTERNO</t>
  </si>
  <si>
    <t>MDT-DPTSPZCH-2022-0215-O</t>
  </si>
  <si>
    <t>MDT-DPTSPZCH-2022-0924-EXTERNO</t>
  </si>
  <si>
    <t>MDT-DPTSPZCH-2022-0216-O</t>
  </si>
  <si>
    <t>MDT-DPTSPZCH-2022-0935-EXTERNO</t>
  </si>
  <si>
    <t>MDT-DPTSPZCH-2022-0219-O</t>
  </si>
  <si>
    <t>MDT-DPTSPZCH-2022-0937-EXTERNO</t>
  </si>
  <si>
    <t>MDT-DPTSPZCH-2022-0220-O</t>
  </si>
  <si>
    <t>MDT-DPTSPZCH-2022-0939-EXTERNO</t>
  </si>
  <si>
    <t>MDT-DPTSPZCH-2022-0230-O</t>
  </si>
  <si>
    <t>MDT-DPTSPZCH-2022-0944-EXTERNO</t>
  </si>
  <si>
    <t>MDT-DPTSPZCH-2022-0231-O</t>
  </si>
  <si>
    <t>MDT-DPTSPZCH-2022-0945-EXTERNO</t>
  </si>
  <si>
    <t>MDT-DPTSPZCH-2022-0232-O</t>
  </si>
  <si>
    <t>MDT-DPTSPZCH-2022-0948-EXTERNO</t>
  </si>
  <si>
    <t>MDT-DPTSPZCH-2022-0233-O</t>
  </si>
  <si>
    <t>MDT-DPTSPZCH-2022-0950-EXTERNO</t>
  </si>
  <si>
    <t>MDT-DPTSPZCH-2022-0234-O</t>
  </si>
  <si>
    <t>MDT-DPTSPZCH-2022-0953-EXTERNO</t>
  </si>
  <si>
    <t>MDT-DPTSPZCH-2022-0235-O</t>
  </si>
  <si>
    <t>MDT-DPTSPOM-2022-2988-EXTERNO</t>
  </si>
  <si>
    <t>MDT-DPTSPOM-2022-0556-O</t>
  </si>
  <si>
    <t>MDT-DPTSPOM-2022-2989-EXTERNO</t>
  </si>
  <si>
    <t>MDT-DPTSPOM-2022-0557-O</t>
  </si>
  <si>
    <t>MDT-DPTSPOM-2022-3318-EXTERNO</t>
  </si>
  <si>
    <t>MDT-DPTSPOM-2022-0555-O</t>
  </si>
  <si>
    <t>MDT-DPTSPOM-2022-3353-EXTERNO</t>
  </si>
  <si>
    <t>MDT-DPTSPOM-2022-0529-O</t>
  </si>
  <si>
    <t>MDT-DPTSPOM-2022-3384-EXTERNO</t>
  </si>
  <si>
    <t>MDT-DPTSPOM-2022-0532-O</t>
  </si>
  <si>
    <t>MDT-DPTSPOM-2022-3391-EXTERNO</t>
  </si>
  <si>
    <t>MDT-DPTSPOM-2022-0561-O</t>
  </si>
  <si>
    <t>MDT-DPTSPOM-2022-0547-O</t>
  </si>
  <si>
    <t>MDT-DPTSPOM-2022-3445-EXTERNO</t>
  </si>
  <si>
    <t>MDT-DPTSPOM-2022-0567-O</t>
  </si>
  <si>
    <t>MDT-DPTSPOM-2022-3560-EXTERNO</t>
  </si>
  <si>
    <t>ASISTENTE DE SERVICIO ADMINISTRTIVOS</t>
  </si>
  <si>
    <t>MDT-DPTSPOM-2022-0539-O</t>
  </si>
  <si>
    <t>MDT-DPTSPOM-2022-3503-EXTERNO</t>
  </si>
  <si>
    <t>MDT-DPTSPOM-2022-0571-O</t>
  </si>
  <si>
    <t>MDT-DPTSPOM-2022-3534-EXTERNO</t>
  </si>
  <si>
    <t>MDT-DPTSPOM-2022-0545-O</t>
  </si>
  <si>
    <t>MDT-DPTSPOM-2022-3535-EXTERNO</t>
  </si>
  <si>
    <t>MDT-DPTSPOM-2022-0543-O</t>
  </si>
  <si>
    <t>MDT-DPTSPOM-2022-0739-EXTERNO</t>
  </si>
  <si>
    <t>MDT-DPTSPOM-2022-0541-O</t>
  </si>
  <si>
    <t>MDT-DPTSPOM-2022-3321-EXTERNO</t>
  </si>
  <si>
    <t>MDT-DPTSPOM-2022-0542-O</t>
  </si>
  <si>
    <t>MDT-DPTSPOM-2022-3423-EXTERNO</t>
  </si>
  <si>
    <t>MDT-DPTSPOM-2022-0563-O</t>
  </si>
  <si>
    <t>MDT-DPTSPOM-2022-3468-EXTERNO</t>
  </si>
  <si>
    <t>MDT-DPTSPOM-2022-0540-O</t>
  </si>
  <si>
    <t>MDT-DPTSPOM-2022-3539-EXTERNO</t>
  </si>
  <si>
    <t>MDT-DPTSPOM-2022-0544-O</t>
  </si>
  <si>
    <t>MDT-DPTSPOM-2022-2697-EXTERNO</t>
  </si>
  <si>
    <t>MDT-DPTSPOM-2022-0551-O</t>
  </si>
  <si>
    <t>MDT-DPTSPOM-2022-3455-EXTERNO</t>
  </si>
  <si>
    <t>MDT-DPTSPOM-2022-0588-O</t>
  </si>
  <si>
    <t>MDT-DPTSPOM-2022-3459-EXTERNO</t>
  </si>
  <si>
    <t>MDT-DPTSPOM-2022-0568-O</t>
  </si>
  <si>
    <t>MDT-DPTSPOM-2022-3597-EXTERNO</t>
  </si>
  <si>
    <t>MDT-DPTSPOM-2022-0573-O</t>
  </si>
  <si>
    <t>MDT-DPTSPOM-2022-3598-EXTERNO</t>
  </si>
  <si>
    <t>MDT-DPTSPOM-2022-0574-O</t>
  </si>
  <si>
    <t>MDT-DPTSPOM-2022-3599-EXTERNO</t>
  </si>
  <si>
    <t>MDT-DPTSPOM-2022-0575-O</t>
  </si>
  <si>
    <t>MDT-DPTSPOM-2022-3600-EXTERNO</t>
  </si>
  <si>
    <t>MDT-DPTSPOM-2022-0576-O</t>
  </si>
  <si>
    <t>MDT-DPTSPOM-2022-2159-EXTERNO</t>
  </si>
  <si>
    <t>MDT-DPTSPOM-2022-3755-EXTERNO</t>
  </si>
  <si>
    <t>MDT-DPTSPOM-2022-0587-O</t>
  </si>
  <si>
    <t>MDT-DPTSPOM-2022-3601-EXTERNO</t>
  </si>
  <si>
    <t>MDT-DPTSPOM-2022-2990-EXTERNO</t>
  </si>
  <si>
    <t>MDT-DPTSPOM-2022-0554-O</t>
  </si>
  <si>
    <t>MDT-DPTSPOM-2022-3078-EXTERNO</t>
  </si>
  <si>
    <t>MDT-DPTSPOM-2022-0584-O</t>
  </si>
  <si>
    <t>MDT-DPTSPOM-2022-3096-EXTERNO</t>
  </si>
  <si>
    <t>MDT-DPTSPOM-2022-0585-O</t>
  </si>
  <si>
    <t>MDT-DPTSPOM-2022-3279-EXTERNO</t>
  </si>
  <si>
    <t>MDT-DPTSPOM-2022-0552-O</t>
  </si>
  <si>
    <t>MDT-DPTSPOM-2022-3299-EXTERNO</t>
  </si>
  <si>
    <t>MDT-DPTSPOM-2022-0553-O</t>
  </si>
  <si>
    <t>MDT-DPTSPOM-2022-3630-EXTERNO</t>
  </si>
  <si>
    <t>MDT-DPTSPOM-2022-0578-O</t>
  </si>
  <si>
    <t>MDT-DPTSPOM-2022-3675-EXTERNO</t>
  </si>
  <si>
    <t>MDT-DPTSPOM-2022-0593-O</t>
  </si>
  <si>
    <t>MDT-DPTSPOM-2022-3061-EXTERNO</t>
  </si>
  <si>
    <t>MDT-DPTSPOM-2022-0597-O</t>
  </si>
  <si>
    <t>MDT-DPTSPOM-2022-3142-EXTERNO</t>
  </si>
  <si>
    <t>MDT-DPTSPOM-2022-0559-O</t>
  </si>
  <si>
    <t>MDT-DPTSPOM-2022-3644-EXTERNO</t>
  </si>
  <si>
    <t>MDT-DPTSPOM-2022-0598-O</t>
  </si>
  <si>
    <t>MDT-DPTSPOM-2022-3669-EXTERNO</t>
  </si>
  <si>
    <t>MDT-DPTSPOM-2022-0610-O</t>
  </si>
  <si>
    <t>MDT-DPTSPOM-2022-3805-EXTERNO</t>
  </si>
  <si>
    <t>MDT-DPTSPOM-2022-0603-O</t>
  </si>
  <si>
    <t>MDT-DPTSPOM-2022-3587-EXTERNO</t>
  </si>
  <si>
    <t>MDT-DPTSPOM-2022-0569-O</t>
  </si>
  <si>
    <t>MDT-DPTSPOM-2022-3673-EXTERNO</t>
  </si>
  <si>
    <t>MDT-DPTSPOM-2022-0611-O</t>
  </si>
  <si>
    <t>MDT-DPTSPOM-2022-3694-EXTERNO</t>
  </si>
  <si>
    <t>MDT-DPTSPOM-2022-0612-O</t>
  </si>
  <si>
    <t>MDT-DPTSPOM-2022-3701-EXTERNO</t>
  </si>
  <si>
    <t>MDT-DPTSPOM-2022-0614-O</t>
  </si>
  <si>
    <t>MDT-DPTSPOM-2022-3629-EXTERNO</t>
  </si>
  <si>
    <t>MDT-DPTSPOM-2022-0579-O</t>
  </si>
  <si>
    <t>MDT-DPTSPOM-2022-3702-EXTERNO</t>
  </si>
  <si>
    <t>MDT-DPTSPOM-2022-0615-O</t>
  </si>
  <si>
    <t>MDT-DPTSPOM-2022-3714-EXTERNO</t>
  </si>
  <si>
    <t>MDT-DPTSPOM-2022-0616-O</t>
  </si>
  <si>
    <t>MDT-DPTSPOM-2022-3724-EXTERNO</t>
  </si>
  <si>
    <t>MDT-DPTSPOM-2022-0581-O</t>
  </si>
  <si>
    <t>MDT-DPTSPOM-2022-3730-EXTERNO</t>
  </si>
  <si>
    <t>MDT-DPTSPOM-2022-0617-O</t>
  </si>
  <si>
    <t>MDT-DPTSPOM-2022-3775-EXTERNO</t>
  </si>
  <si>
    <t>MDT-DPTSPOM-2022-0600-O</t>
  </si>
  <si>
    <t>MDT-DPTSPOM-2022-3330-EXTERNO</t>
  </si>
  <si>
    <t>MDT-DPTSPOM-2022-3642-EXTERNO</t>
  </si>
  <si>
    <t>MDT-DPTSPOM-2022-0604-O</t>
  </si>
  <si>
    <t>MDT-DPTSPOM-2022-3732-EXTERNO</t>
  </si>
  <si>
    <t>MDT-DPTSPOM-2022-0628-O</t>
  </si>
  <si>
    <t>MDT-DPTSPOM-2022-3648-EXTERNO</t>
  </si>
  <si>
    <t>MDT-DPTSPOM-2022-0599-O</t>
  </si>
  <si>
    <t>MDT-DPTSPOM-2022-3772-EXTERNO</t>
  </si>
  <si>
    <t>MDT-DPTSPOM-2022-0619-O</t>
  </si>
  <si>
    <t>MDT-DPTSPOM-2022-3722-EXTERNO</t>
  </si>
  <si>
    <t>MDT-DPTSPOM-2022-3776-EXTERNO</t>
  </si>
  <si>
    <t>MDT-DPTSPOM-2022-0620-O</t>
  </si>
  <si>
    <t>MDT-DPTSPOM-2022-3788-EXTERNO</t>
  </si>
  <si>
    <t>MDT-DPTSPOM-2022-0621-O</t>
  </si>
  <si>
    <t>MDT-DPTSPOM-2022-3792-EXTERNO</t>
  </si>
  <si>
    <t>MDT-DPTSPOM-2022-0641-O</t>
  </si>
  <si>
    <t>MDT-DPTSPOM-2022-3463-EXTERNO</t>
  </si>
  <si>
    <t>MDT-DPTSPOM-2022-0589-O</t>
  </si>
  <si>
    <t>MDT-DPTSPOM-2022-3467-EXTERNO</t>
  </si>
  <si>
    <t>MDT-DPTSPOM-2022-0590-O</t>
  </si>
  <si>
    <t>MDT-DPTSPOM-2022-3469-EXTERNO</t>
  </si>
  <si>
    <t>MDT-DPTSPOM-2022-0591-O</t>
  </si>
  <si>
    <t>MDT-DPTSPOM-2022-3507-EXTERNO</t>
  </si>
  <si>
    <t>MDT-DPTSPOM-2022-0629-O</t>
  </si>
  <si>
    <t>MDT-DPTSPOM-2022-3475-EXTERNO</t>
  </si>
  <si>
    <t>MDT-DPTSPOM-2022-0640-O</t>
  </si>
  <si>
    <t>MDT-DPTSPOM-2022-3614-EXTERNO</t>
  </si>
  <si>
    <t>MDT-DPTSPOM-2022-0632-O</t>
  </si>
  <si>
    <t>MDT-DPTSPOM-2022-3626-EXTERNO</t>
  </si>
  <si>
    <t>MDT-DPTSPOM-2022-0595-O</t>
  </si>
  <si>
    <t>MDT-DPTSPOM-2022-3690-EXTERNO</t>
  </si>
  <si>
    <t>MDT-DPTSPOM-2022-0638-O</t>
  </si>
  <si>
    <t>MDT-DPTSPOM-2022-3742-EXTERNO</t>
  </si>
  <si>
    <t>MDT-DPTSPOM-2022-0633-O</t>
  </si>
  <si>
    <t>MDT-DPTSPOM-2022-3793-EXTERNO</t>
  </si>
  <si>
    <t>MDT-DPTSPOM-2022-0635-O</t>
  </si>
  <si>
    <t>MDT-DPTSPOM-2022-3849-EXTERNO</t>
  </si>
  <si>
    <t>MDT-DPTSPOM-2022-0602-O</t>
  </si>
  <si>
    <t>MDT-DPTSPOM-2022-3729-EXTERNO</t>
  </si>
  <si>
    <t>MDT-DPTSPOM-2022-0601-O</t>
  </si>
  <si>
    <t>MDT-DPTSPOM-2022-3791-EXTERNO</t>
  </si>
  <si>
    <t>MDT-DPTSPOM-2022-0622-O</t>
  </si>
  <si>
    <t>MDT-DPTSPOM-2022-3862-EXTERNO</t>
  </si>
  <si>
    <t>MDT-DPTSPOM-2022-0623-O</t>
  </si>
  <si>
    <t>MDT-DPTSPOM-2022-3866-EXTERNO</t>
  </si>
  <si>
    <t>MDT-DPTSPOM-2022-0624-O</t>
  </si>
  <si>
    <t>MDT-DPTSPOP-2022-0144-EXTERNO</t>
  </si>
  <si>
    <t>MDT-DPTSPOP-2022-0026-O</t>
  </si>
  <si>
    <t>MDT-DPTSPOP-2022-0159-EXTERNO</t>
  </si>
  <si>
    <t>MDT-DPTSPOP-2022-0027-O</t>
  </si>
  <si>
    <t>MDT-DPTSPOP-2022-0165-EXTERNO</t>
  </si>
  <si>
    <t>MDT-DPTSPOP-2022-0033-O</t>
  </si>
  <si>
    <t>MDT-DPTSPOP-2022-0169-EXTERNO</t>
  </si>
  <si>
    <t>MDT-DPTSPOP-2022-0034-O</t>
  </si>
  <si>
    <t>MDT-DRTSPL-2022-4977-EXTERNO</t>
  </si>
  <si>
    <t>MDT-DRTSPL-2022-3363-O</t>
  </si>
  <si>
    <t>MDT-DRTSPL-2022-4978-EXTERNO</t>
  </si>
  <si>
    <t>MDT-DRTSPL-2022-3366-O</t>
  </si>
  <si>
    <t xml:space="preserve">Sandra Valeria Valdivieso Rojas </t>
  </si>
  <si>
    <t>MDT-DRTSPL-2022-4980-EXTERNO</t>
  </si>
  <si>
    <t>MDT-DRTSPL-2022-3367-O</t>
  </si>
  <si>
    <t>joffre1996@gmail.com</t>
  </si>
  <si>
    <t>MDT-DRTSPL-2022-4981-EXTERNO</t>
  </si>
  <si>
    <t>MDT-DRTSPL-2022-3368-O</t>
  </si>
  <si>
    <t xml:space="preserve">Luz America Espinoza Flores </t>
  </si>
  <si>
    <t>luzespinoza661@gmail.com</t>
  </si>
  <si>
    <t>MDT-DRTSPL-2022-4983-EXTERNO</t>
  </si>
  <si>
    <t>MDT-DRTSPL-2022-3378-O</t>
  </si>
  <si>
    <t>jesusvillalobos06@gmail.com</t>
  </si>
  <si>
    <t>MDT-DRTSPL-2022-4985-EXTERNO</t>
  </si>
  <si>
    <t>MDT-DRTSPL-2022-3380-O</t>
  </si>
  <si>
    <t>MDT-DRTSPL-2022-4986-EXTERNO</t>
  </si>
  <si>
    <t>MDT-DRTSPL-2022-3381-O</t>
  </si>
  <si>
    <t xml:space="preserve">Jonathan Franklin Bejarano Vallejo </t>
  </si>
  <si>
    <t>bejaranovallejof@gmail.com</t>
  </si>
  <si>
    <t>MDT-DRTSPL-2022-4987-EXTERNO</t>
  </si>
  <si>
    <t>MDT-DRTSPL-2022-3382-O</t>
  </si>
  <si>
    <t xml:space="preserve">Fredy Renato Orellana Cabrera </t>
  </si>
  <si>
    <t>renatoorellana674@gmail.com</t>
  </si>
  <si>
    <t>MDT-DRTSPL-2022-4989-EXTERNO</t>
  </si>
  <si>
    <t>MDT-DRTSPL-2022-3383-O</t>
  </si>
  <si>
    <t xml:space="preserve">Verónica Alexandra Granda Jiménez </t>
  </si>
  <si>
    <t>grandaverito@yahoo.es</t>
  </si>
  <si>
    <t>MDT-DRTSPL-2022-4992-EXTERNO</t>
  </si>
  <si>
    <t>MDT-DRTSPL-2022-3389-O</t>
  </si>
  <si>
    <t>MDT-DRTSPL-2022-4993-EXTERNO</t>
  </si>
  <si>
    <t>MDT-DRTSPL-2022-3393-O</t>
  </si>
  <si>
    <t>MDT-DRTSPL-2022-4994-EXTERNO</t>
  </si>
  <si>
    <t>MDT-DRTSPL-2022-3394-O</t>
  </si>
  <si>
    <t>MDT-DRTSPL-2022-4995-EXTERNO</t>
  </si>
  <si>
    <t>MDT-DRTSPL-2022-3395-O</t>
  </si>
  <si>
    <t>MDT-DRTSPL-2022-4996-EXTERNO</t>
  </si>
  <si>
    <t>MDT-DRTSPL-2022-3397-O</t>
  </si>
  <si>
    <t>MDT-DRTSPL-2022-4997-EXTERNO</t>
  </si>
  <si>
    <t>MDT-DRTSPL-2022-3398-O</t>
  </si>
  <si>
    <t>MDT-DRTSPL-2022-5005-EXTERNO</t>
  </si>
  <si>
    <t>MDT-DRTSPL-2022-3399-O</t>
  </si>
  <si>
    <t>MDT-DRTSPL-2022-5007-EXTERNO</t>
  </si>
  <si>
    <t>MDT-DRTSPL-2022-3400-O</t>
  </si>
  <si>
    <t>MDT-DRTSPL-2022-5008-EXTERNO</t>
  </si>
  <si>
    <t>MDT-DRTSPL-2022-3396-O</t>
  </si>
  <si>
    <t>MDT-DRTSPL-2022-5014-EXTERNO</t>
  </si>
  <si>
    <t>MDT-DRTSPL-2022-3441-O</t>
  </si>
  <si>
    <t xml:space="preserve">Marco Tulio Castillo Rojas </t>
  </si>
  <si>
    <t>vilca.flar@hotmail.com</t>
  </si>
  <si>
    <t>MDT-DRTSPL-2022-5015-EXTERNO</t>
  </si>
  <si>
    <t>MDT-DRTSPL-2022-3386-O</t>
  </si>
  <si>
    <t>Ronald Dario Matamoros Cueva (BANECUADOR)</t>
  </si>
  <si>
    <t>ronald.matamoros@banecuador.fin.ec</t>
  </si>
  <si>
    <t>MDT-DRTSPL-2022-5016-EXTERNO</t>
  </si>
  <si>
    <t>MDT-DRTSPL-2022-3405-O</t>
  </si>
  <si>
    <t xml:space="preserve">Franklin Michael Valverde Matailo </t>
  </si>
  <si>
    <t>luiseyv@hotmail.com</t>
  </si>
  <si>
    <t>MDT-DRTSPL-2022-5018-EXTERNO</t>
  </si>
  <si>
    <t>MDT-DRTSPL-2022-3414-O</t>
  </si>
  <si>
    <t xml:space="preserve">Rosa Veronica Cueva Vargas </t>
  </si>
  <si>
    <t>joyceariannauk@gmail.com</t>
  </si>
  <si>
    <t>MDT-DRTSPL-2022-5020-EXTERNO</t>
  </si>
  <si>
    <t>MDT-DRTSPL-2022-3412-O</t>
  </si>
  <si>
    <t>gadmunicipioespindola@outlook.com</t>
  </si>
  <si>
    <t>MDT-DRTSPL-2022-5021-EXTERNO</t>
  </si>
  <si>
    <t>MDT-DRTSPL-2022-3419-O</t>
  </si>
  <si>
    <t xml:space="preserve">Delfina Anita Tacuri Leon </t>
  </si>
  <si>
    <t>anitatacuri123@hotmail.com</t>
  </si>
  <si>
    <t>MDT-DRTSPL-2022-5023-EXTERNO</t>
  </si>
  <si>
    <t>MDT-DRTSPL-2022-3406-O</t>
  </si>
  <si>
    <t>yenymariavasquezsoto@yahoo.ec</t>
  </si>
  <si>
    <t>MDT-DRTSPL-2022-5025-EXTERNO</t>
  </si>
  <si>
    <t>MDT-DRTSPL-2022-3409-O</t>
  </si>
  <si>
    <t xml:space="preserve">Lenin Vladimir Rojas Troya </t>
  </si>
  <si>
    <t>MDT-DRTSPL-2022-5026-EXTERNO</t>
  </si>
  <si>
    <t>MDT-DRTSPL-2022-3420-O</t>
  </si>
  <si>
    <t xml:space="preserve">Marcia Judith Labanda Pineda </t>
  </si>
  <si>
    <t>salinaslex@hotmail.com</t>
  </si>
  <si>
    <t>MDT-DRTSPL-2022-5029-EXTERNO</t>
  </si>
  <si>
    <t>MDT-DRTSPL-2022-3429-O</t>
  </si>
  <si>
    <t xml:space="preserve">Humberto Rodrigo Celi Coronel </t>
  </si>
  <si>
    <t>esplazagas@hotmail.com</t>
  </si>
  <si>
    <t>MDT-DRTSPL-2022-5030-EXTERNO</t>
  </si>
  <si>
    <t>MDT-DRTSPL-2022-3425-O</t>
  </si>
  <si>
    <t xml:space="preserve">Wilson Oswaldo Coronel Arevalo </t>
  </si>
  <si>
    <t>coronel.mixwilson@outlook.com</t>
  </si>
  <si>
    <t>MDT-DRTSPL-2022-5033-EXTERNO</t>
  </si>
  <si>
    <t>MDT-DRTSPL-2022-3421-O</t>
  </si>
  <si>
    <t xml:space="preserve">Marco Antonio Capa Chapa </t>
  </si>
  <si>
    <t>marcocapa2010@hotmail.com</t>
  </si>
  <si>
    <t>MDT-DRTSPL-2022-5034-EXTERNO</t>
  </si>
  <si>
    <t>MDT-DRTSPL-2022-3422-O</t>
  </si>
  <si>
    <t xml:space="preserve">Rolando Javier Morocho Calero </t>
  </si>
  <si>
    <t>rolandomorocho79@hotmail.com</t>
  </si>
  <si>
    <t>MDT-DRTSPL-2022-5035-EXTERNO</t>
  </si>
  <si>
    <t>MDT-DRTSPL-2022-3423-O</t>
  </si>
  <si>
    <t>MDT-DRTSPL-2022-5036-EXTERNO</t>
  </si>
  <si>
    <t>MDT-DRTSPL-2022-3424-O</t>
  </si>
  <si>
    <t>MDT-DRTSPL-2022-5037-EXTERNO</t>
  </si>
  <si>
    <t>MDT-DRTSPL-2022-3430-O</t>
  </si>
  <si>
    <t>MDT-DRTSPL-2022-5038-EXTERNO</t>
  </si>
  <si>
    <t>MDT-DRTSPL-2022-3431-O</t>
  </si>
  <si>
    <t>MDT-DRTSPL-2022-5039-EXTERNO</t>
  </si>
  <si>
    <t>MDT-DRTSPL-2022-3432-O</t>
  </si>
  <si>
    <t>mig_elito_23@hotmail.es</t>
  </si>
  <si>
    <t>MDT-DRTSPL-2022-5047-EXTERNO</t>
  </si>
  <si>
    <t>MDT-DRTSPL-2022-3437-O</t>
  </si>
  <si>
    <t xml:space="preserve">Rosa Yicela Rodriguez Sarango </t>
  </si>
  <si>
    <t>yicela.emy2017@gmail.com</t>
  </si>
  <si>
    <t>MDT-DRTSPL-2022-5050-EXTERNO</t>
  </si>
  <si>
    <t>MDT-DRTSPL-2022-3442-O</t>
  </si>
  <si>
    <t>MDT-DRTSPL-2022-5054-EXTERNO</t>
  </si>
  <si>
    <t>MDT-DRTSPL-2022-3444-O</t>
  </si>
  <si>
    <t>anibal.celi@hotmail.com</t>
  </si>
  <si>
    <t>MDT-DRTSPL-2022-5055-EXTERNO</t>
  </si>
  <si>
    <t>MDT-DRTSPL-2022-3446-O</t>
  </si>
  <si>
    <t>MDT-DRTSPL-2022-5057-EXTERNO</t>
  </si>
  <si>
    <t>MDT-DRTSPL-2022-3447-O</t>
  </si>
  <si>
    <t>cjuridicogratuito.unl@hotmail.com</t>
  </si>
  <si>
    <t>MDT-DRTSPL-2022-5059-EXTERNO</t>
  </si>
  <si>
    <t>MDT-DRTSPL-2022-3448-O</t>
  </si>
  <si>
    <t xml:space="preserve">Edwin Fabian Santin Nivelo </t>
  </si>
  <si>
    <t>fabiansantin30@gmail.com</t>
  </si>
  <si>
    <t>MDT-DRTSPL-2022-5061-EXTERNO</t>
  </si>
  <si>
    <t>MDT-DRTSPL-2022-3450-O</t>
  </si>
  <si>
    <t xml:space="preserve">Ángel Bolivar Quirola Espinoza </t>
  </si>
  <si>
    <t>q_xime22@hotmail.com</t>
  </si>
  <si>
    <t>MDT-DRTSPL-2022-5063-EXTERNO</t>
  </si>
  <si>
    <t>MDT-DRTSPL-2022-3451-O</t>
  </si>
  <si>
    <t xml:space="preserve">Miguel Hernan Matailo Luzon </t>
  </si>
  <si>
    <t>miguelmatailo122@gmail.com</t>
  </si>
  <si>
    <t>MDT-DRTSPL-2022-5066-EXTERNO</t>
  </si>
  <si>
    <t>MDT-DRTSPL-2022-3452-O</t>
  </si>
  <si>
    <t xml:space="preserve">Jose Luis Caraguay Aguinsaca </t>
  </si>
  <si>
    <t>jlca-1981@hotmail.com</t>
  </si>
  <si>
    <t>MDT-DRTSPL-2022-5067-EXTERNO</t>
  </si>
  <si>
    <t>MDT-DRTSPL-2022-3454-O</t>
  </si>
  <si>
    <t xml:space="preserve">Jimmy Omar Acaro Ramírez </t>
  </si>
  <si>
    <t>jimmyomar78@hotmail.com</t>
  </si>
  <si>
    <t>MDT-DRTSPL-2022-5071-EXTERNO</t>
  </si>
  <si>
    <t>MDT-DRTSPL-2022-3458-O</t>
  </si>
  <si>
    <t xml:space="preserve">Matheo Sebastian Montesinos Obando </t>
  </si>
  <si>
    <t>matheocorreo@gmail.com</t>
  </si>
  <si>
    <t>MDT-DRTSPL-2022-5075-EXTERNO</t>
  </si>
  <si>
    <t>MDT-DRTSPL-2022-3455-O</t>
  </si>
  <si>
    <t xml:space="preserve">Segundo Vicente Ortega Capa </t>
  </si>
  <si>
    <t>miortegax_yo@hotmail.com</t>
  </si>
  <si>
    <t>MDT-DRTSPL-2022-5076-EXTERNO</t>
  </si>
  <si>
    <t>MDT-DRTSPL-2022-3457-O</t>
  </si>
  <si>
    <t xml:space="preserve">Janny del Cisne Duarte Lopez </t>
  </si>
  <si>
    <t>jannydelcisne@hotmail.com</t>
  </si>
  <si>
    <t>MDT-DRTSPL-2022-5079-EXTERNO</t>
  </si>
  <si>
    <t xml:space="preserve">Guido Emilio Bravo Ruiz </t>
  </si>
  <si>
    <t>guidoebravor@hotmail.com</t>
  </si>
  <si>
    <t>MDT-DRTSPL-2022-5081-EXTERNO</t>
  </si>
  <si>
    <t>MDT-DRTSPL-2022-3459-O</t>
  </si>
  <si>
    <t xml:space="preserve">Rosa Amada Oorellana Quiroga </t>
  </si>
  <si>
    <t>manuelbermeog@hotmail.com</t>
  </si>
  <si>
    <t>MDT-DRTSPL-2022-5084-EXTERNO</t>
  </si>
  <si>
    <t>MDT-DRTSPL-2022-3461-O</t>
  </si>
  <si>
    <t>MDT-DRTSPL-2022-5085-EXTERNO</t>
  </si>
  <si>
    <t>MDT-DRTSPL-2022-3462-O</t>
  </si>
  <si>
    <t>MDT-DRTSPL-2022-5086-EXTERNO</t>
  </si>
  <si>
    <t>MDT-DRTSPL-2022-3463-O</t>
  </si>
  <si>
    <t>MDT-DRTSPL-2022-5087-EXTERNO</t>
  </si>
  <si>
    <t>MDT-DRTSPL-2022-3464-O</t>
  </si>
  <si>
    <t>MDT-DRTSPL-2022-5088-EXTERNO</t>
  </si>
  <si>
    <t>MDT-DRTSPL-2022-3466-O</t>
  </si>
  <si>
    <t>MDT-DRTSPL-2022-5089-EXTERNO</t>
  </si>
  <si>
    <t>MDT-DRTSPL-2022-3467-O</t>
  </si>
  <si>
    <t>MDT-DRTSPL-2022-5090-EXTERNO</t>
  </si>
  <si>
    <t>MDT-DRTSPL-2022-3468-O</t>
  </si>
  <si>
    <t>MDT-DRTSPL-2022-5092-EXTERNO</t>
  </si>
  <si>
    <t>MDT-DRTSPL-2022-3469-O</t>
  </si>
  <si>
    <t xml:space="preserve">Paula Viviana Cordova Fierro </t>
  </si>
  <si>
    <t>pau_cf1997@hotmail.com</t>
  </si>
  <si>
    <t>MDT-DRTSPL-2022-5096-EXTERNO</t>
  </si>
  <si>
    <t>MDT-DRTSPL-2022-3470-O</t>
  </si>
  <si>
    <t xml:space="preserve">Carlos Javier Pauta Cuenca </t>
  </si>
  <si>
    <t>carlox.pauta.cuenca.1996@gmail.com</t>
  </si>
  <si>
    <t>MDT-DRTSPL-2022-5097-EXTERNO</t>
  </si>
  <si>
    <t>MDT-DRTSPL-2022-3471-O</t>
  </si>
  <si>
    <t>MDT-DRTSPL-2022-5103-EXTERNO</t>
  </si>
  <si>
    <t>MDT-DRTSPL-2022-3472-O</t>
  </si>
  <si>
    <t>MDT-DRTSPL-2022-5105-EXTERNO</t>
  </si>
  <si>
    <t>MDT-DRTSPL-2022-3477-O</t>
  </si>
  <si>
    <t xml:space="preserve">Monica del Cisne Salinas Quezada </t>
  </si>
  <si>
    <t>MDT-DRTSPL-2022-5107-EXTERNO</t>
  </si>
  <si>
    <t>MDT-DRTSPL-2022-3478-O</t>
  </si>
  <si>
    <t>MDT-DRTSPL-2022-5108-EXTERNO</t>
  </si>
  <si>
    <t>MDT-DRTSPL-2022-3479-O</t>
  </si>
  <si>
    <t>MDT-DRTSPL-2022-5109-EXTERNO</t>
  </si>
  <si>
    <t>MDT-DRTSPL-2022-3480-O</t>
  </si>
  <si>
    <t xml:space="preserve">Edison Fernando Jimenez Ludeña </t>
  </si>
  <si>
    <t>edisonjl1993@gmail.com</t>
  </si>
  <si>
    <t>MDT-DRTSPL-2022-5111-EXTERNO</t>
  </si>
  <si>
    <t>MDT-DRTSPL-2022-3481-O</t>
  </si>
  <si>
    <t>MDT-DRTSPL-2022-5112-EXTERNO</t>
  </si>
  <si>
    <t>MDT-DRTSPL-2022-3482-O</t>
  </si>
  <si>
    <t>MDT-DRTSPL-2022-5113-EXTERNO</t>
  </si>
  <si>
    <t>MDT-DRTSPL-2022-3483-O</t>
  </si>
  <si>
    <t>MDT-DRTSPL-2022-5114-EXTERNO</t>
  </si>
  <si>
    <t>MDT-DRTSPL-2022-3484-O</t>
  </si>
  <si>
    <t>MDT-DRTSPL-2022-5115-EXTERNO</t>
  </si>
  <si>
    <t>MDT-DRTSPL-2022-3485-O</t>
  </si>
  <si>
    <t>MDT-DRTSPL-2022-5116-EXTERNO</t>
  </si>
  <si>
    <t>MDT-DRTSPL-2022-3486-O</t>
  </si>
  <si>
    <t>MDT-DRTSPL-2022-5131-EXTERNO</t>
  </si>
  <si>
    <t>MDT-DRTSPL-2022-3487-O</t>
  </si>
  <si>
    <t>MDT-DRTSPL-2022-5137-EXTERNO</t>
  </si>
  <si>
    <t>MDT-DRTSPL-2022-3488-O</t>
  </si>
  <si>
    <t xml:space="preserve">Jhuliana Stefany Andrade Maldonado </t>
  </si>
  <si>
    <t>MDT-DRTSPL-2022-5141-EXTERNO</t>
  </si>
  <si>
    <t xml:space="preserve">Luis Vicente Aguinsaca Jaura </t>
  </si>
  <si>
    <t>MDT-DRTSPL-2022-5146-EXTERNO</t>
  </si>
  <si>
    <t>MDT-DRTSPL-2022-3490-O</t>
  </si>
  <si>
    <t xml:space="preserve">Rosa Cecilia Rueda Rodriguez </t>
  </si>
  <si>
    <t>MDT-DRTSPL-2022-5149-EXTERNO</t>
  </si>
  <si>
    <t>MDT-DRTSPL-2022-3491-O</t>
  </si>
  <si>
    <t>MDT-DRTSPL-2022-5150-EXTERNO</t>
  </si>
  <si>
    <t>MDT-DRTSPL-2022-3492-O</t>
  </si>
  <si>
    <t xml:space="preserve">Efrain Cuenca Ojeda </t>
  </si>
  <si>
    <t>efraincuenca14@hotmail.com</t>
  </si>
  <si>
    <t>MDT-DRTSPL-2022-5157-EXTERNO</t>
  </si>
  <si>
    <t>MDT-DRTSPL-2022-3493-O</t>
  </si>
  <si>
    <t xml:space="preserve">Henry Manuel Calva Rosales </t>
  </si>
  <si>
    <t>calvahenry32@gmail.com</t>
  </si>
  <si>
    <t>MDT-DRTSPL-2022-5160-EXTERNO</t>
  </si>
  <si>
    <t>MDT-DRTSPL-2022-3494-O</t>
  </si>
  <si>
    <t>MDT-DRTSPL-2022-5162-EXTERNO</t>
  </si>
  <si>
    <t>MDT-DRTSPL-2022-3495-O</t>
  </si>
  <si>
    <t xml:space="preserve">Pablo Elias Torres Perez </t>
  </si>
  <si>
    <t>MDT-DRTSPL-2022-5164-EXTERNO</t>
  </si>
  <si>
    <t>MDT-DRTSPL-2022-3496-O</t>
  </si>
  <si>
    <t>MDT-DRTSPL-2022-5165-EXTERNO</t>
  </si>
  <si>
    <t>MDT-DRTSPL-2022-3497-O</t>
  </si>
  <si>
    <t>MDT-DRTSPL-2022-5166-EXTERNO</t>
  </si>
  <si>
    <t>MDT-DRTSPL-2022-3498-O</t>
  </si>
  <si>
    <t>MDT-DRTSPL-2022-5167-EXTERNO</t>
  </si>
  <si>
    <t>MDT-DRTSPL-2022-3499-O</t>
  </si>
  <si>
    <t>MDT-DRTSPL-2022-5169-EXTERNO</t>
  </si>
  <si>
    <t>MDT-DRTSPL-2022-3503-O</t>
  </si>
  <si>
    <t>MDT-DRTSPL-2022-5170-EXTERNO</t>
  </si>
  <si>
    <t>MDT-DRTSPL-2022-3504-O</t>
  </si>
  <si>
    <t>MDT-DRTSPL-2022-5171-EXTERNO</t>
  </si>
  <si>
    <t>MDT-DRTSPL-2022-3505-O</t>
  </si>
  <si>
    <t>MDT-DRTSPL-2022-5173-EXTERNO</t>
  </si>
  <si>
    <t>MDT-DRTSPL-2022-3506-O</t>
  </si>
  <si>
    <t>MDT-DRTSPL-2022-5175-EXTERNO</t>
  </si>
  <si>
    <t>MDT-DRTSPL-2022-3507-O</t>
  </si>
  <si>
    <t xml:space="preserve">Joan Lizette Morales Abad </t>
  </si>
  <si>
    <t>MDT-DRTSPL-2022-5176-EXTERNO</t>
  </si>
  <si>
    <t>MDT-DRTSPL-2022-3500-O</t>
  </si>
  <si>
    <t>Vventanillaloja@fiscalia.gob.ec</t>
  </si>
  <si>
    <t>MDT-DRTSPL-2022-5177-EXTERNO</t>
  </si>
  <si>
    <t>MDT-DRTSPL-2022-3501-O</t>
  </si>
  <si>
    <t>MDT-DRTSPL-2022-5178-EXTERNO</t>
  </si>
  <si>
    <t>MDT-DRTSPL-2022-3502-O</t>
  </si>
  <si>
    <t>MDT-DRTSPL-2022-5179-EXTERNO</t>
  </si>
  <si>
    <t>MDT-DSG-2022-2227-OFICIO</t>
  </si>
  <si>
    <t>MDT-DRTSPL-2022-5183-EXTERNO</t>
  </si>
  <si>
    <t>MDT-DRTSPL-2022-3508-O</t>
  </si>
  <si>
    <t xml:space="preserve">Nelson Ivan Morocho Padilla </t>
  </si>
  <si>
    <t>ivanmorocho191612@gmail.com</t>
  </si>
  <si>
    <t>MDT-DRTSPL-2022-5189-EXTERNO</t>
  </si>
  <si>
    <t>MDT-DRTSPL-2022-3510-O</t>
  </si>
  <si>
    <t>leosantin13@hotmail.com</t>
  </si>
  <si>
    <t>MDT-DRTSPL-2022-5190-EXTERNO</t>
  </si>
  <si>
    <t>MDT-DRTSPL-2022-3519-O</t>
  </si>
  <si>
    <t xml:space="preserve">Yennifer Mayleth Olmedo Vicente </t>
  </si>
  <si>
    <t>dr.rivera1@hotmail.com</t>
  </si>
  <si>
    <t>MDT-DRTSPL-2022-5191-EXTERNO</t>
  </si>
  <si>
    <t>MDT-DRTSPL-2022-3509-O</t>
  </si>
  <si>
    <t>MDT-DRTSPL-2022-5193-EXTERNO</t>
  </si>
  <si>
    <t>MDT-DRTSPL-2022-3511-O</t>
  </si>
  <si>
    <t xml:space="preserve">Máximo Enrique Vásquez Trujillo </t>
  </si>
  <si>
    <t>vasquezmaximo612@gmail.com</t>
  </si>
  <si>
    <t>MDT-DRTSPL-2022-5194-EXTERNO</t>
  </si>
  <si>
    <t>MDT-DRTSPL-2022-3512-O</t>
  </si>
  <si>
    <t xml:space="preserve">Tedy del Cisne Namicela Saavedra </t>
  </si>
  <si>
    <t>tnamicela@yahoo.es</t>
  </si>
  <si>
    <t>MDT-DRTSPL-2022-5196-EXTERNO</t>
  </si>
  <si>
    <t>MDT-DRTSPL-2022-3513-O</t>
  </si>
  <si>
    <t xml:space="preserve">Raul Leonardo Lojano Quinde </t>
  </si>
  <si>
    <t>MDT-DRTSPL-2022-5197-EXTERNO</t>
  </si>
  <si>
    <t>MDT-DRTSPL-2022-3514-O</t>
  </si>
  <si>
    <t xml:space="preserve">Edison Renan Gonzalez Gonzalez </t>
  </si>
  <si>
    <t>MDT-DRTSPL-2022-5199-EXTERNO</t>
  </si>
  <si>
    <t>MDT-DRTSPL-2022-3516-O</t>
  </si>
  <si>
    <t>yonipequena29@hotmail.com</t>
  </si>
  <si>
    <t>MDT-DRTSPL-2022-5206-EXTERNO</t>
  </si>
  <si>
    <t>MDT-DRTSPL-2022-3517-O</t>
  </si>
  <si>
    <t xml:space="preserve">Angel Salvador Villavicencio Paladines </t>
  </si>
  <si>
    <t>richardna35@hotmail.com</t>
  </si>
  <si>
    <t>MDT-DRTSPL-2022-5207-EXTERNO</t>
  </si>
  <si>
    <t>MDT-DRTSPL-2022-3518-O</t>
  </si>
  <si>
    <t xml:space="preserve">Glenda Natalia Vidal Barrera </t>
  </si>
  <si>
    <t>glenatsh2503@gmail.com</t>
  </si>
  <si>
    <t>MDT-DRTSPL-2022-5208-EXTERNO</t>
  </si>
  <si>
    <t>MDT-DRTSPL-2022-3520-O</t>
  </si>
  <si>
    <t xml:space="preserve">Marfa Jackeline Manosalvas Rueda </t>
  </si>
  <si>
    <t>manosalvasrueda@yahoo.es</t>
  </si>
  <si>
    <t>MDT-DRTSPL-2022-5209-EXTERNO</t>
  </si>
  <si>
    <t>MDT-DRTSPL-2022-3521-O</t>
  </si>
  <si>
    <t xml:space="preserve">Rolando Gilberto Calva Pinta </t>
  </si>
  <si>
    <t>supercalva79@yahoo.com</t>
  </si>
  <si>
    <t>MDT-DRTSPL-2022-5210-EXTERNO</t>
  </si>
  <si>
    <t>MDT-DRTSPL-2022-3522-O</t>
  </si>
  <si>
    <t xml:space="preserve">Wuillan Francisco Palacios Barzallo </t>
  </si>
  <si>
    <t>MDT-DRTSPL-2022-5211-EXTERNO</t>
  </si>
  <si>
    <t>MDT-DRTSPL-2022-3523-O</t>
  </si>
  <si>
    <t>MDT-DRTSPL-2022-5214-EXTERNO</t>
  </si>
  <si>
    <t>MDT-DRTSPL-2022-3524-O</t>
  </si>
  <si>
    <t>MDT-DRTSPL-2022-5215-EXTERNO</t>
  </si>
  <si>
    <t>MDT-DRTSPL-2022-3592-O</t>
  </si>
  <si>
    <t xml:space="preserve">Gladis Esperanza Ramon Loja </t>
  </si>
  <si>
    <t>MDT-DRTSPL-2022-5217-EXTERNO</t>
  </si>
  <si>
    <t>MDT-DRTSPL-2022-3525-O</t>
  </si>
  <si>
    <t xml:space="preserve">Marlo Eduardo Guazhima Marquez </t>
  </si>
  <si>
    <t>marloaguazhima@hotmail.com</t>
  </si>
  <si>
    <t>MDT-DRTSPL-2022-5220-EXTERNO</t>
  </si>
  <si>
    <t>MDT-DRTSPL-2022-3526-O</t>
  </si>
  <si>
    <t xml:space="preserve">César Marcelo Montaño Mora </t>
  </si>
  <si>
    <t>cesarmantano.estudiojuridico@gmail.com</t>
  </si>
  <si>
    <t>MDT-DRTSPL-2022-5222-EXTERNO</t>
  </si>
  <si>
    <t>MDT-DRTSPL-2022-3528-O</t>
  </si>
  <si>
    <t xml:space="preserve">Olger Efrain Gonzalez Mora </t>
  </si>
  <si>
    <t>mora88gm@gmail.com</t>
  </si>
  <si>
    <t>MDT-DRTSPL-2022-5223-EXTERNO</t>
  </si>
  <si>
    <t>MDT-DRTSPL-2022-3527-O</t>
  </si>
  <si>
    <t>fabriciofernandog11@yahoo.es</t>
  </si>
  <si>
    <t>MDT-DRTSPL-2022-5226-EXTERNO</t>
  </si>
  <si>
    <t>MDT-DRTSPL-2022-3529-O</t>
  </si>
  <si>
    <t xml:space="preserve">Edgar Fabricio Robles Cuenca </t>
  </si>
  <si>
    <t>fabriciorobles996@gmail.com</t>
  </si>
  <si>
    <t>MDT-DRTSPL-2022-5228-EXTERNO</t>
  </si>
  <si>
    <t>MDT-DRTSPL-2022-3530-O</t>
  </si>
  <si>
    <t>MDT-DRTSPL-2022-5229-EXTERNO</t>
  </si>
  <si>
    <t>MDT-DRTSPL-2022-3531-O</t>
  </si>
  <si>
    <t xml:space="preserve">Pablo Javier Alvarado Alvarado </t>
  </si>
  <si>
    <t>marisuca_22@hotmail.com</t>
  </si>
  <si>
    <t>MDT-DRTSPL-2022-5236-EXTERNO</t>
  </si>
  <si>
    <t>MDT-DRTSPL-2022-3533-O</t>
  </si>
  <si>
    <t>irina_miau@hotmail.com</t>
  </si>
  <si>
    <t>MDT-DRTSPL-2022-5237-EXTERNO</t>
  </si>
  <si>
    <t>MDT-DRTSPL-2022-3534-O</t>
  </si>
  <si>
    <t xml:space="preserve">Ana Lucia Solano Villalta </t>
  </si>
  <si>
    <t>MDT-DRTSPL-2022-5238-EXTERNO</t>
  </si>
  <si>
    <t>MDT-DRTSPL-2022-3536-O</t>
  </si>
  <si>
    <t>MDT-DRTSPL-2022-5239-EXTERNO</t>
  </si>
  <si>
    <t>MDT-DRTSPL-2022-3532-O</t>
  </si>
  <si>
    <t xml:space="preserve">Maria de los Angeles Quintuña Gonzalez </t>
  </si>
  <si>
    <t>jhandryc96@gmail.com</t>
  </si>
  <si>
    <t>MDT-DRTSPL-2022-5240-EXTERNO</t>
  </si>
  <si>
    <t>MDT-DRTSPL-2022-3537-O</t>
  </si>
  <si>
    <t xml:space="preserve">Jose Liberato Cruz Gonzalez </t>
  </si>
  <si>
    <t>cajasduarte-jc@hotmail.com</t>
  </si>
  <si>
    <t>MDT-DRTSPL-2022-5243-EXTERNO</t>
  </si>
  <si>
    <t>MDT-DRTSPL-2022-3539-O</t>
  </si>
  <si>
    <t xml:space="preserve">Segundo Fabian Cevallos Quezada </t>
  </si>
  <si>
    <t>cevallosf83@gmail.com</t>
  </si>
  <si>
    <t>MDT-DRTSPL-2022-5245-EXTERNO</t>
  </si>
  <si>
    <t>MDT-DRTSPL-2022-3540-O</t>
  </si>
  <si>
    <t xml:space="preserve">Luis Xavier Ortega Castro </t>
  </si>
  <si>
    <t>fabriciolavanda@hotmail.com</t>
  </si>
  <si>
    <t>MDT-DRTSPL-2022-5249-EXTERNO</t>
  </si>
  <si>
    <t>MDT-DRTSPL-2022-3541-O</t>
  </si>
  <si>
    <t xml:space="preserve">Guillermo Alberto Ponce Fierro </t>
  </si>
  <si>
    <t>MDT-DRTSPL-2022-5252-EXTERNO</t>
  </si>
  <si>
    <t>MDT-DRTSPL-2022-3542-O</t>
  </si>
  <si>
    <t>mavinamagua@hotmail.es</t>
  </si>
  <si>
    <t>MDT-DRTSPL-2022-5253-EXTERNO</t>
  </si>
  <si>
    <t>MDT-DRTSPL-2022-3543-O</t>
  </si>
  <si>
    <t xml:space="preserve">Nancy Maruja Poma Vélez </t>
  </si>
  <si>
    <t>nancypoma@hotmail.es</t>
  </si>
  <si>
    <t>MDT-DRTSPL-2022-5257-EXTERNO</t>
  </si>
  <si>
    <t>MDT-DRTSPL-2022-3545-O</t>
  </si>
  <si>
    <t xml:space="preserve">Alexi Santiago Quezada Labanda </t>
  </si>
  <si>
    <t>quezada.santiago1978@gmail.com</t>
  </si>
  <si>
    <t>MDT-DRTSPL-2022-5262-EXTERNO</t>
  </si>
  <si>
    <t>MDT-DRTSPL-2022-3544-O</t>
  </si>
  <si>
    <t xml:space="preserve">Nathaly del Cisne Proaño Fernandez </t>
  </si>
  <si>
    <t>karolina9803ojeda@hotmail.com</t>
  </si>
  <si>
    <t>MDT-DRTSPL-2022-5263-EXTERNO</t>
  </si>
  <si>
    <t>MDT-DRTSPL-2022-3579-O</t>
  </si>
  <si>
    <t xml:space="preserve">Charito Dulfary Romero Chimbo </t>
  </si>
  <si>
    <t>valladaresg58@yahoo.es</t>
  </si>
  <si>
    <t>MDT-DRTSPL-2022-5264-EXTERNO</t>
  </si>
  <si>
    <t>MDT-DRTSPL-2022-3550-O</t>
  </si>
  <si>
    <t>MDT-DRTSPL-2022-5266-EXTERNO</t>
  </si>
  <si>
    <t>MDT-DRTSPL-2022-3549-O</t>
  </si>
  <si>
    <t>tipico5@hotmail.com</t>
  </si>
  <si>
    <t>MDT-DRTSPL-2022-5267-EXTERNO</t>
  </si>
  <si>
    <t>MDT-DRTSPL-2022-3548-O</t>
  </si>
  <si>
    <t xml:space="preserve">Cristian Santiago Diaz Jimenez </t>
  </si>
  <si>
    <t>MDT-DRTSPL-2022-5276-EXTERNO</t>
  </si>
  <si>
    <t>MDT-DRTSPL-2022-3552-O</t>
  </si>
  <si>
    <t xml:space="preserve">Luiza Emerita Chuncho Cajamarca </t>
  </si>
  <si>
    <t>luisaechuncho@hotmail.com</t>
  </si>
  <si>
    <t>MDT-DRTSPL-2022-5277-EXTERNO</t>
  </si>
  <si>
    <t>MDT-DRTSPL-2022-3553-O</t>
  </si>
  <si>
    <t xml:space="preserve">Edgar Geovanny Benítez Cuenca </t>
  </si>
  <si>
    <t>marticaminga@gmail.com</t>
  </si>
  <si>
    <t>MDT-DRTSPL-2022-5279-EXTERNO</t>
  </si>
  <si>
    <t>MDT-DRTSPL-2022-3554-O</t>
  </si>
  <si>
    <t>MDT-DRTSPL-2022-5280-EXTERNO</t>
  </si>
  <si>
    <t>MDT-DRTSPL-2022-3555-O</t>
  </si>
  <si>
    <t>MDT-DRTSPL-2022-5282-EXTERNO</t>
  </si>
  <si>
    <t>MDT-DRTSPL-2022-3556-O</t>
  </si>
  <si>
    <t xml:space="preserve">Lola Beatriz Maldonado Correa </t>
  </si>
  <si>
    <t>MDT-DRTSPL-2022-5286-EXTERNO</t>
  </si>
  <si>
    <t>MDT-DRTSPL-2022-3557-O</t>
  </si>
  <si>
    <t xml:space="preserve">Jhandry Daniel Cuenca Carrion </t>
  </si>
  <si>
    <t>MDT-DRTSPL-2022-5293-EXTERNO</t>
  </si>
  <si>
    <t>MDT-DRTSPL-2022-3800-O</t>
  </si>
  <si>
    <t xml:space="preserve">Carlos Alberto Maldonado Enriquez </t>
  </si>
  <si>
    <t>ceinvimon2017@gmail.com</t>
  </si>
  <si>
    <t>MDT-DRTSPL-2022-5295-EXTERNO</t>
  </si>
  <si>
    <t>MDT-DRTSPL-2022-3587-O</t>
  </si>
  <si>
    <t>MDT-DRTSPL-2022-5296-EXTERNO</t>
  </si>
  <si>
    <t>MDT-DRTSPL-2022-3588-O</t>
  </si>
  <si>
    <t>MDT-DRTSPL-2022-5297-EXTERNO</t>
  </si>
  <si>
    <t>MDT-DRTSPL-2022-3589-O</t>
  </si>
  <si>
    <t>MDT-DRTSPL-2022-5298-EXTERNO</t>
  </si>
  <si>
    <t>MDT-DRTSPL-2022-3603-O</t>
  </si>
  <si>
    <t>MDT-DRTSPL-2022-5302-EXTERNO</t>
  </si>
  <si>
    <t>MDT-DOL-2022-0710-O</t>
  </si>
  <si>
    <t>MDT-DRTSPL-2022-5304-EXTERNO</t>
  </si>
  <si>
    <t>MDT-DRTSPL-2022-3590-O</t>
  </si>
  <si>
    <t xml:space="preserve">Juan Jose Suarez Coronel </t>
  </si>
  <si>
    <t>coroneljuajisuarez@gmail.com</t>
  </si>
  <si>
    <t>MDT-DRTSPL-2022-5306-EXTERNO</t>
  </si>
  <si>
    <t>MDT-DRTSPL-2022-3591-O</t>
  </si>
  <si>
    <t>MDT-DRTSPL-2022-5307-EXTERNO</t>
  </si>
  <si>
    <t>MDT-DRTSPL-2022-3593-O</t>
  </si>
  <si>
    <t>MDT-DRTSPL-2022-5308-EXTERNO</t>
  </si>
  <si>
    <t>MDT-DRTSPL-2022-3594-O</t>
  </si>
  <si>
    <t>MDT-DRTSPL-2022-5309-EXTERNO</t>
  </si>
  <si>
    <t>MDT-DRTSPL-2022-3596-O</t>
  </si>
  <si>
    <t>MDT-DRTSPL-2022-5310-EXTERNO</t>
  </si>
  <si>
    <t>MDT-DRTSPL-2022-3597-O</t>
  </si>
  <si>
    <t xml:space="preserve">Christian Fernando Yaguana Olmedo </t>
  </si>
  <si>
    <t>chrisfer261@hotmail.com</t>
  </si>
  <si>
    <t>MDT-DRTSPL-2022-5311-EXTERNO</t>
  </si>
  <si>
    <t>MDT-DRTSPL-2022-3598-O</t>
  </si>
  <si>
    <t>MDT-DRTSPL-2022-5312-EXTERNO</t>
  </si>
  <si>
    <t>MDT-DRTSPL-2022-3600-O</t>
  </si>
  <si>
    <t>MDT-DRTSPL-2022-5313-EXTERNO</t>
  </si>
  <si>
    <t>MDT-DRTSPL-2022-3601-O</t>
  </si>
  <si>
    <t>MDT-DRTSPL-2022-5314-EXTERNO</t>
  </si>
  <si>
    <t>MDT-DRTSPL-2022-3604-O</t>
  </si>
  <si>
    <t>MDT-DRTSPL-2022-5315-EXTERNO</t>
  </si>
  <si>
    <t>MDT-DRTSPL-2022-3605-O</t>
  </si>
  <si>
    <t>MDT-DRTSPL-2022-5316-EXTERNO</t>
  </si>
  <si>
    <t>MDT-DRTSPL-2022-3608-O</t>
  </si>
  <si>
    <t>MDT-DRTSPL-2022-5317-EXTERNO</t>
  </si>
  <si>
    <t>MDT-DRTSPL-2022-3610-O</t>
  </si>
  <si>
    <t>MDT-DRTSPL-2022-5318-EXTERNO</t>
  </si>
  <si>
    <t>MDT-DRTSPL-2022-3611-O</t>
  </si>
  <si>
    <t>MDT-DRTSPL-2022-5319-EXTERNO</t>
  </si>
  <si>
    <t>MDT-DRTSPL-2022-3618-O</t>
  </si>
  <si>
    <t>MDT-DRTSPL-2022-5320-EXTERNO</t>
  </si>
  <si>
    <t>MDT-DRTSPL-2022-3620-O</t>
  </si>
  <si>
    <t>MDT-DRTSPL-2022-5326-EXTERNO</t>
  </si>
  <si>
    <t>MDT-DRTSPL-2022-3667-O</t>
  </si>
  <si>
    <t>MDT-DRTSPL-2022-5328-EXTERNO</t>
  </si>
  <si>
    <t>MDT-DRTSPL-2022-3613-O</t>
  </si>
  <si>
    <t>MDT-DRTSPL-2022-5335-EXTERNO</t>
  </si>
  <si>
    <t>MDT-DSG-2022-2283-OFICIO</t>
  </si>
  <si>
    <t xml:space="preserve">Pablo Vicente jaramillo Luzuriaga </t>
  </si>
  <si>
    <t>MDT-DRTSPL-2022-5336-EXTERNO</t>
  </si>
  <si>
    <t>MDT-DRTSPL-2022-3595-O</t>
  </si>
  <si>
    <t>ENTREGA FÍSICA</t>
  </si>
  <si>
    <t>MDT-DRTSPL-2022-5337-EXTERNO</t>
  </si>
  <si>
    <t>MDT-DRTSPL-2022-3621-O</t>
  </si>
  <si>
    <t xml:space="preserve">Geovanny Miguel Bravo Villamagua </t>
  </si>
  <si>
    <t>MDT-DRTSPL-2022-5338-EXTERNO</t>
  </si>
  <si>
    <t>MDT-DRTSPL-2022-3612-O</t>
  </si>
  <si>
    <t>MDT-DRTSPL-2022-5340-EXTERNO</t>
  </si>
  <si>
    <t>MDT-DRTSPL-2022-3622-O</t>
  </si>
  <si>
    <t xml:space="preserve">Elizabeth Patricia Quirola Ochoa </t>
  </si>
  <si>
    <t>dfortegap@hotmail.com</t>
  </si>
  <si>
    <t>MDT-DRTSPL-2022-5341-EXTERNO</t>
  </si>
  <si>
    <t>MDT-DRTSPL-2022-3623-O</t>
  </si>
  <si>
    <t xml:space="preserve">Nelson Armando Jaramilio Díaz </t>
  </si>
  <si>
    <t>francapaz2003@yahoo.es</t>
  </si>
  <si>
    <t>MDT-DRTSPL-2022-5342-EXTERNO</t>
  </si>
  <si>
    <t>MDT-DRTSPL-2022-3624-O</t>
  </si>
  <si>
    <t>MDT-DRTSPL-2022-5343-EXTERNO</t>
  </si>
  <si>
    <t>MDT-DRTSPL-2022-3625-O</t>
  </si>
  <si>
    <t>MDT-DRTSPL-2022-5344-EXTERNO</t>
  </si>
  <si>
    <t>MDT-DRTSPL-2022-3627-O</t>
  </si>
  <si>
    <t>MDT-DRTSPL-2022-5345-EXTERNO</t>
  </si>
  <si>
    <t>MDT-DRTSPL-2022-3628-O</t>
  </si>
  <si>
    <t xml:space="preserve">Jose Miguel Sisalima Angamarca </t>
  </si>
  <si>
    <t>ana12barreto@outlook.es</t>
  </si>
  <si>
    <t>MDT-DRTSPL-2022-5347-EXTERNO</t>
  </si>
  <si>
    <t>MDT-DRTSPL-2022-3629-O</t>
  </si>
  <si>
    <t xml:space="preserve">Sandra Jacqueline Alvarado Orellana </t>
  </si>
  <si>
    <t>MDT-DRTSPL-2022-5349-EXTERNO</t>
  </si>
  <si>
    <t>MDT-DRTSPL-2022-3630-O</t>
  </si>
  <si>
    <t xml:space="preserve">Rosa Belen Morocho Jumbo </t>
  </si>
  <si>
    <t>morochoalexander96@gmail.com</t>
  </si>
  <si>
    <t>MDT-DRTSPL-2022-5350-EXTERNO</t>
  </si>
  <si>
    <t>MDT-DRTSPL-2022-3631-O</t>
  </si>
  <si>
    <t xml:space="preserve">James Alejandro Puchaicela Miles </t>
  </si>
  <si>
    <t>jamespuchaicela12@gmail.com</t>
  </si>
  <si>
    <t>MDT-DRTSPL-2022-5351-EXTERNO</t>
  </si>
  <si>
    <t>MDT-DRTSPL-2022-3632-O</t>
  </si>
  <si>
    <t xml:space="preserve">Jimmy Geovanny Capa Nero </t>
  </si>
  <si>
    <t>jimcapa96@gmail.com</t>
  </si>
  <si>
    <t>MDT-DRTSPL-2022-5353-EXTERNO</t>
  </si>
  <si>
    <t>MDT-DRTSPL-2022-3633-O</t>
  </si>
  <si>
    <t>abigail.tello23@gmail.com</t>
  </si>
  <si>
    <t>MDT-DRTSPL-2022-5359-EXTERNO</t>
  </si>
  <si>
    <t>MDT-DRTSPL-2022-3782-O</t>
  </si>
  <si>
    <t xml:space="preserve">Gloria Enith Ochoa Alvarez </t>
  </si>
  <si>
    <t>gmeochoa@hotmail.com</t>
  </si>
  <si>
    <t>MDT-DRTSPL-2022-5361-EXTERNO</t>
  </si>
  <si>
    <t>MDT-DRTSPL-2022-3634-O</t>
  </si>
  <si>
    <t xml:space="preserve">Victor Hugo Mora Merino </t>
  </si>
  <si>
    <t>victormoram11@yahoo.es</t>
  </si>
  <si>
    <t>MDT-DRTSPL-2022-5363-EXTERNO</t>
  </si>
  <si>
    <t>MDT-DRTSPL-2022-3640-O</t>
  </si>
  <si>
    <t>MDT-DRTSPL-2022-5365-EXTERNO</t>
  </si>
  <si>
    <t>MDT-DRTSPL-2022-3641-O</t>
  </si>
  <si>
    <t>MDT-DRTSPL-2022-5370-EXTERNO</t>
  </si>
  <si>
    <t>MDT-DRTSPL-2022-3635-O</t>
  </si>
  <si>
    <t>MDT-DRTSPL-2022-5372-EXTERNO</t>
  </si>
  <si>
    <t>MDT-DRTSPL-2022-3639-O</t>
  </si>
  <si>
    <t xml:space="preserve">Jose Luis Minga Cango </t>
  </si>
  <si>
    <t>joselominga@gmail.com</t>
  </si>
  <si>
    <t>MDT-DRTSPL-2022-5373-EXTERNO</t>
  </si>
  <si>
    <t>MDT-DRTSPL-2022-3642-O</t>
  </si>
  <si>
    <t>MDT-DRTSPL-2022-5384-EXTERNO</t>
  </si>
  <si>
    <t>MDT-DRTSPL-2022-3643-O</t>
  </si>
  <si>
    <t>MDT-DRTSPL-2022-5386-EXTERNO</t>
  </si>
  <si>
    <t>Marlon Wladimir Reinoso León</t>
  </si>
  <si>
    <t>MDT-DRTSPQ-2022-7389-M</t>
  </si>
  <si>
    <t>MDT-DRTSPL-2022-5387-EXTERNO</t>
  </si>
  <si>
    <t>MDT-DRTSPL-2022-3657-O</t>
  </si>
  <si>
    <t>MDT-DRTSPL-2022-5388-EXTERNO</t>
  </si>
  <si>
    <t>MDT-DRTSPC-2022-4175-O</t>
  </si>
  <si>
    <t xml:space="preserve">Luis Alfredo Durazno Alvarado </t>
  </si>
  <si>
    <t>MDT-DRTSPL-2022-5390-EXTERNO</t>
  </si>
  <si>
    <t>MDT-DRTSPL-2022-3658-O</t>
  </si>
  <si>
    <t>MDT-DRTSPL-2022-5393-EXTERNO</t>
  </si>
  <si>
    <t>MDT-DRTSPL-2022-3659-O</t>
  </si>
  <si>
    <t>MDT-DRTSPL-2022-5394-EXTERNO</t>
  </si>
  <si>
    <t>MDT-DRTSPL-2022-3660-O</t>
  </si>
  <si>
    <t>MDT-DRTSPL-2022-5395-EXTERNO</t>
  </si>
  <si>
    <t>MDT-DRTSPL-2022-3661-O</t>
  </si>
  <si>
    <t>MDT-DRTSPL-2022-5396-EXTERNO</t>
  </si>
  <si>
    <t>MDT-DRTSPL-2022-3662-O</t>
  </si>
  <si>
    <t>MDT-DRTSPL-2022-5397-EXTERNO</t>
  </si>
  <si>
    <t>MDT-DRTSPL-2022-3666-O</t>
  </si>
  <si>
    <t xml:space="preserve">Johanna Jhulissa Gualan Lozano </t>
  </si>
  <si>
    <t>MDT-DRTSPL-2022-5398-EXTERNO</t>
  </si>
  <si>
    <t>MDT-DRTSPL-2022-3671-O</t>
  </si>
  <si>
    <t xml:space="preserve">Andrea Veronica Medina Guachizaca </t>
  </si>
  <si>
    <t>beronnika10@gmail.com</t>
  </si>
  <si>
    <t>MDT-DRTSPL-2022-5399-EXTERNO</t>
  </si>
  <si>
    <t>MDT-DRTSPL-2022-3669-O</t>
  </si>
  <si>
    <t>MDT-DRTSPL-2022-5400-EXTERNO</t>
  </si>
  <si>
    <t>MDT-DRTSPL-2022-3651-O</t>
  </si>
  <si>
    <t xml:space="preserve">Stalin Alfredo Ludeña Quezada </t>
  </si>
  <si>
    <t>stalinalfredolud@gmail.com</t>
  </si>
  <si>
    <t>MDT-DRTSPL-2022-5405-EXTERNO</t>
  </si>
  <si>
    <t>MDT-DRTSPL-2022-3668-O</t>
  </si>
  <si>
    <t>MDT-DRTSPL-2022-5410-EXTERNO</t>
  </si>
  <si>
    <t>MDT-DRTSPL-2022-3670-O</t>
  </si>
  <si>
    <t xml:space="preserve">Emigdio Oswaldo Jaramillo Velez </t>
  </si>
  <si>
    <t>oswaldojv76@yahoo.com</t>
  </si>
  <si>
    <t>MDT-DRTSPL-2022-5413-EXTERNO</t>
  </si>
  <si>
    <t>MDT-DRTSPL-2022-3673-O</t>
  </si>
  <si>
    <t xml:space="preserve">Diana Fernanda Sucunuta Alban </t>
  </si>
  <si>
    <t>fer-291993@hotmail.com</t>
  </si>
  <si>
    <t>MDT-DRTSPL-2022-5422-EXTERNO</t>
  </si>
  <si>
    <t>MDT-DRTSPL-2022-3677-O</t>
  </si>
  <si>
    <t xml:space="preserve">Carmen Narciza Marquez Juela </t>
  </si>
  <si>
    <t>MDT-DRTSPL-2022-5423-EXTERNO</t>
  </si>
  <si>
    <t>María Nely Terán Villarreal.</t>
  </si>
  <si>
    <t>MDT-DAS-2022-0426-M</t>
  </si>
  <si>
    <t>MDT-DRTSPL-2022-5424-EXTERNO</t>
  </si>
  <si>
    <t>MDT-DRTSPL-2022-3678-O</t>
  </si>
  <si>
    <t>MDT-DRTSPL-2022-5425-EXTERNO</t>
  </si>
  <si>
    <t>MDT-DRTSPL-2022-3679-O</t>
  </si>
  <si>
    <t xml:space="preserve">Franklin Gustavo Castillo Rojas </t>
  </si>
  <si>
    <t>MDT-DRTSPL-2022-5428-EXTERNO</t>
  </si>
  <si>
    <t>MDT-DRTSPL-2022-3680-O</t>
  </si>
  <si>
    <t>MDT-DRTSPL-2022-5436-EXTERNO</t>
  </si>
  <si>
    <t>MDT-DRTSPL-2022-3788-O</t>
  </si>
  <si>
    <t xml:space="preserve">Ana Belén Solano Sánchez </t>
  </si>
  <si>
    <t>MDT-DRTSPL-2022-5439-EXTERNO</t>
  </si>
  <si>
    <t>MDT-DRTSPL-2022-3706-O</t>
  </si>
  <si>
    <t xml:space="preserve">Dalton Eriberto Lopez Benitez </t>
  </si>
  <si>
    <t>dmventaporcatalogo@gmail.com</t>
  </si>
  <si>
    <t>MDT-DRTSPL-2022-5440-EXTERNO</t>
  </si>
  <si>
    <t>MDT-DRTSPL-2022-3707-O</t>
  </si>
  <si>
    <t>MDT-DRTSPL-2022-5441-EXTERNO</t>
  </si>
  <si>
    <t>MDT-DRTSPL-2022-3708-O</t>
  </si>
  <si>
    <t>rodriguezy@fiscalia.gob.ec</t>
  </si>
  <si>
    <t>MDT-DRTSPL-2022-5443-EXTERNO</t>
  </si>
  <si>
    <t>MDT-DRTSPL-2022-3709-O</t>
  </si>
  <si>
    <t xml:space="preserve">Galo Enrique García Prado </t>
  </si>
  <si>
    <t>gegarcia9@utpl.edu.ec</t>
  </si>
  <si>
    <t>MDT-DRTSPL-2022-5445-EXTERNO</t>
  </si>
  <si>
    <t>MDT-DRTSPL-2022-3786-O</t>
  </si>
  <si>
    <t xml:space="preserve">Lucía del Carmen Andrade Torres </t>
  </si>
  <si>
    <t>lucia_andrade7@hotmail.com</t>
  </si>
  <si>
    <t>MDT-DRTSPL-2022-5446-EXTERNO</t>
  </si>
  <si>
    <t>MDT-DRTSPL-2022-3748-O</t>
  </si>
  <si>
    <t>MDT-DRTSPL-2022-5447-EXTERNO</t>
  </si>
  <si>
    <t>MDT-DRTSPL-2022-3787-O</t>
  </si>
  <si>
    <t xml:space="preserve">Ercila Emelina Andrade Rojas </t>
  </si>
  <si>
    <t>escilandrade@hotmail.com</t>
  </si>
  <si>
    <t>MDT-DRTSPL-2022-5448-EXTERNO</t>
  </si>
  <si>
    <t>MDT-DRTSPL-2022-3710-O</t>
  </si>
  <si>
    <t>MDT-DRTSPL-2022-5451-EXTERNO</t>
  </si>
  <si>
    <t>MDT-DRTSPL-2022-3713-O</t>
  </si>
  <si>
    <t xml:space="preserve">Jorge Augusto Quille Carpio </t>
  </si>
  <si>
    <t>MDT-DRTSPL-2022-5452-EXTERNO</t>
  </si>
  <si>
    <t>MDT-DRTSPL-2022-3714-O</t>
  </si>
  <si>
    <t xml:space="preserve">Dalin Rodrigo Morocho Chamba </t>
  </si>
  <si>
    <t>dalinmorochoc@gmail.com</t>
  </si>
  <si>
    <t>MDT-DRTSPL-2022-5453-EXTERNO</t>
  </si>
  <si>
    <t>MDT-DRTSPL-2022-3715-O</t>
  </si>
  <si>
    <t>MDT-DRTSPL-2022-5456-EXTERNO</t>
  </si>
  <si>
    <t>MDT-DRTSPL-2022-3717-O</t>
  </si>
  <si>
    <t xml:space="preserve">Jaime David Matailo Pinta </t>
  </si>
  <si>
    <t>jaimedavidmatailopinta@gmail.com</t>
  </si>
  <si>
    <t>MDT-DRTSPL-2022-5460-EXTERNO</t>
  </si>
  <si>
    <t>MDT-DRTSPL-2022-3716-O</t>
  </si>
  <si>
    <t>MDT-DRTSPL-2022-5464-EXTERNO</t>
  </si>
  <si>
    <t>MDT-DRTSPL-2022-3718-O</t>
  </si>
  <si>
    <t xml:space="preserve">Cesar Fernando Cabrera Suquilanda </t>
  </si>
  <si>
    <t>MDT-DRTSPL-2022-5467-EXTERNO</t>
  </si>
  <si>
    <t>MDT-DRTSPL-2022-3732-O</t>
  </si>
  <si>
    <t>MDT-DRTSPL-2022-5468-EXTERNO</t>
  </si>
  <si>
    <t>MDT-DRTSPL-2022-3733-O</t>
  </si>
  <si>
    <t>MDT-DRTSPL-2022-5469-EXTERNO</t>
  </si>
  <si>
    <t>MDT-DRTSPL-2022-3734-O</t>
  </si>
  <si>
    <t>MDT-DRTSPL-2022-5471-EXTERNO</t>
  </si>
  <si>
    <t>MDT-DRTSPL-2022-3736-O</t>
  </si>
  <si>
    <t xml:space="preserve">Sergio Lino Camacho Herrera </t>
  </si>
  <si>
    <t>yasminmedina999@gmail.com</t>
  </si>
  <si>
    <t>MDT-DRTSPL-2022-5472-EXTERNO</t>
  </si>
  <si>
    <t>MDT-DRTSPL-2022-3739-O</t>
  </si>
  <si>
    <t xml:space="preserve">Edgar Augusto Alvarado Solorzano </t>
  </si>
  <si>
    <t>MDT-DRTSPL-2022-5474-EXTERNO</t>
  </si>
  <si>
    <t>MDT-DRTSPL-2022-3740-O</t>
  </si>
  <si>
    <t xml:space="preserve">Andrey Fernando Allasiche Cuenca </t>
  </si>
  <si>
    <t>andrey.allasiche1999@gmail.com</t>
  </si>
  <si>
    <t>MDT-DRTSPL-2022-5475-EXTERNO</t>
  </si>
  <si>
    <t>MDT-DRTSPL-2022-3741-O</t>
  </si>
  <si>
    <t xml:space="preserve">Jorge Luis Riofrio Ojeda </t>
  </si>
  <si>
    <t>jorgeluisriofrio@gmail.com</t>
  </si>
  <si>
    <t>MDT-DRTSPL-2022-5478-EXTERNO</t>
  </si>
  <si>
    <t>MDT-DRTSPL-2022-3742-O</t>
  </si>
  <si>
    <t xml:space="preserve">Edwin Geovanny Guaman Marquez </t>
  </si>
  <si>
    <t>rojonacho87@gmail.com</t>
  </si>
  <si>
    <t>MDT-DRTSPL-2022-5480-EXTERNO</t>
  </si>
  <si>
    <t>MDT-DRTSPL-2022-3743-O</t>
  </si>
  <si>
    <t xml:space="preserve">Ana María Alvarado Alvarado </t>
  </si>
  <si>
    <t>anitaalvarado199@gmail.com</t>
  </si>
  <si>
    <t>MDT-DRTSPL-2022-5481-EXTERNO</t>
  </si>
  <si>
    <t>MDT-DRTSPL-2022-3744-O</t>
  </si>
  <si>
    <t>MDT-DRTSPL-2022-5482-EXTERNO</t>
  </si>
  <si>
    <t>MDT-DRTSPL-2022-3751-O</t>
  </si>
  <si>
    <t xml:space="preserve">Rosa Aurelia Gonzalez Gonzalez </t>
  </si>
  <si>
    <t>MDT-DRTSPL-2022-5484-EXTERNO</t>
  </si>
  <si>
    <t>MDT-DRTSPL-2022-3747-O</t>
  </si>
  <si>
    <t>estjur.ortega@gmail.com</t>
  </si>
  <si>
    <t>MDT-DRTSPL-2022-5486-EXTERNO</t>
  </si>
  <si>
    <t>MDT-DRTSPL-2022-3752-O</t>
  </si>
  <si>
    <t xml:space="preserve">Diana del Carmen Lopez Cabrera </t>
  </si>
  <si>
    <t>MDT-DRTSPL-2022-5495-EXTERNO</t>
  </si>
  <si>
    <t>MDT-DRTSPL-2022-3753-O</t>
  </si>
  <si>
    <t>MDT-DRTSPL-2022-5498-EXTERNO</t>
  </si>
  <si>
    <t>MDT-DRTSPL-2022-3784-O</t>
  </si>
  <si>
    <t>MDT-DRTSPL-2022-5505-EXTERNO</t>
  </si>
  <si>
    <t>MDT-DRTSPL-2022-3760-O</t>
  </si>
  <si>
    <t>leninaguilar2011@gmail.com</t>
  </si>
  <si>
    <t>MDT-DRTSPL-2022-5506-EXTERNO</t>
  </si>
  <si>
    <t>MDT-DRTSPL-2022-3761-O</t>
  </si>
  <si>
    <t xml:space="preserve">Esperanza Hortencia Viñamagua Puchaicela </t>
  </si>
  <si>
    <t>esperanza.viamagua@yahoo.com</t>
  </si>
  <si>
    <t>MDT-DRTSPL-2022-5508-EXTERNO</t>
  </si>
  <si>
    <t>MDT-DRTSPL-2022-3762-O</t>
  </si>
  <si>
    <t>MDT-DRTSPL-2022-5509-EXTERNO</t>
  </si>
  <si>
    <t>MDT-DRTSPL-2022-3763-O</t>
  </si>
  <si>
    <t>MDT-DRTSPL-2022-5510-EXTERNO</t>
  </si>
  <si>
    <t>MDT-DRTSPL-2022-3764-O</t>
  </si>
  <si>
    <t>MDT-DRTSPL-2022-5511-EXTERNO</t>
  </si>
  <si>
    <t>MDT-DRTSPL-2022-3765-O</t>
  </si>
  <si>
    <t xml:space="preserve">Jorge Luis Carrion Vivanco </t>
  </si>
  <si>
    <t>jorgecvj@gmail.com</t>
  </si>
  <si>
    <t>MDT-DRTSPL-2022-5513-EXTERNO</t>
  </si>
  <si>
    <t>MDT-DRTSPL-2022-3766-O</t>
  </si>
  <si>
    <t xml:space="preserve">Ruben Dario Roman Barrazueta </t>
  </si>
  <si>
    <t>richardna35@hotmail.com.com</t>
  </si>
  <si>
    <t>MDT-DRTSPL-2022-5534-EXTERNO</t>
  </si>
  <si>
    <t>MDT-DRTSPL-2022-3767-O</t>
  </si>
  <si>
    <t>MDT-DRTSPL-2022-5535-EXTERNO</t>
  </si>
  <si>
    <t>MDT-DRTSPL-2022-3769-O</t>
  </si>
  <si>
    <t>eveghoa@gmail.com</t>
  </si>
  <si>
    <t>MDT-DRTSPL-2022-5538-EXTERNO</t>
  </si>
  <si>
    <t>MDT-DRTSPL-2022-3776-O</t>
  </si>
  <si>
    <t xml:space="preserve">David Gonzalo Chavez Chacon </t>
  </si>
  <si>
    <t>MDT-DRTSPL-2022-5539-EXTERNO</t>
  </si>
  <si>
    <t>MDT-DRTSPL-2022-3750-O</t>
  </si>
  <si>
    <t xml:space="preserve">Betty Leonor Flores Carrillo </t>
  </si>
  <si>
    <t>MDT-DRTSPL-2022-5543-EXTERNO</t>
  </si>
  <si>
    <t>MDT-DRTSPL-2022-3768-O</t>
  </si>
  <si>
    <t>Raúl Marcelo Ramírez Marriott</t>
  </si>
  <si>
    <t>rramirez@cancilleria.gob.ec</t>
  </si>
  <si>
    <t>MDT-DRTSPL-2022-5544-EXTERNO</t>
  </si>
  <si>
    <t>MDT-DRTSPL-2022-3759-O</t>
  </si>
  <si>
    <t xml:space="preserve">Fernando Moisés Ochoa Montero </t>
  </si>
  <si>
    <t>ochoamonterofm@gmail.com</t>
  </si>
  <si>
    <t>MDT-DRTSPL-2022-5546-EXTERNO</t>
  </si>
  <si>
    <t xml:space="preserve">Estefanía Nataly González Arboleda </t>
  </si>
  <si>
    <t>MDT-DRTSPL-2022-5553-EXTERNO</t>
  </si>
  <si>
    <t>MDT-DRTSPL-2022-3778-O</t>
  </si>
  <si>
    <t>MDT-DRTSPL-2022-5555-EXTERNO</t>
  </si>
  <si>
    <t>MDT-DRTSPL-2022-3779-O</t>
  </si>
  <si>
    <t xml:space="preserve">Luis Gustavo Alvarez Acaro </t>
  </si>
  <si>
    <t>galvarez268@gmail.com</t>
  </si>
  <si>
    <t>MDT-DRTSPL-2022-5557-EXTERNO</t>
  </si>
  <si>
    <t>MDT-DRTSPL-2022-3780-O</t>
  </si>
  <si>
    <t xml:space="preserve">Oswaldo Saritama Naula </t>
  </si>
  <si>
    <t>anabelrios112@gmail.com</t>
  </si>
  <si>
    <t>MDT-DRTSPL-2022-5561-EXTERNO</t>
  </si>
  <si>
    <t>MDT-DRTSPL-2022-3781-O</t>
  </si>
  <si>
    <t>MDT-DRTSPL-2022-5579-EXTERNO</t>
  </si>
  <si>
    <t>MDT-DRTSPL-2022-3785-O</t>
  </si>
  <si>
    <t>geovaaguinsaca@gmail.com</t>
  </si>
  <si>
    <t>MDT-DRTSPL-2022-5589-EXTERNO</t>
  </si>
  <si>
    <t>MDT-DRTSPL-2022-3798-O</t>
  </si>
  <si>
    <t>MDT-DRTSPL-2022-5590-EXTERNO</t>
  </si>
  <si>
    <t>MDT-DRTSPL-2022-3799-O</t>
  </si>
  <si>
    <t>MDT-DRTSPL-2022-5597-EXTERNO</t>
  </si>
  <si>
    <t>MDT-DRTSPL-2022-3803-O</t>
  </si>
  <si>
    <t>dary2207@hotmail.com</t>
  </si>
  <si>
    <t>MDT-DRTSPL-2022-5603-EXTERNO</t>
  </si>
  <si>
    <t>MDT-DRTSPL-2022-3812-O</t>
  </si>
  <si>
    <t>MDT-DRTSPL-2022-5604-EXTERNO</t>
  </si>
  <si>
    <t>MDT-DRTSPL-2022-3833-O</t>
  </si>
  <si>
    <t>MDT-DRTSPL-2022-5611-EXTERNO</t>
  </si>
  <si>
    <t>MDT-DRTSPL-2022-3813-O</t>
  </si>
  <si>
    <t>MDT-DRTSPL-2022-5631-EXTERNO</t>
  </si>
  <si>
    <t>MDT-DRTSPL-2022-3814-O</t>
  </si>
  <si>
    <t>MDT-DRTSPL-2022-5635-EXTERNO</t>
  </si>
  <si>
    <t>MDT-DRTSPL-2022-3809-O</t>
  </si>
  <si>
    <t xml:space="preserve">Martha Heroina Bravo </t>
  </si>
  <si>
    <t>marthahbravo@gmail.com</t>
  </si>
  <si>
    <t>MDT-DRTSPL-2022-5638-EXTERNO</t>
  </si>
  <si>
    <t>Melissa Jacqueline Valle Larraga</t>
  </si>
  <si>
    <t>MDT-DCI-2022-2018-M</t>
  </si>
  <si>
    <t xml:space="preserve">Luisa Maria Quiroga Urresta </t>
  </si>
  <si>
    <t>MDT-DRTSPL-2022-5642-EXTERNO</t>
  </si>
  <si>
    <t>MDT-DRTSPL-2022-3834-O</t>
  </si>
  <si>
    <t>MDT-DRTSPL-2022-5645-EXTERNO</t>
  </si>
  <si>
    <t>MDT-DRTSPL-2022-3835-O</t>
  </si>
  <si>
    <t>MDT-DRTSPL-2022-5646-EXTERNO</t>
  </si>
  <si>
    <t>MDT-DRTSPL-2022-3838-O</t>
  </si>
  <si>
    <t xml:space="preserve">Hugo Marcelo Ordoñez Rojas </t>
  </si>
  <si>
    <t>orhpositivo48@hotmail.es</t>
  </si>
  <si>
    <t>MDT-DRTSPL-2022-5647-EXTERNO</t>
  </si>
  <si>
    <t>MDT-DRTSPL-2022-3839-O</t>
  </si>
  <si>
    <t xml:space="preserve">Vinicio Nicolas Lozano Tenepaguay </t>
  </si>
  <si>
    <t>vinicionicolas67@hotmail.com</t>
  </si>
  <si>
    <t>MDT-DRTSPL-2022-5648-EXTERNO</t>
  </si>
  <si>
    <t>MDT-DRTSPL-2022-3847-O</t>
  </si>
  <si>
    <t>mgonzalezgordillo@gmail.com</t>
  </si>
  <si>
    <t>MDT-DRTSPL-2022-5649-EXTERNO</t>
  </si>
  <si>
    <t>MDT-DRTSPL-2022-3848-O</t>
  </si>
  <si>
    <t xml:space="preserve">Franklin Yovany Tinoco Puglla </t>
  </si>
  <si>
    <t>MDT-DRTSPL-2022-5651-EXTERNO</t>
  </si>
  <si>
    <t>MDT-DRTSPL-2022-3952-O</t>
  </si>
  <si>
    <t xml:space="preserve">Jessica Patricia Ramirez Torres </t>
  </si>
  <si>
    <t>jessik.pato@hotmail.com</t>
  </si>
  <si>
    <t>MDT-DRTSPL-2022-5653-EXTERNO</t>
  </si>
  <si>
    <t>MDT-DRTSPL-2022-3849-O</t>
  </si>
  <si>
    <t xml:space="preserve">Lapo Calva klever Augusto </t>
  </si>
  <si>
    <t>jbautistagonzalez21@gmail.com</t>
  </si>
  <si>
    <t>MDT-DRTSPL-2022-5655-EXTERNO</t>
  </si>
  <si>
    <t>MDT-DRTSPL-2022-3850-O</t>
  </si>
  <si>
    <t>MDT-DRTSPL-2022-5656-EXTERNO</t>
  </si>
  <si>
    <t>MDT-DRTSPL-2022-3851-O</t>
  </si>
  <si>
    <t>MDT-DRTSPL-2022-5660-EXTERNO</t>
  </si>
  <si>
    <t>Claudia Gabriela Arboleda Guerrero(MDT)</t>
  </si>
  <si>
    <t>MDT-DRTSPL-2022-3942-O</t>
  </si>
  <si>
    <t xml:space="preserve">Juan José Orellana Ochoa </t>
  </si>
  <si>
    <t>svgarcia@prefecturaloja.gob.ec</t>
  </si>
  <si>
    <t>MDT-DRTSPL-2022-5661-EXTERNO</t>
  </si>
  <si>
    <t>MDT-DRTSPL-2022-3940-O</t>
  </si>
  <si>
    <t>MDT-DRTSPL-2022-5669-EXTERNO</t>
  </si>
  <si>
    <t>MDT-DRTSPL-2022-3852-O</t>
  </si>
  <si>
    <t xml:space="preserve">Herman Paul Granda Macas </t>
  </si>
  <si>
    <t>paulyjoha14@gmail.com</t>
  </si>
  <si>
    <t>MDT-DRTSPL-2022-5671-EXTERNO</t>
  </si>
  <si>
    <t>MDT-DRTSPL-2022-3853-O</t>
  </si>
  <si>
    <t>MDT-DRTSPL-2022-5675-EXTERNO</t>
  </si>
  <si>
    <t>MDT-DRTSPL-2022-3856-O</t>
  </si>
  <si>
    <t xml:space="preserve">Wilson Alcivar Tamay Merchan </t>
  </si>
  <si>
    <t>diegocm12396@gmail.com</t>
  </si>
  <si>
    <t>MDT-DRTSPL-2022-5677-EXTERNO</t>
  </si>
  <si>
    <t>MDT-DRTSPL-2022-3857-O</t>
  </si>
  <si>
    <t xml:space="preserve">Marcelo Gonzalo Ruiz Flores </t>
  </si>
  <si>
    <t>ruizmarcelo440@yahoo.com</t>
  </si>
  <si>
    <t>MDT-DRTSPL-2022-5680-EXTERNO</t>
  </si>
  <si>
    <t>MDT-DRTSPL-2022-3858-O</t>
  </si>
  <si>
    <t>abvicente_cabrera@hotmail.com</t>
  </si>
  <si>
    <t>MDT-DRTSPL-2022-5681-EXTERNO</t>
  </si>
  <si>
    <t>MDT-DRTSPL-2022-3861-O</t>
  </si>
  <si>
    <t xml:space="preserve">Jose Maria Santin </t>
  </si>
  <si>
    <t>hernacacoc@gmail.com</t>
  </si>
  <si>
    <t>MDT-DRTSPL-2022-5682-EXTERNO</t>
  </si>
  <si>
    <t>MDT-DRTSPL-2022-3864-O</t>
  </si>
  <si>
    <t xml:space="preserve">Jorge Eduardo Silva Herrera </t>
  </si>
  <si>
    <t>dvveintimilla@utpl.edu.ec</t>
  </si>
  <si>
    <t>MDT-DRTSPL-2022-5684-EXTERNO</t>
  </si>
  <si>
    <t>MDT-DRTSPL-2022-3865-O</t>
  </si>
  <si>
    <t>MDT-DRTSPL-2022-5687-EXTERNO</t>
  </si>
  <si>
    <t>MDT-DRTSPL-2022-3866-O</t>
  </si>
  <si>
    <t>MDT-DRTSPL-2022-5690-EXTERNO</t>
  </si>
  <si>
    <t>MDT-DRTSPL-2022-3867-O</t>
  </si>
  <si>
    <t xml:space="preserve">Mayra Lucia Pulla Carrion </t>
  </si>
  <si>
    <t>mayraluciapulla@gmail.com</t>
  </si>
  <si>
    <t>MDT-DRTSPL-2022-5691-EXTERNO</t>
  </si>
  <si>
    <t>MDT-DRTSPL-2022-3868-O</t>
  </si>
  <si>
    <t>MDT-DRTSPL-2022-5695-EXTERNO</t>
  </si>
  <si>
    <t>MDT-DRTSPL-2022-3870-O</t>
  </si>
  <si>
    <t xml:space="preserve">Diana Carolina Torres Calderon </t>
  </si>
  <si>
    <t>MDT-DRTSPL-2022-5697-EXTERNO</t>
  </si>
  <si>
    <t xml:space="preserve">Vanessa Jazminia Meneses Sotomayor </t>
  </si>
  <si>
    <t>vanessameneses75@outlook.com</t>
  </si>
  <si>
    <t>MDT-DRTSPL-2022-5700-EXTERNO</t>
  </si>
  <si>
    <t>MDT-DRTSPL-2022-3871-O</t>
  </si>
  <si>
    <t xml:space="preserve">Leydi Guicela Gonzalez Ramon </t>
  </si>
  <si>
    <t>leydiggramon@gmail.com</t>
  </si>
  <si>
    <t>MDT-DPTSPOM-2022-3872-EXTERNO</t>
  </si>
  <si>
    <t>DPTSPOM</t>
  </si>
  <si>
    <t>MDT-DPTSPOM-2022-0639-O</t>
  </si>
  <si>
    <t>MDT-DPTSPOM-2022-3875-EXTERNO</t>
  </si>
  <si>
    <t>MDT-DPTSPOM-2022-0625-O</t>
  </si>
  <si>
    <t>MDT-DPTSPOM-2022-3893-EXTERNO</t>
  </si>
  <si>
    <t>MDT-DPTSPOM-2022-0626-O</t>
  </si>
  <si>
    <t>MDT-DPTSPOM-2022-3906-EXTERNO</t>
  </si>
  <si>
    <t>MDT-DPTSPOM-2022-0630-O</t>
  </si>
  <si>
    <t>MDT-DPTSPOM-2022-3769-EXTERNO</t>
  </si>
  <si>
    <t>MDT-DPTSPOM-2022-0618-O</t>
  </si>
  <si>
    <t>MDT-DPTSPOM-2022-3943-EXTERNO</t>
  </si>
  <si>
    <t>MDT-DPTSPOM-2022-0637-O</t>
  </si>
  <si>
    <t>MDT-DPTSPOM-2022-3959-EXTERNO</t>
  </si>
  <si>
    <t>MDT-DPTSPOM-2022-0665-O</t>
  </si>
  <si>
    <t>MDT-DPTSPOM-2022-3986-EXTERNO</t>
  </si>
  <si>
    <t>MDT-DPTSPOM-2022-0647-O</t>
  </si>
  <si>
    <t>MDT-DPTSPOM-2022-4017-EXTERNO</t>
  </si>
  <si>
    <t>MDT-DPTSPOM-2022-0651-O</t>
  </si>
  <si>
    <t>MDT-DPTSPOM-2022-4062-EXTERNO</t>
  </si>
  <si>
    <t>MDT-DPTSPOM-2022-0653-O</t>
  </si>
  <si>
    <t>MDT-DPTSPOM-2022-4066-EXTERNO</t>
  </si>
  <si>
    <t>MDT-DPTSPOM-2022-0678-O</t>
  </si>
  <si>
    <t>MDT-DPTSPOM-2022-4079-EXTERNO</t>
  </si>
  <si>
    <t>MDT-DPTSPOM-2022-0669-O</t>
  </si>
  <si>
    <t>MDT-DPTSPOM-2022-4094-EXTERNO</t>
  </si>
  <si>
    <t>MDT-DPTSPOM-2022-0687-O</t>
  </si>
  <si>
    <t>MDT-DPTSPOM-2022-3566-EXTERNO</t>
  </si>
  <si>
    <t>MDT-DPTSPOM-2022-650-O</t>
  </si>
  <si>
    <t>MDT-DPTSPOM-2022-3591-EXTERNO</t>
  </si>
  <si>
    <t>MDT-DPTSPOM-2022-0668-O</t>
  </si>
  <si>
    <t>MDT-DPTSPOM-2022-3795-EXTERNO</t>
  </si>
  <si>
    <t>MDT-DPTSPOM-2022-0657-O</t>
  </si>
  <si>
    <t>MDT-DPTSPOM-2022-0650-O</t>
  </si>
  <si>
    <t>MDT-DPTSPOM-2022-3981-EXTERNO</t>
  </si>
  <si>
    <t>MDT-DPTSPOM-2022-0659-O</t>
  </si>
  <si>
    <t>MDT-DPTSPOM-2022-4049-EXTERNO</t>
  </si>
  <si>
    <t>MDT-DPTSPOM-2022-0655-O</t>
  </si>
  <si>
    <t>MDT-DPTSPOM-2022-4096-EXTERNO</t>
  </si>
  <si>
    <t>MDT-DPTSPOM-2022-0656-O</t>
  </si>
  <si>
    <t>MDT-DPTSPOM-2022-2693-EXTERNO</t>
  </si>
  <si>
    <t>MDT-DPTSPOM-2022-0674-O</t>
  </si>
  <si>
    <t>MDT-DPTSPOM-2022-2695-EXTERNO</t>
  </si>
  <si>
    <t>MDT-DPTSPOM-2022-0675-O</t>
  </si>
  <si>
    <t>MDT-DPTSPOM-2022-4120-EXTERNO</t>
  </si>
  <si>
    <t>MDT-DPTSPOM-2022-0679-O</t>
  </si>
  <si>
    <t>MDT-DPTSPOM-2022-4126-EXTERNO</t>
  </si>
  <si>
    <t>MDT-DPTSPOM-2022-0670-O</t>
  </si>
  <si>
    <t>MDT-DPTSPOM-2022-2531-EXTERNO</t>
  </si>
  <si>
    <t>MDT-DPTSPOM-2022-0676-O</t>
  </si>
  <si>
    <t>MDT-DPTSPOM-2022-4141-EXTERNO</t>
  </si>
  <si>
    <t>MDT-DPTSPOM-2022-0680-O</t>
  </si>
  <si>
    <t>MDT-DPTSPOM-2022-4135-EXTERNO</t>
  </si>
  <si>
    <t>MDT-DPTSPOM-2022-0681-O</t>
  </si>
  <si>
    <t>MDT-DPTSPOM-2022-4132-EXTERNO</t>
  </si>
  <si>
    <t>MDT-DPTSPOM-2022-0683-O</t>
  </si>
  <si>
    <t>MDT-DPTSPOM-2022-4129-EXTERNO</t>
  </si>
  <si>
    <t>MDT-DPTSPOM-2022-0682-O</t>
  </si>
  <si>
    <t>MDT-DPTSPOM-2022-4139-EXTERNO</t>
  </si>
  <si>
    <t>MDT-DPTSPOM-2022-0664-O</t>
  </si>
  <si>
    <t>MDT-DPTSPOM-2022-4159-EXTERNO</t>
  </si>
  <si>
    <t>MDT-DPTSPOM-2022-0684-O</t>
  </si>
  <si>
    <t>MDT-DPTSPOM-2022-4156-EXTERNO</t>
  </si>
  <si>
    <t>MDT-DPTSPOM-2022-0688-O</t>
  </si>
  <si>
    <t>MDT-DPTSPOM-2022-4166-EXTERNO</t>
  </si>
  <si>
    <t>MDT-DPTSPOM-2022-0689-O</t>
  </si>
  <si>
    <t>MDT-DPTSPOM-2022-3590-EXTERNO</t>
  </si>
  <si>
    <t>MDT-DPTSPOM-2022-0667-O</t>
  </si>
  <si>
    <t>MDT-DPTSPOM-2022-4191-EXTERNO</t>
  </si>
  <si>
    <t>MDT-DPTSPOM-2022-0690-O</t>
  </si>
  <si>
    <t>MDT-DPTSPOM-2022-4193-EXTERNO</t>
  </si>
  <si>
    <t>MDT-DPTSPOM-2022-0691-O</t>
  </si>
  <si>
    <t>MDT-DPTSPOM-2022-3918-EXTERNO</t>
  </si>
  <si>
    <t>MDT-DPTSPOM-2022-0677-O</t>
  </si>
  <si>
    <t>MDT-DPTSPOM-2022-3994-EXTERNO</t>
  </si>
  <si>
    <t>MDT-DPTSPOM-2022-0718-O</t>
  </si>
  <si>
    <t>MDT-DPTSPOM-2022-4104-EXTERNO</t>
  </si>
  <si>
    <t>MDT-DPTSPOM-2022-0709-O</t>
  </si>
  <si>
    <t>MDT-DPTSPOM-2022-4207-EXTERNO</t>
  </si>
  <si>
    <t>MDT-DPTSPOM-2022-0692-O</t>
  </si>
  <si>
    <t>MDT-DPTSPOM-2022-4212-EXTERNO</t>
  </si>
  <si>
    <t>MDT-DPTSPOM-2022-0719-O</t>
  </si>
  <si>
    <t>MDT-DPTSPOM-2022-4220-EXTERNO</t>
  </si>
  <si>
    <t>MDT-DPTSPOM-2022-0694-O</t>
  </si>
  <si>
    <t>MDT-DPTSPOM-2022-3768-EXTERNO</t>
  </si>
  <si>
    <t>MDT-DPTSPOM-2022-0735-O</t>
  </si>
  <si>
    <t>MDT-DPTSPOM-2022-4239-EXTERNO</t>
  </si>
  <si>
    <t>MDT-DPTSPOM-2022-0696-O</t>
  </si>
  <si>
    <t>MDT-DPTSPOM-2022-4241-EXTERNO</t>
  </si>
  <si>
    <t>MDT-DPTSPOM-2022-4243-EXTERNO</t>
  </si>
  <si>
    <t>23/08/222</t>
  </si>
  <si>
    <t>MDT-DPTSPOM-2022-0697-O</t>
  </si>
  <si>
    <t>MDT-DPTSPOM-2022-4249-EXTERNO</t>
  </si>
  <si>
    <t>MDT-DPTSPOM-2022-0698-O</t>
  </si>
  <si>
    <t>MDT-DPTSPOM-2022-4250-EXTERNO</t>
  </si>
  <si>
    <t>MDT-DPTSPOM-2022-0699-O</t>
  </si>
  <si>
    <t>MDT-DPTSPOM-2022-4251-EXTERNO</t>
  </si>
  <si>
    <t>MDT-DPTSPOM-2022-0700-O</t>
  </si>
  <si>
    <t>MDT-DPTSPOM-2022-4268-EXTERNO</t>
  </si>
  <si>
    <t>MDT-DPTSPOM-2022-0701-O</t>
  </si>
  <si>
    <t>MDT-DPTSPOM-2022-4269-EXTERNO</t>
  </si>
  <si>
    <t>MDT-DPTSPOM-2022-0702-O</t>
  </si>
  <si>
    <t>MDT-DPTSPOM-2022-4208-EXTERNO</t>
  </si>
  <si>
    <t>MDT-DPTSPOM-2022-0693-O</t>
  </si>
  <si>
    <t>MDT-DPTSPOM-2022-4306-EXTERNO</t>
  </si>
  <si>
    <t>MDT-DPTSPOM-2022-0703-O</t>
  </si>
  <si>
    <t>MDT-DPTSPOM-2022-4288-EXTERNO</t>
  </si>
  <si>
    <t>MDT-DPTSPOM-2022-0708-O</t>
  </si>
  <si>
    <t>MDT-DPTSPOM-2022-3761-EXTERNO</t>
  </si>
  <si>
    <t>MDT-DPTSPOM-2022-0706-O</t>
  </si>
  <si>
    <t>MDT-DPTSPOM-2022-4298-EXTERNO</t>
  </si>
  <si>
    <t>MDT-DPTSPOM-2022-0736-O</t>
  </si>
  <si>
    <t>MDT-DPTSPOM-2022-4284-EXTERNO</t>
  </si>
  <si>
    <t>MDT-DPTSPOM-2022-4322-EXTERNO</t>
  </si>
  <si>
    <t>MDT-DPTSPOM-2022-0721-O</t>
  </si>
  <si>
    <t>MDT-DPTSPOM-2022-4319-EXTERNO</t>
  </si>
  <si>
    <t>MDT-DPTSPOM-2022-0725-O</t>
  </si>
  <si>
    <t>MDT-DPTSPOM-2022-4341-EXTERNO</t>
  </si>
  <si>
    <t>MDT-DPTSPOM-2022-0771-O</t>
  </si>
  <si>
    <t>MDT-DPTSPOM-2022-4348-EXTERNO</t>
  </si>
  <si>
    <t>MDT-DPTSPOM-2022-0727-O</t>
  </si>
  <si>
    <t>MDT-DPTSPOM-2022-4372-EXTERNO</t>
  </si>
  <si>
    <t>MDT-DPTSPOM-2022-0722-O</t>
  </si>
  <si>
    <t>MDT-DPTSPOM-2022-4373-EXTERNO</t>
  </si>
  <si>
    <t>MDT-DPTSPOM-2022-0728-O</t>
  </si>
  <si>
    <t>MDT-DPTSPOM-2022-4376-EXTERNO</t>
  </si>
  <si>
    <t>MDT-DPTSPOM-2022-0729-O</t>
  </si>
  <si>
    <t>MDT-DPTSPOM-2022-4378-EXTERNO</t>
  </si>
  <si>
    <t>MDT-DPTSPOM-2022-0737-O</t>
  </si>
  <si>
    <t>MDT-DPTSPOM-2022-4380-EXTERNO</t>
  </si>
  <si>
    <t>MDT-DPTSPOM-2022-0738-O</t>
  </si>
  <si>
    <t>MDT-DPTSPOM-2022-3882-EXTERNO</t>
  </si>
  <si>
    <t>MDT-DRTSPL-2022-4036-O</t>
  </si>
  <si>
    <t>MDT-DPTSPOM-2022-4121-EXTERNO</t>
  </si>
  <si>
    <t>MDT-DPTSPOM-2022-0775-O</t>
  </si>
  <si>
    <t>MDT-DPTSPOM-2022-4169-EXTERNO</t>
  </si>
  <si>
    <t>MDT-DPTSPOM-2022-0745-O</t>
  </si>
  <si>
    <t>MDT-DPTSPOM-2022-4267-EXTERNO</t>
  </si>
  <si>
    <t>MDT-DPTSPOM-2022-0773-O</t>
  </si>
  <si>
    <t>MDT-DPTSPOM-2022-4082-EXTERNO</t>
  </si>
  <si>
    <t>MDT-DPTSPOM-2022-0768-O</t>
  </si>
  <si>
    <t>MDT-DPTSPOM-2022-4083-EXTERNO</t>
  </si>
  <si>
    <t>MDT-DPTSPOM-2022-0769-O</t>
  </si>
  <si>
    <t>MDT-DPTSPOM-2022-4310-EXTERNO</t>
  </si>
  <si>
    <t>MDT-DPTSPOM-2022-0770-O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</si>
</sst>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Calibri Light"/>
      <family val="2"/>
    </font>
    <font>
      <sz val="7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7.5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Arial"/>
      <family val="2"/>
    </font>
    <font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wrapText="1"/>
    </xf>
    <xf numFmtId="0" fontId="0" fillId="0" borderId="1" xfId="0" applyBorder="1"/>
    <xf numFmtId="0" fontId="3" fillId="3" borderId="1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4" fillId="0" borderId="1" xfId="0" applyFont="1" applyFill="1" applyBorder="1" applyAlignment="1" applyProtection="1">
      <alignment horizontal="left" vertical="center" wrapText="1"/>
    </xf>
    <xf numFmtId="14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49" fontId="5" fillId="0" borderId="1" xfId="0" applyNumberFormat="1" applyFont="1" applyFill="1" applyBorder="1" applyAlignment="1" applyProtection="1">
      <alignment horizontal="center" vertical="center" wrapText="1"/>
    </xf>
    <xf numFmtId="1" fontId="5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</xf>
    <xf numFmtId="0" fontId="5" fillId="0" borderId="2" xfId="0" applyFont="1" applyFill="1" applyBorder="1" applyAlignment="1" applyProtection="1">
      <alignment horizontal="center" vertical="center" wrapText="1"/>
    </xf>
    <xf numFmtId="49" fontId="5" fillId="0" borderId="2" xfId="0" applyNumberFormat="1" applyFont="1" applyFill="1" applyBorder="1" applyAlignment="1" applyProtection="1">
      <alignment horizontal="center" vertical="center" wrapText="1"/>
    </xf>
    <xf numFmtId="14" fontId="5" fillId="0" borderId="2" xfId="0" applyNumberFormat="1" applyFont="1" applyFill="1" applyBorder="1" applyAlignment="1" applyProtection="1">
      <alignment horizontal="center" vertical="center" wrapText="1"/>
    </xf>
    <xf numFmtId="0" fontId="4" fillId="0" borderId="1" xfId="0" quotePrefix="1" applyFont="1" applyFill="1" applyBorder="1" applyAlignment="1" applyProtection="1">
      <alignment horizontal="center" vertical="center" wrapText="1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6" fillId="0" borderId="1" xfId="0" applyFont="1" applyBorder="1"/>
    <xf numFmtId="1" fontId="6" fillId="0" borderId="1" xfId="0" applyNumberFormat="1" applyFont="1" applyBorder="1"/>
    <xf numFmtId="0" fontId="3" fillId="0" borderId="1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wrapText="1"/>
    </xf>
    <xf numFmtId="0" fontId="3" fillId="0" borderId="1" xfId="0" applyFont="1" applyFill="1" applyBorder="1"/>
    <xf numFmtId="14" fontId="3" fillId="0" borderId="1" xfId="0" applyNumberFormat="1" applyFont="1" applyFill="1" applyBorder="1"/>
    <xf numFmtId="1" fontId="3" fillId="0" borderId="1" xfId="0" applyNumberFormat="1" applyFont="1" applyFill="1" applyBorder="1"/>
    <xf numFmtId="0" fontId="3" fillId="0" borderId="1" xfId="0" applyFont="1" applyBorder="1"/>
    <xf numFmtId="0" fontId="3" fillId="5" borderId="1" xfId="0" applyFont="1" applyFill="1" applyBorder="1"/>
    <xf numFmtId="0" fontId="8" fillId="0" borderId="1" xfId="1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</xf>
    <xf numFmtId="0" fontId="5" fillId="0" borderId="3" xfId="0" applyFont="1" applyFill="1" applyBorder="1" applyAlignment="1" applyProtection="1">
      <alignment horizontal="center" vertical="center" wrapText="1"/>
    </xf>
    <xf numFmtId="49" fontId="5" fillId="0" borderId="3" xfId="0" applyNumberFormat="1" applyFont="1" applyFill="1" applyBorder="1" applyAlignment="1" applyProtection="1">
      <alignment horizontal="center" vertical="center" wrapText="1"/>
    </xf>
    <xf numFmtId="1" fontId="5" fillId="0" borderId="3" xfId="0" applyNumberFormat="1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3" fillId="0" borderId="2" xfId="0" applyFont="1" applyFill="1" applyBorder="1"/>
    <xf numFmtId="14" fontId="4" fillId="0" borderId="2" xfId="0" applyNumberFormat="1" applyFont="1" applyBorder="1"/>
    <xf numFmtId="1" fontId="3" fillId="0" borderId="2" xfId="0" applyNumberFormat="1" applyFont="1" applyFill="1" applyBorder="1"/>
    <xf numFmtId="0" fontId="4" fillId="0" borderId="2" xfId="0" applyFont="1" applyFill="1" applyBorder="1" applyAlignment="1" applyProtection="1">
      <alignment horizontal="center" vertical="center" wrapText="1"/>
    </xf>
    <xf numFmtId="0" fontId="3" fillId="0" borderId="2" xfId="0" applyFont="1" applyBorder="1"/>
    <xf numFmtId="14" fontId="4" fillId="0" borderId="1" xfId="0" applyNumberFormat="1" applyFont="1" applyBorder="1"/>
    <xf numFmtId="0" fontId="2" fillId="2" borderId="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1" fontId="9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9" fillId="0" borderId="1" xfId="0" applyFont="1" applyBorder="1"/>
    <xf numFmtId="0" fontId="3" fillId="0" borderId="3" xfId="0" applyFont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wrapText="1"/>
    </xf>
    <xf numFmtId="0" fontId="9" fillId="0" borderId="0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14" fontId="11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14" fontId="3" fillId="0" borderId="1" xfId="0" applyNumberFormat="1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8" fillId="6" borderId="1" xfId="0" applyFont="1" applyFill="1" applyBorder="1" applyAlignment="1" applyProtection="1">
      <alignment horizontal="center" vertical="center" wrapText="1"/>
    </xf>
    <xf numFmtId="1" fontId="8" fillId="6" borderId="1" xfId="0" applyNumberFormat="1" applyFont="1" applyFill="1" applyBorder="1" applyAlignment="1" applyProtection="1">
      <alignment horizontal="center" vertical="center" wrapText="1"/>
    </xf>
    <xf numFmtId="49" fontId="8" fillId="6" borderId="1" xfId="0" applyNumberFormat="1" applyFont="1" applyFill="1" applyBorder="1" applyAlignment="1" applyProtection="1">
      <alignment horizontal="center" vertical="center" wrapText="1"/>
    </xf>
    <xf numFmtId="0" fontId="8" fillId="6" borderId="1" xfId="0" applyNumberFormat="1" applyFont="1" applyFill="1" applyBorder="1" applyAlignment="1" applyProtection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/>
    <xf numFmtId="0" fontId="0" fillId="0" borderId="1" xfId="0" applyFill="1" applyBorder="1"/>
    <xf numFmtId="0" fontId="11" fillId="0" borderId="1" xfId="0" applyFont="1" applyFill="1" applyBorder="1" applyAlignment="1">
      <alignment vertical="center"/>
    </xf>
    <xf numFmtId="1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14" fontId="6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1" fontId="6" fillId="0" borderId="1" xfId="0" applyNumberFormat="1" applyFont="1" applyBorder="1" applyAlignment="1">
      <alignment horizontal="center" vertical="center"/>
    </xf>
    <xf numFmtId="0" fontId="13" fillId="0" borderId="1" xfId="0" applyFont="1" applyBorder="1"/>
    <xf numFmtId="0" fontId="4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14" fontId="11" fillId="0" borderId="1" xfId="0" applyNumberFormat="1" applyFont="1" applyBorder="1" applyAlignment="1">
      <alignment wrapText="1"/>
    </xf>
    <xf numFmtId="0" fontId="11" fillId="0" borderId="1" xfId="0" applyFont="1" applyBorder="1"/>
    <xf numFmtId="14" fontId="11" fillId="0" borderId="1" xfId="0" applyNumberFormat="1" applyFont="1" applyBorder="1"/>
    <xf numFmtId="1" fontId="1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28">
    <dxf>
      <fill>
        <patternFill>
          <fgColor indexed="64"/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fgColor indexed="64"/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fgColor indexed="64"/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fgColor indexed="64"/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fgColor indexed="64"/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fgColor indexed="64"/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fgColor indexed="64"/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javascript:mostrar_documento(%2220170139980270237252%22,%22MDT-DPTSPOM-2017-3880-EXTERNO%22,%221%22)" TargetMode="External"/><Relationship Id="rId7" Type="http://schemas.openxmlformats.org/officeDocument/2006/relationships/hyperlink" Target="javascript:mostrar_documento(%2220180140720183945552%22,%22MDT-DPTSPZCH-2018-0502-EXTERNO%22,%228%22)" TargetMode="External"/><Relationship Id="rId2" Type="http://schemas.openxmlformats.org/officeDocument/2006/relationships/hyperlink" Target="javascript:mostrar_documento(%2220170139980265168022%22,%22MDT-DPTSPOM-2017-3817-EXTERNO%22,%221%22)" TargetMode="External"/><Relationship Id="rId1" Type="http://schemas.openxmlformats.org/officeDocument/2006/relationships/hyperlink" Target="javascript:mostrar_documento(%2220170139980171986422%22,%22MDT-DPTSPOM-2017-2505-EXTERNO%22,%221%22)" TargetMode="External"/><Relationship Id="rId6" Type="http://schemas.openxmlformats.org/officeDocument/2006/relationships/hyperlink" Target="javascript:mostrar_documento(%2220180140720042583882%22,%22MDT-DPTSPZCH-2018-0128-EXTERNO%22,%228%22" TargetMode="External"/><Relationship Id="rId5" Type="http://schemas.openxmlformats.org/officeDocument/2006/relationships/hyperlink" Target="javascript:mostrar_documento(%2220170140720425333872%22,%22MDT-DPTSPZCH-2017-1184-EXTERNO%22,%228%22)" TargetMode="External"/><Relationship Id="rId4" Type="http://schemas.openxmlformats.org/officeDocument/2006/relationships/hyperlink" Target="javascript:mostrar_documento(%2220170140720411586442%22,%22MDT-DPTSPZCH-2017-1147-EXTERNO%22,%228%22)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152400</xdr:rowOff>
    </xdr:from>
    <xdr:to>
      <xdr:col>5</xdr:col>
      <xdr:colOff>323850</xdr:colOff>
      <xdr:row>5</xdr:row>
      <xdr:rowOff>8835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52400"/>
          <a:ext cx="3867150" cy="8089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142875</xdr:rowOff>
    </xdr:to>
    <xdr:sp macro="" textlink="">
      <xdr:nvSpPr>
        <xdr:cNvPr id="1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8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9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0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3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3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3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3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3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3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3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142875</xdr:rowOff>
    </xdr:to>
    <xdr:sp macro="" textlink="">
      <xdr:nvSpPr>
        <xdr:cNvPr id="3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3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3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4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4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4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43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44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45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4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4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4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4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5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5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5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5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5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5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5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5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5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5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6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6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142875</xdr:rowOff>
    </xdr:to>
    <xdr:sp macro="" textlink="">
      <xdr:nvSpPr>
        <xdr:cNvPr id="6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6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6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6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6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6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68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69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70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7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7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7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7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7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7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77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78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79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80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81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82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8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8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8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8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8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8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8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9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9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9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142875</xdr:rowOff>
    </xdr:to>
    <xdr:sp macro="" textlink="">
      <xdr:nvSpPr>
        <xdr:cNvPr id="9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9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9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9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9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9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99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00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01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0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0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0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0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0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0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0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0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1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1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1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1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1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1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1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1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142875</xdr:rowOff>
    </xdr:to>
    <xdr:sp macro="" textlink="">
      <xdr:nvSpPr>
        <xdr:cNvPr id="11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1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2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2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2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2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24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25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26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2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2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2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3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3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3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3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3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3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3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3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3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3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4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4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4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142875</xdr:rowOff>
    </xdr:to>
    <xdr:sp macro="" textlink="">
      <xdr:nvSpPr>
        <xdr:cNvPr id="14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4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4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4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4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4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49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50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51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5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5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5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5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5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5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58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59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60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61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62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63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6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6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6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6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6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6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7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7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142875</xdr:rowOff>
    </xdr:to>
    <xdr:sp macro="" textlink="">
      <xdr:nvSpPr>
        <xdr:cNvPr id="17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7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7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7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7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7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7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7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8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8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8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8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8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8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8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8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8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8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9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9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9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142875</xdr:rowOff>
    </xdr:to>
    <xdr:sp macro="" textlink="">
      <xdr:nvSpPr>
        <xdr:cNvPr id="19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9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9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9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9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9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19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0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0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0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0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0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05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06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07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08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09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10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11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12" name="AutoShape 1" descr="https://www.gestiondocumental.gob.ec/iconos/popup.pn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13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14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15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16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17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18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19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20" name="AutoShape 1" descr="https://www.gestiondocumental.gob.ec/iconos/popup.pn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21" name="AutoShape 1" descr="https://www.gestiondocumental.gob.ec/iconos/popup.png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22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23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24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25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26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27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28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29" name="AutoShape 1" descr="https://www.gestiondocumental.gob.ec/iconos/popup.pn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30" name="AutoShape 1" descr="https://www.gestiondocumental.gob.ec/iconos/popup.png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31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32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33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34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35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36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37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38" name="AutoShape 1" descr="https://www.gestiondocumental.gob.ec/iconos/popup.pn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304800</xdr:colOff>
      <xdr:row>105</xdr:row>
      <xdr:rowOff>200025</xdr:rowOff>
    </xdr:to>
    <xdr:sp macro="" textlink="">
      <xdr:nvSpPr>
        <xdr:cNvPr id="239" name="AutoShape 1" descr="https://www.gestiondocumental.gob.ec/iconos/popup.png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10763250" y="62836425"/>
          <a:ext cx="304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4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4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4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4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4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4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4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4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4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4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5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5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5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5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5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5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56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57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58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5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6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6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6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6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6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6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6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6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6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6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7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7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7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7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7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7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7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7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7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7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8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81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82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83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8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8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8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8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8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8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9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9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9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9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9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9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9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9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9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29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0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0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0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0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0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0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06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07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08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0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1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1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1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1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1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15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16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17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18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19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20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2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2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2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2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2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2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2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2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2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3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3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3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3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3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3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3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3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3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3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4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4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4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4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4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4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4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4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4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4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5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5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5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5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5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5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56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57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58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5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6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6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6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6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6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6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6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6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6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6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7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7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7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7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7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7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7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7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7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7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8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81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82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83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8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8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8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8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8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8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90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91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92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9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9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9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9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9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9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39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0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0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0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0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0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0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0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0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0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0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1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1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1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1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1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1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1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1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1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1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2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2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2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2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2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2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2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2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2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2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3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3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3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3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34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35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36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37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38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39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40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41" name="AutoShape 1" descr="https://www.gestiondocumental.gob.ec/iconos/popup.pn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42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43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44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45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46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47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48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49" name="AutoShape 1" descr="https://www.gestiondocumental.gob.ec/iconos/popup.pn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50" name="AutoShape 1" descr="https://www.gestiondocumental.gob.ec/iconos/popup.png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51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52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53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54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55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56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57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58" name="AutoShape 1" descr="https://www.gestiondocumental.gob.ec/iconos/popup.pn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59" name="AutoShape 1" descr="https://www.gestiondocumental.gob.ec/iconos/popup.png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60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61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62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6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6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6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6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6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6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6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7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7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7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7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7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7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7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7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7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79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80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81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8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8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8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8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8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8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8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8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9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9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9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9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9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9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9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9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9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49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0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0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0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0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04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05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06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0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0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0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1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1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1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1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1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1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1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1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1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1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2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2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2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2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2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2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2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2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2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29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30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31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3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3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3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3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3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3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38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39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40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41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42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43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4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4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4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4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4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4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5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5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5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5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5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5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5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5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5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5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6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6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6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6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6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6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6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6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6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6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7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7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7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7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7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7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7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7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7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79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80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81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8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8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8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8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8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8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8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8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9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9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9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9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9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9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9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9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9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59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0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0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0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0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04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05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06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0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0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0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1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1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1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13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14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15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1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1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1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1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2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2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2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2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2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2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2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2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2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2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3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3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3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3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3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3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3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3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3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3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4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4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4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4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4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4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4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4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4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4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5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5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5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5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5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5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5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57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58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59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60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61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62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63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64" name="AutoShape 1" descr="https://www.gestiondocumental.gob.ec/iconos/popup.pn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65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66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67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68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69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70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71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72" name="AutoShape 1" descr="https://www.gestiondocumental.gob.ec/iconos/popup.pn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73" name="AutoShape 1" descr="https://www.gestiondocumental.gob.ec/iconos/popup.png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74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75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76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77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78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79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80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81" name="AutoShape 1" descr="https://www.gestiondocumental.gob.ec/iconos/popup.pn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82" name="AutoShape 1" descr="https://www.gestiondocumental.gob.ec/iconos/popup.png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83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84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304800</xdr:colOff>
      <xdr:row>105</xdr:row>
      <xdr:rowOff>533400</xdr:rowOff>
    </xdr:to>
    <xdr:sp macro="" textlink="">
      <xdr:nvSpPr>
        <xdr:cNvPr id="685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63474600"/>
          <a:ext cx="304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68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68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68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68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69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69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69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69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69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69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581025</xdr:rowOff>
    </xdr:to>
    <xdr:sp macro="" textlink="">
      <xdr:nvSpPr>
        <xdr:cNvPr id="69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69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69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69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0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0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02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03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04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0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0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0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0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0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1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1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1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1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1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1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1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1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1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1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2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581025</xdr:rowOff>
    </xdr:to>
    <xdr:sp macro="" textlink="">
      <xdr:nvSpPr>
        <xdr:cNvPr id="72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2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2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2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2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2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27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28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29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3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3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3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3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3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3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3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3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3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3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4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4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4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4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4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4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581025</xdr:rowOff>
    </xdr:to>
    <xdr:sp macro="" textlink="">
      <xdr:nvSpPr>
        <xdr:cNvPr id="74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4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4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4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5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5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52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53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54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5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5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5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5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5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6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61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62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63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64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65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66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6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6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6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7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7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7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7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7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7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7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581025</xdr:rowOff>
    </xdr:to>
    <xdr:sp macro="" textlink="">
      <xdr:nvSpPr>
        <xdr:cNvPr id="77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7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7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8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8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8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83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84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85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8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8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8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8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9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9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9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9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9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9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9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9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9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79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0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0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581025</xdr:rowOff>
    </xdr:to>
    <xdr:sp macro="" textlink="">
      <xdr:nvSpPr>
        <xdr:cNvPr id="80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0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0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0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0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0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08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09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10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1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1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1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1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1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1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1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1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1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2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2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2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2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2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2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2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581025</xdr:rowOff>
    </xdr:to>
    <xdr:sp macro="" textlink="">
      <xdr:nvSpPr>
        <xdr:cNvPr id="82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2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2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3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3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3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33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34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35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3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3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3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3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4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4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42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43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44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45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46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47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4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4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5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5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5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5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5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5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581025</xdr:rowOff>
    </xdr:to>
    <xdr:sp macro="" textlink="">
      <xdr:nvSpPr>
        <xdr:cNvPr id="85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5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5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5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6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6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6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6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6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6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6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6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6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6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7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7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7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7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7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7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7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581025</xdr:rowOff>
    </xdr:to>
    <xdr:sp macro="" textlink="">
      <xdr:nvSpPr>
        <xdr:cNvPr id="87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7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7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8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8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8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8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8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8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8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8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8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89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90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91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92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93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94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95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96" name="AutoShape 1" descr="https://www.gestiondocumental.gob.ec/iconos/popup.pn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97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98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899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900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901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902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903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904" name="AutoShape 1" descr="https://www.gestiondocumental.gob.ec/iconos/popup.pn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905" name="AutoShape 1" descr="https://www.gestiondocumental.gob.ec/iconos/popup.png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906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907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908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909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910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911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912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913" name="AutoShape 1" descr="https://www.gestiondocumental.gob.ec/iconos/popup.pn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914" name="AutoShape 1" descr="https://www.gestiondocumental.gob.ec/iconos/popup.png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915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916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917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918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919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920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921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922" name="AutoShape 1" descr="https://www.gestiondocumental.gob.ec/iconos/popup.pn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192</xdr:row>
      <xdr:rowOff>0</xdr:rowOff>
    </xdr:to>
    <xdr:sp macro="" textlink="">
      <xdr:nvSpPr>
        <xdr:cNvPr id="923" name="AutoShape 1" descr="https://www.gestiondocumental.gob.ec/iconos/popup.png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10763250" y="0"/>
          <a:ext cx="304800" cy="1152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2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2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2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2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2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2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3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3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3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3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190</xdr:row>
      <xdr:rowOff>581025</xdr:rowOff>
    </xdr:to>
    <xdr:sp macro="" textlink="">
      <xdr:nvSpPr>
        <xdr:cNvPr id="93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5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3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3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3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3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3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40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41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42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4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4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4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4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4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4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4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5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5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5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5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5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5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5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5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5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190</xdr:row>
      <xdr:rowOff>581025</xdr:rowOff>
    </xdr:to>
    <xdr:sp macro="" textlink="">
      <xdr:nvSpPr>
        <xdr:cNvPr id="95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5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6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6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6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6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6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65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66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67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6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6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7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7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7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7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7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7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7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7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7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7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8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8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8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8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190</xdr:row>
      <xdr:rowOff>581025</xdr:rowOff>
    </xdr:to>
    <xdr:sp macro="" textlink="">
      <xdr:nvSpPr>
        <xdr:cNvPr id="98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5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8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8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8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8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8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90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91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92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9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9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9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9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9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9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999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00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01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02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03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04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0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0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0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0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0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1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1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190</xdr:row>
      <xdr:rowOff>581025</xdr:rowOff>
    </xdr:to>
    <xdr:sp macro="" textlink="">
      <xdr:nvSpPr>
        <xdr:cNvPr id="101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5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1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1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1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1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1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1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1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2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2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2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2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2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2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2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2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2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2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3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3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3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3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190</xdr:row>
      <xdr:rowOff>581025</xdr:rowOff>
    </xdr:to>
    <xdr:sp macro="" textlink="">
      <xdr:nvSpPr>
        <xdr:cNvPr id="103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5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3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3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3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3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3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40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41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42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4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4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4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4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4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4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4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5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5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5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5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5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5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5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5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5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190</xdr:row>
      <xdr:rowOff>581025</xdr:rowOff>
    </xdr:to>
    <xdr:sp macro="" textlink="">
      <xdr:nvSpPr>
        <xdr:cNvPr id="105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5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6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6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6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6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6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65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66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67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6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6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7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7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7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7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74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75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76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7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7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7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8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8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8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8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8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190</xdr:row>
      <xdr:rowOff>581025</xdr:rowOff>
    </xdr:to>
    <xdr:sp macro="" textlink="">
      <xdr:nvSpPr>
        <xdr:cNvPr id="108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5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8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8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8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8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9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9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9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9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9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9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9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9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9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09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0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0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0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0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0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0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190</xdr:row>
      <xdr:rowOff>581025</xdr:rowOff>
    </xdr:to>
    <xdr:sp macro="" textlink="">
      <xdr:nvSpPr>
        <xdr:cNvPr id="110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5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0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0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0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1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1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1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1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1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1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1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1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18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19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20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21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22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23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24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25" name="AutoShape 1" descr="https://www.gestiondocumental.gob.ec/iconos/popup.pn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26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27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28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29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30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31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32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33" name="AutoShape 1" descr="https://www.gestiondocumental.gob.ec/iconos/popup.pn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34" name="AutoShape 1" descr="https://www.gestiondocumental.gob.ec/iconos/popup.png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35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36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37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38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39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40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41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42" name="AutoShape 1" descr="https://www.gestiondocumental.gob.ec/iconos/popup.pn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43" name="AutoShape 1" descr="https://www.gestiondocumental.gob.ec/iconos/popup.png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44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45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46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4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4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4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5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5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5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5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5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5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5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190</xdr:row>
      <xdr:rowOff>581025</xdr:rowOff>
    </xdr:to>
    <xdr:sp macro="" textlink="">
      <xdr:nvSpPr>
        <xdr:cNvPr id="115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5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5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5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6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6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6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63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64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65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6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6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6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6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7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7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7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7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7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7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7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7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7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7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8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8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190</xdr:row>
      <xdr:rowOff>581025</xdr:rowOff>
    </xdr:to>
    <xdr:sp macro="" textlink="">
      <xdr:nvSpPr>
        <xdr:cNvPr id="118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5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8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8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8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8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8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88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89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90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9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9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9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9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9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9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9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9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19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0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0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0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0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0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0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0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190</xdr:row>
      <xdr:rowOff>581025</xdr:rowOff>
    </xdr:to>
    <xdr:sp macro="" textlink="">
      <xdr:nvSpPr>
        <xdr:cNvPr id="120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5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0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0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1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1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1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13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14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15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1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1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1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1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2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2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22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23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24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25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26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27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2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2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3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3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3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3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3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190</xdr:row>
      <xdr:rowOff>581025</xdr:rowOff>
    </xdr:to>
    <xdr:sp macro="" textlink="">
      <xdr:nvSpPr>
        <xdr:cNvPr id="123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5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3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3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3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3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4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4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4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4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4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4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4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4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4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4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5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5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5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5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5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5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5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190</xdr:row>
      <xdr:rowOff>581025</xdr:rowOff>
    </xdr:to>
    <xdr:sp macro="" textlink="">
      <xdr:nvSpPr>
        <xdr:cNvPr id="125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5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5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5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6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6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6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63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64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65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6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6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6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6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7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7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7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7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7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7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7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7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7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7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8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8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190</xdr:row>
      <xdr:rowOff>581025</xdr:rowOff>
    </xdr:to>
    <xdr:sp macro="" textlink="">
      <xdr:nvSpPr>
        <xdr:cNvPr id="128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5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8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8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8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8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8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88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89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90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9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9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9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94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95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96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97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98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299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0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0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0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0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0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0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0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07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190</xdr:row>
      <xdr:rowOff>581025</xdr:rowOff>
    </xdr:to>
    <xdr:sp macro="" textlink="">
      <xdr:nvSpPr>
        <xdr:cNvPr id="1308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5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09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10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11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12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13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14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15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16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17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18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19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20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21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22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23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2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2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2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2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2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190</xdr:row>
      <xdr:rowOff>581025</xdr:rowOff>
    </xdr:to>
    <xdr:sp macro="" textlink="">
      <xdr:nvSpPr>
        <xdr:cNvPr id="132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5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3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31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32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33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34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35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36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37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38" name="AutoShape 7" descr="https://www.gestiondocumental.gob.ec/iconos/popup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39" name="AutoShape 4" descr="https://www.gestiondocumental.gob.ec/iconos/popup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40" name="AutoShape 4" descr="https://www.gestiondocumental.gob.ec/iconos/popup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41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42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43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44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45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46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47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48" name="AutoShape 1" descr="https://www.gestiondocumental.gob.ec/iconos/popup.pn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49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50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51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52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53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54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55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56" name="AutoShape 1" descr="https://www.gestiondocumental.gob.ec/iconos/popup.pn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57" name="AutoShape 1" descr="https://www.gestiondocumental.gob.ec/iconos/popup.png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58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59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60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61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62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63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64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65" name="AutoShape 1" descr="https://www.gestiondocumental.gob.ec/iconos/popup.pn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66" name="AutoShape 1" descr="https://www.gestiondocumental.gob.ec/iconos/popup.png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67" name="AutoShape 1" descr="https://www.gestiondocumental.gob.ec/iconos/popup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68" name="AutoShape 1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304800</xdr:colOff>
      <xdr:row>191</xdr:row>
      <xdr:rowOff>0</xdr:rowOff>
    </xdr:to>
    <xdr:sp macro="" textlink="">
      <xdr:nvSpPr>
        <xdr:cNvPr id="1369" name="AutoShape 2" descr="https://www.gestiondocumental.gob.ec/iconos/popup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10763250" y="0"/>
          <a:ext cx="304800" cy="1146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114300</xdr:colOff>
      <xdr:row>0</xdr:row>
      <xdr:rowOff>57150</xdr:rowOff>
    </xdr:from>
    <xdr:to>
      <xdr:col>5</xdr:col>
      <xdr:colOff>333375</xdr:colOff>
      <xdr:row>4</xdr:row>
      <xdr:rowOff>104085</xdr:rowOff>
    </xdr:to>
    <xdr:pic>
      <xdr:nvPicPr>
        <xdr:cNvPr id="1371" name="Imagen 1370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57150"/>
          <a:ext cx="3867150" cy="8089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57150</xdr:rowOff>
    </xdr:from>
    <xdr:to>
      <xdr:col>4</xdr:col>
      <xdr:colOff>38100</xdr:colOff>
      <xdr:row>4</xdr:row>
      <xdr:rowOff>104085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57150"/>
          <a:ext cx="3867150" cy="8089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57150</xdr:rowOff>
    </xdr:from>
    <xdr:to>
      <xdr:col>4</xdr:col>
      <xdr:colOff>523875</xdr:colOff>
      <xdr:row>4</xdr:row>
      <xdr:rowOff>104085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57150"/>
          <a:ext cx="3867150" cy="8089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721179</xdr:colOff>
      <xdr:row>3</xdr:row>
      <xdr:rowOff>24553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245179" cy="71851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638175</xdr:rowOff>
    </xdr:to>
    <xdr:sp macro="" textlink="">
      <xdr:nvSpPr>
        <xdr:cNvPr id="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638175</xdr:rowOff>
    </xdr:to>
    <xdr:sp macro="" textlink="">
      <xdr:nvSpPr>
        <xdr:cNvPr id="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638175</xdr:rowOff>
    </xdr:to>
    <xdr:sp macro="" textlink="">
      <xdr:nvSpPr>
        <xdr:cNvPr id="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638175</xdr:rowOff>
    </xdr:to>
    <xdr:sp macro="" textlink="">
      <xdr:nvSpPr>
        <xdr:cNvPr id="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638175</xdr:rowOff>
    </xdr:to>
    <xdr:sp macro="" textlink="">
      <xdr:nvSpPr>
        <xdr:cNvPr id="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152400</xdr:rowOff>
    </xdr:to>
    <xdr:sp macro="" textlink="">
      <xdr:nvSpPr>
        <xdr:cNvPr id="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152400</xdr:rowOff>
    </xdr:to>
    <xdr:sp macro="" textlink="">
      <xdr:nvSpPr>
        <xdr:cNvPr id="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152400</xdr:rowOff>
    </xdr:to>
    <xdr:sp macro="" textlink="">
      <xdr:nvSpPr>
        <xdr:cNvPr id="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152400</xdr:rowOff>
    </xdr:to>
    <xdr:sp macro="" textlink="">
      <xdr:nvSpPr>
        <xdr:cNvPr id="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152400</xdr:rowOff>
    </xdr:to>
    <xdr:sp macro="" textlink="">
      <xdr:nvSpPr>
        <xdr:cNvPr id="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152400</xdr:rowOff>
    </xdr:to>
    <xdr:sp macro="" textlink="">
      <xdr:nvSpPr>
        <xdr:cNvPr id="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638175</xdr:rowOff>
    </xdr:to>
    <xdr:sp macro="" textlink="">
      <xdr:nvSpPr>
        <xdr:cNvPr id="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638175</xdr:rowOff>
    </xdr:to>
    <xdr:sp macro="" textlink="">
      <xdr:nvSpPr>
        <xdr:cNvPr id="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638175</xdr:rowOff>
    </xdr:to>
    <xdr:sp macro="" textlink="">
      <xdr:nvSpPr>
        <xdr:cNvPr id="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638175</xdr:rowOff>
    </xdr:to>
    <xdr:sp macro="" textlink="">
      <xdr:nvSpPr>
        <xdr:cNvPr id="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638175</xdr:rowOff>
    </xdr:to>
    <xdr:sp macro="" textlink="">
      <xdr:nvSpPr>
        <xdr:cNvPr id="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638175</xdr:rowOff>
    </xdr:to>
    <xdr:sp macro="" textlink="">
      <xdr:nvSpPr>
        <xdr:cNvPr id="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638175</xdr:rowOff>
    </xdr:to>
    <xdr:sp macro="" textlink="">
      <xdr:nvSpPr>
        <xdr:cNvPr id="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638175</xdr:rowOff>
    </xdr:to>
    <xdr:sp macro="" textlink="">
      <xdr:nvSpPr>
        <xdr:cNvPr id="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638175</xdr:rowOff>
    </xdr:to>
    <xdr:sp macro="" textlink="">
      <xdr:nvSpPr>
        <xdr:cNvPr id="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638175</xdr:rowOff>
    </xdr:to>
    <xdr:sp macro="" textlink="">
      <xdr:nvSpPr>
        <xdr:cNvPr id="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638175</xdr:rowOff>
    </xdr:to>
    <xdr:sp macro="" textlink="">
      <xdr:nvSpPr>
        <xdr:cNvPr id="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638175</xdr:rowOff>
    </xdr:to>
    <xdr:sp macro="" textlink="">
      <xdr:nvSpPr>
        <xdr:cNvPr id="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152400</xdr:rowOff>
    </xdr:to>
    <xdr:sp macro="" textlink="">
      <xdr:nvSpPr>
        <xdr:cNvPr id="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152400</xdr:rowOff>
    </xdr:to>
    <xdr:sp macro="" textlink="">
      <xdr:nvSpPr>
        <xdr:cNvPr id="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152400</xdr:rowOff>
    </xdr:to>
    <xdr:sp macro="" textlink="">
      <xdr:nvSpPr>
        <xdr:cNvPr id="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152400</xdr:rowOff>
    </xdr:to>
    <xdr:sp macro="" textlink="">
      <xdr:nvSpPr>
        <xdr:cNvPr id="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152400</xdr:rowOff>
    </xdr:to>
    <xdr:sp macro="" textlink="">
      <xdr:nvSpPr>
        <xdr:cNvPr id="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337</xdr:row>
      <xdr:rowOff>0</xdr:rowOff>
    </xdr:from>
    <xdr:to>
      <xdr:col>19</xdr:col>
      <xdr:colOff>304800</xdr:colOff>
      <xdr:row>337</xdr:row>
      <xdr:rowOff>152400</xdr:rowOff>
    </xdr:to>
    <xdr:sp macro="" textlink="">
      <xdr:nvSpPr>
        <xdr:cNvPr id="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6544925" y="213388575"/>
          <a:ext cx="3048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1628775</xdr:colOff>
      <xdr:row>319</xdr:row>
      <xdr:rowOff>76200</xdr:rowOff>
    </xdr:from>
    <xdr:to>
      <xdr:col>20</xdr:col>
      <xdr:colOff>0</xdr:colOff>
      <xdr:row>320</xdr:row>
      <xdr:rowOff>47624</xdr:rowOff>
    </xdr:to>
    <xdr:sp macro="" textlink="">
      <xdr:nvSpPr>
        <xdr:cNvPr id="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7306925" y="200091675"/>
          <a:ext cx="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1628775</xdr:colOff>
      <xdr:row>319</xdr:row>
      <xdr:rowOff>76200</xdr:rowOff>
    </xdr:from>
    <xdr:to>
      <xdr:col>20</xdr:col>
      <xdr:colOff>0</xdr:colOff>
      <xdr:row>320</xdr:row>
      <xdr:rowOff>47624</xdr:rowOff>
    </xdr:to>
    <xdr:sp macro="" textlink="">
      <xdr:nvSpPr>
        <xdr:cNvPr id="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7306925" y="200091675"/>
          <a:ext cx="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320</xdr:row>
      <xdr:rowOff>0</xdr:rowOff>
    </xdr:from>
    <xdr:to>
      <xdr:col>14</xdr:col>
      <xdr:colOff>304800</xdr:colOff>
      <xdr:row>320</xdr:row>
      <xdr:rowOff>714375</xdr:rowOff>
    </xdr:to>
    <xdr:sp macro="" textlink="">
      <xdr:nvSpPr>
        <xdr:cNvPr id="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00758425"/>
          <a:ext cx="304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320</xdr:row>
      <xdr:rowOff>0</xdr:rowOff>
    </xdr:from>
    <xdr:to>
      <xdr:col>14</xdr:col>
      <xdr:colOff>304800</xdr:colOff>
      <xdr:row>320</xdr:row>
      <xdr:rowOff>714375</xdr:rowOff>
    </xdr:to>
    <xdr:sp macro="" textlink="">
      <xdr:nvSpPr>
        <xdr:cNvPr id="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00758425"/>
          <a:ext cx="304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1628775</xdr:colOff>
      <xdr:row>319</xdr:row>
      <xdr:rowOff>76200</xdr:rowOff>
    </xdr:from>
    <xdr:to>
      <xdr:col>15</xdr:col>
      <xdr:colOff>0</xdr:colOff>
      <xdr:row>320</xdr:row>
      <xdr:rowOff>47625</xdr:rowOff>
    </xdr:to>
    <xdr:sp macro="" textlink="">
      <xdr:nvSpPr>
        <xdr:cNvPr id="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2039600" y="200091675"/>
          <a:ext cx="0" cy="714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336</xdr:row>
      <xdr:rowOff>0</xdr:rowOff>
    </xdr:from>
    <xdr:to>
      <xdr:col>14</xdr:col>
      <xdr:colOff>304800</xdr:colOff>
      <xdr:row>336</xdr:row>
      <xdr:rowOff>714375</xdr:rowOff>
    </xdr:to>
    <xdr:sp macro="" textlink="">
      <xdr:nvSpPr>
        <xdr:cNvPr id="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2645625"/>
          <a:ext cx="304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324</xdr:row>
      <xdr:rowOff>0</xdr:rowOff>
    </xdr:from>
    <xdr:to>
      <xdr:col>14</xdr:col>
      <xdr:colOff>304800</xdr:colOff>
      <xdr:row>324</xdr:row>
      <xdr:rowOff>714375</xdr:rowOff>
    </xdr:to>
    <xdr:sp macro="" textlink="">
      <xdr:nvSpPr>
        <xdr:cNvPr id="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03730225"/>
          <a:ext cx="304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324</xdr:row>
      <xdr:rowOff>0</xdr:rowOff>
    </xdr:from>
    <xdr:to>
      <xdr:col>14</xdr:col>
      <xdr:colOff>304800</xdr:colOff>
      <xdr:row>324</xdr:row>
      <xdr:rowOff>714375</xdr:rowOff>
    </xdr:to>
    <xdr:sp macro="" textlink="">
      <xdr:nvSpPr>
        <xdr:cNvPr id="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03730225"/>
          <a:ext cx="304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38100</xdr:colOff>
      <xdr:row>337</xdr:row>
      <xdr:rowOff>0</xdr:rowOff>
    </xdr:from>
    <xdr:to>
      <xdr:col>14</xdr:col>
      <xdr:colOff>342900</xdr:colOff>
      <xdr:row>338</xdr:row>
      <xdr:rowOff>9525</xdr:rowOff>
    </xdr:to>
    <xdr:sp macro="" textlink="">
      <xdr:nvSpPr>
        <xdr:cNvPr id="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3157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336</xdr:row>
      <xdr:rowOff>0</xdr:rowOff>
    </xdr:from>
    <xdr:to>
      <xdr:col>14</xdr:col>
      <xdr:colOff>304800</xdr:colOff>
      <xdr:row>336</xdr:row>
      <xdr:rowOff>714375</xdr:rowOff>
    </xdr:to>
    <xdr:sp macro="" textlink="">
      <xdr:nvSpPr>
        <xdr:cNvPr id="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2645625"/>
          <a:ext cx="304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336</xdr:row>
      <xdr:rowOff>0</xdr:rowOff>
    </xdr:from>
    <xdr:to>
      <xdr:col>14</xdr:col>
      <xdr:colOff>304800</xdr:colOff>
      <xdr:row>336</xdr:row>
      <xdr:rowOff>714375</xdr:rowOff>
    </xdr:to>
    <xdr:sp macro="" textlink="">
      <xdr:nvSpPr>
        <xdr:cNvPr id="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2645625"/>
          <a:ext cx="304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5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6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7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8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9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0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1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2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3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4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5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6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7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8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19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0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1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2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3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4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5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6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7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8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29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0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1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2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3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4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5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6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7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8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39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0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1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2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3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4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5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6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7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4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4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4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5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5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5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5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5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5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5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5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5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5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6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6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6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6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6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6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6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6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6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6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7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7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7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7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7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7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7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7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7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7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8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8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8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8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8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8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8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8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8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8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9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9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9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9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9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9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9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9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9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89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0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0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0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0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0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0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0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0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0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0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1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1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1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1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1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1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1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1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1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1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2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2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2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2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2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2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2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2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2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2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337</xdr:row>
      <xdr:rowOff>0</xdr:rowOff>
    </xdr:from>
    <xdr:to>
      <xdr:col>14</xdr:col>
      <xdr:colOff>304800</xdr:colOff>
      <xdr:row>338</xdr:row>
      <xdr:rowOff>9525</xdr:rowOff>
    </xdr:to>
    <xdr:sp macro="" textlink="">
      <xdr:nvSpPr>
        <xdr:cNvPr id="493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13388575"/>
          <a:ext cx="3048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466725</xdr:colOff>
      <xdr:row>337</xdr:row>
      <xdr:rowOff>0</xdr:rowOff>
    </xdr:from>
    <xdr:to>
      <xdr:col>14</xdr:col>
      <xdr:colOff>238125</xdr:colOff>
      <xdr:row>338</xdr:row>
      <xdr:rowOff>9525</xdr:rowOff>
    </xdr:to>
    <xdr:sp macro="" textlink="">
      <xdr:nvSpPr>
        <xdr:cNvPr id="493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0982325" y="213388575"/>
          <a:ext cx="5334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466725</xdr:colOff>
      <xdr:row>337</xdr:row>
      <xdr:rowOff>0</xdr:rowOff>
    </xdr:from>
    <xdr:to>
      <xdr:col>14</xdr:col>
      <xdr:colOff>238125</xdr:colOff>
      <xdr:row>338</xdr:row>
      <xdr:rowOff>9525</xdr:rowOff>
    </xdr:to>
    <xdr:sp macro="" textlink="">
      <xdr:nvSpPr>
        <xdr:cNvPr id="493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0982325" y="213388575"/>
          <a:ext cx="5334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466725</xdr:colOff>
      <xdr:row>337</xdr:row>
      <xdr:rowOff>0</xdr:rowOff>
    </xdr:from>
    <xdr:to>
      <xdr:col>14</xdr:col>
      <xdr:colOff>238125</xdr:colOff>
      <xdr:row>338</xdr:row>
      <xdr:rowOff>9525</xdr:rowOff>
    </xdr:to>
    <xdr:sp macro="" textlink="">
      <xdr:nvSpPr>
        <xdr:cNvPr id="493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0982325" y="213388575"/>
          <a:ext cx="5334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466725</xdr:colOff>
      <xdr:row>337</xdr:row>
      <xdr:rowOff>0</xdr:rowOff>
    </xdr:from>
    <xdr:to>
      <xdr:col>14</xdr:col>
      <xdr:colOff>238125</xdr:colOff>
      <xdr:row>338</xdr:row>
      <xdr:rowOff>9525</xdr:rowOff>
    </xdr:to>
    <xdr:sp macro="" textlink="">
      <xdr:nvSpPr>
        <xdr:cNvPr id="493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0982325" y="213388575"/>
          <a:ext cx="5334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466725</xdr:colOff>
      <xdr:row>337</xdr:row>
      <xdr:rowOff>0</xdr:rowOff>
    </xdr:from>
    <xdr:to>
      <xdr:col>14</xdr:col>
      <xdr:colOff>238125</xdr:colOff>
      <xdr:row>338</xdr:row>
      <xdr:rowOff>9525</xdr:rowOff>
    </xdr:to>
    <xdr:sp macro="" textlink="">
      <xdr:nvSpPr>
        <xdr:cNvPr id="493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0982325" y="213388575"/>
          <a:ext cx="5334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466725</xdr:colOff>
      <xdr:row>337</xdr:row>
      <xdr:rowOff>0</xdr:rowOff>
    </xdr:from>
    <xdr:to>
      <xdr:col>14</xdr:col>
      <xdr:colOff>238125</xdr:colOff>
      <xdr:row>338</xdr:row>
      <xdr:rowOff>9525</xdr:rowOff>
    </xdr:to>
    <xdr:sp macro="" textlink="">
      <xdr:nvSpPr>
        <xdr:cNvPr id="493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0982325" y="213388575"/>
          <a:ext cx="5334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321</xdr:row>
      <xdr:rowOff>0</xdr:rowOff>
    </xdr:from>
    <xdr:to>
      <xdr:col>14</xdr:col>
      <xdr:colOff>304800</xdr:colOff>
      <xdr:row>321</xdr:row>
      <xdr:rowOff>714375</xdr:rowOff>
    </xdr:to>
    <xdr:sp macro="" textlink="">
      <xdr:nvSpPr>
        <xdr:cNvPr id="4937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01501375"/>
          <a:ext cx="304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321</xdr:row>
      <xdr:rowOff>0</xdr:rowOff>
    </xdr:from>
    <xdr:to>
      <xdr:col>14</xdr:col>
      <xdr:colOff>304800</xdr:colOff>
      <xdr:row>321</xdr:row>
      <xdr:rowOff>714375</xdr:rowOff>
    </xdr:to>
    <xdr:sp macro="" textlink="">
      <xdr:nvSpPr>
        <xdr:cNvPr id="4938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01501375"/>
          <a:ext cx="304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1647825</xdr:colOff>
      <xdr:row>321</xdr:row>
      <xdr:rowOff>133350</xdr:rowOff>
    </xdr:from>
    <xdr:to>
      <xdr:col>15</xdr:col>
      <xdr:colOff>0</xdr:colOff>
      <xdr:row>322</xdr:row>
      <xdr:rowOff>104776</xdr:rowOff>
    </xdr:to>
    <xdr:sp macro="" textlink="">
      <xdr:nvSpPr>
        <xdr:cNvPr id="4939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2039600" y="201634725"/>
          <a:ext cx="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321</xdr:row>
      <xdr:rowOff>0</xdr:rowOff>
    </xdr:from>
    <xdr:to>
      <xdr:col>14</xdr:col>
      <xdr:colOff>304800</xdr:colOff>
      <xdr:row>321</xdr:row>
      <xdr:rowOff>714375</xdr:rowOff>
    </xdr:to>
    <xdr:sp macro="" textlink="">
      <xdr:nvSpPr>
        <xdr:cNvPr id="4940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01501375"/>
          <a:ext cx="304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321</xdr:row>
      <xdr:rowOff>0</xdr:rowOff>
    </xdr:from>
    <xdr:to>
      <xdr:col>14</xdr:col>
      <xdr:colOff>304800</xdr:colOff>
      <xdr:row>321</xdr:row>
      <xdr:rowOff>714375</xdr:rowOff>
    </xdr:to>
    <xdr:sp macro="" textlink="">
      <xdr:nvSpPr>
        <xdr:cNvPr id="4941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01501375"/>
          <a:ext cx="304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1628775</xdr:colOff>
      <xdr:row>320</xdr:row>
      <xdr:rowOff>76200</xdr:rowOff>
    </xdr:from>
    <xdr:to>
      <xdr:col>15</xdr:col>
      <xdr:colOff>0</xdr:colOff>
      <xdr:row>321</xdr:row>
      <xdr:rowOff>47624</xdr:rowOff>
    </xdr:to>
    <xdr:sp macro="" textlink="">
      <xdr:nvSpPr>
        <xdr:cNvPr id="4942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2039600" y="200834625"/>
          <a:ext cx="0" cy="714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321</xdr:row>
      <xdr:rowOff>0</xdr:rowOff>
    </xdr:from>
    <xdr:to>
      <xdr:col>14</xdr:col>
      <xdr:colOff>304800</xdr:colOff>
      <xdr:row>321</xdr:row>
      <xdr:rowOff>714375</xdr:rowOff>
    </xdr:to>
    <xdr:sp macro="" textlink="">
      <xdr:nvSpPr>
        <xdr:cNvPr id="4943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01501375"/>
          <a:ext cx="304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321</xdr:row>
      <xdr:rowOff>0</xdr:rowOff>
    </xdr:from>
    <xdr:to>
      <xdr:col>14</xdr:col>
      <xdr:colOff>304800</xdr:colOff>
      <xdr:row>321</xdr:row>
      <xdr:rowOff>714375</xdr:rowOff>
    </xdr:to>
    <xdr:sp macro="" textlink="">
      <xdr:nvSpPr>
        <xdr:cNvPr id="4944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1277600" y="201501375"/>
          <a:ext cx="304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1628775</xdr:colOff>
      <xdr:row>320</xdr:row>
      <xdr:rowOff>76200</xdr:rowOff>
    </xdr:from>
    <xdr:to>
      <xdr:col>15</xdr:col>
      <xdr:colOff>0</xdr:colOff>
      <xdr:row>321</xdr:row>
      <xdr:rowOff>47624</xdr:rowOff>
    </xdr:to>
    <xdr:sp macro="" textlink="">
      <xdr:nvSpPr>
        <xdr:cNvPr id="4945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2039600" y="200834625"/>
          <a:ext cx="0" cy="714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1628775</xdr:colOff>
      <xdr:row>321</xdr:row>
      <xdr:rowOff>76200</xdr:rowOff>
    </xdr:from>
    <xdr:to>
      <xdr:col>15</xdr:col>
      <xdr:colOff>0</xdr:colOff>
      <xdr:row>322</xdr:row>
      <xdr:rowOff>47626</xdr:rowOff>
    </xdr:to>
    <xdr:sp macro="" textlink="">
      <xdr:nvSpPr>
        <xdr:cNvPr id="4946" name="AutoShape 59" descr="https://www.gestiondocumental.gob.ec/imagenes/internas/user1.jpg"/>
        <xdr:cNvSpPr>
          <a:spLocks noChangeAspect="1" noChangeArrowheads="1"/>
        </xdr:cNvSpPr>
      </xdr:nvSpPr>
      <xdr:spPr bwMode="auto">
        <a:xfrm>
          <a:off x="12039600" y="201577575"/>
          <a:ext cx="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3</xdr:col>
      <xdr:colOff>122465</xdr:colOff>
      <xdr:row>3</xdr:row>
      <xdr:rowOff>150837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639786" cy="8448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3</xdr:col>
      <xdr:colOff>149679</xdr:colOff>
      <xdr:row>3</xdr:row>
      <xdr:rowOff>159547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667000" cy="8535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</xdr:col>
      <xdr:colOff>179295</xdr:colOff>
      <xdr:row>3</xdr:row>
      <xdr:rowOff>170702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2689412" cy="843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hugo_ram30@hotmail.com" TargetMode="External"/><Relationship Id="rId13" Type="http://schemas.openxmlformats.org/officeDocument/2006/relationships/drawing" Target="../drawings/drawing2.xml"/><Relationship Id="rId3" Type="http://schemas.openxmlformats.org/officeDocument/2006/relationships/hyperlink" Target="mailto:gabriela_cabrera@trabajo.gob.ec" TargetMode="External"/><Relationship Id="rId7" Type="http://schemas.openxmlformats.org/officeDocument/2006/relationships/hyperlink" Target="mailto:hugovicente@yahoo.es" TargetMode="External"/><Relationship Id="rId12" Type="http://schemas.openxmlformats.org/officeDocument/2006/relationships/hyperlink" Target="mailto:denisseverino@hotmail.com" TargetMode="External"/><Relationship Id="rId2" Type="http://schemas.openxmlformats.org/officeDocument/2006/relationships/hyperlink" Target="mailto:marjorie_rueda@trabajo.gob.ec" TargetMode="External"/><Relationship Id="rId1" Type="http://schemas.openxmlformats.org/officeDocument/2006/relationships/hyperlink" Target="mailto:parmijos_32@hotmail.com" TargetMode="External"/><Relationship Id="rId6" Type="http://schemas.openxmlformats.org/officeDocument/2006/relationships/hyperlink" Target="mailto:ventanillaloja@fiscalia.gob.ec" TargetMode="External"/><Relationship Id="rId11" Type="http://schemas.openxmlformats.org/officeDocument/2006/relationships/hyperlink" Target="mailto:caenbu@hotmail.com" TargetMode="External"/><Relationship Id="rId5" Type="http://schemas.openxmlformats.org/officeDocument/2006/relationships/hyperlink" Target="mailto:vctorh@yahoo.com" TargetMode="External"/><Relationship Id="rId10" Type="http://schemas.openxmlformats.org/officeDocument/2006/relationships/hyperlink" Target="mailto:cfrankeditson@gmail.com" TargetMode="External"/><Relationship Id="rId4" Type="http://schemas.openxmlformats.org/officeDocument/2006/relationships/hyperlink" Target="mailto:ortepal.as@gmail.com" TargetMode="External"/><Relationship Id="rId9" Type="http://schemas.openxmlformats.org/officeDocument/2006/relationships/hyperlink" Target="mailto:galoortega33@hot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fidealva1976@yahoo.com" TargetMode="External"/><Relationship Id="rId13" Type="http://schemas.openxmlformats.org/officeDocument/2006/relationships/hyperlink" Target="mailto:juridicosalinasy2014@gmail.com" TargetMode="External"/><Relationship Id="rId18" Type="http://schemas.openxmlformats.org/officeDocument/2006/relationships/hyperlink" Target="mailto:diego.ochoa@funcionjudicial.gob.ec" TargetMode="External"/><Relationship Id="rId26" Type="http://schemas.openxmlformats.org/officeDocument/2006/relationships/hyperlink" Target="mailto:satje.loja@funcionjudicial.gob.ec" TargetMode="External"/><Relationship Id="rId3" Type="http://schemas.openxmlformats.org/officeDocument/2006/relationships/hyperlink" Target="mailto:sindicatochof.loja@hotmail.com" TargetMode="External"/><Relationship Id="rId21" Type="http://schemas.openxmlformats.org/officeDocument/2006/relationships/hyperlink" Target="mailto:galoortega33@hotmail.com" TargetMode="External"/><Relationship Id="rId7" Type="http://schemas.openxmlformats.org/officeDocument/2006/relationships/hyperlink" Target="mailto:galoortega33@gmail.com" TargetMode="External"/><Relationship Id="rId12" Type="http://schemas.openxmlformats.org/officeDocument/2006/relationships/hyperlink" Target="mailto:giovanni_tocueva@yahoo.es" TargetMode="External"/><Relationship Id="rId17" Type="http://schemas.openxmlformats.org/officeDocument/2006/relationships/hyperlink" Target="mailto:monicaroa17@yahoo.es" TargetMode="External"/><Relationship Id="rId25" Type="http://schemas.openxmlformats.org/officeDocument/2006/relationships/hyperlink" Target="mailto:luis.figueroa@funcionjudicial.gob.ec" TargetMode="External"/><Relationship Id="rId2" Type="http://schemas.openxmlformats.org/officeDocument/2006/relationships/hyperlink" Target="mailto:sociedad.portovelo@gmail.com" TargetMode="External"/><Relationship Id="rId16" Type="http://schemas.openxmlformats.org/officeDocument/2006/relationships/hyperlink" Target="mailto:stalinsar@hotmail.es" TargetMode="External"/><Relationship Id="rId20" Type="http://schemas.openxmlformats.org/officeDocument/2006/relationships/hyperlink" Target="mailto:ab.alexguerreroc@gmail.com" TargetMode="External"/><Relationship Id="rId29" Type="http://schemas.openxmlformats.org/officeDocument/2006/relationships/hyperlink" Target="mailto:jaramillop@fiscalia.gob.ec" TargetMode="External"/><Relationship Id="rId1" Type="http://schemas.openxmlformats.org/officeDocument/2006/relationships/hyperlink" Target="mailto:marenafrancozarie@gmail.com" TargetMode="External"/><Relationship Id="rId6" Type="http://schemas.openxmlformats.org/officeDocument/2006/relationships/hyperlink" Target="mailto:kerlymaria.96@gmail.com" TargetMode="External"/><Relationship Id="rId11" Type="http://schemas.openxmlformats.org/officeDocument/2006/relationships/hyperlink" Target="mailto:unessaortega363@gmail.com" TargetMode="External"/><Relationship Id="rId24" Type="http://schemas.openxmlformats.org/officeDocument/2006/relationships/hyperlink" Target="mailto:fernando.brayanes@funcionjudicial.gob.ec" TargetMode="External"/><Relationship Id="rId32" Type="http://schemas.openxmlformats.org/officeDocument/2006/relationships/drawing" Target="../drawings/drawing3.xml"/><Relationship Id="rId5" Type="http://schemas.openxmlformats.org/officeDocument/2006/relationships/hyperlink" Target="mailto:cajilimarocio12@gmail.com" TargetMode="External"/><Relationship Id="rId15" Type="http://schemas.openxmlformats.org/officeDocument/2006/relationships/hyperlink" Target="mailto:luis.figueroa@funcionjudicial.gob.ec&#160;" TargetMode="External"/><Relationship Id="rId23" Type="http://schemas.openxmlformats.org/officeDocument/2006/relationships/hyperlink" Target="mailto:flavio.bravo@funcionjudicial.gob.ec" TargetMode="External"/><Relationship Id="rId28" Type="http://schemas.openxmlformats.org/officeDocument/2006/relationships/hyperlink" Target="mailto:abgjelp@gmail.com" TargetMode="External"/><Relationship Id="rId10" Type="http://schemas.openxmlformats.org/officeDocument/2006/relationships/hyperlink" Target="mailto:tannya.jaramillo@funcionjudicial.gob.ec" TargetMode="External"/><Relationship Id="rId19" Type="http://schemas.openxmlformats.org/officeDocument/2006/relationships/hyperlink" Target="mailto:dialticaunidadrenal@hotmail.com" TargetMode="External"/><Relationship Id="rId31" Type="http://schemas.openxmlformats.org/officeDocument/2006/relationships/printerSettings" Target="../printerSettings/printerSettings2.bin"/><Relationship Id="rId4" Type="http://schemas.openxmlformats.org/officeDocument/2006/relationships/hyperlink" Target="mailto:alpf31084@hotmail.com" TargetMode="External"/><Relationship Id="rId9" Type="http://schemas.openxmlformats.org/officeDocument/2006/relationships/hyperlink" Target="mailto:sandra_torres@trabajo.gob.ec" TargetMode="External"/><Relationship Id="rId14" Type="http://schemas.openxmlformats.org/officeDocument/2006/relationships/hyperlink" Target="mailto:ceclaracionest2014@gmail.com" TargetMode="External"/><Relationship Id="rId22" Type="http://schemas.openxmlformats.org/officeDocument/2006/relationships/hyperlink" Target="mailto:gilberthrobles1494@gmail.com" TargetMode="External"/><Relationship Id="rId27" Type="http://schemas.openxmlformats.org/officeDocument/2006/relationships/hyperlink" Target="mailto:slexmauricioiniguezcueva@hotmail.com" TargetMode="External"/><Relationship Id="rId30" Type="http://schemas.openxmlformats.org/officeDocument/2006/relationships/hyperlink" Target="mailto:rectorado@tbolivariano.edu.ec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R496"/>
  <sheetViews>
    <sheetView tabSelected="1" workbookViewId="0">
      <selection activeCell="F11" sqref="F11"/>
    </sheetView>
  </sheetViews>
  <sheetFormatPr baseColWidth="10" defaultRowHeight="15" x14ac:dyDescent="0.25"/>
  <cols>
    <col min="1" max="1" width="9.140625" customWidth="1"/>
    <col min="8" max="8" width="18.42578125" customWidth="1"/>
  </cols>
  <sheetData>
    <row r="2" spans="1:18" x14ac:dyDescent="0.25">
      <c r="A2" s="102" t="s">
        <v>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</row>
    <row r="3" spans="1:18" x14ac:dyDescent="0.25">
      <c r="A3" s="102" t="s">
        <v>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</row>
    <row r="4" spans="1:18" x14ac:dyDescent="0.25">
      <c r="A4" s="102" t="s">
        <v>2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</row>
    <row r="5" spans="1:1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7" spans="1:18" ht="45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</row>
    <row r="8" spans="1:18" ht="42.75" customHeight="1" x14ac:dyDescent="0.25">
      <c r="A8" s="3">
        <v>1</v>
      </c>
      <c r="B8" s="4" t="s">
        <v>21</v>
      </c>
      <c r="C8" s="5">
        <v>44564</v>
      </c>
      <c r="D8" s="5">
        <v>44564</v>
      </c>
      <c r="E8" s="4">
        <v>2</v>
      </c>
      <c r="F8" s="4" t="s">
        <v>22</v>
      </c>
      <c r="G8" s="4" t="s">
        <v>23</v>
      </c>
      <c r="H8" s="4" t="s">
        <v>24</v>
      </c>
      <c r="I8" s="4" t="s">
        <v>23</v>
      </c>
      <c r="J8" s="5">
        <v>44565.65184027778</v>
      </c>
      <c r="K8" s="5">
        <v>44565.65184027778</v>
      </c>
      <c r="L8" s="3">
        <f>+NETWORKDAYS(D8,K8,$R$8:$R$11)-1</f>
        <v>1</v>
      </c>
      <c r="M8" s="4" t="s">
        <v>25</v>
      </c>
      <c r="N8" s="4" t="s">
        <v>26</v>
      </c>
      <c r="O8" s="4" t="s">
        <v>27</v>
      </c>
      <c r="P8" s="4" t="s">
        <v>28</v>
      </c>
      <c r="Q8" s="4" t="str">
        <f>IF(L8&gt;15,"FUERA DE TIEMPO","DENTRO DEL TIEMPO")</f>
        <v>DENTRO DEL TIEMPO</v>
      </c>
      <c r="R8" s="6"/>
    </row>
    <row r="9" spans="1:18" ht="42.75" customHeight="1" x14ac:dyDescent="0.25">
      <c r="A9" s="3">
        <v>2</v>
      </c>
      <c r="B9" s="4" t="s">
        <v>29</v>
      </c>
      <c r="C9" s="5">
        <v>44564</v>
      </c>
      <c r="D9" s="5">
        <v>44564</v>
      </c>
      <c r="E9" s="4">
        <v>2</v>
      </c>
      <c r="F9" s="4" t="s">
        <v>22</v>
      </c>
      <c r="G9" s="4" t="s">
        <v>30</v>
      </c>
      <c r="H9" s="4" t="s">
        <v>24</v>
      </c>
      <c r="I9" s="4" t="s">
        <v>30</v>
      </c>
      <c r="J9" s="5">
        <v>44565.522118055553</v>
      </c>
      <c r="K9" s="5">
        <v>44565.522118055553</v>
      </c>
      <c r="L9" s="3">
        <f t="shared" ref="L9:L72" si="0">+NETWORKDAYS(D9,K9,$R$8:$R$11)-1</f>
        <v>1</v>
      </c>
      <c r="M9" s="4" t="s">
        <v>31</v>
      </c>
      <c r="N9" s="4" t="s">
        <v>26</v>
      </c>
      <c r="O9" s="4" t="s">
        <v>32</v>
      </c>
      <c r="P9" s="4" t="s">
        <v>28</v>
      </c>
      <c r="Q9" s="4" t="str">
        <f t="shared" ref="Q9:Q72" si="1">IF(L9&gt;15,"FUERA DE TIEMPO","DENTRO DEL TIEMPO")</f>
        <v>DENTRO DEL TIEMPO</v>
      </c>
      <c r="R9" s="6"/>
    </row>
    <row r="10" spans="1:18" ht="42.75" customHeight="1" x14ac:dyDescent="0.25">
      <c r="A10" s="3">
        <v>3</v>
      </c>
      <c r="B10" s="4" t="s">
        <v>33</v>
      </c>
      <c r="C10" s="5">
        <v>44564</v>
      </c>
      <c r="D10" s="5">
        <v>44564</v>
      </c>
      <c r="E10" s="4">
        <v>2</v>
      </c>
      <c r="F10" s="4" t="s">
        <v>22</v>
      </c>
      <c r="G10" s="4" t="s">
        <v>30</v>
      </c>
      <c r="H10" s="4" t="s">
        <v>24</v>
      </c>
      <c r="I10" s="4" t="s">
        <v>30</v>
      </c>
      <c r="J10" s="5">
        <v>44565.504178240742</v>
      </c>
      <c r="K10" s="5">
        <v>44565.504178240742</v>
      </c>
      <c r="L10" s="3">
        <f t="shared" si="0"/>
        <v>1</v>
      </c>
      <c r="M10" s="4" t="s">
        <v>34</v>
      </c>
      <c r="N10" s="4" t="s">
        <v>26</v>
      </c>
      <c r="O10" s="4" t="s">
        <v>35</v>
      </c>
      <c r="P10" s="4" t="s">
        <v>28</v>
      </c>
      <c r="Q10" s="4" t="str">
        <f t="shared" si="1"/>
        <v>DENTRO DEL TIEMPO</v>
      </c>
      <c r="R10" s="6"/>
    </row>
    <row r="11" spans="1:18" ht="42.75" customHeight="1" x14ac:dyDescent="0.25">
      <c r="A11" s="3">
        <v>4</v>
      </c>
      <c r="B11" s="4" t="s">
        <v>36</v>
      </c>
      <c r="C11" s="5">
        <v>44564</v>
      </c>
      <c r="D11" s="5">
        <v>44564</v>
      </c>
      <c r="E11" s="4">
        <v>2</v>
      </c>
      <c r="F11" s="4" t="s">
        <v>22</v>
      </c>
      <c r="G11" s="4" t="s">
        <v>30</v>
      </c>
      <c r="H11" s="4" t="s">
        <v>24</v>
      </c>
      <c r="I11" s="4" t="s">
        <v>30</v>
      </c>
      <c r="J11" s="5">
        <v>44565.528715277775</v>
      </c>
      <c r="K11" s="5">
        <v>44565.528715277775</v>
      </c>
      <c r="L11" s="3">
        <f>+NETWORKDAYS(D11,K11,$R$8:$R$11)-1</f>
        <v>1</v>
      </c>
      <c r="M11" s="4" t="s">
        <v>37</v>
      </c>
      <c r="N11" s="4" t="s">
        <v>26</v>
      </c>
      <c r="O11" s="4" t="s">
        <v>38</v>
      </c>
      <c r="P11" s="4" t="s">
        <v>28</v>
      </c>
      <c r="Q11" s="4" t="str">
        <f t="shared" si="1"/>
        <v>DENTRO DEL TIEMPO</v>
      </c>
      <c r="R11" s="6"/>
    </row>
    <row r="12" spans="1:18" ht="42.75" customHeight="1" x14ac:dyDescent="0.25">
      <c r="A12" s="3">
        <v>5</v>
      </c>
      <c r="B12" s="4" t="s">
        <v>39</v>
      </c>
      <c r="C12" s="5">
        <v>44564</v>
      </c>
      <c r="D12" s="5">
        <v>44564</v>
      </c>
      <c r="E12" s="4">
        <v>2</v>
      </c>
      <c r="F12" s="4" t="s">
        <v>22</v>
      </c>
      <c r="G12" s="4" t="s">
        <v>30</v>
      </c>
      <c r="H12" s="4" t="s">
        <v>24</v>
      </c>
      <c r="I12" s="4" t="s">
        <v>30</v>
      </c>
      <c r="J12" s="5">
        <v>44568.496493055558</v>
      </c>
      <c r="K12" s="5">
        <v>44568.496493055558</v>
      </c>
      <c r="L12" s="3">
        <f t="shared" si="0"/>
        <v>4</v>
      </c>
      <c r="M12" s="4" t="s">
        <v>40</v>
      </c>
      <c r="N12" s="4" t="s">
        <v>26</v>
      </c>
      <c r="O12" s="4" t="s">
        <v>41</v>
      </c>
      <c r="P12" s="4" t="s">
        <v>28</v>
      </c>
      <c r="Q12" s="4" t="str">
        <f t="shared" si="1"/>
        <v>DENTRO DEL TIEMPO</v>
      </c>
      <c r="R12" s="6"/>
    </row>
    <row r="13" spans="1:18" ht="42.75" customHeight="1" x14ac:dyDescent="0.25">
      <c r="A13" s="3">
        <v>6</v>
      </c>
      <c r="B13" s="4" t="s">
        <v>42</v>
      </c>
      <c r="C13" s="5">
        <v>44564</v>
      </c>
      <c r="D13" s="5">
        <v>44564</v>
      </c>
      <c r="E13" s="4">
        <v>2</v>
      </c>
      <c r="F13" s="4" t="s">
        <v>22</v>
      </c>
      <c r="G13" s="4" t="s">
        <v>30</v>
      </c>
      <c r="H13" s="4" t="s">
        <v>24</v>
      </c>
      <c r="I13" s="4" t="s">
        <v>30</v>
      </c>
      <c r="J13" s="5">
        <v>44568.397928240738</v>
      </c>
      <c r="K13" s="5">
        <v>44568.397928240738</v>
      </c>
      <c r="L13" s="3">
        <f t="shared" si="0"/>
        <v>4</v>
      </c>
      <c r="M13" s="4" t="s">
        <v>43</v>
      </c>
      <c r="N13" s="4" t="s">
        <v>26</v>
      </c>
      <c r="O13" s="4" t="s">
        <v>44</v>
      </c>
      <c r="P13" s="4" t="s">
        <v>28</v>
      </c>
      <c r="Q13" s="4" t="str">
        <f t="shared" si="1"/>
        <v>DENTRO DEL TIEMPO</v>
      </c>
      <c r="R13" s="6"/>
    </row>
    <row r="14" spans="1:18" ht="42.75" customHeight="1" x14ac:dyDescent="0.25">
      <c r="A14" s="3">
        <v>7</v>
      </c>
      <c r="B14" s="4" t="s">
        <v>45</v>
      </c>
      <c r="C14" s="5">
        <v>44564</v>
      </c>
      <c r="D14" s="5">
        <v>44564</v>
      </c>
      <c r="E14" s="4">
        <v>2</v>
      </c>
      <c r="F14" s="4" t="s">
        <v>22</v>
      </c>
      <c r="G14" s="4" t="s">
        <v>30</v>
      </c>
      <c r="H14" s="4" t="s">
        <v>24</v>
      </c>
      <c r="I14" s="4" t="s">
        <v>30</v>
      </c>
      <c r="J14" s="5">
        <v>44565.543321759258</v>
      </c>
      <c r="K14" s="5">
        <v>44565.543321759258</v>
      </c>
      <c r="L14" s="3">
        <f t="shared" si="0"/>
        <v>1</v>
      </c>
      <c r="M14" s="4" t="s">
        <v>46</v>
      </c>
      <c r="N14" s="4" t="s">
        <v>26</v>
      </c>
      <c r="O14" s="4" t="s">
        <v>47</v>
      </c>
      <c r="P14" s="4" t="s">
        <v>28</v>
      </c>
      <c r="Q14" s="4" t="str">
        <f t="shared" si="1"/>
        <v>DENTRO DEL TIEMPO</v>
      </c>
      <c r="R14" s="6"/>
    </row>
    <row r="15" spans="1:18" ht="42.75" customHeight="1" x14ac:dyDescent="0.25">
      <c r="A15" s="3">
        <v>8</v>
      </c>
      <c r="B15" s="4" t="s">
        <v>48</v>
      </c>
      <c r="C15" s="5">
        <v>44564</v>
      </c>
      <c r="D15" s="5">
        <v>44564</v>
      </c>
      <c r="E15" s="4">
        <v>2</v>
      </c>
      <c r="F15" s="4" t="s">
        <v>22</v>
      </c>
      <c r="G15" s="4" t="s">
        <v>49</v>
      </c>
      <c r="H15" s="4" t="s">
        <v>24</v>
      </c>
      <c r="I15" s="4" t="s">
        <v>49</v>
      </c>
      <c r="J15" s="5">
        <v>44567.497291666667</v>
      </c>
      <c r="K15" s="5">
        <v>44567.497291666667</v>
      </c>
      <c r="L15" s="3">
        <f t="shared" si="0"/>
        <v>3</v>
      </c>
      <c r="M15" s="4" t="s">
        <v>50</v>
      </c>
      <c r="N15" s="4" t="s">
        <v>26</v>
      </c>
      <c r="O15" s="4" t="s">
        <v>51</v>
      </c>
      <c r="P15" s="4" t="s">
        <v>28</v>
      </c>
      <c r="Q15" s="4" t="str">
        <f t="shared" si="1"/>
        <v>DENTRO DEL TIEMPO</v>
      </c>
      <c r="R15" s="6"/>
    </row>
    <row r="16" spans="1:18" ht="42.75" customHeight="1" x14ac:dyDescent="0.25">
      <c r="A16" s="3">
        <v>9</v>
      </c>
      <c r="B16" s="4" t="s">
        <v>52</v>
      </c>
      <c r="C16" s="5">
        <v>44564</v>
      </c>
      <c r="D16" s="5">
        <v>44564</v>
      </c>
      <c r="E16" s="4">
        <v>2</v>
      </c>
      <c r="F16" s="4" t="s">
        <v>22</v>
      </c>
      <c r="G16" s="4" t="s">
        <v>30</v>
      </c>
      <c r="H16" s="4" t="s">
        <v>24</v>
      </c>
      <c r="I16" s="4" t="s">
        <v>30</v>
      </c>
      <c r="J16" s="5">
        <v>44565.607037037036</v>
      </c>
      <c r="K16" s="5">
        <v>44565.607037037036</v>
      </c>
      <c r="L16" s="3">
        <f t="shared" si="0"/>
        <v>1</v>
      </c>
      <c r="M16" s="4" t="s">
        <v>53</v>
      </c>
      <c r="N16" s="4" t="s">
        <v>26</v>
      </c>
      <c r="O16" s="4" t="s">
        <v>54</v>
      </c>
      <c r="P16" s="4" t="s">
        <v>28</v>
      </c>
      <c r="Q16" s="4" t="str">
        <f t="shared" si="1"/>
        <v>DENTRO DEL TIEMPO</v>
      </c>
      <c r="R16" s="6"/>
    </row>
    <row r="17" spans="1:18" ht="42.75" customHeight="1" x14ac:dyDescent="0.25">
      <c r="A17" s="3">
        <v>10</v>
      </c>
      <c r="B17" s="4" t="s">
        <v>55</v>
      </c>
      <c r="C17" s="5">
        <v>44564</v>
      </c>
      <c r="D17" s="5">
        <v>44564</v>
      </c>
      <c r="E17" s="4">
        <v>2</v>
      </c>
      <c r="F17" s="4" t="s">
        <v>22</v>
      </c>
      <c r="G17" s="4" t="s">
        <v>30</v>
      </c>
      <c r="H17" s="4" t="s">
        <v>24</v>
      </c>
      <c r="I17" s="4" t="s">
        <v>30</v>
      </c>
      <c r="J17" s="5">
        <v>44565.613819444443</v>
      </c>
      <c r="K17" s="5">
        <v>44565.613819444443</v>
      </c>
      <c r="L17" s="3">
        <f t="shared" si="0"/>
        <v>1</v>
      </c>
      <c r="M17" s="4" t="s">
        <v>56</v>
      </c>
      <c r="N17" s="4" t="s">
        <v>26</v>
      </c>
      <c r="O17" s="4" t="s">
        <v>54</v>
      </c>
      <c r="P17" s="4" t="s">
        <v>28</v>
      </c>
      <c r="Q17" s="4" t="str">
        <f t="shared" si="1"/>
        <v>DENTRO DEL TIEMPO</v>
      </c>
      <c r="R17" s="6"/>
    </row>
    <row r="18" spans="1:18" ht="42.75" customHeight="1" x14ac:dyDescent="0.25">
      <c r="A18" s="3">
        <v>11</v>
      </c>
      <c r="B18" s="4" t="s">
        <v>57</v>
      </c>
      <c r="C18" s="5">
        <v>44564</v>
      </c>
      <c r="D18" s="5">
        <v>44564</v>
      </c>
      <c r="E18" s="4">
        <v>2</v>
      </c>
      <c r="F18" s="4" t="s">
        <v>22</v>
      </c>
      <c r="G18" s="4" t="s">
        <v>30</v>
      </c>
      <c r="H18" s="4" t="s">
        <v>24</v>
      </c>
      <c r="I18" s="4" t="s">
        <v>30</v>
      </c>
      <c r="J18" s="5">
        <v>44565.632928240739</v>
      </c>
      <c r="K18" s="5">
        <v>44565.632928240739</v>
      </c>
      <c r="L18" s="3">
        <f t="shared" si="0"/>
        <v>1</v>
      </c>
      <c r="M18" s="4" t="s">
        <v>58</v>
      </c>
      <c r="N18" s="4" t="s">
        <v>26</v>
      </c>
      <c r="O18" s="4" t="s">
        <v>54</v>
      </c>
      <c r="P18" s="4" t="s">
        <v>28</v>
      </c>
      <c r="Q18" s="4" t="str">
        <f t="shared" si="1"/>
        <v>DENTRO DEL TIEMPO</v>
      </c>
      <c r="R18" s="6"/>
    </row>
    <row r="19" spans="1:18" ht="42.75" customHeight="1" x14ac:dyDescent="0.25">
      <c r="A19" s="3">
        <v>12</v>
      </c>
      <c r="B19" s="4" t="s">
        <v>59</v>
      </c>
      <c r="C19" s="5">
        <v>44564</v>
      </c>
      <c r="D19" s="5">
        <v>44564</v>
      </c>
      <c r="E19" s="4">
        <v>2</v>
      </c>
      <c r="F19" s="4" t="s">
        <v>22</v>
      </c>
      <c r="G19" s="4" t="s">
        <v>30</v>
      </c>
      <c r="H19" s="4" t="s">
        <v>24</v>
      </c>
      <c r="I19" s="4" t="s">
        <v>30</v>
      </c>
      <c r="J19" s="5">
        <v>44565.641273148147</v>
      </c>
      <c r="K19" s="5">
        <v>44565.641273148147</v>
      </c>
      <c r="L19" s="3">
        <f t="shared" si="0"/>
        <v>1</v>
      </c>
      <c r="M19" s="4" t="s">
        <v>60</v>
      </c>
      <c r="N19" s="4" t="s">
        <v>26</v>
      </c>
      <c r="O19" s="4" t="s">
        <v>54</v>
      </c>
      <c r="P19" s="4" t="s">
        <v>28</v>
      </c>
      <c r="Q19" s="4" t="str">
        <f t="shared" si="1"/>
        <v>DENTRO DEL TIEMPO</v>
      </c>
      <c r="R19" s="6"/>
    </row>
    <row r="20" spans="1:18" ht="42.75" customHeight="1" x14ac:dyDescent="0.25">
      <c r="A20" s="3">
        <v>13</v>
      </c>
      <c r="B20" s="4" t="s">
        <v>61</v>
      </c>
      <c r="C20" s="5">
        <v>44564</v>
      </c>
      <c r="D20" s="5">
        <v>44564</v>
      </c>
      <c r="E20" s="4">
        <v>2</v>
      </c>
      <c r="F20" s="4" t="s">
        <v>22</v>
      </c>
      <c r="G20" s="4" t="s">
        <v>30</v>
      </c>
      <c r="H20" s="4" t="s">
        <v>24</v>
      </c>
      <c r="I20" s="4" t="s">
        <v>30</v>
      </c>
      <c r="J20" s="5">
        <v>44565.626134259262</v>
      </c>
      <c r="K20" s="5">
        <v>44565.626134259262</v>
      </c>
      <c r="L20" s="3">
        <f t="shared" si="0"/>
        <v>1</v>
      </c>
      <c r="M20" s="4" t="s">
        <v>62</v>
      </c>
      <c r="N20" s="4" t="s">
        <v>26</v>
      </c>
      <c r="O20" s="4" t="s">
        <v>54</v>
      </c>
      <c r="P20" s="4" t="s">
        <v>28</v>
      </c>
      <c r="Q20" s="4" t="str">
        <f t="shared" si="1"/>
        <v>DENTRO DEL TIEMPO</v>
      </c>
      <c r="R20" s="6"/>
    </row>
    <row r="21" spans="1:18" ht="42.75" customHeight="1" x14ac:dyDescent="0.25">
      <c r="A21" s="3">
        <v>14</v>
      </c>
      <c r="B21" s="4" t="s">
        <v>63</v>
      </c>
      <c r="C21" s="5">
        <v>44564</v>
      </c>
      <c r="D21" s="5">
        <v>44564</v>
      </c>
      <c r="E21" s="4">
        <v>2</v>
      </c>
      <c r="F21" s="4" t="s">
        <v>22</v>
      </c>
      <c r="G21" s="4" t="s">
        <v>30</v>
      </c>
      <c r="H21" s="4" t="s">
        <v>24</v>
      </c>
      <c r="I21" s="4" t="s">
        <v>30</v>
      </c>
      <c r="J21" s="5">
        <v>44565.621377314812</v>
      </c>
      <c r="K21" s="5">
        <v>44565.621377314812</v>
      </c>
      <c r="L21" s="3">
        <f t="shared" si="0"/>
        <v>1</v>
      </c>
      <c r="M21" s="4" t="s">
        <v>64</v>
      </c>
      <c r="N21" s="4" t="s">
        <v>26</v>
      </c>
      <c r="O21" s="4" t="s">
        <v>54</v>
      </c>
      <c r="P21" s="4" t="s">
        <v>28</v>
      </c>
      <c r="Q21" s="4" t="str">
        <f t="shared" si="1"/>
        <v>DENTRO DEL TIEMPO</v>
      </c>
      <c r="R21" s="6"/>
    </row>
    <row r="22" spans="1:18" ht="42.75" customHeight="1" x14ac:dyDescent="0.25">
      <c r="A22" s="3">
        <v>15</v>
      </c>
      <c r="B22" s="4" t="s">
        <v>65</v>
      </c>
      <c r="C22" s="5">
        <v>44564</v>
      </c>
      <c r="D22" s="5">
        <v>44564</v>
      </c>
      <c r="E22" s="4">
        <v>2</v>
      </c>
      <c r="F22" s="4" t="s">
        <v>22</v>
      </c>
      <c r="G22" s="4" t="s">
        <v>30</v>
      </c>
      <c r="H22" s="4" t="s">
        <v>24</v>
      </c>
      <c r="I22" s="4" t="s">
        <v>30</v>
      </c>
      <c r="J22" s="5">
        <v>44565.649074074077</v>
      </c>
      <c r="K22" s="5">
        <v>44565.649074074077</v>
      </c>
      <c r="L22" s="3">
        <f t="shared" si="0"/>
        <v>1</v>
      </c>
      <c r="M22" s="4" t="s">
        <v>66</v>
      </c>
      <c r="N22" s="4" t="s">
        <v>26</v>
      </c>
      <c r="O22" s="4" t="s">
        <v>67</v>
      </c>
      <c r="P22" s="4" t="s">
        <v>28</v>
      </c>
      <c r="Q22" s="4" t="str">
        <f t="shared" si="1"/>
        <v>DENTRO DEL TIEMPO</v>
      </c>
      <c r="R22" s="6"/>
    </row>
    <row r="23" spans="1:18" ht="42.75" customHeight="1" x14ac:dyDescent="0.25">
      <c r="A23" s="3">
        <v>16</v>
      </c>
      <c r="B23" s="4" t="s">
        <v>68</v>
      </c>
      <c r="C23" s="5">
        <v>44565</v>
      </c>
      <c r="D23" s="5">
        <v>44565</v>
      </c>
      <c r="E23" s="4">
        <v>2</v>
      </c>
      <c r="F23" s="4" t="s">
        <v>22</v>
      </c>
      <c r="G23" s="4" t="s">
        <v>30</v>
      </c>
      <c r="H23" s="4" t="s">
        <v>24</v>
      </c>
      <c r="I23" s="4" t="s">
        <v>30</v>
      </c>
      <c r="J23" s="5">
        <v>44565.673263888886</v>
      </c>
      <c r="K23" s="5">
        <v>44565.673263888886</v>
      </c>
      <c r="L23" s="3">
        <f t="shared" si="0"/>
        <v>0</v>
      </c>
      <c r="M23" s="4" t="s">
        <v>69</v>
      </c>
      <c r="N23" s="4" t="s">
        <v>26</v>
      </c>
      <c r="O23" s="4" t="s">
        <v>70</v>
      </c>
      <c r="P23" s="4" t="s">
        <v>28</v>
      </c>
      <c r="Q23" s="4" t="str">
        <f t="shared" si="1"/>
        <v>DENTRO DEL TIEMPO</v>
      </c>
      <c r="R23" s="6"/>
    </row>
    <row r="24" spans="1:18" ht="42.75" customHeight="1" x14ac:dyDescent="0.25">
      <c r="A24" s="3">
        <v>17</v>
      </c>
      <c r="B24" s="4" t="s">
        <v>71</v>
      </c>
      <c r="C24" s="5">
        <v>44565</v>
      </c>
      <c r="D24" s="5">
        <v>44565</v>
      </c>
      <c r="E24" s="4">
        <v>2</v>
      </c>
      <c r="F24" s="4" t="s">
        <v>22</v>
      </c>
      <c r="G24" s="4" t="s">
        <v>30</v>
      </c>
      <c r="H24" s="4" t="s">
        <v>24</v>
      </c>
      <c r="I24" s="4" t="s">
        <v>30</v>
      </c>
      <c r="J24" s="5">
        <v>44566.35396990741</v>
      </c>
      <c r="K24" s="5">
        <v>44566.35396990741</v>
      </c>
      <c r="L24" s="3">
        <f t="shared" si="0"/>
        <v>1</v>
      </c>
      <c r="M24" s="4" t="s">
        <v>72</v>
      </c>
      <c r="N24" s="4" t="s">
        <v>26</v>
      </c>
      <c r="O24" s="4" t="s">
        <v>73</v>
      </c>
      <c r="P24" s="4" t="s">
        <v>28</v>
      </c>
      <c r="Q24" s="4" t="str">
        <f t="shared" si="1"/>
        <v>DENTRO DEL TIEMPO</v>
      </c>
      <c r="R24" s="6"/>
    </row>
    <row r="25" spans="1:18" ht="42.75" customHeight="1" x14ac:dyDescent="0.25">
      <c r="A25" s="3">
        <v>18</v>
      </c>
      <c r="B25" s="4" t="s">
        <v>74</v>
      </c>
      <c r="C25" s="5">
        <v>44565</v>
      </c>
      <c r="D25" s="5">
        <v>44565</v>
      </c>
      <c r="E25" s="4">
        <v>2</v>
      </c>
      <c r="F25" s="4" t="s">
        <v>22</v>
      </c>
      <c r="G25" s="4" t="s">
        <v>30</v>
      </c>
      <c r="H25" s="4" t="s">
        <v>24</v>
      </c>
      <c r="I25" s="4" t="s">
        <v>30</v>
      </c>
      <c r="J25" s="5">
        <v>44566.384409722225</v>
      </c>
      <c r="K25" s="5">
        <v>44566.384409722225</v>
      </c>
      <c r="L25" s="3">
        <f t="shared" si="0"/>
        <v>1</v>
      </c>
      <c r="M25" s="4" t="s">
        <v>75</v>
      </c>
      <c r="N25" s="4" t="s">
        <v>26</v>
      </c>
      <c r="O25" s="4" t="s">
        <v>76</v>
      </c>
      <c r="P25" s="4" t="s">
        <v>28</v>
      </c>
      <c r="Q25" s="4" t="str">
        <f t="shared" si="1"/>
        <v>DENTRO DEL TIEMPO</v>
      </c>
      <c r="R25" s="6"/>
    </row>
    <row r="26" spans="1:18" ht="42.75" customHeight="1" x14ac:dyDescent="0.25">
      <c r="A26" s="3">
        <v>19</v>
      </c>
      <c r="B26" s="4" t="s">
        <v>77</v>
      </c>
      <c r="C26" s="5">
        <v>44565</v>
      </c>
      <c r="D26" s="5">
        <v>44565</v>
      </c>
      <c r="E26" s="4">
        <v>2</v>
      </c>
      <c r="F26" s="4" t="s">
        <v>22</v>
      </c>
      <c r="G26" s="4" t="s">
        <v>30</v>
      </c>
      <c r="H26" s="4" t="s">
        <v>24</v>
      </c>
      <c r="I26" s="4" t="s">
        <v>30</v>
      </c>
      <c r="J26" s="5">
        <v>44566.399027777778</v>
      </c>
      <c r="K26" s="5">
        <v>44566.399027777778</v>
      </c>
      <c r="L26" s="3">
        <f t="shared" si="0"/>
        <v>1</v>
      </c>
      <c r="M26" s="4" t="s">
        <v>78</v>
      </c>
      <c r="N26" s="4" t="s">
        <v>26</v>
      </c>
      <c r="O26" s="4" t="s">
        <v>79</v>
      </c>
      <c r="P26" s="4" t="s">
        <v>28</v>
      </c>
      <c r="Q26" s="4" t="str">
        <f t="shared" si="1"/>
        <v>DENTRO DEL TIEMPO</v>
      </c>
      <c r="R26" s="6"/>
    </row>
    <row r="27" spans="1:18" ht="42.75" customHeight="1" x14ac:dyDescent="0.25">
      <c r="A27" s="3">
        <v>20</v>
      </c>
      <c r="B27" s="4" t="s">
        <v>80</v>
      </c>
      <c r="C27" s="5">
        <v>44565</v>
      </c>
      <c r="D27" s="5">
        <v>44565</v>
      </c>
      <c r="E27" s="4">
        <v>2</v>
      </c>
      <c r="F27" s="4" t="s">
        <v>22</v>
      </c>
      <c r="G27" s="4" t="s">
        <v>30</v>
      </c>
      <c r="H27" s="4" t="s">
        <v>24</v>
      </c>
      <c r="I27" s="4" t="s">
        <v>30</v>
      </c>
      <c r="J27" s="5">
        <v>44566.409490740742</v>
      </c>
      <c r="K27" s="5">
        <v>44566.409490740742</v>
      </c>
      <c r="L27" s="3">
        <f t="shared" si="0"/>
        <v>1</v>
      </c>
      <c r="M27" s="4" t="s">
        <v>81</v>
      </c>
      <c r="N27" s="4" t="s">
        <v>26</v>
      </c>
      <c r="O27" s="4" t="s">
        <v>82</v>
      </c>
      <c r="P27" s="4" t="s">
        <v>28</v>
      </c>
      <c r="Q27" s="4" t="str">
        <f t="shared" si="1"/>
        <v>DENTRO DEL TIEMPO</v>
      </c>
      <c r="R27" s="6"/>
    </row>
    <row r="28" spans="1:18" ht="42.75" customHeight="1" x14ac:dyDescent="0.25">
      <c r="A28" s="3">
        <v>21</v>
      </c>
      <c r="B28" s="4" t="s">
        <v>83</v>
      </c>
      <c r="C28" s="5">
        <v>44565</v>
      </c>
      <c r="D28" s="5">
        <v>44565</v>
      </c>
      <c r="E28" s="4">
        <v>2</v>
      </c>
      <c r="F28" s="4" t="s">
        <v>22</v>
      </c>
      <c r="G28" s="4" t="s">
        <v>30</v>
      </c>
      <c r="H28" s="4" t="s">
        <v>24</v>
      </c>
      <c r="I28" s="4" t="s">
        <v>30</v>
      </c>
      <c r="J28" s="5">
        <v>44566.535057870373</v>
      </c>
      <c r="K28" s="5">
        <v>44566.535057870373</v>
      </c>
      <c r="L28" s="3">
        <f t="shared" si="0"/>
        <v>1</v>
      </c>
      <c r="M28" s="4" t="s">
        <v>84</v>
      </c>
      <c r="N28" s="4" t="s">
        <v>26</v>
      </c>
      <c r="O28" s="4" t="s">
        <v>85</v>
      </c>
      <c r="P28" s="4" t="s">
        <v>28</v>
      </c>
      <c r="Q28" s="4" t="str">
        <f t="shared" si="1"/>
        <v>DENTRO DEL TIEMPO</v>
      </c>
      <c r="R28" s="6"/>
    </row>
    <row r="29" spans="1:18" ht="42.75" customHeight="1" x14ac:dyDescent="0.25">
      <c r="A29" s="3">
        <v>22</v>
      </c>
      <c r="B29" s="4" t="s">
        <v>86</v>
      </c>
      <c r="C29" s="5">
        <v>44565</v>
      </c>
      <c r="D29" s="5">
        <v>44565</v>
      </c>
      <c r="E29" s="4">
        <v>2</v>
      </c>
      <c r="F29" s="4" t="s">
        <v>22</v>
      </c>
      <c r="G29" s="4" t="s">
        <v>30</v>
      </c>
      <c r="H29" s="4" t="s">
        <v>24</v>
      </c>
      <c r="I29" s="4" t="s">
        <v>30</v>
      </c>
      <c r="J29" s="5">
        <v>44566.552835648145</v>
      </c>
      <c r="K29" s="5">
        <v>44566.552835648145</v>
      </c>
      <c r="L29" s="3">
        <f t="shared" si="0"/>
        <v>1</v>
      </c>
      <c r="M29" s="4" t="s">
        <v>87</v>
      </c>
      <c r="N29" s="4" t="s">
        <v>26</v>
      </c>
      <c r="O29" s="4" t="s">
        <v>88</v>
      </c>
      <c r="P29" s="4" t="s">
        <v>28</v>
      </c>
      <c r="Q29" s="4" t="str">
        <f t="shared" si="1"/>
        <v>DENTRO DEL TIEMPO</v>
      </c>
      <c r="R29" s="6"/>
    </row>
    <row r="30" spans="1:18" ht="42.75" customHeight="1" x14ac:dyDescent="0.25">
      <c r="A30" s="3">
        <v>23</v>
      </c>
      <c r="B30" s="4" t="s">
        <v>89</v>
      </c>
      <c r="C30" s="5">
        <v>44565</v>
      </c>
      <c r="D30" s="5">
        <v>44565</v>
      </c>
      <c r="E30" s="4">
        <v>2</v>
      </c>
      <c r="F30" s="4" t="s">
        <v>22</v>
      </c>
      <c r="G30" s="4" t="s">
        <v>30</v>
      </c>
      <c r="H30" s="4" t="s">
        <v>24</v>
      </c>
      <c r="I30" s="4" t="s">
        <v>30</v>
      </c>
      <c r="J30" s="5">
        <v>44566.561400462961</v>
      </c>
      <c r="K30" s="5">
        <v>44566.561400462961</v>
      </c>
      <c r="L30" s="3">
        <f t="shared" si="0"/>
        <v>1</v>
      </c>
      <c r="M30" s="4" t="s">
        <v>90</v>
      </c>
      <c r="N30" s="4" t="s">
        <v>26</v>
      </c>
      <c r="O30" s="4" t="s">
        <v>88</v>
      </c>
      <c r="P30" s="4" t="s">
        <v>28</v>
      </c>
      <c r="Q30" s="4" t="str">
        <f t="shared" si="1"/>
        <v>DENTRO DEL TIEMPO</v>
      </c>
      <c r="R30" s="6"/>
    </row>
    <row r="31" spans="1:18" ht="42.75" customHeight="1" x14ac:dyDescent="0.25">
      <c r="A31" s="3">
        <v>24</v>
      </c>
      <c r="B31" s="7" t="s">
        <v>91</v>
      </c>
      <c r="C31" s="5">
        <v>44565</v>
      </c>
      <c r="D31" s="5">
        <v>44565</v>
      </c>
      <c r="E31" s="4">
        <v>58</v>
      </c>
      <c r="F31" s="4" t="s">
        <v>22</v>
      </c>
      <c r="G31" s="4" t="s">
        <v>92</v>
      </c>
      <c r="H31" s="4" t="s">
        <v>24</v>
      </c>
      <c r="I31" s="4" t="s">
        <v>92</v>
      </c>
      <c r="J31" s="5">
        <v>44588.411249999997</v>
      </c>
      <c r="K31" s="5">
        <v>44588.411249999997</v>
      </c>
      <c r="L31" s="3">
        <f t="shared" si="0"/>
        <v>17</v>
      </c>
      <c r="M31" s="4" t="s">
        <v>93</v>
      </c>
      <c r="N31" s="4" t="s">
        <v>26</v>
      </c>
      <c r="O31" s="4" t="s">
        <v>94</v>
      </c>
      <c r="P31" s="4" t="s">
        <v>28</v>
      </c>
      <c r="Q31" s="4" t="str">
        <f t="shared" si="1"/>
        <v>FUERA DE TIEMPO</v>
      </c>
      <c r="R31" s="6"/>
    </row>
    <row r="32" spans="1:18" ht="42.75" customHeight="1" x14ac:dyDescent="0.25">
      <c r="A32" s="3">
        <v>25</v>
      </c>
      <c r="B32" s="4" t="s">
        <v>95</v>
      </c>
      <c r="C32" s="5">
        <v>44565</v>
      </c>
      <c r="D32" s="5">
        <v>44565</v>
      </c>
      <c r="E32" s="4">
        <v>2</v>
      </c>
      <c r="F32" s="4" t="s">
        <v>22</v>
      </c>
      <c r="G32" s="4" t="s">
        <v>30</v>
      </c>
      <c r="H32" s="4" t="s">
        <v>24</v>
      </c>
      <c r="I32" s="4" t="s">
        <v>30</v>
      </c>
      <c r="J32" s="5">
        <v>44566.574849537035</v>
      </c>
      <c r="K32" s="5">
        <v>44566.574849537035</v>
      </c>
      <c r="L32" s="3">
        <f t="shared" si="0"/>
        <v>1</v>
      </c>
      <c r="M32" s="4" t="s">
        <v>96</v>
      </c>
      <c r="N32" s="4" t="s">
        <v>26</v>
      </c>
      <c r="O32" s="4" t="s">
        <v>97</v>
      </c>
      <c r="P32" s="4" t="s">
        <v>28</v>
      </c>
      <c r="Q32" s="4" t="str">
        <f t="shared" si="1"/>
        <v>DENTRO DEL TIEMPO</v>
      </c>
      <c r="R32" s="6"/>
    </row>
    <row r="33" spans="1:18" ht="42.75" customHeight="1" x14ac:dyDescent="0.25">
      <c r="A33" s="3">
        <v>26</v>
      </c>
      <c r="B33" s="4" t="s">
        <v>98</v>
      </c>
      <c r="C33" s="5">
        <v>44565</v>
      </c>
      <c r="D33" s="5">
        <v>44565</v>
      </c>
      <c r="E33" s="4">
        <v>2</v>
      </c>
      <c r="F33" s="4" t="s">
        <v>22</v>
      </c>
      <c r="G33" s="4" t="s">
        <v>30</v>
      </c>
      <c r="H33" s="4" t="s">
        <v>24</v>
      </c>
      <c r="I33" s="4" t="s">
        <v>30</v>
      </c>
      <c r="J33" s="5">
        <v>44566.574849537035</v>
      </c>
      <c r="K33" s="5">
        <v>44566.574849537035</v>
      </c>
      <c r="L33" s="3">
        <f t="shared" si="0"/>
        <v>1</v>
      </c>
      <c r="M33" s="4" t="s">
        <v>99</v>
      </c>
      <c r="N33" s="4" t="s">
        <v>26</v>
      </c>
      <c r="O33" s="4" t="s">
        <v>100</v>
      </c>
      <c r="P33" s="4" t="s">
        <v>28</v>
      </c>
      <c r="Q33" s="4" t="str">
        <f t="shared" si="1"/>
        <v>DENTRO DEL TIEMPO</v>
      </c>
      <c r="R33" s="6"/>
    </row>
    <row r="34" spans="1:18" ht="42.75" customHeight="1" x14ac:dyDescent="0.25">
      <c r="A34" s="3">
        <v>27</v>
      </c>
      <c r="B34" s="4" t="s">
        <v>101</v>
      </c>
      <c r="C34" s="5">
        <v>44565</v>
      </c>
      <c r="D34" s="5">
        <v>44565</v>
      </c>
      <c r="E34" s="4">
        <v>2</v>
      </c>
      <c r="F34" s="4" t="s">
        <v>22</v>
      </c>
      <c r="G34" s="4" t="s">
        <v>30</v>
      </c>
      <c r="H34" s="4" t="s">
        <v>24</v>
      </c>
      <c r="I34" s="4" t="s">
        <v>30</v>
      </c>
      <c r="J34" s="5">
        <v>44566.652037037034</v>
      </c>
      <c r="K34" s="5">
        <v>44566.652037037034</v>
      </c>
      <c r="L34" s="3">
        <f t="shared" si="0"/>
        <v>1</v>
      </c>
      <c r="M34" s="4" t="s">
        <v>102</v>
      </c>
      <c r="N34" s="4" t="s">
        <v>26</v>
      </c>
      <c r="O34" s="4" t="s">
        <v>103</v>
      </c>
      <c r="P34" s="4" t="s">
        <v>28</v>
      </c>
      <c r="Q34" s="4" t="str">
        <f t="shared" si="1"/>
        <v>DENTRO DEL TIEMPO</v>
      </c>
      <c r="R34" s="6"/>
    </row>
    <row r="35" spans="1:18" ht="42.75" customHeight="1" x14ac:dyDescent="0.25">
      <c r="A35" s="3">
        <v>28</v>
      </c>
      <c r="B35" s="4" t="s">
        <v>104</v>
      </c>
      <c r="C35" s="5">
        <v>44566</v>
      </c>
      <c r="D35" s="5">
        <v>44566</v>
      </c>
      <c r="E35" s="4">
        <v>2</v>
      </c>
      <c r="F35" s="4" t="s">
        <v>22</v>
      </c>
      <c r="G35" s="4" t="s">
        <v>30</v>
      </c>
      <c r="H35" s="4" t="s">
        <v>24</v>
      </c>
      <c r="I35" s="4" t="s">
        <v>30</v>
      </c>
      <c r="J35" s="5">
        <v>44566.643182870372</v>
      </c>
      <c r="K35" s="5">
        <v>44566.643182870372</v>
      </c>
      <c r="L35" s="3">
        <f t="shared" si="0"/>
        <v>0</v>
      </c>
      <c r="M35" s="4" t="s">
        <v>105</v>
      </c>
      <c r="N35" s="4" t="s">
        <v>26</v>
      </c>
      <c r="O35" s="4" t="s">
        <v>106</v>
      </c>
      <c r="P35" s="4" t="s">
        <v>28</v>
      </c>
      <c r="Q35" s="4" t="str">
        <f t="shared" si="1"/>
        <v>DENTRO DEL TIEMPO</v>
      </c>
      <c r="R35" s="6"/>
    </row>
    <row r="36" spans="1:18" ht="42.75" customHeight="1" x14ac:dyDescent="0.25">
      <c r="A36" s="3">
        <v>29</v>
      </c>
      <c r="B36" s="4" t="s">
        <v>107</v>
      </c>
      <c r="C36" s="5">
        <v>44566</v>
      </c>
      <c r="D36" s="5">
        <v>44566</v>
      </c>
      <c r="E36" s="4">
        <v>2</v>
      </c>
      <c r="F36" s="4" t="s">
        <v>22</v>
      </c>
      <c r="G36" s="4" t="s">
        <v>30</v>
      </c>
      <c r="H36" s="4" t="s">
        <v>24</v>
      </c>
      <c r="I36" s="4" t="s">
        <v>30</v>
      </c>
      <c r="J36" s="5">
        <v>44567.380358796298</v>
      </c>
      <c r="K36" s="5">
        <v>44567.380358796298</v>
      </c>
      <c r="L36" s="3">
        <f t="shared" si="0"/>
        <v>1</v>
      </c>
      <c r="M36" s="4" t="s">
        <v>108</v>
      </c>
      <c r="N36" s="4" t="s">
        <v>26</v>
      </c>
      <c r="O36" s="4" t="s">
        <v>109</v>
      </c>
      <c r="P36" s="4" t="s">
        <v>28</v>
      </c>
      <c r="Q36" s="4" t="str">
        <f t="shared" si="1"/>
        <v>DENTRO DEL TIEMPO</v>
      </c>
      <c r="R36" s="6"/>
    </row>
    <row r="37" spans="1:18" ht="42.75" customHeight="1" x14ac:dyDescent="0.25">
      <c r="A37" s="3">
        <v>30</v>
      </c>
      <c r="B37" s="4" t="s">
        <v>110</v>
      </c>
      <c r="C37" s="5">
        <v>44566</v>
      </c>
      <c r="D37" s="5">
        <v>44566</v>
      </c>
      <c r="E37" s="4">
        <v>2</v>
      </c>
      <c r="F37" s="4" t="s">
        <v>22</v>
      </c>
      <c r="G37" s="4" t="s">
        <v>30</v>
      </c>
      <c r="H37" s="4" t="s">
        <v>24</v>
      </c>
      <c r="I37" s="4" t="s">
        <v>30</v>
      </c>
      <c r="J37" s="5">
        <v>44566.635439814818</v>
      </c>
      <c r="K37" s="5">
        <v>44566.635439814818</v>
      </c>
      <c r="L37" s="3">
        <f t="shared" si="0"/>
        <v>0</v>
      </c>
      <c r="M37" s="4" t="s">
        <v>111</v>
      </c>
      <c r="N37" s="4" t="s">
        <v>26</v>
      </c>
      <c r="O37" s="4" t="s">
        <v>112</v>
      </c>
      <c r="P37" s="4" t="s">
        <v>28</v>
      </c>
      <c r="Q37" s="4" t="str">
        <f t="shared" si="1"/>
        <v>DENTRO DEL TIEMPO</v>
      </c>
      <c r="R37" s="6"/>
    </row>
    <row r="38" spans="1:18" ht="42.75" customHeight="1" x14ac:dyDescent="0.25">
      <c r="A38" s="3">
        <v>31</v>
      </c>
      <c r="B38" s="4" t="s">
        <v>113</v>
      </c>
      <c r="C38" s="5">
        <v>44566</v>
      </c>
      <c r="D38" s="5">
        <v>44566</v>
      </c>
      <c r="E38" s="4">
        <v>2</v>
      </c>
      <c r="F38" s="4" t="s">
        <v>22</v>
      </c>
      <c r="G38" s="4" t="s">
        <v>30</v>
      </c>
      <c r="H38" s="4" t="s">
        <v>24</v>
      </c>
      <c r="I38" s="4" t="s">
        <v>30</v>
      </c>
      <c r="J38" s="5">
        <v>44567.394050925926</v>
      </c>
      <c r="K38" s="5">
        <v>44567.394050925926</v>
      </c>
      <c r="L38" s="3">
        <f t="shared" si="0"/>
        <v>1</v>
      </c>
      <c r="M38" s="4" t="s">
        <v>114</v>
      </c>
      <c r="N38" s="4" t="s">
        <v>26</v>
      </c>
      <c r="O38" s="4" t="s">
        <v>115</v>
      </c>
      <c r="P38" s="4" t="s">
        <v>28</v>
      </c>
      <c r="Q38" s="4" t="str">
        <f t="shared" si="1"/>
        <v>DENTRO DEL TIEMPO</v>
      </c>
      <c r="R38" s="6"/>
    </row>
    <row r="39" spans="1:18" ht="42.75" customHeight="1" x14ac:dyDescent="0.25">
      <c r="A39" s="3">
        <v>32</v>
      </c>
      <c r="B39" s="4" t="s">
        <v>116</v>
      </c>
      <c r="C39" s="5">
        <v>44566</v>
      </c>
      <c r="D39" s="5">
        <v>44566</v>
      </c>
      <c r="E39" s="4">
        <v>2</v>
      </c>
      <c r="F39" s="4" t="s">
        <v>22</v>
      </c>
      <c r="G39" s="4" t="s">
        <v>30</v>
      </c>
      <c r="H39" s="4" t="s">
        <v>24</v>
      </c>
      <c r="I39" s="4" t="s">
        <v>30</v>
      </c>
      <c r="J39" s="5">
        <v>44567.41443287037</v>
      </c>
      <c r="K39" s="5">
        <v>44567.41443287037</v>
      </c>
      <c r="L39" s="3">
        <f t="shared" si="0"/>
        <v>1</v>
      </c>
      <c r="M39" s="4" t="s">
        <v>117</v>
      </c>
      <c r="N39" s="4" t="s">
        <v>26</v>
      </c>
      <c r="O39" s="4" t="s">
        <v>118</v>
      </c>
      <c r="P39" s="4" t="s">
        <v>28</v>
      </c>
      <c r="Q39" s="4" t="str">
        <f t="shared" si="1"/>
        <v>DENTRO DEL TIEMPO</v>
      </c>
      <c r="R39" s="6"/>
    </row>
    <row r="40" spans="1:18" ht="42.75" customHeight="1" x14ac:dyDescent="0.25">
      <c r="A40" s="3">
        <v>33</v>
      </c>
      <c r="B40" s="4" t="s">
        <v>119</v>
      </c>
      <c r="C40" s="5">
        <v>44566</v>
      </c>
      <c r="D40" s="5">
        <v>44566</v>
      </c>
      <c r="E40" s="4">
        <v>2</v>
      </c>
      <c r="F40" s="4" t="s">
        <v>22</v>
      </c>
      <c r="G40" s="4" t="s">
        <v>30</v>
      </c>
      <c r="H40" s="4" t="s">
        <v>24</v>
      </c>
      <c r="I40" s="4" t="s">
        <v>30</v>
      </c>
      <c r="J40" s="5">
        <v>44567.51939814815</v>
      </c>
      <c r="K40" s="5">
        <v>44567.51939814815</v>
      </c>
      <c r="L40" s="3">
        <f t="shared" si="0"/>
        <v>1</v>
      </c>
      <c r="M40" s="4" t="s">
        <v>120</v>
      </c>
      <c r="N40" s="4" t="s">
        <v>26</v>
      </c>
      <c r="O40" s="4" t="s">
        <v>121</v>
      </c>
      <c r="P40" s="4" t="s">
        <v>28</v>
      </c>
      <c r="Q40" s="4" t="str">
        <f t="shared" si="1"/>
        <v>DENTRO DEL TIEMPO</v>
      </c>
      <c r="R40" s="6"/>
    </row>
    <row r="41" spans="1:18" ht="42.75" customHeight="1" x14ac:dyDescent="0.25">
      <c r="A41" s="3">
        <v>34</v>
      </c>
      <c r="B41" s="4" t="s">
        <v>122</v>
      </c>
      <c r="C41" s="5">
        <v>44566</v>
      </c>
      <c r="D41" s="5">
        <v>44566</v>
      </c>
      <c r="E41" s="4">
        <v>2</v>
      </c>
      <c r="F41" s="4" t="s">
        <v>22</v>
      </c>
      <c r="G41" s="4" t="s">
        <v>30</v>
      </c>
      <c r="H41" s="4" t="s">
        <v>24</v>
      </c>
      <c r="I41" s="4" t="s">
        <v>30</v>
      </c>
      <c r="J41" s="5">
        <v>44567.458310185182</v>
      </c>
      <c r="K41" s="5">
        <v>44567.458310185182</v>
      </c>
      <c r="L41" s="3">
        <f t="shared" si="0"/>
        <v>1</v>
      </c>
      <c r="M41" s="4" t="s">
        <v>123</v>
      </c>
      <c r="N41" s="4" t="s">
        <v>26</v>
      </c>
      <c r="O41" s="4" t="s">
        <v>121</v>
      </c>
      <c r="P41" s="4" t="s">
        <v>28</v>
      </c>
      <c r="Q41" s="4" t="str">
        <f t="shared" si="1"/>
        <v>DENTRO DEL TIEMPO</v>
      </c>
      <c r="R41" s="6"/>
    </row>
    <row r="42" spans="1:18" ht="42.75" customHeight="1" x14ac:dyDescent="0.25">
      <c r="A42" s="3">
        <v>35</v>
      </c>
      <c r="B42" s="4" t="s">
        <v>124</v>
      </c>
      <c r="C42" s="5">
        <v>44566</v>
      </c>
      <c r="D42" s="5">
        <v>44566</v>
      </c>
      <c r="E42" s="4">
        <v>2</v>
      </c>
      <c r="F42" s="4" t="s">
        <v>22</v>
      </c>
      <c r="G42" s="4" t="s">
        <v>30</v>
      </c>
      <c r="H42" s="4" t="s">
        <v>24</v>
      </c>
      <c r="I42" s="4" t="s">
        <v>30</v>
      </c>
      <c r="J42" s="5">
        <v>44567.539780092593</v>
      </c>
      <c r="K42" s="5">
        <v>44567.539780092593</v>
      </c>
      <c r="L42" s="3">
        <f t="shared" si="0"/>
        <v>1</v>
      </c>
      <c r="M42" s="4" t="s">
        <v>125</v>
      </c>
      <c r="N42" s="4" t="s">
        <v>26</v>
      </c>
      <c r="O42" s="4" t="s">
        <v>121</v>
      </c>
      <c r="P42" s="4" t="s">
        <v>28</v>
      </c>
      <c r="Q42" s="4" t="str">
        <f t="shared" si="1"/>
        <v>DENTRO DEL TIEMPO</v>
      </c>
      <c r="R42" s="6"/>
    </row>
    <row r="43" spans="1:18" ht="42.75" customHeight="1" x14ac:dyDescent="0.25">
      <c r="A43" s="3">
        <v>36</v>
      </c>
      <c r="B43" s="4" t="s">
        <v>126</v>
      </c>
      <c r="C43" s="5">
        <v>44566</v>
      </c>
      <c r="D43" s="5">
        <v>44566</v>
      </c>
      <c r="E43" s="4">
        <v>2</v>
      </c>
      <c r="F43" s="4" t="s">
        <v>22</v>
      </c>
      <c r="G43" s="4" t="s">
        <v>30</v>
      </c>
      <c r="H43" s="4" t="s">
        <v>24</v>
      </c>
      <c r="I43" s="4" t="s">
        <v>30</v>
      </c>
      <c r="J43" s="5">
        <v>44567.54859953704</v>
      </c>
      <c r="K43" s="5">
        <v>44567.54859953704</v>
      </c>
      <c r="L43" s="3">
        <f t="shared" si="0"/>
        <v>1</v>
      </c>
      <c r="M43" s="4" t="s">
        <v>127</v>
      </c>
      <c r="N43" s="4" t="s">
        <v>26</v>
      </c>
      <c r="O43" s="4" t="s">
        <v>128</v>
      </c>
      <c r="P43" s="4" t="s">
        <v>28</v>
      </c>
      <c r="Q43" s="4" t="str">
        <f t="shared" si="1"/>
        <v>DENTRO DEL TIEMPO</v>
      </c>
      <c r="R43" s="6"/>
    </row>
    <row r="44" spans="1:18" ht="42.75" customHeight="1" x14ac:dyDescent="0.25">
      <c r="A44" s="3">
        <v>37</v>
      </c>
      <c r="B44" s="4" t="s">
        <v>129</v>
      </c>
      <c r="C44" s="5">
        <v>44566</v>
      </c>
      <c r="D44" s="5">
        <v>44566</v>
      </c>
      <c r="E44" s="4">
        <v>2</v>
      </c>
      <c r="F44" s="4" t="s">
        <v>22</v>
      </c>
      <c r="G44" s="4" t="s">
        <v>30</v>
      </c>
      <c r="H44" s="4" t="s">
        <v>24</v>
      </c>
      <c r="I44" s="4" t="s">
        <v>30</v>
      </c>
      <c r="J44" s="5">
        <v>44567.665300925924</v>
      </c>
      <c r="K44" s="5">
        <v>44567.665300925924</v>
      </c>
      <c r="L44" s="3">
        <f t="shared" si="0"/>
        <v>1</v>
      </c>
      <c r="M44" s="4" t="s">
        <v>130</v>
      </c>
      <c r="N44" s="4" t="s">
        <v>26</v>
      </c>
      <c r="O44" s="4" t="s">
        <v>131</v>
      </c>
      <c r="P44" s="4" t="s">
        <v>28</v>
      </c>
      <c r="Q44" s="4" t="str">
        <f t="shared" si="1"/>
        <v>DENTRO DEL TIEMPO</v>
      </c>
      <c r="R44" s="6"/>
    </row>
    <row r="45" spans="1:18" ht="42.75" customHeight="1" x14ac:dyDescent="0.25">
      <c r="A45" s="3">
        <v>38</v>
      </c>
      <c r="B45" s="4" t="s">
        <v>132</v>
      </c>
      <c r="C45" s="5">
        <v>44566</v>
      </c>
      <c r="D45" s="5">
        <v>44566</v>
      </c>
      <c r="E45" s="4">
        <v>2</v>
      </c>
      <c r="F45" s="4" t="s">
        <v>22</v>
      </c>
      <c r="G45" s="4" t="s">
        <v>30</v>
      </c>
      <c r="H45" s="4" t="s">
        <v>24</v>
      </c>
      <c r="I45" s="4" t="s">
        <v>30</v>
      </c>
      <c r="J45" s="5">
        <v>44567.650266203702</v>
      </c>
      <c r="K45" s="5">
        <v>44567.650266203702</v>
      </c>
      <c r="L45" s="3">
        <f t="shared" si="0"/>
        <v>1</v>
      </c>
      <c r="M45" s="4" t="s">
        <v>133</v>
      </c>
      <c r="N45" s="4" t="s">
        <v>26</v>
      </c>
      <c r="O45" s="4" t="s">
        <v>131</v>
      </c>
      <c r="P45" s="4" t="s">
        <v>28</v>
      </c>
      <c r="Q45" s="4" t="str">
        <f t="shared" si="1"/>
        <v>DENTRO DEL TIEMPO</v>
      </c>
      <c r="R45" s="6"/>
    </row>
    <row r="46" spans="1:18" ht="42.75" customHeight="1" x14ac:dyDescent="0.25">
      <c r="A46" s="3">
        <v>39</v>
      </c>
      <c r="B46" s="4" t="s">
        <v>134</v>
      </c>
      <c r="C46" s="5">
        <v>44566</v>
      </c>
      <c r="D46" s="5">
        <v>44566</v>
      </c>
      <c r="E46" s="4">
        <v>2</v>
      </c>
      <c r="F46" s="4" t="s">
        <v>22</v>
      </c>
      <c r="G46" s="4" t="s">
        <v>30</v>
      </c>
      <c r="H46" s="4" t="s">
        <v>24</v>
      </c>
      <c r="I46" s="4" t="s">
        <v>30</v>
      </c>
      <c r="J46" s="5">
        <v>44568.343356481484</v>
      </c>
      <c r="K46" s="5">
        <v>44568.343356481484</v>
      </c>
      <c r="L46" s="3">
        <f t="shared" si="0"/>
        <v>2</v>
      </c>
      <c r="M46" s="4" t="s">
        <v>135</v>
      </c>
      <c r="N46" s="4" t="s">
        <v>26</v>
      </c>
      <c r="O46" s="4" t="s">
        <v>136</v>
      </c>
      <c r="P46" s="4" t="s">
        <v>28</v>
      </c>
      <c r="Q46" s="4" t="str">
        <f t="shared" si="1"/>
        <v>DENTRO DEL TIEMPO</v>
      </c>
      <c r="R46" s="6"/>
    </row>
    <row r="47" spans="1:18" ht="42.75" customHeight="1" x14ac:dyDescent="0.25">
      <c r="A47" s="3">
        <v>40</v>
      </c>
      <c r="B47" s="4" t="s">
        <v>137</v>
      </c>
      <c r="C47" s="5">
        <v>44566</v>
      </c>
      <c r="D47" s="5">
        <v>44566</v>
      </c>
      <c r="E47" s="4">
        <v>2</v>
      </c>
      <c r="F47" s="4" t="s">
        <v>22</v>
      </c>
      <c r="G47" s="4" t="s">
        <v>30</v>
      </c>
      <c r="H47" s="4" t="s">
        <v>24</v>
      </c>
      <c r="I47" s="4" t="s">
        <v>30</v>
      </c>
      <c r="J47" s="5">
        <v>44568.358958333331</v>
      </c>
      <c r="K47" s="5">
        <v>44568.358958333331</v>
      </c>
      <c r="L47" s="3">
        <f t="shared" si="0"/>
        <v>2</v>
      </c>
      <c r="M47" s="4" t="s">
        <v>138</v>
      </c>
      <c r="N47" s="4" t="s">
        <v>26</v>
      </c>
      <c r="O47" s="4" t="s">
        <v>139</v>
      </c>
      <c r="P47" s="4" t="s">
        <v>28</v>
      </c>
      <c r="Q47" s="4" t="str">
        <f t="shared" si="1"/>
        <v>DENTRO DEL TIEMPO</v>
      </c>
      <c r="R47" s="6"/>
    </row>
    <row r="48" spans="1:18" ht="42.75" customHeight="1" x14ac:dyDescent="0.25">
      <c r="A48" s="3">
        <v>41</v>
      </c>
      <c r="B48" s="4" t="s">
        <v>140</v>
      </c>
      <c r="C48" s="5">
        <v>44566</v>
      </c>
      <c r="D48" s="5">
        <v>44566</v>
      </c>
      <c r="E48" s="4">
        <v>2</v>
      </c>
      <c r="F48" s="4" t="s">
        <v>22</v>
      </c>
      <c r="G48" s="4" t="s">
        <v>23</v>
      </c>
      <c r="H48" s="4" t="s">
        <v>24</v>
      </c>
      <c r="I48" s="4" t="s">
        <v>23</v>
      </c>
      <c r="J48" s="5">
        <v>44568.355613425927</v>
      </c>
      <c r="K48" s="5">
        <v>44568.355613425927</v>
      </c>
      <c r="L48" s="3">
        <f t="shared" si="0"/>
        <v>2</v>
      </c>
      <c r="M48" s="4" t="s">
        <v>141</v>
      </c>
      <c r="N48" s="4" t="s">
        <v>26</v>
      </c>
      <c r="O48" s="4" t="s">
        <v>142</v>
      </c>
      <c r="P48" s="4" t="s">
        <v>28</v>
      </c>
      <c r="Q48" s="4" t="str">
        <f t="shared" si="1"/>
        <v>DENTRO DEL TIEMPO</v>
      </c>
      <c r="R48" s="6"/>
    </row>
    <row r="49" spans="1:18" ht="42.75" customHeight="1" x14ac:dyDescent="0.25">
      <c r="A49" s="3">
        <v>42</v>
      </c>
      <c r="B49" s="4" t="s">
        <v>143</v>
      </c>
      <c r="C49" s="5">
        <v>44566</v>
      </c>
      <c r="D49" s="5">
        <v>44566</v>
      </c>
      <c r="E49" s="4">
        <v>2</v>
      </c>
      <c r="F49" s="4" t="s">
        <v>22</v>
      </c>
      <c r="G49" s="4" t="s">
        <v>30</v>
      </c>
      <c r="H49" s="4" t="s">
        <v>24</v>
      </c>
      <c r="I49" s="4" t="s">
        <v>30</v>
      </c>
      <c r="J49" s="5">
        <v>44567.636793981481</v>
      </c>
      <c r="K49" s="5">
        <v>44567.636793981481</v>
      </c>
      <c r="L49" s="3">
        <f t="shared" si="0"/>
        <v>1</v>
      </c>
      <c r="M49" s="4" t="s">
        <v>144</v>
      </c>
      <c r="N49" s="4" t="s">
        <v>26</v>
      </c>
      <c r="O49" s="4" t="s">
        <v>145</v>
      </c>
      <c r="P49" s="4" t="s">
        <v>28</v>
      </c>
      <c r="Q49" s="4" t="str">
        <f t="shared" si="1"/>
        <v>DENTRO DEL TIEMPO</v>
      </c>
      <c r="R49" s="6"/>
    </row>
    <row r="50" spans="1:18" ht="42.75" customHeight="1" x14ac:dyDescent="0.25">
      <c r="A50" s="3">
        <v>43</v>
      </c>
      <c r="B50" s="4" t="s">
        <v>146</v>
      </c>
      <c r="C50" s="5">
        <v>44566</v>
      </c>
      <c r="D50" s="5">
        <v>44566</v>
      </c>
      <c r="E50" s="4">
        <v>2</v>
      </c>
      <c r="F50" s="4" t="s">
        <v>22</v>
      </c>
      <c r="G50" s="4" t="s">
        <v>30</v>
      </c>
      <c r="H50" s="4" t="s">
        <v>24</v>
      </c>
      <c r="I50" s="4" t="s">
        <v>30</v>
      </c>
      <c r="J50" s="5">
        <v>44568.367384259262</v>
      </c>
      <c r="K50" s="5">
        <v>44568.367384259262</v>
      </c>
      <c r="L50" s="3">
        <f t="shared" si="0"/>
        <v>2</v>
      </c>
      <c r="M50" s="4" t="s">
        <v>147</v>
      </c>
      <c r="N50" s="4" t="s">
        <v>26</v>
      </c>
      <c r="O50" s="4" t="s">
        <v>148</v>
      </c>
      <c r="P50" s="4" t="s">
        <v>28</v>
      </c>
      <c r="Q50" s="4" t="str">
        <f t="shared" si="1"/>
        <v>DENTRO DEL TIEMPO</v>
      </c>
      <c r="R50" s="6"/>
    </row>
    <row r="51" spans="1:18" ht="42.75" customHeight="1" x14ac:dyDescent="0.25">
      <c r="A51" s="3">
        <v>44</v>
      </c>
      <c r="B51" s="4" t="s">
        <v>149</v>
      </c>
      <c r="C51" s="5">
        <v>44566</v>
      </c>
      <c r="D51" s="5">
        <v>44566</v>
      </c>
      <c r="E51" s="4">
        <v>2</v>
      </c>
      <c r="F51" s="4" t="s">
        <v>22</v>
      </c>
      <c r="G51" s="4" t="s">
        <v>30</v>
      </c>
      <c r="H51" s="4" t="s">
        <v>24</v>
      </c>
      <c r="I51" s="4" t="s">
        <v>30</v>
      </c>
      <c r="J51" s="5">
        <v>44568.374918981484</v>
      </c>
      <c r="K51" s="5">
        <v>44568.374918981484</v>
      </c>
      <c r="L51" s="3">
        <f t="shared" si="0"/>
        <v>2</v>
      </c>
      <c r="M51" s="4" t="s">
        <v>150</v>
      </c>
      <c r="N51" s="4" t="s">
        <v>26</v>
      </c>
      <c r="O51" s="4" t="s">
        <v>151</v>
      </c>
      <c r="P51" s="4" t="s">
        <v>28</v>
      </c>
      <c r="Q51" s="4" t="str">
        <f t="shared" si="1"/>
        <v>DENTRO DEL TIEMPO</v>
      </c>
      <c r="R51" s="6"/>
    </row>
    <row r="52" spans="1:18" ht="42.75" customHeight="1" x14ac:dyDescent="0.25">
      <c r="A52" s="3">
        <v>45</v>
      </c>
      <c r="B52" s="4" t="s">
        <v>152</v>
      </c>
      <c r="C52" s="5">
        <v>44566</v>
      </c>
      <c r="D52" s="5">
        <v>44566</v>
      </c>
      <c r="E52" s="4">
        <v>2</v>
      </c>
      <c r="F52" s="4" t="s">
        <v>22</v>
      </c>
      <c r="G52" s="4" t="s">
        <v>30</v>
      </c>
      <c r="H52" s="4" t="s">
        <v>24</v>
      </c>
      <c r="I52" s="4" t="s">
        <v>30</v>
      </c>
      <c r="J52" s="5">
        <v>44568.385520833333</v>
      </c>
      <c r="K52" s="5">
        <v>44568.385520833333</v>
      </c>
      <c r="L52" s="3">
        <f t="shared" si="0"/>
        <v>2</v>
      </c>
      <c r="M52" s="4" t="s">
        <v>153</v>
      </c>
      <c r="N52" s="4" t="s">
        <v>26</v>
      </c>
      <c r="O52" s="4" t="s">
        <v>154</v>
      </c>
      <c r="P52" s="4" t="s">
        <v>28</v>
      </c>
      <c r="Q52" s="4" t="str">
        <f t="shared" si="1"/>
        <v>DENTRO DEL TIEMPO</v>
      </c>
      <c r="R52" s="6"/>
    </row>
    <row r="53" spans="1:18" ht="42.75" customHeight="1" x14ac:dyDescent="0.25">
      <c r="A53" s="3">
        <v>46</v>
      </c>
      <c r="B53" s="4" t="s">
        <v>155</v>
      </c>
      <c r="C53" s="5">
        <v>44566</v>
      </c>
      <c r="D53" s="5">
        <v>44566</v>
      </c>
      <c r="E53" s="4">
        <v>2</v>
      </c>
      <c r="F53" s="4" t="s">
        <v>22</v>
      </c>
      <c r="G53" s="4" t="s">
        <v>30</v>
      </c>
      <c r="H53" s="4" t="s">
        <v>24</v>
      </c>
      <c r="I53" s="4" t="s">
        <v>30</v>
      </c>
      <c r="J53" s="5">
        <v>44568.400648148148</v>
      </c>
      <c r="K53" s="5">
        <v>44568.400648148148</v>
      </c>
      <c r="L53" s="3">
        <f t="shared" si="0"/>
        <v>2</v>
      </c>
      <c r="M53" s="4" t="s">
        <v>156</v>
      </c>
      <c r="N53" s="4" t="s">
        <v>26</v>
      </c>
      <c r="O53" s="4" t="s">
        <v>154</v>
      </c>
      <c r="P53" s="4" t="s">
        <v>28</v>
      </c>
      <c r="Q53" s="4" t="str">
        <f t="shared" si="1"/>
        <v>DENTRO DEL TIEMPO</v>
      </c>
      <c r="R53" s="6"/>
    </row>
    <row r="54" spans="1:18" ht="42.75" customHeight="1" x14ac:dyDescent="0.25">
      <c r="A54" s="3">
        <v>47</v>
      </c>
      <c r="B54" s="4" t="s">
        <v>157</v>
      </c>
      <c r="C54" s="5">
        <v>44566</v>
      </c>
      <c r="D54" s="5">
        <v>44566</v>
      </c>
      <c r="E54" s="4">
        <v>2</v>
      </c>
      <c r="F54" s="4" t="s">
        <v>22</v>
      </c>
      <c r="G54" s="4" t="s">
        <v>30</v>
      </c>
      <c r="H54" s="4" t="s">
        <v>24</v>
      </c>
      <c r="I54" s="4" t="s">
        <v>30</v>
      </c>
      <c r="J54" s="5">
        <v>44568.406666666669</v>
      </c>
      <c r="K54" s="5">
        <v>44568.406666666669</v>
      </c>
      <c r="L54" s="3">
        <f t="shared" si="0"/>
        <v>2</v>
      </c>
      <c r="M54" s="4" t="s">
        <v>158</v>
      </c>
      <c r="N54" s="4" t="s">
        <v>26</v>
      </c>
      <c r="O54" s="4" t="s">
        <v>159</v>
      </c>
      <c r="P54" s="4" t="s">
        <v>28</v>
      </c>
      <c r="Q54" s="4" t="str">
        <f t="shared" si="1"/>
        <v>DENTRO DEL TIEMPO</v>
      </c>
      <c r="R54" s="6"/>
    </row>
    <row r="55" spans="1:18" ht="42.75" customHeight="1" x14ac:dyDescent="0.25">
      <c r="A55" s="3">
        <v>48</v>
      </c>
      <c r="B55" s="4" t="s">
        <v>160</v>
      </c>
      <c r="C55" s="5">
        <v>44566</v>
      </c>
      <c r="D55" s="5">
        <v>44566</v>
      </c>
      <c r="E55" s="4">
        <v>2</v>
      </c>
      <c r="F55" s="4" t="s">
        <v>22</v>
      </c>
      <c r="G55" s="4" t="s">
        <v>49</v>
      </c>
      <c r="H55" s="4" t="s">
        <v>24</v>
      </c>
      <c r="I55" s="4" t="s">
        <v>49</v>
      </c>
      <c r="J55" s="5">
        <v>44568.5237037037</v>
      </c>
      <c r="K55" s="5">
        <v>44568.5237037037</v>
      </c>
      <c r="L55" s="3">
        <f t="shared" si="0"/>
        <v>2</v>
      </c>
      <c r="M55" s="4" t="s">
        <v>161</v>
      </c>
      <c r="N55" s="4" t="s">
        <v>26</v>
      </c>
      <c r="O55" s="4" t="s">
        <v>162</v>
      </c>
      <c r="P55" s="4" t="s">
        <v>28</v>
      </c>
      <c r="Q55" s="4" t="str">
        <f t="shared" si="1"/>
        <v>DENTRO DEL TIEMPO</v>
      </c>
      <c r="R55" s="6"/>
    </row>
    <row r="56" spans="1:18" ht="42.75" customHeight="1" x14ac:dyDescent="0.25">
      <c r="A56" s="3">
        <v>49</v>
      </c>
      <c r="B56" s="4" t="s">
        <v>163</v>
      </c>
      <c r="C56" s="5">
        <v>44566</v>
      </c>
      <c r="D56" s="5">
        <v>44566</v>
      </c>
      <c r="E56" s="4">
        <v>2</v>
      </c>
      <c r="F56" s="4" t="s">
        <v>22</v>
      </c>
      <c r="G56" s="4" t="s">
        <v>30</v>
      </c>
      <c r="H56" s="4" t="s">
        <v>24</v>
      </c>
      <c r="I56" s="4" t="s">
        <v>30</v>
      </c>
      <c r="J56" s="5">
        <v>44568.442789351851</v>
      </c>
      <c r="K56" s="5">
        <v>44568.442789351851</v>
      </c>
      <c r="L56" s="3">
        <f t="shared" si="0"/>
        <v>2</v>
      </c>
      <c r="M56" s="4" t="s">
        <v>164</v>
      </c>
      <c r="N56" s="4" t="s">
        <v>26</v>
      </c>
      <c r="O56" s="4" t="s">
        <v>165</v>
      </c>
      <c r="P56" s="4" t="s">
        <v>28</v>
      </c>
      <c r="Q56" s="4" t="str">
        <f t="shared" si="1"/>
        <v>DENTRO DEL TIEMPO</v>
      </c>
      <c r="R56" s="6"/>
    </row>
    <row r="57" spans="1:18" ht="42.75" customHeight="1" x14ac:dyDescent="0.25">
      <c r="A57" s="3">
        <v>50</v>
      </c>
      <c r="B57" s="4" t="s">
        <v>166</v>
      </c>
      <c r="C57" s="5">
        <v>44566</v>
      </c>
      <c r="D57" s="5">
        <v>44566</v>
      </c>
      <c r="E57" s="4">
        <v>2</v>
      </c>
      <c r="F57" s="4" t="s">
        <v>22</v>
      </c>
      <c r="G57" s="4" t="s">
        <v>30</v>
      </c>
      <c r="H57" s="4" t="s">
        <v>24</v>
      </c>
      <c r="I57" s="4" t="s">
        <v>30</v>
      </c>
      <c r="J57" s="5">
        <v>44568.44902777778</v>
      </c>
      <c r="K57" s="5">
        <v>44568.44902777778</v>
      </c>
      <c r="L57" s="3">
        <f t="shared" si="0"/>
        <v>2</v>
      </c>
      <c r="M57" s="4" t="s">
        <v>167</v>
      </c>
      <c r="N57" s="4" t="s">
        <v>26</v>
      </c>
      <c r="O57" s="4" t="s">
        <v>168</v>
      </c>
      <c r="P57" s="4" t="s">
        <v>28</v>
      </c>
      <c r="Q57" s="4" t="str">
        <f t="shared" si="1"/>
        <v>DENTRO DEL TIEMPO</v>
      </c>
      <c r="R57" s="6"/>
    </row>
    <row r="58" spans="1:18" ht="42.75" customHeight="1" x14ac:dyDescent="0.25">
      <c r="A58" s="3">
        <v>51</v>
      </c>
      <c r="B58" s="4" t="s">
        <v>169</v>
      </c>
      <c r="C58" s="5">
        <v>44566</v>
      </c>
      <c r="D58" s="5">
        <v>44566</v>
      </c>
      <c r="E58" s="4">
        <v>2</v>
      </c>
      <c r="F58" s="4" t="s">
        <v>22</v>
      </c>
      <c r="G58" s="4" t="s">
        <v>30</v>
      </c>
      <c r="H58" s="4" t="s">
        <v>24</v>
      </c>
      <c r="I58" s="4" t="s">
        <v>30</v>
      </c>
      <c r="J58" s="5">
        <v>44568.530312499999</v>
      </c>
      <c r="K58" s="5">
        <v>44568.530312499999</v>
      </c>
      <c r="L58" s="3">
        <f t="shared" si="0"/>
        <v>2</v>
      </c>
      <c r="M58" s="4" t="s">
        <v>170</v>
      </c>
      <c r="N58" s="4" t="s">
        <v>26</v>
      </c>
      <c r="O58" s="4" t="s">
        <v>171</v>
      </c>
      <c r="P58" s="4" t="s">
        <v>28</v>
      </c>
      <c r="Q58" s="4" t="str">
        <f t="shared" si="1"/>
        <v>DENTRO DEL TIEMPO</v>
      </c>
      <c r="R58" s="6"/>
    </row>
    <row r="59" spans="1:18" ht="42.75" customHeight="1" x14ac:dyDescent="0.25">
      <c r="A59" s="3">
        <v>52</v>
      </c>
      <c r="B59" s="4" t="s">
        <v>172</v>
      </c>
      <c r="C59" s="5">
        <v>44566</v>
      </c>
      <c r="D59" s="5">
        <v>44566</v>
      </c>
      <c r="E59" s="4">
        <v>2</v>
      </c>
      <c r="F59" s="4" t="s">
        <v>22</v>
      </c>
      <c r="G59" s="4" t="s">
        <v>30</v>
      </c>
      <c r="H59" s="4" t="s">
        <v>24</v>
      </c>
      <c r="I59" s="4" t="s">
        <v>30</v>
      </c>
      <c r="J59" s="5">
        <v>44568.581886574073</v>
      </c>
      <c r="K59" s="5">
        <v>44568.581886574073</v>
      </c>
      <c r="L59" s="3">
        <f t="shared" si="0"/>
        <v>2</v>
      </c>
      <c r="M59" s="4" t="s">
        <v>173</v>
      </c>
      <c r="N59" s="4" t="s">
        <v>26</v>
      </c>
      <c r="O59" s="4" t="s">
        <v>174</v>
      </c>
      <c r="P59" s="4" t="s">
        <v>28</v>
      </c>
      <c r="Q59" s="4" t="str">
        <f t="shared" si="1"/>
        <v>DENTRO DEL TIEMPO</v>
      </c>
      <c r="R59" s="6"/>
    </row>
    <row r="60" spans="1:18" ht="42.75" customHeight="1" x14ac:dyDescent="0.25">
      <c r="A60" s="3">
        <v>53</v>
      </c>
      <c r="B60" s="4" t="s">
        <v>175</v>
      </c>
      <c r="C60" s="5">
        <v>44567</v>
      </c>
      <c r="D60" s="5">
        <v>44567</v>
      </c>
      <c r="E60" s="4">
        <v>2</v>
      </c>
      <c r="F60" s="4" t="s">
        <v>22</v>
      </c>
      <c r="G60" s="4" t="s">
        <v>30</v>
      </c>
      <c r="H60" s="4" t="s">
        <v>24</v>
      </c>
      <c r="I60" s="4" t="s">
        <v>30</v>
      </c>
      <c r="J60" s="5">
        <v>44568.62709490741</v>
      </c>
      <c r="K60" s="5">
        <v>44568.62709490741</v>
      </c>
      <c r="L60" s="3">
        <f t="shared" si="0"/>
        <v>1</v>
      </c>
      <c r="M60" s="4" t="s">
        <v>176</v>
      </c>
      <c r="N60" s="4" t="s">
        <v>26</v>
      </c>
      <c r="O60" s="4" t="s">
        <v>177</v>
      </c>
      <c r="P60" s="4" t="s">
        <v>28</v>
      </c>
      <c r="Q60" s="4" t="str">
        <f t="shared" si="1"/>
        <v>DENTRO DEL TIEMPO</v>
      </c>
      <c r="R60" s="6"/>
    </row>
    <row r="61" spans="1:18" ht="42.75" customHeight="1" x14ac:dyDescent="0.25">
      <c r="A61" s="3">
        <v>54</v>
      </c>
      <c r="B61" s="4" t="s">
        <v>178</v>
      </c>
      <c r="C61" s="5">
        <v>44567</v>
      </c>
      <c r="D61" s="5">
        <v>44567</v>
      </c>
      <c r="E61" s="4">
        <v>2</v>
      </c>
      <c r="F61" s="4" t="s">
        <v>22</v>
      </c>
      <c r="G61" s="4" t="s">
        <v>30</v>
      </c>
      <c r="H61" s="4" t="s">
        <v>24</v>
      </c>
      <c r="I61" s="4" t="s">
        <v>30</v>
      </c>
      <c r="J61" s="5">
        <v>44568.652627314812</v>
      </c>
      <c r="K61" s="5">
        <v>44568.652627314812</v>
      </c>
      <c r="L61" s="3">
        <f t="shared" si="0"/>
        <v>1</v>
      </c>
      <c r="M61" s="4" t="s">
        <v>179</v>
      </c>
      <c r="N61" s="4" t="s">
        <v>26</v>
      </c>
      <c r="O61" s="4" t="s">
        <v>180</v>
      </c>
      <c r="P61" s="4" t="s">
        <v>28</v>
      </c>
      <c r="Q61" s="4" t="str">
        <f t="shared" si="1"/>
        <v>DENTRO DEL TIEMPO</v>
      </c>
      <c r="R61" s="6"/>
    </row>
    <row r="62" spans="1:18" ht="42.75" customHeight="1" x14ac:dyDescent="0.25">
      <c r="A62" s="3">
        <v>55</v>
      </c>
      <c r="B62" s="4" t="s">
        <v>181</v>
      </c>
      <c r="C62" s="5">
        <v>44567</v>
      </c>
      <c r="D62" s="5">
        <v>44567</v>
      </c>
      <c r="E62" s="4">
        <v>2</v>
      </c>
      <c r="F62" s="4" t="s">
        <v>22</v>
      </c>
      <c r="G62" s="4" t="s">
        <v>30</v>
      </c>
      <c r="H62" s="4" t="s">
        <v>24</v>
      </c>
      <c r="I62" s="4" t="s">
        <v>30</v>
      </c>
      <c r="J62" s="5">
        <v>44571.34578703704</v>
      </c>
      <c r="K62" s="5">
        <v>44571.34578703704</v>
      </c>
      <c r="L62" s="3">
        <f t="shared" si="0"/>
        <v>2</v>
      </c>
      <c r="M62" s="4" t="s">
        <v>182</v>
      </c>
      <c r="N62" s="4" t="s">
        <v>26</v>
      </c>
      <c r="O62" s="4" t="s">
        <v>183</v>
      </c>
      <c r="P62" s="4" t="s">
        <v>28</v>
      </c>
      <c r="Q62" s="4" t="str">
        <f t="shared" si="1"/>
        <v>DENTRO DEL TIEMPO</v>
      </c>
      <c r="R62" s="6"/>
    </row>
    <row r="63" spans="1:18" ht="42.75" customHeight="1" x14ac:dyDescent="0.25">
      <c r="A63" s="3">
        <v>56</v>
      </c>
      <c r="B63" s="4" t="s">
        <v>184</v>
      </c>
      <c r="C63" s="5">
        <v>44567</v>
      </c>
      <c r="D63" s="5">
        <v>44567</v>
      </c>
      <c r="E63" s="4">
        <v>2</v>
      </c>
      <c r="F63" s="4" t="s">
        <v>22</v>
      </c>
      <c r="G63" s="4" t="s">
        <v>30</v>
      </c>
      <c r="H63" s="4" t="s">
        <v>24</v>
      </c>
      <c r="I63" s="4" t="s">
        <v>30</v>
      </c>
      <c r="J63" s="5">
        <v>44571.400995370372</v>
      </c>
      <c r="K63" s="5">
        <v>44571.400995370372</v>
      </c>
      <c r="L63" s="3">
        <f t="shared" si="0"/>
        <v>2</v>
      </c>
      <c r="M63" s="4" t="s">
        <v>185</v>
      </c>
      <c r="N63" s="4" t="s">
        <v>26</v>
      </c>
      <c r="O63" s="4" t="s">
        <v>186</v>
      </c>
      <c r="P63" s="4" t="s">
        <v>28</v>
      </c>
      <c r="Q63" s="4" t="str">
        <f t="shared" si="1"/>
        <v>DENTRO DEL TIEMPO</v>
      </c>
      <c r="R63" s="6"/>
    </row>
    <row r="64" spans="1:18" ht="42.75" customHeight="1" x14ac:dyDescent="0.25">
      <c r="A64" s="3">
        <v>57</v>
      </c>
      <c r="B64" s="4" t="s">
        <v>187</v>
      </c>
      <c r="C64" s="5">
        <v>44567</v>
      </c>
      <c r="D64" s="5">
        <v>44567</v>
      </c>
      <c r="E64" s="4">
        <v>2</v>
      </c>
      <c r="F64" s="4" t="s">
        <v>22</v>
      </c>
      <c r="G64" s="4" t="s">
        <v>30</v>
      </c>
      <c r="H64" s="4" t="s">
        <v>24</v>
      </c>
      <c r="I64" s="4" t="s">
        <v>30</v>
      </c>
      <c r="J64" s="5">
        <v>44571.410937499997</v>
      </c>
      <c r="K64" s="5">
        <v>44571.410937499997</v>
      </c>
      <c r="L64" s="3">
        <f t="shared" si="0"/>
        <v>2</v>
      </c>
      <c r="M64" s="4" t="s">
        <v>188</v>
      </c>
      <c r="N64" s="4" t="s">
        <v>26</v>
      </c>
      <c r="O64" s="4" t="s">
        <v>189</v>
      </c>
      <c r="P64" s="4" t="s">
        <v>28</v>
      </c>
      <c r="Q64" s="4" t="str">
        <f t="shared" si="1"/>
        <v>DENTRO DEL TIEMPO</v>
      </c>
      <c r="R64" s="6"/>
    </row>
    <row r="65" spans="1:18" ht="42.75" customHeight="1" x14ac:dyDescent="0.25">
      <c r="A65" s="3">
        <v>58</v>
      </c>
      <c r="B65" s="4" t="s">
        <v>190</v>
      </c>
      <c r="C65" s="5">
        <v>44567</v>
      </c>
      <c r="D65" s="5">
        <v>44567</v>
      </c>
      <c r="E65" s="4">
        <v>2</v>
      </c>
      <c r="F65" s="4" t="s">
        <v>22</v>
      </c>
      <c r="G65" s="4" t="s">
        <v>30</v>
      </c>
      <c r="H65" s="4" t="s">
        <v>24</v>
      </c>
      <c r="I65" s="4" t="s">
        <v>30</v>
      </c>
      <c r="J65" s="5">
        <v>44571.373182870368</v>
      </c>
      <c r="K65" s="5">
        <v>44571.373182870368</v>
      </c>
      <c r="L65" s="3">
        <f t="shared" si="0"/>
        <v>2</v>
      </c>
      <c r="M65" s="4" t="s">
        <v>191</v>
      </c>
      <c r="N65" s="4" t="s">
        <v>26</v>
      </c>
      <c r="O65" s="4" t="s">
        <v>192</v>
      </c>
      <c r="P65" s="4" t="s">
        <v>28</v>
      </c>
      <c r="Q65" s="4" t="str">
        <f t="shared" si="1"/>
        <v>DENTRO DEL TIEMPO</v>
      </c>
      <c r="R65" s="6"/>
    </row>
    <row r="66" spans="1:18" ht="42.75" customHeight="1" x14ac:dyDescent="0.25">
      <c r="A66" s="3">
        <v>59</v>
      </c>
      <c r="B66" s="4" t="s">
        <v>193</v>
      </c>
      <c r="C66" s="5">
        <v>44567</v>
      </c>
      <c r="D66" s="5">
        <v>44567</v>
      </c>
      <c r="E66" s="4">
        <v>2</v>
      </c>
      <c r="F66" s="4" t="s">
        <v>22</v>
      </c>
      <c r="G66" s="4" t="s">
        <v>30</v>
      </c>
      <c r="H66" s="4" t="s">
        <v>24</v>
      </c>
      <c r="I66" s="4" t="s">
        <v>30</v>
      </c>
      <c r="J66" s="5">
        <v>44571.421770833331</v>
      </c>
      <c r="K66" s="5">
        <v>44571.421770833331</v>
      </c>
      <c r="L66" s="3">
        <f t="shared" si="0"/>
        <v>2</v>
      </c>
      <c r="M66" s="4" t="s">
        <v>194</v>
      </c>
      <c r="N66" s="4" t="s">
        <v>26</v>
      </c>
      <c r="O66" s="4" t="s">
        <v>195</v>
      </c>
      <c r="P66" s="4" t="s">
        <v>28</v>
      </c>
      <c r="Q66" s="4" t="str">
        <f t="shared" si="1"/>
        <v>DENTRO DEL TIEMPO</v>
      </c>
      <c r="R66" s="6"/>
    </row>
    <row r="67" spans="1:18" ht="42.75" customHeight="1" x14ac:dyDescent="0.25">
      <c r="A67" s="3">
        <v>60</v>
      </c>
      <c r="B67" s="4" t="s">
        <v>196</v>
      </c>
      <c r="C67" s="5">
        <v>44567</v>
      </c>
      <c r="D67" s="5">
        <v>44567</v>
      </c>
      <c r="E67" s="4">
        <v>2</v>
      </c>
      <c r="F67" s="4" t="s">
        <v>22</v>
      </c>
      <c r="G67" s="4" t="s">
        <v>30</v>
      </c>
      <c r="H67" s="4" t="s">
        <v>24</v>
      </c>
      <c r="I67" s="4" t="s">
        <v>30</v>
      </c>
      <c r="J67" s="5">
        <v>44571.519780092596</v>
      </c>
      <c r="K67" s="5">
        <v>44571.519780092596</v>
      </c>
      <c r="L67" s="3">
        <f t="shared" si="0"/>
        <v>2</v>
      </c>
      <c r="M67" s="4" t="s">
        <v>197</v>
      </c>
      <c r="N67" s="4" t="s">
        <v>26</v>
      </c>
      <c r="O67" s="4" t="s">
        <v>198</v>
      </c>
      <c r="P67" s="4" t="s">
        <v>28</v>
      </c>
      <c r="Q67" s="4" t="str">
        <f t="shared" si="1"/>
        <v>DENTRO DEL TIEMPO</v>
      </c>
      <c r="R67" s="6"/>
    </row>
    <row r="68" spans="1:18" ht="42.75" customHeight="1" x14ac:dyDescent="0.25">
      <c r="A68" s="3">
        <v>61</v>
      </c>
      <c r="B68" s="4" t="s">
        <v>199</v>
      </c>
      <c r="C68" s="5">
        <v>44567</v>
      </c>
      <c r="D68" s="5">
        <v>44567</v>
      </c>
      <c r="E68" s="4">
        <v>2</v>
      </c>
      <c r="F68" s="4" t="s">
        <v>22</v>
      </c>
      <c r="G68" s="4" t="s">
        <v>30</v>
      </c>
      <c r="H68" s="4" t="s">
        <v>24</v>
      </c>
      <c r="I68" s="4" t="s">
        <v>30</v>
      </c>
      <c r="J68" s="5">
        <v>44571.530856481484</v>
      </c>
      <c r="K68" s="5">
        <v>44571.530856481484</v>
      </c>
      <c r="L68" s="3">
        <f t="shared" si="0"/>
        <v>2</v>
      </c>
      <c r="M68" s="4" t="s">
        <v>200</v>
      </c>
      <c r="N68" s="4" t="s">
        <v>26</v>
      </c>
      <c r="O68" s="4" t="s">
        <v>201</v>
      </c>
      <c r="P68" s="4" t="s">
        <v>28</v>
      </c>
      <c r="Q68" s="4" t="str">
        <f t="shared" si="1"/>
        <v>DENTRO DEL TIEMPO</v>
      </c>
      <c r="R68" s="6"/>
    </row>
    <row r="69" spans="1:18" ht="42.75" customHeight="1" x14ac:dyDescent="0.25">
      <c r="A69" s="3">
        <v>62</v>
      </c>
      <c r="B69" s="4" t="s">
        <v>202</v>
      </c>
      <c r="C69" s="5">
        <v>44567</v>
      </c>
      <c r="D69" s="5">
        <v>44567</v>
      </c>
      <c r="E69" s="4">
        <v>2</v>
      </c>
      <c r="F69" s="4" t="s">
        <v>22</v>
      </c>
      <c r="G69" s="4" t="s">
        <v>30</v>
      </c>
      <c r="H69" s="4" t="s">
        <v>24</v>
      </c>
      <c r="I69" s="4" t="s">
        <v>30</v>
      </c>
      <c r="J69" s="5">
        <v>44571.544479166667</v>
      </c>
      <c r="K69" s="5">
        <v>44571.544479166667</v>
      </c>
      <c r="L69" s="3">
        <f t="shared" si="0"/>
        <v>2</v>
      </c>
      <c r="M69" s="4" t="s">
        <v>203</v>
      </c>
      <c r="N69" s="4" t="s">
        <v>26</v>
      </c>
      <c r="O69" s="4" t="s">
        <v>204</v>
      </c>
      <c r="P69" s="4" t="s">
        <v>28</v>
      </c>
      <c r="Q69" s="4" t="str">
        <f t="shared" si="1"/>
        <v>DENTRO DEL TIEMPO</v>
      </c>
      <c r="R69" s="6"/>
    </row>
    <row r="70" spans="1:18" ht="42.75" customHeight="1" x14ac:dyDescent="0.25">
      <c r="A70" s="3">
        <v>63</v>
      </c>
      <c r="B70" s="4" t="s">
        <v>205</v>
      </c>
      <c r="C70" s="5">
        <v>44567</v>
      </c>
      <c r="D70" s="5">
        <v>44567</v>
      </c>
      <c r="E70" s="4">
        <v>2</v>
      </c>
      <c r="F70" s="4" t="s">
        <v>22</v>
      </c>
      <c r="G70" s="4" t="s">
        <v>30</v>
      </c>
      <c r="H70" s="4" t="s">
        <v>24</v>
      </c>
      <c r="I70" s="4" t="s">
        <v>30</v>
      </c>
      <c r="J70" s="5">
        <v>44571.632534722223</v>
      </c>
      <c r="K70" s="5">
        <v>44571.632534722223</v>
      </c>
      <c r="L70" s="3">
        <f t="shared" si="0"/>
        <v>2</v>
      </c>
      <c r="M70" s="4" t="s">
        <v>206</v>
      </c>
      <c r="N70" s="4" t="s">
        <v>26</v>
      </c>
      <c r="O70" s="4" t="s">
        <v>207</v>
      </c>
      <c r="P70" s="4" t="s">
        <v>28</v>
      </c>
      <c r="Q70" s="4" t="str">
        <f t="shared" si="1"/>
        <v>DENTRO DEL TIEMPO</v>
      </c>
      <c r="R70" s="6"/>
    </row>
    <row r="71" spans="1:18" ht="42.75" customHeight="1" x14ac:dyDescent="0.25">
      <c r="A71" s="3">
        <v>64</v>
      </c>
      <c r="B71" s="4" t="s">
        <v>208</v>
      </c>
      <c r="C71" s="5">
        <v>44567</v>
      </c>
      <c r="D71" s="5">
        <v>44567</v>
      </c>
      <c r="E71" s="4">
        <v>2</v>
      </c>
      <c r="F71" s="4" t="s">
        <v>22</v>
      </c>
      <c r="G71" s="4" t="s">
        <v>30</v>
      </c>
      <c r="H71" s="4" t="s">
        <v>24</v>
      </c>
      <c r="I71" s="4" t="s">
        <v>30</v>
      </c>
      <c r="J71" s="5">
        <v>44571.644884259258</v>
      </c>
      <c r="K71" s="5">
        <v>44571.644884259258</v>
      </c>
      <c r="L71" s="3">
        <f t="shared" si="0"/>
        <v>2</v>
      </c>
      <c r="M71" s="4" t="s">
        <v>209</v>
      </c>
      <c r="N71" s="4" t="s">
        <v>26</v>
      </c>
      <c r="O71" s="4" t="s">
        <v>210</v>
      </c>
      <c r="P71" s="4" t="s">
        <v>28</v>
      </c>
      <c r="Q71" s="4" t="str">
        <f t="shared" si="1"/>
        <v>DENTRO DEL TIEMPO</v>
      </c>
      <c r="R71" s="6"/>
    </row>
    <row r="72" spans="1:18" ht="42.75" customHeight="1" x14ac:dyDescent="0.25">
      <c r="A72" s="3">
        <v>65</v>
      </c>
      <c r="B72" s="4" t="s">
        <v>211</v>
      </c>
      <c r="C72" s="5">
        <v>44567</v>
      </c>
      <c r="D72" s="5">
        <v>44567</v>
      </c>
      <c r="E72" s="4">
        <v>2</v>
      </c>
      <c r="F72" s="4" t="s">
        <v>22</v>
      </c>
      <c r="G72" s="4" t="s">
        <v>30</v>
      </c>
      <c r="H72" s="4" t="s">
        <v>24</v>
      </c>
      <c r="I72" s="4" t="s">
        <v>30</v>
      </c>
      <c r="J72" s="5">
        <v>44571.655844907407</v>
      </c>
      <c r="K72" s="5">
        <v>44571.655844907407</v>
      </c>
      <c r="L72" s="3">
        <f t="shared" si="0"/>
        <v>2</v>
      </c>
      <c r="M72" s="4" t="s">
        <v>212</v>
      </c>
      <c r="N72" s="4" t="s">
        <v>26</v>
      </c>
      <c r="O72" s="4" t="s">
        <v>213</v>
      </c>
      <c r="P72" s="4" t="s">
        <v>28</v>
      </c>
      <c r="Q72" s="4" t="str">
        <f t="shared" si="1"/>
        <v>DENTRO DEL TIEMPO</v>
      </c>
      <c r="R72" s="6"/>
    </row>
    <row r="73" spans="1:18" ht="42.75" customHeight="1" x14ac:dyDescent="0.25">
      <c r="A73" s="3">
        <v>66</v>
      </c>
      <c r="B73" s="4" t="s">
        <v>214</v>
      </c>
      <c r="C73" s="5">
        <v>44567</v>
      </c>
      <c r="D73" s="5">
        <v>44567</v>
      </c>
      <c r="E73" s="4">
        <v>2</v>
      </c>
      <c r="F73" s="4" t="s">
        <v>22</v>
      </c>
      <c r="G73" s="4" t="s">
        <v>30</v>
      </c>
      <c r="H73" s="4" t="s">
        <v>24</v>
      </c>
      <c r="I73" s="4" t="s">
        <v>30</v>
      </c>
      <c r="J73" s="5">
        <v>44571.66302083333</v>
      </c>
      <c r="K73" s="5">
        <v>44571.66302083333</v>
      </c>
      <c r="L73" s="3">
        <f t="shared" ref="L73:L136" si="2">+NETWORKDAYS(D73,K73,$R$8:$R$11)-1</f>
        <v>2</v>
      </c>
      <c r="M73" s="4" t="s">
        <v>215</v>
      </c>
      <c r="N73" s="4" t="s">
        <v>26</v>
      </c>
      <c r="O73" s="4" t="s">
        <v>216</v>
      </c>
      <c r="P73" s="4" t="s">
        <v>28</v>
      </c>
      <c r="Q73" s="4" t="str">
        <f t="shared" ref="Q73:Q136" si="3">IF(L73&gt;15,"FUERA DE TIEMPO","DENTRO DEL TIEMPO")</f>
        <v>DENTRO DEL TIEMPO</v>
      </c>
      <c r="R73" s="6"/>
    </row>
    <row r="74" spans="1:18" ht="42.75" customHeight="1" x14ac:dyDescent="0.25">
      <c r="A74" s="3">
        <v>67</v>
      </c>
      <c r="B74" s="4" t="s">
        <v>217</v>
      </c>
      <c r="C74" s="5">
        <v>44567</v>
      </c>
      <c r="D74" s="5">
        <v>44567</v>
      </c>
      <c r="E74" s="4">
        <v>2</v>
      </c>
      <c r="F74" s="4" t="s">
        <v>22</v>
      </c>
      <c r="G74" s="4" t="s">
        <v>30</v>
      </c>
      <c r="H74" s="4" t="s">
        <v>24</v>
      </c>
      <c r="I74" s="4" t="s">
        <v>30</v>
      </c>
      <c r="J74" s="5">
        <v>44571.675613425927</v>
      </c>
      <c r="K74" s="5">
        <v>44571.675613425927</v>
      </c>
      <c r="L74" s="3">
        <f t="shared" si="2"/>
        <v>2</v>
      </c>
      <c r="M74" s="4" t="s">
        <v>218</v>
      </c>
      <c r="N74" s="4" t="s">
        <v>26</v>
      </c>
      <c r="O74" s="4" t="s">
        <v>219</v>
      </c>
      <c r="P74" s="4" t="s">
        <v>28</v>
      </c>
      <c r="Q74" s="4" t="str">
        <f t="shared" si="3"/>
        <v>DENTRO DEL TIEMPO</v>
      </c>
      <c r="R74" s="6"/>
    </row>
    <row r="75" spans="1:18" ht="42.75" customHeight="1" x14ac:dyDescent="0.25">
      <c r="A75" s="3">
        <v>68</v>
      </c>
      <c r="B75" s="4" t="s">
        <v>220</v>
      </c>
      <c r="C75" s="5">
        <v>44568</v>
      </c>
      <c r="D75" s="5">
        <v>44568</v>
      </c>
      <c r="E75" s="4">
        <v>2</v>
      </c>
      <c r="F75" s="4" t="s">
        <v>22</v>
      </c>
      <c r="G75" s="4" t="s">
        <v>30</v>
      </c>
      <c r="H75" s="4" t="s">
        <v>24</v>
      </c>
      <c r="I75" s="4" t="s">
        <v>30</v>
      </c>
      <c r="J75" s="5">
        <v>44571.68949074074</v>
      </c>
      <c r="K75" s="5">
        <v>44571.68949074074</v>
      </c>
      <c r="L75" s="3">
        <f t="shared" si="2"/>
        <v>1</v>
      </c>
      <c r="M75" s="4" t="s">
        <v>221</v>
      </c>
      <c r="N75" s="4" t="s">
        <v>26</v>
      </c>
      <c r="O75" s="4" t="s">
        <v>222</v>
      </c>
      <c r="P75" s="4" t="s">
        <v>28</v>
      </c>
      <c r="Q75" s="4" t="str">
        <f t="shared" si="3"/>
        <v>DENTRO DEL TIEMPO</v>
      </c>
      <c r="R75" s="6"/>
    </row>
    <row r="76" spans="1:18" ht="42.75" customHeight="1" x14ac:dyDescent="0.25">
      <c r="A76" s="3">
        <v>69</v>
      </c>
      <c r="B76" s="4" t="s">
        <v>223</v>
      </c>
      <c r="C76" s="5">
        <v>44568</v>
      </c>
      <c r="D76" s="5">
        <v>44568</v>
      </c>
      <c r="E76" s="4">
        <v>2</v>
      </c>
      <c r="F76" s="4" t="s">
        <v>22</v>
      </c>
      <c r="G76" s="4" t="s">
        <v>30</v>
      </c>
      <c r="H76" s="4" t="s">
        <v>24</v>
      </c>
      <c r="I76" s="4" t="s">
        <v>30</v>
      </c>
      <c r="J76" s="5">
        <v>44572.344861111109</v>
      </c>
      <c r="K76" s="5">
        <v>44572.344861111109</v>
      </c>
      <c r="L76" s="3">
        <f t="shared" si="2"/>
        <v>2</v>
      </c>
      <c r="M76" s="4" t="s">
        <v>224</v>
      </c>
      <c r="N76" s="4" t="s">
        <v>26</v>
      </c>
      <c r="O76" s="4" t="s">
        <v>225</v>
      </c>
      <c r="P76" s="4" t="s">
        <v>28</v>
      </c>
      <c r="Q76" s="4" t="str">
        <f t="shared" si="3"/>
        <v>DENTRO DEL TIEMPO</v>
      </c>
      <c r="R76" s="6"/>
    </row>
    <row r="77" spans="1:18" ht="42.75" customHeight="1" x14ac:dyDescent="0.25">
      <c r="A77" s="3">
        <v>70</v>
      </c>
      <c r="B77" s="4" t="s">
        <v>226</v>
      </c>
      <c r="C77" s="5">
        <v>44568</v>
      </c>
      <c r="D77" s="5">
        <v>44568</v>
      </c>
      <c r="E77" s="4">
        <v>2</v>
      </c>
      <c r="F77" s="4" t="s">
        <v>22</v>
      </c>
      <c r="G77" s="4" t="s">
        <v>30</v>
      </c>
      <c r="H77" s="4" t="s">
        <v>24</v>
      </c>
      <c r="I77" s="4" t="s">
        <v>30</v>
      </c>
      <c r="J77" s="5">
        <v>44572.39099537037</v>
      </c>
      <c r="K77" s="5">
        <v>44572.39099537037</v>
      </c>
      <c r="L77" s="3">
        <f t="shared" si="2"/>
        <v>2</v>
      </c>
      <c r="M77" s="4" t="s">
        <v>227</v>
      </c>
      <c r="N77" s="4" t="s">
        <v>26</v>
      </c>
      <c r="O77" s="4" t="s">
        <v>165</v>
      </c>
      <c r="P77" s="4" t="s">
        <v>28</v>
      </c>
      <c r="Q77" s="4" t="str">
        <f t="shared" si="3"/>
        <v>DENTRO DEL TIEMPO</v>
      </c>
      <c r="R77" s="6"/>
    </row>
    <row r="78" spans="1:18" ht="42.75" customHeight="1" x14ac:dyDescent="0.25">
      <c r="A78" s="3">
        <v>71</v>
      </c>
      <c r="B78" s="4" t="s">
        <v>228</v>
      </c>
      <c r="C78" s="5">
        <v>44568</v>
      </c>
      <c r="D78" s="5">
        <v>44568</v>
      </c>
      <c r="E78" s="4">
        <v>2</v>
      </c>
      <c r="F78" s="4" t="s">
        <v>22</v>
      </c>
      <c r="G78" s="4" t="s">
        <v>30</v>
      </c>
      <c r="H78" s="4" t="s">
        <v>24</v>
      </c>
      <c r="I78" s="4" t="s">
        <v>30</v>
      </c>
      <c r="J78" s="5">
        <v>44571.625578703701</v>
      </c>
      <c r="K78" s="5">
        <v>44571.625578703701</v>
      </c>
      <c r="L78" s="3">
        <f t="shared" si="2"/>
        <v>1</v>
      </c>
      <c r="M78" s="4" t="s">
        <v>229</v>
      </c>
      <c r="N78" s="4" t="s">
        <v>26</v>
      </c>
      <c r="O78" s="4" t="s">
        <v>230</v>
      </c>
      <c r="P78" s="4" t="s">
        <v>28</v>
      </c>
      <c r="Q78" s="4" t="str">
        <f t="shared" si="3"/>
        <v>DENTRO DEL TIEMPO</v>
      </c>
      <c r="R78" s="6"/>
    </row>
    <row r="79" spans="1:18" ht="42.75" customHeight="1" x14ac:dyDescent="0.25">
      <c r="A79" s="3">
        <v>72</v>
      </c>
      <c r="B79" s="4" t="s">
        <v>231</v>
      </c>
      <c r="C79" s="5">
        <v>44568</v>
      </c>
      <c r="D79" s="5">
        <v>44568</v>
      </c>
      <c r="E79" s="4">
        <v>2</v>
      </c>
      <c r="F79" s="4" t="s">
        <v>22</v>
      </c>
      <c r="G79" s="4" t="s">
        <v>30</v>
      </c>
      <c r="H79" s="4" t="s">
        <v>24</v>
      </c>
      <c r="I79" s="4" t="s">
        <v>30</v>
      </c>
      <c r="J79" s="5">
        <v>44572.400289351855</v>
      </c>
      <c r="K79" s="5">
        <v>44572.400289351855</v>
      </c>
      <c r="L79" s="3">
        <f t="shared" si="2"/>
        <v>2</v>
      </c>
      <c r="M79" s="4" t="s">
        <v>232</v>
      </c>
      <c r="N79" s="4" t="s">
        <v>26</v>
      </c>
      <c r="O79" s="4" t="s">
        <v>230</v>
      </c>
      <c r="P79" s="4" t="s">
        <v>28</v>
      </c>
      <c r="Q79" s="4" t="str">
        <f t="shared" si="3"/>
        <v>DENTRO DEL TIEMPO</v>
      </c>
      <c r="R79" s="6"/>
    </row>
    <row r="80" spans="1:18" ht="42.75" customHeight="1" x14ac:dyDescent="0.25">
      <c r="A80" s="3">
        <v>73</v>
      </c>
      <c r="B80" s="4" t="s">
        <v>233</v>
      </c>
      <c r="C80" s="5">
        <v>44568</v>
      </c>
      <c r="D80" s="5">
        <v>44568</v>
      </c>
      <c r="E80" s="4">
        <v>2</v>
      </c>
      <c r="F80" s="4" t="s">
        <v>22</v>
      </c>
      <c r="G80" s="4" t="s">
        <v>30</v>
      </c>
      <c r="H80" s="4" t="s">
        <v>24</v>
      </c>
      <c r="I80" s="4" t="s">
        <v>30</v>
      </c>
      <c r="J80" s="5">
        <v>44572.405289351853</v>
      </c>
      <c r="K80" s="5">
        <v>44572.405289351853</v>
      </c>
      <c r="L80" s="3">
        <f t="shared" si="2"/>
        <v>2</v>
      </c>
      <c r="M80" s="4" t="s">
        <v>234</v>
      </c>
      <c r="N80" s="4" t="s">
        <v>26</v>
      </c>
      <c r="O80" s="4" t="s">
        <v>154</v>
      </c>
      <c r="P80" s="4" t="s">
        <v>28</v>
      </c>
      <c r="Q80" s="4" t="str">
        <f t="shared" si="3"/>
        <v>DENTRO DEL TIEMPO</v>
      </c>
      <c r="R80" s="6"/>
    </row>
    <row r="81" spans="1:18" ht="42.75" customHeight="1" x14ac:dyDescent="0.25">
      <c r="A81" s="3">
        <v>74</v>
      </c>
      <c r="B81" s="4" t="s">
        <v>235</v>
      </c>
      <c r="C81" s="5">
        <v>44568</v>
      </c>
      <c r="D81" s="5">
        <v>44568</v>
      </c>
      <c r="E81" s="4">
        <v>2</v>
      </c>
      <c r="F81" s="4" t="s">
        <v>22</v>
      </c>
      <c r="G81" s="4" t="s">
        <v>30</v>
      </c>
      <c r="H81" s="4" t="s">
        <v>24</v>
      </c>
      <c r="I81" s="4" t="s">
        <v>30</v>
      </c>
      <c r="J81" s="5">
        <v>44572.415925925925</v>
      </c>
      <c r="K81" s="5">
        <v>44572.415925925925</v>
      </c>
      <c r="L81" s="3">
        <f t="shared" si="2"/>
        <v>2</v>
      </c>
      <c r="M81" s="4" t="s">
        <v>236</v>
      </c>
      <c r="N81" s="4" t="s">
        <v>26</v>
      </c>
      <c r="O81" s="4" t="s">
        <v>237</v>
      </c>
      <c r="P81" s="4" t="s">
        <v>28</v>
      </c>
      <c r="Q81" s="4" t="str">
        <f t="shared" si="3"/>
        <v>DENTRO DEL TIEMPO</v>
      </c>
      <c r="R81" s="6"/>
    </row>
    <row r="82" spans="1:18" ht="42.75" customHeight="1" x14ac:dyDescent="0.25">
      <c r="A82" s="3">
        <v>75</v>
      </c>
      <c r="B82" s="4" t="s">
        <v>238</v>
      </c>
      <c r="C82" s="5">
        <v>44568</v>
      </c>
      <c r="D82" s="5">
        <v>44568</v>
      </c>
      <c r="E82" s="4">
        <v>2</v>
      </c>
      <c r="F82" s="4" t="s">
        <v>22</v>
      </c>
      <c r="G82" s="4" t="s">
        <v>30</v>
      </c>
      <c r="H82" s="4" t="s">
        <v>24</v>
      </c>
      <c r="I82" s="4" t="s">
        <v>30</v>
      </c>
      <c r="J82" s="5">
        <v>44572.422465277778</v>
      </c>
      <c r="K82" s="5">
        <v>44572.422465277778</v>
      </c>
      <c r="L82" s="3">
        <f t="shared" si="2"/>
        <v>2</v>
      </c>
      <c r="M82" s="4" t="s">
        <v>239</v>
      </c>
      <c r="N82" s="4" t="s">
        <v>26</v>
      </c>
      <c r="O82" s="4" t="s">
        <v>240</v>
      </c>
      <c r="P82" s="4" t="s">
        <v>28</v>
      </c>
      <c r="Q82" s="4" t="str">
        <f t="shared" si="3"/>
        <v>DENTRO DEL TIEMPO</v>
      </c>
      <c r="R82" s="6"/>
    </row>
    <row r="83" spans="1:18" ht="42.75" customHeight="1" x14ac:dyDescent="0.25">
      <c r="A83" s="3">
        <v>76</v>
      </c>
      <c r="B83" s="4" t="s">
        <v>241</v>
      </c>
      <c r="C83" s="5">
        <v>44568</v>
      </c>
      <c r="D83" s="5">
        <v>44568</v>
      </c>
      <c r="E83" s="4">
        <v>2</v>
      </c>
      <c r="F83" s="4" t="s">
        <v>22</v>
      </c>
      <c r="G83" s="4" t="s">
        <v>30</v>
      </c>
      <c r="H83" s="4" t="s">
        <v>24</v>
      </c>
      <c r="I83" s="4" t="s">
        <v>30</v>
      </c>
      <c r="J83" s="5">
        <v>44572.462071759262</v>
      </c>
      <c r="K83" s="5">
        <v>44572.462071759262</v>
      </c>
      <c r="L83" s="3">
        <f t="shared" si="2"/>
        <v>2</v>
      </c>
      <c r="M83" s="4" t="s">
        <v>242</v>
      </c>
      <c r="N83" s="4" t="s">
        <v>26</v>
      </c>
      <c r="O83" s="4" t="s">
        <v>112</v>
      </c>
      <c r="P83" s="4" t="s">
        <v>28</v>
      </c>
      <c r="Q83" s="4" t="str">
        <f t="shared" si="3"/>
        <v>DENTRO DEL TIEMPO</v>
      </c>
      <c r="R83" s="6"/>
    </row>
    <row r="84" spans="1:18" ht="42.75" customHeight="1" x14ac:dyDescent="0.25">
      <c r="A84" s="3">
        <v>77</v>
      </c>
      <c r="B84" s="4" t="s">
        <v>243</v>
      </c>
      <c r="C84" s="5">
        <v>44568</v>
      </c>
      <c r="D84" s="5">
        <v>44568</v>
      </c>
      <c r="E84" s="4">
        <v>2</v>
      </c>
      <c r="F84" s="4" t="s">
        <v>22</v>
      </c>
      <c r="G84" s="4" t="s">
        <v>30</v>
      </c>
      <c r="H84" s="4" t="s">
        <v>24</v>
      </c>
      <c r="I84" s="4" t="s">
        <v>30</v>
      </c>
      <c r="J84" s="5">
        <v>44572.474722222221</v>
      </c>
      <c r="K84" s="5">
        <v>44572.474722222221</v>
      </c>
      <c r="L84" s="3">
        <f t="shared" si="2"/>
        <v>2</v>
      </c>
      <c r="M84" s="4" t="s">
        <v>244</v>
      </c>
      <c r="N84" s="4" t="s">
        <v>26</v>
      </c>
      <c r="O84" s="4" t="s">
        <v>245</v>
      </c>
      <c r="P84" s="4" t="s">
        <v>28</v>
      </c>
      <c r="Q84" s="4" t="str">
        <f t="shared" si="3"/>
        <v>DENTRO DEL TIEMPO</v>
      </c>
      <c r="R84" s="6"/>
    </row>
    <row r="85" spans="1:18" ht="42.75" customHeight="1" x14ac:dyDescent="0.25">
      <c r="A85" s="3">
        <v>78</v>
      </c>
      <c r="B85" s="4" t="s">
        <v>246</v>
      </c>
      <c r="C85" s="5">
        <v>44568</v>
      </c>
      <c r="D85" s="5">
        <v>44568</v>
      </c>
      <c r="E85" s="4">
        <v>2</v>
      </c>
      <c r="F85" s="4" t="s">
        <v>22</v>
      </c>
      <c r="G85" s="4" t="s">
        <v>30</v>
      </c>
      <c r="H85" s="4" t="s">
        <v>24</v>
      </c>
      <c r="I85" s="4" t="s">
        <v>30</v>
      </c>
      <c r="J85" s="5">
        <v>44572.480624999997</v>
      </c>
      <c r="K85" s="5">
        <v>44572.480624999997</v>
      </c>
      <c r="L85" s="3">
        <f t="shared" si="2"/>
        <v>2</v>
      </c>
      <c r="M85" s="4" t="s">
        <v>247</v>
      </c>
      <c r="N85" s="4" t="s">
        <v>26</v>
      </c>
      <c r="O85" s="4" t="s">
        <v>248</v>
      </c>
      <c r="P85" s="4" t="s">
        <v>28</v>
      </c>
      <c r="Q85" s="4" t="str">
        <f t="shared" si="3"/>
        <v>DENTRO DEL TIEMPO</v>
      </c>
      <c r="R85" s="6"/>
    </row>
    <row r="86" spans="1:18" ht="42.75" customHeight="1" x14ac:dyDescent="0.25">
      <c r="A86" s="3">
        <v>79</v>
      </c>
      <c r="B86" s="4" t="s">
        <v>249</v>
      </c>
      <c r="C86" s="5">
        <v>44571</v>
      </c>
      <c r="D86" s="5">
        <v>44571</v>
      </c>
      <c r="E86" s="4">
        <v>2</v>
      </c>
      <c r="F86" s="4" t="s">
        <v>22</v>
      </c>
      <c r="G86" s="4" t="s">
        <v>30</v>
      </c>
      <c r="H86" s="4" t="s">
        <v>24</v>
      </c>
      <c r="I86" s="4" t="s">
        <v>30</v>
      </c>
      <c r="J86" s="5">
        <v>44572.525266203702</v>
      </c>
      <c r="K86" s="5">
        <v>44572.525266203702</v>
      </c>
      <c r="L86" s="3">
        <f t="shared" si="2"/>
        <v>1</v>
      </c>
      <c r="M86" s="4" t="s">
        <v>250</v>
      </c>
      <c r="N86" s="4" t="s">
        <v>26</v>
      </c>
      <c r="O86" s="4" t="s">
        <v>251</v>
      </c>
      <c r="P86" s="4" t="s">
        <v>28</v>
      </c>
      <c r="Q86" s="4" t="str">
        <f t="shared" si="3"/>
        <v>DENTRO DEL TIEMPO</v>
      </c>
      <c r="R86" s="6"/>
    </row>
    <row r="87" spans="1:18" ht="42.75" customHeight="1" x14ac:dyDescent="0.25">
      <c r="A87" s="3">
        <v>80</v>
      </c>
      <c r="B87" s="4" t="s">
        <v>252</v>
      </c>
      <c r="C87" s="5">
        <v>44571</v>
      </c>
      <c r="D87" s="5">
        <v>44571</v>
      </c>
      <c r="E87" s="4">
        <v>2</v>
      </c>
      <c r="F87" s="4" t="s">
        <v>22</v>
      </c>
      <c r="G87" s="4" t="s">
        <v>30</v>
      </c>
      <c r="H87" s="4" t="s">
        <v>24</v>
      </c>
      <c r="I87" s="4" t="s">
        <v>30</v>
      </c>
      <c r="J87" s="5">
        <v>44572.538287037038</v>
      </c>
      <c r="K87" s="5">
        <v>44572.538287037038</v>
      </c>
      <c r="L87" s="3">
        <f t="shared" si="2"/>
        <v>1</v>
      </c>
      <c r="M87" s="4" t="s">
        <v>253</v>
      </c>
      <c r="N87" s="4" t="s">
        <v>26</v>
      </c>
      <c r="O87" s="4" t="s">
        <v>254</v>
      </c>
      <c r="P87" s="4" t="s">
        <v>28</v>
      </c>
      <c r="Q87" s="4" t="str">
        <f t="shared" si="3"/>
        <v>DENTRO DEL TIEMPO</v>
      </c>
      <c r="R87" s="6"/>
    </row>
    <row r="88" spans="1:18" ht="42.75" customHeight="1" x14ac:dyDescent="0.25">
      <c r="A88" s="3">
        <v>81</v>
      </c>
      <c r="B88" s="4" t="s">
        <v>255</v>
      </c>
      <c r="C88" s="5">
        <v>44571</v>
      </c>
      <c r="D88" s="5">
        <v>44571</v>
      </c>
      <c r="E88" s="4">
        <v>2</v>
      </c>
      <c r="F88" s="4" t="s">
        <v>22</v>
      </c>
      <c r="G88" s="4" t="s">
        <v>30</v>
      </c>
      <c r="H88" s="4" t="s">
        <v>24</v>
      </c>
      <c r="I88" s="4" t="s">
        <v>30</v>
      </c>
      <c r="J88" s="5">
        <v>44573.341967592591</v>
      </c>
      <c r="K88" s="5">
        <v>44573.341967592591</v>
      </c>
      <c r="L88" s="3">
        <f t="shared" si="2"/>
        <v>2</v>
      </c>
      <c r="M88" s="4" t="s">
        <v>256</v>
      </c>
      <c r="N88" s="4" t="s">
        <v>26</v>
      </c>
      <c r="O88" s="4" t="s">
        <v>257</v>
      </c>
      <c r="P88" s="4" t="s">
        <v>28</v>
      </c>
      <c r="Q88" s="4" t="str">
        <f t="shared" si="3"/>
        <v>DENTRO DEL TIEMPO</v>
      </c>
      <c r="R88" s="6"/>
    </row>
    <row r="89" spans="1:18" ht="42.75" customHeight="1" x14ac:dyDescent="0.25">
      <c r="A89" s="3">
        <v>82</v>
      </c>
      <c r="B89" s="4" t="s">
        <v>258</v>
      </c>
      <c r="C89" s="5">
        <v>44571</v>
      </c>
      <c r="D89" s="5">
        <v>44571</v>
      </c>
      <c r="E89" s="4">
        <v>2</v>
      </c>
      <c r="F89" s="4" t="s">
        <v>22</v>
      </c>
      <c r="G89" s="4" t="s">
        <v>30</v>
      </c>
      <c r="H89" s="4" t="s">
        <v>24</v>
      </c>
      <c r="I89" s="4" t="s">
        <v>30</v>
      </c>
      <c r="J89" s="5">
        <v>44572.679849537039</v>
      </c>
      <c r="K89" s="5">
        <v>44572.679849537039</v>
      </c>
      <c r="L89" s="3">
        <f t="shared" si="2"/>
        <v>1</v>
      </c>
      <c r="M89" s="4" t="s">
        <v>259</v>
      </c>
      <c r="N89" s="4" t="s">
        <v>26</v>
      </c>
      <c r="O89" s="4" t="s">
        <v>260</v>
      </c>
      <c r="P89" s="4" t="s">
        <v>28</v>
      </c>
      <c r="Q89" s="4" t="str">
        <f t="shared" si="3"/>
        <v>DENTRO DEL TIEMPO</v>
      </c>
      <c r="R89" s="6"/>
    </row>
    <row r="90" spans="1:18" ht="42.75" customHeight="1" x14ac:dyDescent="0.25">
      <c r="A90" s="3">
        <v>83</v>
      </c>
      <c r="B90" s="8" t="s">
        <v>261</v>
      </c>
      <c r="C90" s="5">
        <v>44571</v>
      </c>
      <c r="D90" s="5">
        <v>44571</v>
      </c>
      <c r="E90" s="4">
        <v>2</v>
      </c>
      <c r="F90" s="4" t="s">
        <v>22</v>
      </c>
      <c r="G90" s="4" t="s">
        <v>23</v>
      </c>
      <c r="H90" s="4" t="s">
        <v>24</v>
      </c>
      <c r="I90" s="4" t="s">
        <v>23</v>
      </c>
      <c r="J90" s="5">
        <v>44574.415150462963</v>
      </c>
      <c r="K90" s="5">
        <v>44574.415150462963</v>
      </c>
      <c r="L90" s="3">
        <f t="shared" si="2"/>
        <v>3</v>
      </c>
      <c r="M90" s="4" t="s">
        <v>262</v>
      </c>
      <c r="N90" s="4" t="s">
        <v>26</v>
      </c>
      <c r="O90" s="4" t="s">
        <v>263</v>
      </c>
      <c r="P90" s="4" t="s">
        <v>28</v>
      </c>
      <c r="Q90" s="4" t="str">
        <f t="shared" si="3"/>
        <v>DENTRO DEL TIEMPO</v>
      </c>
      <c r="R90" s="6"/>
    </row>
    <row r="91" spans="1:18" ht="42.75" customHeight="1" x14ac:dyDescent="0.25">
      <c r="A91" s="3">
        <v>84</v>
      </c>
      <c r="B91" s="4" t="s">
        <v>264</v>
      </c>
      <c r="C91" s="5">
        <v>44571</v>
      </c>
      <c r="D91" s="5">
        <v>44571</v>
      </c>
      <c r="E91" s="4">
        <v>180</v>
      </c>
      <c r="F91" s="4" t="s">
        <v>22</v>
      </c>
      <c r="G91" s="4" t="s">
        <v>23</v>
      </c>
      <c r="H91" s="4" t="s">
        <v>24</v>
      </c>
      <c r="I91" s="4" t="s">
        <v>23</v>
      </c>
      <c r="J91" s="5">
        <v>44578.513703703706</v>
      </c>
      <c r="K91" s="5">
        <v>44578.513703703706</v>
      </c>
      <c r="L91" s="3">
        <f t="shared" si="2"/>
        <v>5</v>
      </c>
      <c r="M91" s="4" t="s">
        <v>265</v>
      </c>
      <c r="N91" s="4" t="s">
        <v>26</v>
      </c>
      <c r="O91" s="4" t="s">
        <v>266</v>
      </c>
      <c r="P91" s="4" t="s">
        <v>28</v>
      </c>
      <c r="Q91" s="4" t="str">
        <f t="shared" si="3"/>
        <v>DENTRO DEL TIEMPO</v>
      </c>
      <c r="R91" s="6"/>
    </row>
    <row r="92" spans="1:18" ht="42.75" customHeight="1" x14ac:dyDescent="0.25">
      <c r="A92" s="3">
        <v>85</v>
      </c>
      <c r="B92" s="4" t="s">
        <v>267</v>
      </c>
      <c r="C92" s="5">
        <v>44571</v>
      </c>
      <c r="D92" s="5">
        <v>44571</v>
      </c>
      <c r="E92" s="4">
        <v>2</v>
      </c>
      <c r="F92" s="4" t="s">
        <v>22</v>
      </c>
      <c r="G92" s="4" t="s">
        <v>30</v>
      </c>
      <c r="H92" s="4" t="s">
        <v>24</v>
      </c>
      <c r="I92" s="4" t="s">
        <v>30</v>
      </c>
      <c r="J92" s="5">
        <v>44573.349895833337</v>
      </c>
      <c r="K92" s="5">
        <v>44573.349895833337</v>
      </c>
      <c r="L92" s="3">
        <f t="shared" si="2"/>
        <v>2</v>
      </c>
      <c r="M92" s="4" t="s">
        <v>268</v>
      </c>
      <c r="N92" s="4" t="s">
        <v>26</v>
      </c>
      <c r="O92" s="4" t="s">
        <v>257</v>
      </c>
      <c r="P92" s="4" t="s">
        <v>28</v>
      </c>
      <c r="Q92" s="4" t="str">
        <f t="shared" si="3"/>
        <v>DENTRO DEL TIEMPO</v>
      </c>
      <c r="R92" s="6"/>
    </row>
    <row r="93" spans="1:18" ht="42.75" customHeight="1" x14ac:dyDescent="0.25">
      <c r="A93" s="3">
        <v>86</v>
      </c>
      <c r="B93" s="4" t="s">
        <v>269</v>
      </c>
      <c r="C93" s="5">
        <v>44571</v>
      </c>
      <c r="D93" s="5">
        <v>44571</v>
      </c>
      <c r="E93" s="4">
        <v>2</v>
      </c>
      <c r="F93" s="4" t="s">
        <v>22</v>
      </c>
      <c r="G93" s="4" t="s">
        <v>30</v>
      </c>
      <c r="H93" s="4" t="s">
        <v>24</v>
      </c>
      <c r="I93" s="4" t="s">
        <v>30</v>
      </c>
      <c r="J93" s="5">
        <v>44573.355543981481</v>
      </c>
      <c r="K93" s="5">
        <v>44573.355543981481</v>
      </c>
      <c r="L93" s="3">
        <f t="shared" si="2"/>
        <v>2</v>
      </c>
      <c r="M93" s="4" t="s">
        <v>270</v>
      </c>
      <c r="N93" s="4" t="s">
        <v>26</v>
      </c>
      <c r="O93" s="4" t="s">
        <v>271</v>
      </c>
      <c r="P93" s="4" t="s">
        <v>28</v>
      </c>
      <c r="Q93" s="4" t="str">
        <f t="shared" si="3"/>
        <v>DENTRO DEL TIEMPO</v>
      </c>
      <c r="R93" s="6"/>
    </row>
    <row r="94" spans="1:18" ht="42.75" customHeight="1" x14ac:dyDescent="0.25">
      <c r="A94" s="3">
        <v>87</v>
      </c>
      <c r="B94" s="4" t="s">
        <v>272</v>
      </c>
      <c r="C94" s="5">
        <v>44571</v>
      </c>
      <c r="D94" s="5">
        <v>44571</v>
      </c>
      <c r="E94" s="4">
        <v>1488</v>
      </c>
      <c r="F94" s="4" t="s">
        <v>22</v>
      </c>
      <c r="G94" s="4" t="s">
        <v>49</v>
      </c>
      <c r="H94" s="4" t="s">
        <v>24</v>
      </c>
      <c r="I94" s="4" t="s">
        <v>49</v>
      </c>
      <c r="J94" s="5">
        <v>44578.603958333333</v>
      </c>
      <c r="K94" s="5">
        <v>44578.603958333333</v>
      </c>
      <c r="L94" s="3">
        <f t="shared" si="2"/>
        <v>5</v>
      </c>
      <c r="M94" s="4" t="s">
        <v>273</v>
      </c>
      <c r="N94" s="4" t="s">
        <v>26</v>
      </c>
      <c r="O94" s="4" t="s">
        <v>274</v>
      </c>
      <c r="P94" s="4" t="s">
        <v>28</v>
      </c>
      <c r="Q94" s="4" t="str">
        <f t="shared" si="3"/>
        <v>DENTRO DEL TIEMPO</v>
      </c>
      <c r="R94" s="6"/>
    </row>
    <row r="95" spans="1:18" ht="42.75" customHeight="1" x14ac:dyDescent="0.25">
      <c r="A95" s="3">
        <v>88</v>
      </c>
      <c r="B95" s="4" t="s">
        <v>275</v>
      </c>
      <c r="C95" s="5">
        <v>44571</v>
      </c>
      <c r="D95" s="5">
        <v>44571</v>
      </c>
      <c r="E95" s="4">
        <v>2</v>
      </c>
      <c r="F95" s="4" t="s">
        <v>22</v>
      </c>
      <c r="G95" s="4" t="s">
        <v>30</v>
      </c>
      <c r="H95" s="4" t="s">
        <v>24</v>
      </c>
      <c r="I95" s="4" t="s">
        <v>30</v>
      </c>
      <c r="J95" s="5">
        <v>44572.694872685184</v>
      </c>
      <c r="K95" s="5">
        <v>44572.694872685184</v>
      </c>
      <c r="L95" s="3">
        <f t="shared" si="2"/>
        <v>1</v>
      </c>
      <c r="M95" s="4" t="s">
        <v>276</v>
      </c>
      <c r="N95" s="4" t="s">
        <v>26</v>
      </c>
      <c r="O95" s="4" t="s">
        <v>277</v>
      </c>
      <c r="P95" s="4" t="s">
        <v>28</v>
      </c>
      <c r="Q95" s="4" t="str">
        <f t="shared" si="3"/>
        <v>DENTRO DEL TIEMPO</v>
      </c>
      <c r="R95" s="6"/>
    </row>
    <row r="96" spans="1:18" ht="42.75" customHeight="1" x14ac:dyDescent="0.25">
      <c r="A96" s="3">
        <v>89</v>
      </c>
      <c r="B96" s="4" t="s">
        <v>278</v>
      </c>
      <c r="C96" s="5">
        <v>44571</v>
      </c>
      <c r="D96" s="5">
        <v>44571</v>
      </c>
      <c r="E96" s="4">
        <v>2</v>
      </c>
      <c r="F96" s="4" t="s">
        <v>22</v>
      </c>
      <c r="G96" s="4" t="s">
        <v>30</v>
      </c>
      <c r="H96" s="4" t="s">
        <v>24</v>
      </c>
      <c r="I96" s="4" t="s">
        <v>30</v>
      </c>
      <c r="J96" s="5">
        <v>44573.361759259256</v>
      </c>
      <c r="K96" s="5">
        <v>44573.361759259256</v>
      </c>
      <c r="L96" s="3">
        <f t="shared" si="2"/>
        <v>2</v>
      </c>
      <c r="M96" s="4" t="s">
        <v>279</v>
      </c>
      <c r="N96" s="4" t="s">
        <v>26</v>
      </c>
      <c r="O96" s="4" t="s">
        <v>257</v>
      </c>
      <c r="P96" s="4" t="s">
        <v>28</v>
      </c>
      <c r="Q96" s="4" t="str">
        <f t="shared" si="3"/>
        <v>DENTRO DEL TIEMPO</v>
      </c>
      <c r="R96" s="6"/>
    </row>
    <row r="97" spans="1:18" ht="42.75" customHeight="1" x14ac:dyDescent="0.25">
      <c r="A97" s="3">
        <v>90</v>
      </c>
      <c r="B97" s="4" t="s">
        <v>280</v>
      </c>
      <c r="C97" s="5">
        <v>44571</v>
      </c>
      <c r="D97" s="5">
        <v>44571</v>
      </c>
      <c r="E97" s="4">
        <v>2</v>
      </c>
      <c r="F97" s="4" t="s">
        <v>22</v>
      </c>
      <c r="G97" s="4" t="s">
        <v>30</v>
      </c>
      <c r="H97" s="4" t="s">
        <v>24</v>
      </c>
      <c r="I97" s="4" t="s">
        <v>30</v>
      </c>
      <c r="J97" s="5">
        <v>44573.378472222219</v>
      </c>
      <c r="K97" s="5">
        <v>44573.378472222219</v>
      </c>
      <c r="L97" s="3">
        <f t="shared" si="2"/>
        <v>2</v>
      </c>
      <c r="M97" s="4" t="s">
        <v>281</v>
      </c>
      <c r="N97" s="4" t="s">
        <v>26</v>
      </c>
      <c r="O97" s="4" t="s">
        <v>257</v>
      </c>
      <c r="P97" s="4" t="s">
        <v>28</v>
      </c>
      <c r="Q97" s="4" t="str">
        <f t="shared" si="3"/>
        <v>DENTRO DEL TIEMPO</v>
      </c>
      <c r="R97" s="6"/>
    </row>
    <row r="98" spans="1:18" ht="42.75" customHeight="1" x14ac:dyDescent="0.25">
      <c r="A98" s="3">
        <v>91</v>
      </c>
      <c r="B98" s="4" t="s">
        <v>282</v>
      </c>
      <c r="C98" s="5">
        <v>44571</v>
      </c>
      <c r="D98" s="5">
        <v>44571</v>
      </c>
      <c r="E98" s="4">
        <v>2</v>
      </c>
      <c r="F98" s="4" t="s">
        <v>22</v>
      </c>
      <c r="G98" s="4" t="s">
        <v>30</v>
      </c>
      <c r="H98" s="4" t="s">
        <v>24</v>
      </c>
      <c r="I98" s="4" t="s">
        <v>30</v>
      </c>
      <c r="J98" s="5">
        <v>44573.386342592596</v>
      </c>
      <c r="K98" s="5">
        <v>44573.386342592596</v>
      </c>
      <c r="L98" s="3">
        <f t="shared" si="2"/>
        <v>2</v>
      </c>
      <c r="M98" s="4" t="s">
        <v>283</v>
      </c>
      <c r="N98" s="4" t="s">
        <v>26</v>
      </c>
      <c r="O98" s="4" t="s">
        <v>257</v>
      </c>
      <c r="P98" s="4" t="s">
        <v>28</v>
      </c>
      <c r="Q98" s="4" t="str">
        <f t="shared" si="3"/>
        <v>DENTRO DEL TIEMPO</v>
      </c>
      <c r="R98" s="6"/>
    </row>
    <row r="99" spans="1:18" ht="42.75" customHeight="1" x14ac:dyDescent="0.25">
      <c r="A99" s="3">
        <v>92</v>
      </c>
      <c r="B99" s="4" t="s">
        <v>284</v>
      </c>
      <c r="C99" s="5">
        <v>44571</v>
      </c>
      <c r="D99" s="5">
        <v>44571</v>
      </c>
      <c r="E99" s="4">
        <v>2</v>
      </c>
      <c r="F99" s="4" t="s">
        <v>22</v>
      </c>
      <c r="G99" s="4" t="s">
        <v>23</v>
      </c>
      <c r="H99" s="4" t="s">
        <v>24</v>
      </c>
      <c r="I99" s="4" t="s">
        <v>23</v>
      </c>
      <c r="J99" s="5">
        <v>44581.574999999997</v>
      </c>
      <c r="K99" s="5">
        <v>44581.574999999997</v>
      </c>
      <c r="L99" s="3">
        <f t="shared" si="2"/>
        <v>8</v>
      </c>
      <c r="M99" s="4" t="s">
        <v>285</v>
      </c>
      <c r="N99" s="4" t="s">
        <v>26</v>
      </c>
      <c r="O99" s="4" t="s">
        <v>286</v>
      </c>
      <c r="P99" s="4" t="s">
        <v>28</v>
      </c>
      <c r="Q99" s="4" t="str">
        <f t="shared" si="3"/>
        <v>DENTRO DEL TIEMPO</v>
      </c>
      <c r="R99" s="6"/>
    </row>
    <row r="100" spans="1:18" ht="42.75" customHeight="1" x14ac:dyDescent="0.25">
      <c r="A100" s="3">
        <v>93</v>
      </c>
      <c r="B100" s="4" t="s">
        <v>287</v>
      </c>
      <c r="C100" s="5">
        <v>44571</v>
      </c>
      <c r="D100" s="5">
        <v>44571</v>
      </c>
      <c r="E100" s="4">
        <v>2</v>
      </c>
      <c r="F100" s="4" t="s">
        <v>22</v>
      </c>
      <c r="G100" s="4" t="s">
        <v>30</v>
      </c>
      <c r="H100" s="4" t="s">
        <v>24</v>
      </c>
      <c r="I100" s="4" t="s">
        <v>30</v>
      </c>
      <c r="J100" s="5">
        <v>44573.393576388888</v>
      </c>
      <c r="K100" s="5">
        <v>44573.393576388888</v>
      </c>
      <c r="L100" s="3">
        <f t="shared" si="2"/>
        <v>2</v>
      </c>
      <c r="M100" s="4" t="s">
        <v>288</v>
      </c>
      <c r="N100" s="4" t="s">
        <v>26</v>
      </c>
      <c r="O100" s="4" t="s">
        <v>257</v>
      </c>
      <c r="P100" s="4" t="s">
        <v>28</v>
      </c>
      <c r="Q100" s="4" t="str">
        <f t="shared" si="3"/>
        <v>DENTRO DEL TIEMPO</v>
      </c>
      <c r="R100" s="6"/>
    </row>
    <row r="101" spans="1:18" ht="42.75" customHeight="1" x14ac:dyDescent="0.25">
      <c r="A101" s="3">
        <v>94</v>
      </c>
      <c r="B101" s="4" t="s">
        <v>289</v>
      </c>
      <c r="C101" s="5">
        <v>44571</v>
      </c>
      <c r="D101" s="5">
        <v>44571</v>
      </c>
      <c r="E101" s="4">
        <v>2</v>
      </c>
      <c r="F101" s="4" t="s">
        <v>22</v>
      </c>
      <c r="G101" s="4" t="s">
        <v>30</v>
      </c>
      <c r="H101" s="4" t="s">
        <v>24</v>
      </c>
      <c r="I101" s="4" t="s">
        <v>30</v>
      </c>
      <c r="J101" s="5">
        <v>44573.401886574073</v>
      </c>
      <c r="K101" s="5">
        <v>44573.401886574073</v>
      </c>
      <c r="L101" s="3">
        <f t="shared" si="2"/>
        <v>2</v>
      </c>
      <c r="M101" s="4" t="s">
        <v>290</v>
      </c>
      <c r="N101" s="4" t="s">
        <v>26</v>
      </c>
      <c r="O101" s="4" t="s">
        <v>257</v>
      </c>
      <c r="P101" s="4" t="s">
        <v>28</v>
      </c>
      <c r="Q101" s="4" t="str">
        <f t="shared" si="3"/>
        <v>DENTRO DEL TIEMPO</v>
      </c>
      <c r="R101" s="6"/>
    </row>
    <row r="102" spans="1:18" ht="42.75" customHeight="1" x14ac:dyDescent="0.25">
      <c r="A102" s="3">
        <v>95</v>
      </c>
      <c r="B102" s="4" t="s">
        <v>291</v>
      </c>
      <c r="C102" s="5">
        <v>44571</v>
      </c>
      <c r="D102" s="5">
        <v>44571</v>
      </c>
      <c r="E102" s="4">
        <v>2</v>
      </c>
      <c r="F102" s="4" t="s">
        <v>22</v>
      </c>
      <c r="G102" s="4" t="s">
        <v>30</v>
      </c>
      <c r="H102" s="4" t="s">
        <v>24</v>
      </c>
      <c r="I102" s="4" t="s">
        <v>30</v>
      </c>
      <c r="J102" s="5">
        <v>44573.436469907407</v>
      </c>
      <c r="K102" s="5">
        <v>44573.436469907407</v>
      </c>
      <c r="L102" s="3">
        <f t="shared" si="2"/>
        <v>2</v>
      </c>
      <c r="M102" s="4" t="s">
        <v>292</v>
      </c>
      <c r="N102" s="4" t="s">
        <v>26</v>
      </c>
      <c r="O102" s="4" t="s">
        <v>257</v>
      </c>
      <c r="P102" s="4" t="s">
        <v>28</v>
      </c>
      <c r="Q102" s="4" t="str">
        <f t="shared" si="3"/>
        <v>DENTRO DEL TIEMPO</v>
      </c>
      <c r="R102" s="6"/>
    </row>
    <row r="103" spans="1:18" ht="42.75" customHeight="1" x14ac:dyDescent="0.25">
      <c r="A103" s="3">
        <v>96</v>
      </c>
      <c r="B103" s="4" t="s">
        <v>293</v>
      </c>
      <c r="C103" s="5">
        <v>44571</v>
      </c>
      <c r="D103" s="5">
        <v>44571</v>
      </c>
      <c r="E103" s="4">
        <v>2</v>
      </c>
      <c r="F103" s="4" t="s">
        <v>22</v>
      </c>
      <c r="G103" s="4" t="s">
        <v>30</v>
      </c>
      <c r="H103" s="4" t="s">
        <v>24</v>
      </c>
      <c r="I103" s="4" t="s">
        <v>30</v>
      </c>
      <c r="J103" s="5">
        <v>44573.443391203706</v>
      </c>
      <c r="K103" s="5">
        <v>44573.443391203706</v>
      </c>
      <c r="L103" s="3">
        <f t="shared" si="2"/>
        <v>2</v>
      </c>
      <c r="M103" s="4" t="s">
        <v>294</v>
      </c>
      <c r="N103" s="4" t="s">
        <v>26</v>
      </c>
      <c r="O103" s="4" t="s">
        <v>257</v>
      </c>
      <c r="P103" s="4" t="s">
        <v>28</v>
      </c>
      <c r="Q103" s="4" t="str">
        <f t="shared" si="3"/>
        <v>DENTRO DEL TIEMPO</v>
      </c>
      <c r="R103" s="6"/>
    </row>
    <row r="104" spans="1:18" ht="42.75" customHeight="1" x14ac:dyDescent="0.25">
      <c r="A104" s="3">
        <v>97</v>
      </c>
      <c r="B104" s="4" t="s">
        <v>295</v>
      </c>
      <c r="C104" s="5">
        <v>44572</v>
      </c>
      <c r="D104" s="5">
        <v>44572</v>
      </c>
      <c r="E104" s="4">
        <v>2</v>
      </c>
      <c r="F104" s="4" t="s">
        <v>22</v>
      </c>
      <c r="G104" s="4" t="s">
        <v>30</v>
      </c>
      <c r="H104" s="4" t="s">
        <v>24</v>
      </c>
      <c r="I104" s="4" t="s">
        <v>30</v>
      </c>
      <c r="J104" s="5">
        <v>44573.474143518521</v>
      </c>
      <c r="K104" s="5">
        <v>44573.474143518521</v>
      </c>
      <c r="L104" s="3">
        <f t="shared" si="2"/>
        <v>1</v>
      </c>
      <c r="M104" s="4" t="s">
        <v>296</v>
      </c>
      <c r="N104" s="4" t="s">
        <v>26</v>
      </c>
      <c r="O104" s="4" t="s">
        <v>297</v>
      </c>
      <c r="P104" s="4" t="s">
        <v>28</v>
      </c>
      <c r="Q104" s="4" t="str">
        <f t="shared" si="3"/>
        <v>DENTRO DEL TIEMPO</v>
      </c>
      <c r="R104" s="6"/>
    </row>
    <row r="105" spans="1:18" ht="42.75" customHeight="1" x14ac:dyDescent="0.25">
      <c r="A105" s="3">
        <v>98</v>
      </c>
      <c r="B105" s="4" t="s">
        <v>298</v>
      </c>
      <c r="C105" s="5">
        <v>44572</v>
      </c>
      <c r="D105" s="5">
        <v>44572</v>
      </c>
      <c r="E105" s="4">
        <v>2</v>
      </c>
      <c r="F105" s="4" t="s">
        <v>22</v>
      </c>
      <c r="G105" s="4" t="s">
        <v>30</v>
      </c>
      <c r="H105" s="4" t="s">
        <v>24</v>
      </c>
      <c r="I105" s="4" t="s">
        <v>30</v>
      </c>
      <c r="J105" s="5">
        <v>44573.51053240741</v>
      </c>
      <c r="K105" s="5">
        <v>44573.51053240741</v>
      </c>
      <c r="L105" s="3">
        <f t="shared" si="2"/>
        <v>1</v>
      </c>
      <c r="M105" s="4" t="s">
        <v>299</v>
      </c>
      <c r="N105" s="4" t="s">
        <v>26</v>
      </c>
      <c r="O105" s="4" t="s">
        <v>257</v>
      </c>
      <c r="P105" s="4" t="s">
        <v>28</v>
      </c>
      <c r="Q105" s="4" t="str">
        <f t="shared" si="3"/>
        <v>DENTRO DEL TIEMPO</v>
      </c>
      <c r="R105" s="6"/>
    </row>
    <row r="106" spans="1:18" ht="42.75" customHeight="1" x14ac:dyDescent="0.25">
      <c r="A106" s="3">
        <v>99</v>
      </c>
      <c r="B106" s="4" t="s">
        <v>300</v>
      </c>
      <c r="C106" s="5">
        <v>44572</v>
      </c>
      <c r="D106" s="5">
        <v>44572</v>
      </c>
      <c r="E106" s="4">
        <v>2</v>
      </c>
      <c r="F106" s="4" t="s">
        <v>22</v>
      </c>
      <c r="G106" s="4" t="s">
        <v>30</v>
      </c>
      <c r="H106" s="4" t="s">
        <v>24</v>
      </c>
      <c r="I106" s="4" t="s">
        <v>30</v>
      </c>
      <c r="J106" s="5">
        <v>44573.518831018519</v>
      </c>
      <c r="K106" s="5">
        <v>44573.518831018519</v>
      </c>
      <c r="L106" s="3">
        <f t="shared" si="2"/>
        <v>1</v>
      </c>
      <c r="M106" s="4" t="s">
        <v>301</v>
      </c>
      <c r="N106" s="4" t="s">
        <v>26</v>
      </c>
      <c r="O106" s="4" t="s">
        <v>257</v>
      </c>
      <c r="P106" s="4" t="s">
        <v>28</v>
      </c>
      <c r="Q106" s="4" t="str">
        <f t="shared" si="3"/>
        <v>DENTRO DEL TIEMPO</v>
      </c>
      <c r="R106" s="6"/>
    </row>
    <row r="107" spans="1:18" ht="42.75" customHeight="1" x14ac:dyDescent="0.25">
      <c r="A107" s="3">
        <v>100</v>
      </c>
      <c r="B107" s="4" t="s">
        <v>302</v>
      </c>
      <c r="C107" s="5">
        <v>44572</v>
      </c>
      <c r="D107" s="5">
        <v>44572</v>
      </c>
      <c r="E107" s="4">
        <v>2</v>
      </c>
      <c r="F107" s="4" t="s">
        <v>22</v>
      </c>
      <c r="G107" s="4" t="s">
        <v>30</v>
      </c>
      <c r="H107" s="4" t="s">
        <v>24</v>
      </c>
      <c r="I107" s="4" t="s">
        <v>30</v>
      </c>
      <c r="J107" s="5">
        <v>44573.529062499998</v>
      </c>
      <c r="K107" s="5">
        <v>44573.529062499998</v>
      </c>
      <c r="L107" s="3">
        <f t="shared" si="2"/>
        <v>1</v>
      </c>
      <c r="M107" s="4" t="s">
        <v>303</v>
      </c>
      <c r="N107" s="4" t="s">
        <v>26</v>
      </c>
      <c r="O107" s="4" t="s">
        <v>257</v>
      </c>
      <c r="P107" s="4" t="s">
        <v>28</v>
      </c>
      <c r="Q107" s="4" t="str">
        <f t="shared" si="3"/>
        <v>DENTRO DEL TIEMPO</v>
      </c>
      <c r="R107" s="6"/>
    </row>
    <row r="108" spans="1:18" ht="42.75" customHeight="1" x14ac:dyDescent="0.25">
      <c r="A108" s="3">
        <v>101</v>
      </c>
      <c r="B108" s="4" t="s">
        <v>304</v>
      </c>
      <c r="C108" s="5">
        <v>44572</v>
      </c>
      <c r="D108" s="5">
        <v>44572</v>
      </c>
      <c r="E108" s="4">
        <v>2</v>
      </c>
      <c r="F108" s="4" t="s">
        <v>22</v>
      </c>
      <c r="G108" s="4" t="s">
        <v>30</v>
      </c>
      <c r="H108" s="4" t="s">
        <v>24</v>
      </c>
      <c r="I108" s="4" t="s">
        <v>30</v>
      </c>
      <c r="J108" s="5">
        <v>44573.54146990741</v>
      </c>
      <c r="K108" s="5">
        <v>44573.54146990741</v>
      </c>
      <c r="L108" s="3">
        <f t="shared" si="2"/>
        <v>1</v>
      </c>
      <c r="M108" s="4" t="s">
        <v>305</v>
      </c>
      <c r="N108" s="4" t="s">
        <v>26</v>
      </c>
      <c r="O108" s="4" t="s">
        <v>257</v>
      </c>
      <c r="P108" s="4" t="s">
        <v>28</v>
      </c>
      <c r="Q108" s="4" t="str">
        <f t="shared" si="3"/>
        <v>DENTRO DEL TIEMPO</v>
      </c>
      <c r="R108" s="6"/>
    </row>
    <row r="109" spans="1:18" ht="42.75" customHeight="1" x14ac:dyDescent="0.25">
      <c r="A109" s="3">
        <v>102</v>
      </c>
      <c r="B109" s="4" t="s">
        <v>306</v>
      </c>
      <c r="C109" s="5">
        <v>44572</v>
      </c>
      <c r="D109" s="5">
        <v>44572</v>
      </c>
      <c r="E109" s="4">
        <v>2</v>
      </c>
      <c r="F109" s="4" t="s">
        <v>22</v>
      </c>
      <c r="G109" s="4" t="s">
        <v>30</v>
      </c>
      <c r="H109" s="4" t="s">
        <v>24</v>
      </c>
      <c r="I109" s="4" t="s">
        <v>30</v>
      </c>
      <c r="J109" s="5">
        <v>44573.581770833334</v>
      </c>
      <c r="K109" s="5">
        <v>44573.581770833334</v>
      </c>
      <c r="L109" s="3">
        <f t="shared" si="2"/>
        <v>1</v>
      </c>
      <c r="M109" s="4" t="s">
        <v>307</v>
      </c>
      <c r="N109" s="4" t="s">
        <v>26</v>
      </c>
      <c r="O109" s="4" t="s">
        <v>257</v>
      </c>
      <c r="P109" s="4" t="s">
        <v>28</v>
      </c>
      <c r="Q109" s="4" t="str">
        <f t="shared" si="3"/>
        <v>DENTRO DEL TIEMPO</v>
      </c>
      <c r="R109" s="6"/>
    </row>
    <row r="110" spans="1:18" ht="42.75" customHeight="1" x14ac:dyDescent="0.25">
      <c r="A110" s="3">
        <v>103</v>
      </c>
      <c r="B110" s="4" t="s">
        <v>308</v>
      </c>
      <c r="C110" s="5">
        <v>44572</v>
      </c>
      <c r="D110" s="5">
        <v>44572</v>
      </c>
      <c r="E110" s="4">
        <v>2</v>
      </c>
      <c r="F110" s="4" t="s">
        <v>22</v>
      </c>
      <c r="G110" s="4" t="s">
        <v>30</v>
      </c>
      <c r="H110" s="4" t="s">
        <v>24</v>
      </c>
      <c r="I110" s="4" t="s">
        <v>30</v>
      </c>
      <c r="J110" s="5">
        <v>44573.587777777779</v>
      </c>
      <c r="K110" s="5">
        <v>44573.587777777779</v>
      </c>
      <c r="L110" s="3">
        <f t="shared" si="2"/>
        <v>1</v>
      </c>
      <c r="M110" s="4" t="s">
        <v>309</v>
      </c>
      <c r="N110" s="4" t="s">
        <v>26</v>
      </c>
      <c r="O110" s="4" t="s">
        <v>257</v>
      </c>
      <c r="P110" s="4" t="s">
        <v>28</v>
      </c>
      <c r="Q110" s="4" t="str">
        <f t="shared" si="3"/>
        <v>DENTRO DEL TIEMPO</v>
      </c>
      <c r="R110" s="6"/>
    </row>
    <row r="111" spans="1:18" ht="42.75" customHeight="1" x14ac:dyDescent="0.25">
      <c r="A111" s="3">
        <v>104</v>
      </c>
      <c r="B111" s="4" t="s">
        <v>310</v>
      </c>
      <c r="C111" s="5">
        <v>44572</v>
      </c>
      <c r="D111" s="5">
        <v>44572</v>
      </c>
      <c r="E111" s="4">
        <v>2</v>
      </c>
      <c r="F111" s="4" t="s">
        <v>22</v>
      </c>
      <c r="G111" s="4" t="s">
        <v>23</v>
      </c>
      <c r="H111" s="4" t="s">
        <v>24</v>
      </c>
      <c r="I111" s="4" t="s">
        <v>23</v>
      </c>
      <c r="J111" s="5">
        <v>44572.599212962959</v>
      </c>
      <c r="K111" s="5">
        <v>44572.599212962959</v>
      </c>
      <c r="L111" s="3">
        <f t="shared" si="2"/>
        <v>0</v>
      </c>
      <c r="M111" s="4" t="s">
        <v>311</v>
      </c>
      <c r="N111" s="4" t="s">
        <v>26</v>
      </c>
      <c r="O111" s="4" t="s">
        <v>312</v>
      </c>
      <c r="P111" s="4" t="s">
        <v>28</v>
      </c>
      <c r="Q111" s="4" t="str">
        <f t="shared" si="3"/>
        <v>DENTRO DEL TIEMPO</v>
      </c>
      <c r="R111" s="6"/>
    </row>
    <row r="112" spans="1:18" ht="42.75" customHeight="1" x14ac:dyDescent="0.25">
      <c r="A112" s="3">
        <v>105</v>
      </c>
      <c r="B112" s="4" t="s">
        <v>313</v>
      </c>
      <c r="C112" s="5">
        <v>44572</v>
      </c>
      <c r="D112" s="5">
        <v>44572</v>
      </c>
      <c r="E112" s="4">
        <v>2</v>
      </c>
      <c r="F112" s="4" t="s">
        <v>22</v>
      </c>
      <c r="G112" s="4" t="s">
        <v>30</v>
      </c>
      <c r="H112" s="4" t="s">
        <v>24</v>
      </c>
      <c r="I112" s="4" t="s">
        <v>30</v>
      </c>
      <c r="J112" s="5">
        <v>44573.594930555555</v>
      </c>
      <c r="K112" s="5">
        <v>44573.594930555555</v>
      </c>
      <c r="L112" s="3">
        <f t="shared" si="2"/>
        <v>1</v>
      </c>
      <c r="M112" s="4" t="s">
        <v>314</v>
      </c>
      <c r="N112" s="4" t="s">
        <v>26</v>
      </c>
      <c r="O112" s="4" t="s">
        <v>315</v>
      </c>
      <c r="P112" s="4" t="s">
        <v>28</v>
      </c>
      <c r="Q112" s="4" t="str">
        <f t="shared" si="3"/>
        <v>DENTRO DEL TIEMPO</v>
      </c>
      <c r="R112" s="6"/>
    </row>
    <row r="113" spans="1:18" ht="42.75" customHeight="1" x14ac:dyDescent="0.25">
      <c r="A113" s="3">
        <v>106</v>
      </c>
      <c r="B113" s="4" t="s">
        <v>316</v>
      </c>
      <c r="C113" s="5">
        <v>44572</v>
      </c>
      <c r="D113" s="5">
        <v>44572</v>
      </c>
      <c r="E113" s="4">
        <v>2</v>
      </c>
      <c r="F113" s="4" t="s">
        <v>22</v>
      </c>
      <c r="G113" s="4" t="s">
        <v>30</v>
      </c>
      <c r="H113" s="4" t="s">
        <v>24</v>
      </c>
      <c r="I113" s="4" t="s">
        <v>30</v>
      </c>
      <c r="J113" s="5">
        <v>44573.619363425925</v>
      </c>
      <c r="K113" s="5">
        <v>44573.619363425925</v>
      </c>
      <c r="L113" s="3">
        <f t="shared" si="2"/>
        <v>1</v>
      </c>
      <c r="M113" s="4" t="s">
        <v>317</v>
      </c>
      <c r="N113" s="4" t="s">
        <v>26</v>
      </c>
      <c r="O113" s="4" t="s">
        <v>109</v>
      </c>
      <c r="P113" s="4" t="s">
        <v>28</v>
      </c>
      <c r="Q113" s="4" t="str">
        <f t="shared" si="3"/>
        <v>DENTRO DEL TIEMPO</v>
      </c>
      <c r="R113" s="6"/>
    </row>
    <row r="114" spans="1:18" ht="42.75" customHeight="1" x14ac:dyDescent="0.25">
      <c r="A114" s="3">
        <v>107</v>
      </c>
      <c r="B114" s="4" t="s">
        <v>318</v>
      </c>
      <c r="C114" s="5">
        <v>44572</v>
      </c>
      <c r="D114" s="5">
        <v>44572</v>
      </c>
      <c r="E114" s="4">
        <v>2</v>
      </c>
      <c r="F114" s="4" t="s">
        <v>22</v>
      </c>
      <c r="G114" s="4" t="s">
        <v>30</v>
      </c>
      <c r="H114" s="4" t="s">
        <v>24</v>
      </c>
      <c r="I114" s="4" t="s">
        <v>30</v>
      </c>
      <c r="J114" s="5">
        <v>44573.608541666668</v>
      </c>
      <c r="K114" s="5">
        <v>44573.608541666668</v>
      </c>
      <c r="L114" s="3">
        <f t="shared" si="2"/>
        <v>1</v>
      </c>
      <c r="M114" s="4" t="s">
        <v>319</v>
      </c>
      <c r="N114" s="4" t="s">
        <v>26</v>
      </c>
      <c r="O114" s="4" t="s">
        <v>109</v>
      </c>
      <c r="P114" s="4" t="s">
        <v>28</v>
      </c>
      <c r="Q114" s="4" t="str">
        <f t="shared" si="3"/>
        <v>DENTRO DEL TIEMPO</v>
      </c>
      <c r="R114" s="6"/>
    </row>
    <row r="115" spans="1:18" ht="42.75" customHeight="1" x14ac:dyDescent="0.25">
      <c r="A115" s="3">
        <v>108</v>
      </c>
      <c r="B115" s="4" t="s">
        <v>320</v>
      </c>
      <c r="C115" s="5">
        <v>44572</v>
      </c>
      <c r="D115" s="5">
        <v>44572</v>
      </c>
      <c r="E115" s="4">
        <v>2</v>
      </c>
      <c r="F115" s="4" t="s">
        <v>22</v>
      </c>
      <c r="G115" s="4" t="s">
        <v>30</v>
      </c>
      <c r="H115" s="4" t="s">
        <v>24</v>
      </c>
      <c r="I115" s="4" t="s">
        <v>30</v>
      </c>
      <c r="J115" s="5">
        <v>44573.628171296295</v>
      </c>
      <c r="K115" s="5">
        <v>44573.628171296295</v>
      </c>
      <c r="L115" s="3">
        <f t="shared" si="2"/>
        <v>1</v>
      </c>
      <c r="M115" s="4" t="s">
        <v>321</v>
      </c>
      <c r="N115" s="4" t="s">
        <v>26</v>
      </c>
      <c r="O115" s="4" t="s">
        <v>322</v>
      </c>
      <c r="P115" s="4" t="s">
        <v>28</v>
      </c>
      <c r="Q115" s="4" t="str">
        <f t="shared" si="3"/>
        <v>DENTRO DEL TIEMPO</v>
      </c>
      <c r="R115" s="6"/>
    </row>
    <row r="116" spans="1:18" ht="42.75" customHeight="1" x14ac:dyDescent="0.25">
      <c r="A116" s="3">
        <v>109</v>
      </c>
      <c r="B116" s="4" t="s">
        <v>323</v>
      </c>
      <c r="C116" s="5">
        <v>44572</v>
      </c>
      <c r="D116" s="5">
        <v>44572</v>
      </c>
      <c r="E116" s="4">
        <v>2</v>
      </c>
      <c r="F116" s="4" t="s">
        <v>22</v>
      </c>
      <c r="G116" s="4" t="s">
        <v>23</v>
      </c>
      <c r="H116" s="4" t="s">
        <v>24</v>
      </c>
      <c r="I116" s="4" t="s">
        <v>23</v>
      </c>
      <c r="J116" s="5">
        <v>44572.607025462959</v>
      </c>
      <c r="K116" s="5">
        <v>44572.607025462959</v>
      </c>
      <c r="L116" s="3">
        <f t="shared" si="2"/>
        <v>0</v>
      </c>
      <c r="M116" s="4" t="s">
        <v>324</v>
      </c>
      <c r="N116" s="4" t="s">
        <v>26</v>
      </c>
      <c r="O116" s="4" t="s">
        <v>325</v>
      </c>
      <c r="P116" s="4" t="s">
        <v>28</v>
      </c>
      <c r="Q116" s="4" t="str">
        <f t="shared" si="3"/>
        <v>DENTRO DEL TIEMPO</v>
      </c>
      <c r="R116" s="6"/>
    </row>
    <row r="117" spans="1:18" ht="42.75" customHeight="1" x14ac:dyDescent="0.25">
      <c r="A117" s="3">
        <v>110</v>
      </c>
      <c r="B117" s="4" t="s">
        <v>326</v>
      </c>
      <c r="C117" s="5">
        <v>44572</v>
      </c>
      <c r="D117" s="5">
        <v>44572</v>
      </c>
      <c r="E117" s="4">
        <v>2</v>
      </c>
      <c r="F117" s="4" t="s">
        <v>22</v>
      </c>
      <c r="G117" s="4" t="s">
        <v>30</v>
      </c>
      <c r="H117" s="4" t="s">
        <v>24</v>
      </c>
      <c r="I117" s="4" t="s">
        <v>30</v>
      </c>
      <c r="J117" s="5">
        <v>44573.637974537036</v>
      </c>
      <c r="K117" s="5">
        <v>44573.637974537036</v>
      </c>
      <c r="L117" s="3">
        <f t="shared" si="2"/>
        <v>1</v>
      </c>
      <c r="M117" s="4" t="s">
        <v>327</v>
      </c>
      <c r="N117" s="4" t="s">
        <v>26</v>
      </c>
      <c r="O117" s="4" t="s">
        <v>257</v>
      </c>
      <c r="P117" s="4" t="s">
        <v>28</v>
      </c>
      <c r="Q117" s="4" t="str">
        <f t="shared" si="3"/>
        <v>DENTRO DEL TIEMPO</v>
      </c>
      <c r="R117" s="6"/>
    </row>
    <row r="118" spans="1:18" ht="42.75" customHeight="1" x14ac:dyDescent="0.25">
      <c r="A118" s="3">
        <v>111</v>
      </c>
      <c r="B118" s="4" t="s">
        <v>328</v>
      </c>
      <c r="C118" s="5">
        <v>44572</v>
      </c>
      <c r="D118" s="5">
        <v>44572</v>
      </c>
      <c r="E118" s="4">
        <v>2</v>
      </c>
      <c r="F118" s="4" t="s">
        <v>22</v>
      </c>
      <c r="G118" s="4" t="s">
        <v>30</v>
      </c>
      <c r="H118" s="4" t="s">
        <v>24</v>
      </c>
      <c r="I118" s="4" t="s">
        <v>30</v>
      </c>
      <c r="J118" s="5">
        <v>44573.664594907408</v>
      </c>
      <c r="K118" s="5">
        <v>44573.664594907408</v>
      </c>
      <c r="L118" s="3">
        <f t="shared" si="2"/>
        <v>1</v>
      </c>
      <c r="M118" s="4" t="s">
        <v>329</v>
      </c>
      <c r="N118" s="4" t="s">
        <v>26</v>
      </c>
      <c r="O118" s="4" t="s">
        <v>257</v>
      </c>
      <c r="P118" s="4" t="s">
        <v>28</v>
      </c>
      <c r="Q118" s="4" t="str">
        <f t="shared" si="3"/>
        <v>DENTRO DEL TIEMPO</v>
      </c>
      <c r="R118" s="6"/>
    </row>
    <row r="119" spans="1:18" ht="42.75" customHeight="1" x14ac:dyDescent="0.25">
      <c r="A119" s="3">
        <v>112</v>
      </c>
      <c r="B119" s="4" t="s">
        <v>330</v>
      </c>
      <c r="C119" s="5">
        <v>44572</v>
      </c>
      <c r="D119" s="5">
        <v>44572</v>
      </c>
      <c r="E119" s="4">
        <v>2</v>
      </c>
      <c r="F119" s="4" t="s">
        <v>22</v>
      </c>
      <c r="G119" s="4" t="s">
        <v>30</v>
      </c>
      <c r="H119" s="4" t="s">
        <v>24</v>
      </c>
      <c r="I119" s="4" t="s">
        <v>30</v>
      </c>
      <c r="J119" s="5">
        <v>44573.673506944448</v>
      </c>
      <c r="K119" s="5">
        <v>44573.673506944448</v>
      </c>
      <c r="L119" s="3">
        <f t="shared" si="2"/>
        <v>1</v>
      </c>
      <c r="M119" s="4" t="s">
        <v>331</v>
      </c>
      <c r="N119" s="4" t="s">
        <v>26</v>
      </c>
      <c r="O119" s="4" t="s">
        <v>257</v>
      </c>
      <c r="P119" s="4" t="s">
        <v>28</v>
      </c>
      <c r="Q119" s="4" t="str">
        <f t="shared" si="3"/>
        <v>DENTRO DEL TIEMPO</v>
      </c>
      <c r="R119" s="6"/>
    </row>
    <row r="120" spans="1:18" ht="42.75" customHeight="1" x14ac:dyDescent="0.25">
      <c r="A120" s="3">
        <v>113</v>
      </c>
      <c r="B120" s="4" t="s">
        <v>332</v>
      </c>
      <c r="C120" s="5">
        <v>44572</v>
      </c>
      <c r="D120" s="5">
        <v>44572</v>
      </c>
      <c r="E120" s="4">
        <v>2</v>
      </c>
      <c r="F120" s="4" t="s">
        <v>22</v>
      </c>
      <c r="G120" s="4" t="s">
        <v>49</v>
      </c>
      <c r="H120" s="4" t="s">
        <v>24</v>
      </c>
      <c r="I120" s="4" t="s">
        <v>49</v>
      </c>
      <c r="J120" s="5">
        <v>44586.697581018518</v>
      </c>
      <c r="K120" s="5">
        <v>44586.697581018518</v>
      </c>
      <c r="L120" s="3">
        <f t="shared" si="2"/>
        <v>10</v>
      </c>
      <c r="M120" s="4" t="s">
        <v>333</v>
      </c>
      <c r="N120" s="4" t="s">
        <v>26</v>
      </c>
      <c r="O120" s="4" t="s">
        <v>334</v>
      </c>
      <c r="P120" s="4" t="s">
        <v>28</v>
      </c>
      <c r="Q120" s="4" t="str">
        <f t="shared" si="3"/>
        <v>DENTRO DEL TIEMPO</v>
      </c>
      <c r="R120" s="6"/>
    </row>
    <row r="121" spans="1:18" ht="42.75" customHeight="1" x14ac:dyDescent="0.25">
      <c r="A121" s="3">
        <v>114</v>
      </c>
      <c r="B121" s="4" t="s">
        <v>335</v>
      </c>
      <c r="C121" s="5">
        <v>44572</v>
      </c>
      <c r="D121" s="5">
        <v>44572</v>
      </c>
      <c r="E121" s="4">
        <v>2</v>
      </c>
      <c r="F121" s="4" t="s">
        <v>22</v>
      </c>
      <c r="G121" s="4" t="s">
        <v>30</v>
      </c>
      <c r="H121" s="4" t="s">
        <v>24</v>
      </c>
      <c r="I121" s="4" t="s">
        <v>30</v>
      </c>
      <c r="J121" s="5">
        <v>44573.68613425926</v>
      </c>
      <c r="K121" s="5">
        <v>44573.68613425926</v>
      </c>
      <c r="L121" s="3">
        <f t="shared" si="2"/>
        <v>1</v>
      </c>
      <c r="M121" s="4" t="s">
        <v>336</v>
      </c>
      <c r="N121" s="4" t="s">
        <v>26</v>
      </c>
      <c r="O121" s="4" t="s">
        <v>257</v>
      </c>
      <c r="P121" s="4" t="s">
        <v>28</v>
      </c>
      <c r="Q121" s="4" t="str">
        <f t="shared" si="3"/>
        <v>DENTRO DEL TIEMPO</v>
      </c>
      <c r="R121" s="6"/>
    </row>
    <row r="122" spans="1:18" ht="42.75" customHeight="1" x14ac:dyDescent="0.25">
      <c r="A122" s="3">
        <v>115</v>
      </c>
      <c r="B122" s="4" t="s">
        <v>337</v>
      </c>
      <c r="C122" s="5">
        <v>44572</v>
      </c>
      <c r="D122" s="5">
        <v>44572</v>
      </c>
      <c r="E122" s="4">
        <v>2</v>
      </c>
      <c r="F122" s="4" t="s">
        <v>22</v>
      </c>
      <c r="G122" s="4" t="s">
        <v>30</v>
      </c>
      <c r="H122" s="4" t="s">
        <v>24</v>
      </c>
      <c r="I122" s="4" t="s">
        <v>30</v>
      </c>
      <c r="J122" s="5">
        <v>44574.356990740744</v>
      </c>
      <c r="K122" s="5">
        <v>44574.356990740744</v>
      </c>
      <c r="L122" s="3">
        <f t="shared" si="2"/>
        <v>2</v>
      </c>
      <c r="M122" s="4" t="s">
        <v>338</v>
      </c>
      <c r="N122" s="4" t="s">
        <v>26</v>
      </c>
      <c r="O122" s="4" t="s">
        <v>257</v>
      </c>
      <c r="P122" s="4" t="s">
        <v>28</v>
      </c>
      <c r="Q122" s="4" t="str">
        <f t="shared" si="3"/>
        <v>DENTRO DEL TIEMPO</v>
      </c>
      <c r="R122" s="6"/>
    </row>
    <row r="123" spans="1:18" ht="42.75" customHeight="1" x14ac:dyDescent="0.25">
      <c r="A123" s="3">
        <v>116</v>
      </c>
      <c r="B123" s="4" t="s">
        <v>339</v>
      </c>
      <c r="C123" s="5">
        <v>44572</v>
      </c>
      <c r="D123" s="5">
        <v>44572</v>
      </c>
      <c r="E123" s="4">
        <v>2</v>
      </c>
      <c r="F123" s="4" t="s">
        <v>22</v>
      </c>
      <c r="G123" s="4" t="s">
        <v>30</v>
      </c>
      <c r="H123" s="4" t="s">
        <v>24</v>
      </c>
      <c r="I123" s="4" t="s">
        <v>30</v>
      </c>
      <c r="J123" s="5">
        <v>44573.652962962966</v>
      </c>
      <c r="K123" s="5">
        <v>44573.652962962966</v>
      </c>
      <c r="L123" s="3">
        <f t="shared" si="2"/>
        <v>1</v>
      </c>
      <c r="M123" s="4" t="s">
        <v>340</v>
      </c>
      <c r="N123" s="4" t="s">
        <v>26</v>
      </c>
      <c r="O123" s="4" t="s">
        <v>341</v>
      </c>
      <c r="P123" s="4" t="s">
        <v>28</v>
      </c>
      <c r="Q123" s="4" t="str">
        <f t="shared" si="3"/>
        <v>DENTRO DEL TIEMPO</v>
      </c>
      <c r="R123" s="6"/>
    </row>
    <row r="124" spans="1:18" ht="42.75" customHeight="1" x14ac:dyDescent="0.25">
      <c r="A124" s="3">
        <v>117</v>
      </c>
      <c r="B124" s="4" t="s">
        <v>342</v>
      </c>
      <c r="C124" s="5">
        <v>44572</v>
      </c>
      <c r="D124" s="5">
        <v>44572</v>
      </c>
      <c r="E124" s="4">
        <v>2</v>
      </c>
      <c r="F124" s="4" t="s">
        <v>22</v>
      </c>
      <c r="G124" s="4" t="s">
        <v>30</v>
      </c>
      <c r="H124" s="4" t="s">
        <v>24</v>
      </c>
      <c r="I124" s="4" t="s">
        <v>30</v>
      </c>
      <c r="J124" s="5">
        <v>44574.374293981484</v>
      </c>
      <c r="K124" s="5">
        <v>44574.374293981484</v>
      </c>
      <c r="L124" s="3">
        <f t="shared" si="2"/>
        <v>2</v>
      </c>
      <c r="M124" s="4" t="s">
        <v>343</v>
      </c>
      <c r="N124" s="4" t="s">
        <v>26</v>
      </c>
      <c r="O124" s="4" t="s">
        <v>257</v>
      </c>
      <c r="P124" s="4" t="s">
        <v>28</v>
      </c>
      <c r="Q124" s="4" t="str">
        <f t="shared" si="3"/>
        <v>DENTRO DEL TIEMPO</v>
      </c>
      <c r="R124" s="6"/>
    </row>
    <row r="125" spans="1:18" ht="42.75" customHeight="1" x14ac:dyDescent="0.25">
      <c r="A125" s="3">
        <v>118</v>
      </c>
      <c r="B125" s="4" t="s">
        <v>344</v>
      </c>
      <c r="C125" s="5">
        <v>44572</v>
      </c>
      <c r="D125" s="5">
        <v>44572</v>
      </c>
      <c r="E125" s="4">
        <v>2</v>
      </c>
      <c r="F125" s="4" t="s">
        <v>22</v>
      </c>
      <c r="G125" s="4" t="s">
        <v>30</v>
      </c>
      <c r="H125" s="4" t="s">
        <v>24</v>
      </c>
      <c r="I125" s="4" t="s">
        <v>30</v>
      </c>
      <c r="J125" s="5">
        <v>44574.34983796296</v>
      </c>
      <c r="K125" s="5">
        <v>44574.34983796296</v>
      </c>
      <c r="L125" s="3">
        <f t="shared" si="2"/>
        <v>2</v>
      </c>
      <c r="M125" s="4" t="s">
        <v>345</v>
      </c>
      <c r="N125" s="4" t="s">
        <v>26</v>
      </c>
      <c r="O125" s="4" t="s">
        <v>341</v>
      </c>
      <c r="P125" s="4" t="s">
        <v>28</v>
      </c>
      <c r="Q125" s="4" t="str">
        <f t="shared" si="3"/>
        <v>DENTRO DEL TIEMPO</v>
      </c>
      <c r="R125" s="6"/>
    </row>
    <row r="126" spans="1:18" ht="42.75" customHeight="1" x14ac:dyDescent="0.25">
      <c r="A126" s="3">
        <v>119</v>
      </c>
      <c r="B126" s="4" t="s">
        <v>346</v>
      </c>
      <c r="C126" s="5">
        <v>44572</v>
      </c>
      <c r="D126" s="5">
        <v>44572</v>
      </c>
      <c r="E126" s="4">
        <v>2</v>
      </c>
      <c r="F126" s="4" t="s">
        <v>22</v>
      </c>
      <c r="G126" s="4" t="s">
        <v>30</v>
      </c>
      <c r="H126" s="4" t="s">
        <v>24</v>
      </c>
      <c r="I126" s="4" t="s">
        <v>30</v>
      </c>
      <c r="J126" s="5">
        <v>44574.386944444443</v>
      </c>
      <c r="K126" s="5">
        <v>44574.386944444443</v>
      </c>
      <c r="L126" s="3">
        <f t="shared" si="2"/>
        <v>2</v>
      </c>
      <c r="M126" s="4" t="s">
        <v>347</v>
      </c>
      <c r="N126" s="4" t="s">
        <v>26</v>
      </c>
      <c r="O126" s="4" t="s">
        <v>257</v>
      </c>
      <c r="P126" s="4" t="s">
        <v>28</v>
      </c>
      <c r="Q126" s="4" t="str">
        <f t="shared" si="3"/>
        <v>DENTRO DEL TIEMPO</v>
      </c>
      <c r="R126" s="6"/>
    </row>
    <row r="127" spans="1:18" ht="42.75" customHeight="1" x14ac:dyDescent="0.25">
      <c r="A127" s="3">
        <v>120</v>
      </c>
      <c r="B127" s="4" t="s">
        <v>348</v>
      </c>
      <c r="C127" s="5">
        <v>44572</v>
      </c>
      <c r="D127" s="5">
        <v>44572</v>
      </c>
      <c r="E127" s="4">
        <v>2</v>
      </c>
      <c r="F127" s="4" t="s">
        <v>22</v>
      </c>
      <c r="G127" s="4" t="s">
        <v>23</v>
      </c>
      <c r="H127" s="4" t="s">
        <v>24</v>
      </c>
      <c r="I127" s="4" t="s">
        <v>23</v>
      </c>
      <c r="J127" s="5">
        <v>44574.474560185183</v>
      </c>
      <c r="K127" s="5">
        <v>44574.474560185183</v>
      </c>
      <c r="L127" s="3">
        <f t="shared" si="2"/>
        <v>2</v>
      </c>
      <c r="M127" s="4" t="s">
        <v>349</v>
      </c>
      <c r="N127" s="4" t="s">
        <v>26</v>
      </c>
      <c r="O127" s="4" t="s">
        <v>350</v>
      </c>
      <c r="P127" s="4" t="s">
        <v>28</v>
      </c>
      <c r="Q127" s="4" t="str">
        <f t="shared" si="3"/>
        <v>DENTRO DEL TIEMPO</v>
      </c>
      <c r="R127" s="6"/>
    </row>
    <row r="128" spans="1:18" ht="42.75" customHeight="1" x14ac:dyDescent="0.25">
      <c r="A128" s="3">
        <v>121</v>
      </c>
      <c r="B128" s="4" t="s">
        <v>351</v>
      </c>
      <c r="C128" s="5">
        <v>44572</v>
      </c>
      <c r="D128" s="5">
        <v>44572</v>
      </c>
      <c r="E128" s="4">
        <v>2</v>
      </c>
      <c r="F128" s="4" t="s">
        <v>22</v>
      </c>
      <c r="G128" s="4" t="s">
        <v>30</v>
      </c>
      <c r="H128" s="4" t="s">
        <v>24</v>
      </c>
      <c r="I128" s="4" t="s">
        <v>30</v>
      </c>
      <c r="J128" s="5">
        <v>44574.398530092592</v>
      </c>
      <c r="K128" s="5">
        <v>44574.398530092592</v>
      </c>
      <c r="L128" s="3">
        <f t="shared" si="2"/>
        <v>2</v>
      </c>
      <c r="M128" s="4" t="s">
        <v>352</v>
      </c>
      <c r="N128" s="4" t="s">
        <v>26</v>
      </c>
      <c r="O128" s="4" t="s">
        <v>109</v>
      </c>
      <c r="P128" s="4" t="s">
        <v>28</v>
      </c>
      <c r="Q128" s="4" t="str">
        <f t="shared" si="3"/>
        <v>DENTRO DEL TIEMPO</v>
      </c>
      <c r="R128" s="6"/>
    </row>
    <row r="129" spans="1:18" ht="42.75" customHeight="1" x14ac:dyDescent="0.25">
      <c r="A129" s="3">
        <v>122</v>
      </c>
      <c r="B129" s="4" t="s">
        <v>353</v>
      </c>
      <c r="C129" s="5">
        <v>44572</v>
      </c>
      <c r="D129" s="5">
        <v>44572</v>
      </c>
      <c r="E129" s="4">
        <v>2</v>
      </c>
      <c r="F129" s="4" t="s">
        <v>22</v>
      </c>
      <c r="G129" s="4" t="s">
        <v>23</v>
      </c>
      <c r="H129" s="4" t="s">
        <v>24</v>
      </c>
      <c r="I129" s="4" t="s">
        <v>23</v>
      </c>
      <c r="J129" s="5">
        <v>44572.696643518517</v>
      </c>
      <c r="K129" s="5">
        <v>44572.696643518517</v>
      </c>
      <c r="L129" s="3">
        <f t="shared" si="2"/>
        <v>0</v>
      </c>
      <c r="M129" s="4" t="s">
        <v>354</v>
      </c>
      <c r="N129" s="4" t="s">
        <v>26</v>
      </c>
      <c r="O129" s="4" t="s">
        <v>355</v>
      </c>
      <c r="P129" s="4" t="s">
        <v>28</v>
      </c>
      <c r="Q129" s="4" t="str">
        <f t="shared" si="3"/>
        <v>DENTRO DEL TIEMPO</v>
      </c>
      <c r="R129" s="6"/>
    </row>
    <row r="130" spans="1:18" ht="42.75" customHeight="1" x14ac:dyDescent="0.25">
      <c r="A130" s="3">
        <v>123</v>
      </c>
      <c r="B130" s="4" t="s">
        <v>356</v>
      </c>
      <c r="C130" s="5">
        <v>44572</v>
      </c>
      <c r="D130" s="5">
        <v>44572</v>
      </c>
      <c r="E130" s="4">
        <v>2</v>
      </c>
      <c r="F130" s="4" t="s">
        <v>22</v>
      </c>
      <c r="G130" s="4" t="s">
        <v>23</v>
      </c>
      <c r="H130" s="4" t="s">
        <v>24</v>
      </c>
      <c r="I130" s="4" t="s">
        <v>23</v>
      </c>
      <c r="J130" s="5">
        <v>44572.70071759259</v>
      </c>
      <c r="K130" s="5">
        <v>44572.70071759259</v>
      </c>
      <c r="L130" s="3">
        <f t="shared" si="2"/>
        <v>0</v>
      </c>
      <c r="M130" s="4" t="s">
        <v>357</v>
      </c>
      <c r="N130" s="4" t="s">
        <v>26</v>
      </c>
      <c r="O130" s="4" t="s">
        <v>358</v>
      </c>
      <c r="P130" s="4" t="s">
        <v>28</v>
      </c>
      <c r="Q130" s="4" t="str">
        <f t="shared" si="3"/>
        <v>DENTRO DEL TIEMPO</v>
      </c>
      <c r="R130" s="6"/>
    </row>
    <row r="131" spans="1:18" ht="42.75" customHeight="1" x14ac:dyDescent="0.25">
      <c r="A131" s="3">
        <v>124</v>
      </c>
      <c r="B131" s="4" t="s">
        <v>359</v>
      </c>
      <c r="C131" s="5">
        <v>44572</v>
      </c>
      <c r="D131" s="5">
        <v>44572</v>
      </c>
      <c r="E131" s="4">
        <v>2</v>
      </c>
      <c r="F131" s="4" t="s">
        <v>22</v>
      </c>
      <c r="G131" s="4" t="s">
        <v>30</v>
      </c>
      <c r="H131" s="4" t="s">
        <v>24</v>
      </c>
      <c r="I131" s="4" t="s">
        <v>30</v>
      </c>
      <c r="J131" s="5">
        <v>44574.407187500001</v>
      </c>
      <c r="K131" s="5">
        <v>44574.407187500001</v>
      </c>
      <c r="L131" s="3">
        <f t="shared" si="2"/>
        <v>2</v>
      </c>
      <c r="M131" s="4" t="s">
        <v>360</v>
      </c>
      <c r="N131" s="4" t="s">
        <v>26</v>
      </c>
      <c r="O131" s="4" t="s">
        <v>257</v>
      </c>
      <c r="P131" s="4" t="s">
        <v>28</v>
      </c>
      <c r="Q131" s="4" t="str">
        <f t="shared" si="3"/>
        <v>DENTRO DEL TIEMPO</v>
      </c>
      <c r="R131" s="6"/>
    </row>
    <row r="132" spans="1:18" ht="42.75" customHeight="1" x14ac:dyDescent="0.25">
      <c r="A132" s="3">
        <v>125</v>
      </c>
      <c r="B132" s="4" t="s">
        <v>361</v>
      </c>
      <c r="C132" s="5">
        <v>44572</v>
      </c>
      <c r="D132" s="5">
        <v>44572</v>
      </c>
      <c r="E132" s="4">
        <v>2</v>
      </c>
      <c r="F132" s="4" t="s">
        <v>22</v>
      </c>
      <c r="G132" s="4" t="s">
        <v>30</v>
      </c>
      <c r="H132" s="4" t="s">
        <v>24</v>
      </c>
      <c r="I132" s="4" t="s">
        <v>30</v>
      </c>
      <c r="J132" s="5">
        <v>44574.412743055553</v>
      </c>
      <c r="K132" s="5">
        <v>44574.412743055553</v>
      </c>
      <c r="L132" s="3">
        <f t="shared" si="2"/>
        <v>2</v>
      </c>
      <c r="M132" s="4" t="s">
        <v>362</v>
      </c>
      <c r="N132" s="4" t="s">
        <v>26</v>
      </c>
      <c r="O132" s="4" t="s">
        <v>257</v>
      </c>
      <c r="P132" s="4" t="s">
        <v>28</v>
      </c>
      <c r="Q132" s="4" t="str">
        <f t="shared" si="3"/>
        <v>DENTRO DEL TIEMPO</v>
      </c>
      <c r="R132" s="6"/>
    </row>
    <row r="133" spans="1:18" ht="42.75" customHeight="1" x14ac:dyDescent="0.25">
      <c r="A133" s="3">
        <v>126</v>
      </c>
      <c r="B133" s="4" t="s">
        <v>363</v>
      </c>
      <c r="C133" s="5">
        <v>44572</v>
      </c>
      <c r="D133" s="5">
        <v>44572</v>
      </c>
      <c r="E133" s="4">
        <v>2</v>
      </c>
      <c r="F133" s="4" t="s">
        <v>22</v>
      </c>
      <c r="G133" s="4" t="s">
        <v>30</v>
      </c>
      <c r="H133" s="4" t="s">
        <v>24</v>
      </c>
      <c r="I133" s="4" t="s">
        <v>30</v>
      </c>
      <c r="J133" s="5">
        <v>44574.442777777775</v>
      </c>
      <c r="K133" s="5">
        <v>44574.442777777775</v>
      </c>
      <c r="L133" s="3">
        <f t="shared" si="2"/>
        <v>2</v>
      </c>
      <c r="M133" s="4" t="s">
        <v>364</v>
      </c>
      <c r="N133" s="4" t="s">
        <v>26</v>
      </c>
      <c r="O133" s="4" t="s">
        <v>257</v>
      </c>
      <c r="P133" s="4" t="s">
        <v>28</v>
      </c>
      <c r="Q133" s="4" t="str">
        <f t="shared" si="3"/>
        <v>DENTRO DEL TIEMPO</v>
      </c>
      <c r="R133" s="6"/>
    </row>
    <row r="134" spans="1:18" ht="42.75" customHeight="1" x14ac:dyDescent="0.25">
      <c r="A134" s="3">
        <v>127</v>
      </c>
      <c r="B134" s="4" t="s">
        <v>365</v>
      </c>
      <c r="C134" s="5">
        <v>44572</v>
      </c>
      <c r="D134" s="5">
        <v>44572</v>
      </c>
      <c r="E134" s="4">
        <v>2</v>
      </c>
      <c r="F134" s="4" t="s">
        <v>22</v>
      </c>
      <c r="G134" s="4" t="s">
        <v>30</v>
      </c>
      <c r="H134" s="4" t="s">
        <v>24</v>
      </c>
      <c r="I134" s="4" t="s">
        <v>30</v>
      </c>
      <c r="J134" s="5">
        <v>44574.453599537039</v>
      </c>
      <c r="K134" s="5">
        <v>44574.453599537039</v>
      </c>
      <c r="L134" s="3">
        <f t="shared" si="2"/>
        <v>2</v>
      </c>
      <c r="M134" s="4" t="s">
        <v>366</v>
      </c>
      <c r="N134" s="4" t="s">
        <v>26</v>
      </c>
      <c r="O134" s="4" t="s">
        <v>257</v>
      </c>
      <c r="P134" s="4" t="s">
        <v>28</v>
      </c>
      <c r="Q134" s="4" t="str">
        <f t="shared" si="3"/>
        <v>DENTRO DEL TIEMPO</v>
      </c>
      <c r="R134" s="6"/>
    </row>
    <row r="135" spans="1:18" ht="42.75" customHeight="1" x14ac:dyDescent="0.25">
      <c r="A135" s="3">
        <v>128</v>
      </c>
      <c r="B135" s="4" t="s">
        <v>367</v>
      </c>
      <c r="C135" s="5">
        <v>44573</v>
      </c>
      <c r="D135" s="5">
        <v>44573</v>
      </c>
      <c r="E135" s="4">
        <v>2</v>
      </c>
      <c r="F135" s="4" t="s">
        <v>22</v>
      </c>
      <c r="G135" s="4" t="s">
        <v>23</v>
      </c>
      <c r="H135" s="4" t="s">
        <v>24</v>
      </c>
      <c r="I135" s="4" t="s">
        <v>23</v>
      </c>
      <c r="J135" s="5">
        <v>44574.517743055556</v>
      </c>
      <c r="K135" s="5">
        <v>44574.517743055556</v>
      </c>
      <c r="L135" s="3">
        <f t="shared" si="2"/>
        <v>1</v>
      </c>
      <c r="M135" s="4" t="s">
        <v>368</v>
      </c>
      <c r="N135" s="4" t="s">
        <v>26</v>
      </c>
      <c r="O135" s="4" t="s">
        <v>369</v>
      </c>
      <c r="P135" s="4" t="s">
        <v>28</v>
      </c>
      <c r="Q135" s="4" t="str">
        <f t="shared" si="3"/>
        <v>DENTRO DEL TIEMPO</v>
      </c>
      <c r="R135" s="6"/>
    </row>
    <row r="136" spans="1:18" ht="42.75" customHeight="1" x14ac:dyDescent="0.25">
      <c r="A136" s="3">
        <v>129</v>
      </c>
      <c r="B136" s="4" t="s">
        <v>370</v>
      </c>
      <c r="C136" s="5">
        <v>44573</v>
      </c>
      <c r="D136" s="5">
        <v>44573</v>
      </c>
      <c r="E136" s="4">
        <v>2</v>
      </c>
      <c r="F136" s="4" t="s">
        <v>22</v>
      </c>
      <c r="G136" s="4" t="s">
        <v>23</v>
      </c>
      <c r="H136" s="4" t="s">
        <v>24</v>
      </c>
      <c r="I136" s="4" t="s">
        <v>23</v>
      </c>
      <c r="J136" s="5">
        <v>44573.647083333337</v>
      </c>
      <c r="K136" s="5">
        <v>44573.647083333337</v>
      </c>
      <c r="L136" s="3">
        <f t="shared" si="2"/>
        <v>0</v>
      </c>
      <c r="M136" s="4" t="s">
        <v>371</v>
      </c>
      <c r="N136" s="4" t="s">
        <v>26</v>
      </c>
      <c r="O136" s="4" t="s">
        <v>372</v>
      </c>
      <c r="P136" s="4" t="s">
        <v>28</v>
      </c>
      <c r="Q136" s="4" t="str">
        <f t="shared" si="3"/>
        <v>DENTRO DEL TIEMPO</v>
      </c>
      <c r="R136" s="6"/>
    </row>
    <row r="137" spans="1:18" ht="42.75" customHeight="1" x14ac:dyDescent="0.25">
      <c r="A137" s="3">
        <v>130</v>
      </c>
      <c r="B137" s="4" t="s">
        <v>373</v>
      </c>
      <c r="C137" s="5">
        <v>44573</v>
      </c>
      <c r="D137" s="5">
        <v>44573</v>
      </c>
      <c r="E137" s="4">
        <v>2</v>
      </c>
      <c r="F137" s="4" t="s">
        <v>22</v>
      </c>
      <c r="G137" s="4" t="s">
        <v>30</v>
      </c>
      <c r="H137" s="4" t="s">
        <v>24</v>
      </c>
      <c r="I137" s="4" t="s">
        <v>30</v>
      </c>
      <c r="J137" s="5">
        <v>44574.49863425926</v>
      </c>
      <c r="K137" s="5">
        <v>44574.49863425926</v>
      </c>
      <c r="L137" s="3">
        <f t="shared" ref="L137:L200" si="4">+NETWORKDAYS(D137,K137,$R$8:$R$11)-1</f>
        <v>1</v>
      </c>
      <c r="M137" s="4" t="s">
        <v>374</v>
      </c>
      <c r="N137" s="4" t="s">
        <v>26</v>
      </c>
      <c r="O137" s="4" t="s">
        <v>109</v>
      </c>
      <c r="P137" s="4" t="s">
        <v>28</v>
      </c>
      <c r="Q137" s="4" t="str">
        <f t="shared" ref="Q137:Q200" si="5">IF(L137&gt;15,"FUERA DE TIEMPO","DENTRO DEL TIEMPO")</f>
        <v>DENTRO DEL TIEMPO</v>
      </c>
      <c r="R137" s="6"/>
    </row>
    <row r="138" spans="1:18" ht="42.75" customHeight="1" x14ac:dyDescent="0.25">
      <c r="A138" s="3">
        <v>131</v>
      </c>
      <c r="B138" s="4" t="s">
        <v>375</v>
      </c>
      <c r="C138" s="5">
        <v>44573</v>
      </c>
      <c r="D138" s="5">
        <v>44573</v>
      </c>
      <c r="E138" s="4">
        <v>2</v>
      </c>
      <c r="F138" s="4" t="s">
        <v>22</v>
      </c>
      <c r="G138" s="4" t="s">
        <v>30</v>
      </c>
      <c r="H138" s="4" t="s">
        <v>24</v>
      </c>
      <c r="I138" s="4" t="s">
        <v>30</v>
      </c>
      <c r="J138" s="5">
        <v>44574.505312499998</v>
      </c>
      <c r="K138" s="5">
        <v>44574.505312499998</v>
      </c>
      <c r="L138" s="3">
        <f t="shared" si="4"/>
        <v>1</v>
      </c>
      <c r="M138" s="4" t="s">
        <v>376</v>
      </c>
      <c r="N138" s="4" t="s">
        <v>26</v>
      </c>
      <c r="O138" s="4" t="s">
        <v>377</v>
      </c>
      <c r="P138" s="4" t="s">
        <v>28</v>
      </c>
      <c r="Q138" s="4" t="str">
        <f t="shared" si="5"/>
        <v>DENTRO DEL TIEMPO</v>
      </c>
      <c r="R138" s="6"/>
    </row>
    <row r="139" spans="1:18" ht="42.75" customHeight="1" x14ac:dyDescent="0.25">
      <c r="A139" s="3">
        <v>132</v>
      </c>
      <c r="B139" s="4" t="s">
        <v>378</v>
      </c>
      <c r="C139" s="5">
        <v>44573</v>
      </c>
      <c r="D139" s="5">
        <v>44573</v>
      </c>
      <c r="E139" s="4">
        <v>2</v>
      </c>
      <c r="F139" s="4" t="s">
        <v>22</v>
      </c>
      <c r="G139" s="4" t="s">
        <v>23</v>
      </c>
      <c r="H139" s="4" t="s">
        <v>24</v>
      </c>
      <c r="I139" s="4" t="s">
        <v>23</v>
      </c>
      <c r="J139" s="5">
        <v>44573.52553240741</v>
      </c>
      <c r="K139" s="5">
        <v>44573.52553240741</v>
      </c>
      <c r="L139" s="3">
        <f t="shared" si="4"/>
        <v>0</v>
      </c>
      <c r="M139" s="4" t="s">
        <v>379</v>
      </c>
      <c r="N139" s="4" t="s">
        <v>26</v>
      </c>
      <c r="O139" s="4" t="s">
        <v>380</v>
      </c>
      <c r="P139" s="4" t="s">
        <v>28</v>
      </c>
      <c r="Q139" s="4" t="str">
        <f t="shared" si="5"/>
        <v>DENTRO DEL TIEMPO</v>
      </c>
      <c r="R139" s="6"/>
    </row>
    <row r="140" spans="1:18" ht="42.75" customHeight="1" x14ac:dyDescent="0.25">
      <c r="A140" s="3">
        <v>133</v>
      </c>
      <c r="B140" s="4" t="s">
        <v>381</v>
      </c>
      <c r="C140" s="5">
        <v>44573</v>
      </c>
      <c r="D140" s="5">
        <v>44573</v>
      </c>
      <c r="E140" s="4">
        <v>2</v>
      </c>
      <c r="F140" s="4" t="s">
        <v>22</v>
      </c>
      <c r="G140" s="4" t="s">
        <v>23</v>
      </c>
      <c r="H140" s="4" t="s">
        <v>24</v>
      </c>
      <c r="I140" s="4" t="s">
        <v>23</v>
      </c>
      <c r="J140" s="5">
        <v>44573.537233796298</v>
      </c>
      <c r="K140" s="5">
        <v>44573.537233796298</v>
      </c>
      <c r="L140" s="3">
        <f t="shared" si="4"/>
        <v>0</v>
      </c>
      <c r="M140" s="4" t="s">
        <v>382</v>
      </c>
      <c r="N140" s="4" t="s">
        <v>26</v>
      </c>
      <c r="O140" s="4" t="s">
        <v>383</v>
      </c>
      <c r="P140" s="4" t="s">
        <v>28</v>
      </c>
      <c r="Q140" s="4" t="str">
        <f t="shared" si="5"/>
        <v>DENTRO DEL TIEMPO</v>
      </c>
      <c r="R140" s="6"/>
    </row>
    <row r="141" spans="1:18" ht="42.75" customHeight="1" x14ac:dyDescent="0.25">
      <c r="A141" s="3">
        <v>134</v>
      </c>
      <c r="B141" s="4" t="s">
        <v>384</v>
      </c>
      <c r="C141" s="5">
        <v>44573</v>
      </c>
      <c r="D141" s="5">
        <v>44573</v>
      </c>
      <c r="E141" s="4">
        <v>2</v>
      </c>
      <c r="F141" s="4" t="s">
        <v>22</v>
      </c>
      <c r="G141" s="4" t="s">
        <v>23</v>
      </c>
      <c r="H141" s="4" t="s">
        <v>24</v>
      </c>
      <c r="I141" s="4" t="s">
        <v>23</v>
      </c>
      <c r="J141" s="5">
        <v>44573.542002314818</v>
      </c>
      <c r="K141" s="5">
        <v>44573.542002314818</v>
      </c>
      <c r="L141" s="3">
        <f t="shared" si="4"/>
        <v>0</v>
      </c>
      <c r="M141" s="4" t="s">
        <v>385</v>
      </c>
      <c r="N141" s="4" t="s">
        <v>26</v>
      </c>
      <c r="O141" s="4" t="s">
        <v>386</v>
      </c>
      <c r="P141" s="4" t="s">
        <v>28</v>
      </c>
      <c r="Q141" s="4" t="str">
        <f t="shared" si="5"/>
        <v>DENTRO DEL TIEMPO</v>
      </c>
      <c r="R141" s="6"/>
    </row>
    <row r="142" spans="1:18" ht="42.75" customHeight="1" x14ac:dyDescent="0.25">
      <c r="A142" s="3">
        <v>135</v>
      </c>
      <c r="B142" s="4" t="s">
        <v>387</v>
      </c>
      <c r="C142" s="5">
        <v>44573</v>
      </c>
      <c r="D142" s="5">
        <v>44573</v>
      </c>
      <c r="E142" s="4">
        <v>2</v>
      </c>
      <c r="F142" s="4" t="s">
        <v>22</v>
      </c>
      <c r="G142" s="4" t="s">
        <v>23</v>
      </c>
      <c r="H142" s="4" t="s">
        <v>24</v>
      </c>
      <c r="I142" s="4" t="s">
        <v>23</v>
      </c>
      <c r="J142" s="5">
        <v>44573.546539351853</v>
      </c>
      <c r="K142" s="5">
        <v>44573.546539351853</v>
      </c>
      <c r="L142" s="3">
        <f t="shared" si="4"/>
        <v>0</v>
      </c>
      <c r="M142" s="4" t="s">
        <v>388</v>
      </c>
      <c r="N142" s="4" t="s">
        <v>26</v>
      </c>
      <c r="O142" s="4" t="s">
        <v>389</v>
      </c>
      <c r="P142" s="4" t="s">
        <v>28</v>
      </c>
      <c r="Q142" s="4" t="str">
        <f t="shared" si="5"/>
        <v>DENTRO DEL TIEMPO</v>
      </c>
      <c r="R142" s="6"/>
    </row>
    <row r="143" spans="1:18" ht="42.75" customHeight="1" x14ac:dyDescent="0.25">
      <c r="A143" s="3">
        <v>136</v>
      </c>
      <c r="B143" s="4" t="s">
        <v>390</v>
      </c>
      <c r="C143" s="5">
        <v>44573</v>
      </c>
      <c r="D143" s="5">
        <v>44573</v>
      </c>
      <c r="E143" s="4">
        <v>2</v>
      </c>
      <c r="F143" s="4" t="s">
        <v>22</v>
      </c>
      <c r="G143" s="4" t="s">
        <v>23</v>
      </c>
      <c r="H143" s="4" t="s">
        <v>24</v>
      </c>
      <c r="I143" s="4" t="s">
        <v>23</v>
      </c>
      <c r="J143" s="5">
        <v>44573.63076388889</v>
      </c>
      <c r="K143" s="5">
        <v>44573.63076388889</v>
      </c>
      <c r="L143" s="3">
        <f t="shared" si="4"/>
        <v>0</v>
      </c>
      <c r="M143" s="4" t="s">
        <v>391</v>
      </c>
      <c r="N143" s="4" t="s">
        <v>26</v>
      </c>
      <c r="O143" s="4" t="s">
        <v>392</v>
      </c>
      <c r="P143" s="4" t="s">
        <v>28</v>
      </c>
      <c r="Q143" s="4" t="str">
        <f t="shared" si="5"/>
        <v>DENTRO DEL TIEMPO</v>
      </c>
      <c r="R143" s="6"/>
    </row>
    <row r="144" spans="1:18" ht="42.75" customHeight="1" x14ac:dyDescent="0.25">
      <c r="A144" s="3">
        <v>137</v>
      </c>
      <c r="B144" s="4" t="s">
        <v>393</v>
      </c>
      <c r="C144" s="5">
        <v>44573</v>
      </c>
      <c r="D144" s="5">
        <v>44573</v>
      </c>
      <c r="E144" s="4">
        <v>2</v>
      </c>
      <c r="F144" s="4" t="s">
        <v>22</v>
      </c>
      <c r="G144" s="4" t="s">
        <v>23</v>
      </c>
      <c r="H144" s="4" t="s">
        <v>24</v>
      </c>
      <c r="I144" s="4" t="s">
        <v>23</v>
      </c>
      <c r="J144" s="5">
        <v>44573.63821759259</v>
      </c>
      <c r="K144" s="5">
        <v>44573.63821759259</v>
      </c>
      <c r="L144" s="3">
        <f t="shared" si="4"/>
        <v>0</v>
      </c>
      <c r="M144" s="4" t="s">
        <v>394</v>
      </c>
      <c r="N144" s="4" t="s">
        <v>26</v>
      </c>
      <c r="O144" s="4" t="s">
        <v>392</v>
      </c>
      <c r="P144" s="4" t="s">
        <v>28</v>
      </c>
      <c r="Q144" s="4" t="str">
        <f t="shared" si="5"/>
        <v>DENTRO DEL TIEMPO</v>
      </c>
      <c r="R144" s="6"/>
    </row>
    <row r="145" spans="1:18" ht="42.75" customHeight="1" x14ac:dyDescent="0.25">
      <c r="A145" s="3">
        <v>138</v>
      </c>
      <c r="B145" s="4" t="s">
        <v>395</v>
      </c>
      <c r="C145" s="5">
        <v>44573</v>
      </c>
      <c r="D145" s="5">
        <v>44573</v>
      </c>
      <c r="E145" s="4">
        <v>2</v>
      </c>
      <c r="F145" s="4" t="s">
        <v>22</v>
      </c>
      <c r="G145" s="4" t="s">
        <v>23</v>
      </c>
      <c r="H145" s="4" t="s">
        <v>24</v>
      </c>
      <c r="I145" s="4" t="s">
        <v>23</v>
      </c>
      <c r="J145" s="5">
        <v>44573.637708333335</v>
      </c>
      <c r="K145" s="5">
        <v>44573.637708333335</v>
      </c>
      <c r="L145" s="3">
        <f t="shared" si="4"/>
        <v>0</v>
      </c>
      <c r="M145" s="4" t="s">
        <v>396</v>
      </c>
      <c r="N145" s="4" t="s">
        <v>26</v>
      </c>
      <c r="O145" s="4" t="s">
        <v>392</v>
      </c>
      <c r="P145" s="4" t="s">
        <v>28</v>
      </c>
      <c r="Q145" s="4" t="str">
        <f t="shared" si="5"/>
        <v>DENTRO DEL TIEMPO</v>
      </c>
      <c r="R145" s="6"/>
    </row>
    <row r="146" spans="1:18" ht="42.75" customHeight="1" x14ac:dyDescent="0.25">
      <c r="A146" s="3">
        <v>139</v>
      </c>
      <c r="B146" s="4" t="s">
        <v>397</v>
      </c>
      <c r="C146" s="5">
        <v>44573</v>
      </c>
      <c r="D146" s="5">
        <v>44573</v>
      </c>
      <c r="E146" s="4">
        <v>2</v>
      </c>
      <c r="F146" s="4" t="s">
        <v>22</v>
      </c>
      <c r="G146" s="4" t="s">
        <v>23</v>
      </c>
      <c r="H146" s="4" t="s">
        <v>24</v>
      </c>
      <c r="I146" s="4" t="s">
        <v>23</v>
      </c>
      <c r="J146" s="5">
        <v>44574.596134259256</v>
      </c>
      <c r="K146" s="5">
        <v>44574.596134259256</v>
      </c>
      <c r="L146" s="3">
        <f t="shared" si="4"/>
        <v>1</v>
      </c>
      <c r="M146" s="4" t="s">
        <v>398</v>
      </c>
      <c r="N146" s="4" t="s">
        <v>26</v>
      </c>
      <c r="O146" s="4" t="s">
        <v>399</v>
      </c>
      <c r="P146" s="4" t="s">
        <v>28</v>
      </c>
      <c r="Q146" s="4" t="str">
        <f t="shared" si="5"/>
        <v>DENTRO DEL TIEMPO</v>
      </c>
      <c r="R146" s="6"/>
    </row>
    <row r="147" spans="1:18" ht="42.75" customHeight="1" x14ac:dyDescent="0.25">
      <c r="A147" s="3">
        <v>140</v>
      </c>
      <c r="B147" s="4" t="s">
        <v>400</v>
      </c>
      <c r="C147" s="5">
        <v>44573</v>
      </c>
      <c r="D147" s="5">
        <v>44573</v>
      </c>
      <c r="E147" s="4">
        <v>2</v>
      </c>
      <c r="F147" s="4" t="s">
        <v>22</v>
      </c>
      <c r="G147" s="4" t="s">
        <v>30</v>
      </c>
      <c r="H147" s="4" t="s">
        <v>24</v>
      </c>
      <c r="I147" s="4" t="s">
        <v>30</v>
      </c>
      <c r="J147" s="5">
        <v>44574.525312500002</v>
      </c>
      <c r="K147" s="5">
        <v>44574.525312500002</v>
      </c>
      <c r="L147" s="3">
        <f t="shared" si="4"/>
        <v>1</v>
      </c>
      <c r="M147" s="4" t="s">
        <v>401</v>
      </c>
      <c r="N147" s="4" t="s">
        <v>26</v>
      </c>
      <c r="O147" s="4" t="s">
        <v>402</v>
      </c>
      <c r="P147" s="4" t="s">
        <v>28</v>
      </c>
      <c r="Q147" s="4" t="str">
        <f t="shared" si="5"/>
        <v>DENTRO DEL TIEMPO</v>
      </c>
      <c r="R147" s="6"/>
    </row>
    <row r="148" spans="1:18" ht="42.75" customHeight="1" x14ac:dyDescent="0.25">
      <c r="A148" s="3">
        <v>141</v>
      </c>
      <c r="B148" s="4" t="s">
        <v>403</v>
      </c>
      <c r="C148" s="5">
        <v>44573</v>
      </c>
      <c r="D148" s="5">
        <v>44573</v>
      </c>
      <c r="E148" s="4">
        <v>2</v>
      </c>
      <c r="F148" s="4" t="s">
        <v>22</v>
      </c>
      <c r="G148" s="4" t="s">
        <v>23</v>
      </c>
      <c r="H148" s="4" t="s">
        <v>24</v>
      </c>
      <c r="I148" s="4" t="s">
        <v>23</v>
      </c>
      <c r="J148" s="5">
        <v>44573.695081018515</v>
      </c>
      <c r="K148" s="5">
        <v>44573.695081018515</v>
      </c>
      <c r="L148" s="3">
        <f t="shared" si="4"/>
        <v>0</v>
      </c>
      <c r="M148" s="4" t="s">
        <v>404</v>
      </c>
      <c r="N148" s="4" t="s">
        <v>26</v>
      </c>
      <c r="O148" s="4" t="s">
        <v>405</v>
      </c>
      <c r="P148" s="4" t="s">
        <v>28</v>
      </c>
      <c r="Q148" s="4" t="str">
        <f t="shared" si="5"/>
        <v>DENTRO DEL TIEMPO</v>
      </c>
      <c r="R148" s="6"/>
    </row>
    <row r="149" spans="1:18" ht="42.75" customHeight="1" x14ac:dyDescent="0.25">
      <c r="A149" s="3">
        <v>142</v>
      </c>
      <c r="B149" s="4" t="s">
        <v>406</v>
      </c>
      <c r="C149" s="5">
        <v>44573</v>
      </c>
      <c r="D149" s="5">
        <v>44573</v>
      </c>
      <c r="E149" s="4">
        <v>2</v>
      </c>
      <c r="F149" s="4" t="s">
        <v>22</v>
      </c>
      <c r="G149" s="4" t="s">
        <v>23</v>
      </c>
      <c r="H149" s="4" t="s">
        <v>24</v>
      </c>
      <c r="I149" s="4" t="s">
        <v>23</v>
      </c>
      <c r="J149" s="5">
        <v>44575.443240740744</v>
      </c>
      <c r="K149" s="5">
        <v>44575.443240740744</v>
      </c>
      <c r="L149" s="3">
        <f t="shared" si="4"/>
        <v>2</v>
      </c>
      <c r="M149" s="4" t="s">
        <v>407</v>
      </c>
      <c r="N149" s="4" t="s">
        <v>26</v>
      </c>
      <c r="O149" s="4" t="s">
        <v>408</v>
      </c>
      <c r="P149" s="4" t="s">
        <v>28</v>
      </c>
      <c r="Q149" s="4" t="str">
        <f t="shared" si="5"/>
        <v>DENTRO DEL TIEMPO</v>
      </c>
      <c r="R149" s="6"/>
    </row>
    <row r="150" spans="1:18" ht="42.75" customHeight="1" x14ac:dyDescent="0.25">
      <c r="A150" s="3">
        <v>143</v>
      </c>
      <c r="B150" s="4" t="s">
        <v>409</v>
      </c>
      <c r="C150" s="5">
        <v>44573</v>
      </c>
      <c r="D150" s="5">
        <v>44573</v>
      </c>
      <c r="E150" s="4">
        <v>2</v>
      </c>
      <c r="F150" s="4" t="s">
        <v>22</v>
      </c>
      <c r="G150" s="4" t="s">
        <v>30</v>
      </c>
      <c r="H150" s="4" t="s">
        <v>24</v>
      </c>
      <c r="I150" s="4" t="s">
        <v>30</v>
      </c>
      <c r="J150" s="5">
        <v>44574.536134259259</v>
      </c>
      <c r="K150" s="5">
        <v>44574.536134259259</v>
      </c>
      <c r="L150" s="3">
        <f t="shared" si="4"/>
        <v>1</v>
      </c>
      <c r="M150" s="4" t="s">
        <v>410</v>
      </c>
      <c r="N150" s="4" t="s">
        <v>26</v>
      </c>
      <c r="O150" s="4" t="s">
        <v>165</v>
      </c>
      <c r="P150" s="4" t="s">
        <v>28</v>
      </c>
      <c r="Q150" s="4" t="str">
        <f t="shared" si="5"/>
        <v>DENTRO DEL TIEMPO</v>
      </c>
      <c r="R150" s="6"/>
    </row>
    <row r="151" spans="1:18" ht="42.75" customHeight="1" x14ac:dyDescent="0.25">
      <c r="A151" s="3">
        <v>144</v>
      </c>
      <c r="B151" s="4" t="s">
        <v>411</v>
      </c>
      <c r="C151" s="5">
        <v>44573</v>
      </c>
      <c r="D151" s="5">
        <v>44573</v>
      </c>
      <c r="E151" s="4">
        <v>2</v>
      </c>
      <c r="F151" s="4" t="s">
        <v>22</v>
      </c>
      <c r="G151" s="4" t="s">
        <v>23</v>
      </c>
      <c r="H151" s="4" t="s">
        <v>24</v>
      </c>
      <c r="I151" s="4" t="s">
        <v>23</v>
      </c>
      <c r="J151" s="5">
        <v>44574.616840277777</v>
      </c>
      <c r="K151" s="5">
        <v>44574.616840277777</v>
      </c>
      <c r="L151" s="3">
        <f t="shared" si="4"/>
        <v>1</v>
      </c>
      <c r="M151" s="4" t="s">
        <v>412</v>
      </c>
      <c r="N151" s="4" t="s">
        <v>26</v>
      </c>
      <c r="O151" s="4" t="s">
        <v>413</v>
      </c>
      <c r="P151" s="4" t="s">
        <v>28</v>
      </c>
      <c r="Q151" s="4" t="str">
        <f t="shared" si="5"/>
        <v>DENTRO DEL TIEMPO</v>
      </c>
      <c r="R151" s="6"/>
    </row>
    <row r="152" spans="1:18" ht="42.75" customHeight="1" x14ac:dyDescent="0.25">
      <c r="A152" s="3">
        <v>145</v>
      </c>
      <c r="B152" s="4" t="s">
        <v>414</v>
      </c>
      <c r="C152" s="5">
        <v>44573</v>
      </c>
      <c r="D152" s="5">
        <v>44573</v>
      </c>
      <c r="E152" s="4">
        <v>2</v>
      </c>
      <c r="F152" s="4" t="s">
        <v>22</v>
      </c>
      <c r="G152" s="4" t="s">
        <v>23</v>
      </c>
      <c r="H152" s="4" t="s">
        <v>24</v>
      </c>
      <c r="I152" s="4" t="s">
        <v>23</v>
      </c>
      <c r="J152" s="5">
        <v>44574.634421296294</v>
      </c>
      <c r="K152" s="5">
        <v>44574.634421296294</v>
      </c>
      <c r="L152" s="3">
        <f t="shared" si="4"/>
        <v>1</v>
      </c>
      <c r="M152" s="4" t="s">
        <v>415</v>
      </c>
      <c r="N152" s="4" t="s">
        <v>26</v>
      </c>
      <c r="O152" s="4" t="s">
        <v>416</v>
      </c>
      <c r="P152" s="4" t="s">
        <v>28</v>
      </c>
      <c r="Q152" s="4" t="str">
        <f t="shared" si="5"/>
        <v>DENTRO DEL TIEMPO</v>
      </c>
      <c r="R152" s="6"/>
    </row>
    <row r="153" spans="1:18" ht="42.75" customHeight="1" x14ac:dyDescent="0.25">
      <c r="A153" s="3">
        <v>146</v>
      </c>
      <c r="B153" s="4" t="s">
        <v>417</v>
      </c>
      <c r="C153" s="5">
        <v>44573</v>
      </c>
      <c r="D153" s="5">
        <v>44573</v>
      </c>
      <c r="E153" s="4">
        <v>2</v>
      </c>
      <c r="F153" s="4" t="s">
        <v>22</v>
      </c>
      <c r="G153" s="4" t="s">
        <v>23</v>
      </c>
      <c r="H153" s="4" t="s">
        <v>24</v>
      </c>
      <c r="I153" s="4" t="s">
        <v>23</v>
      </c>
      <c r="J153" s="5">
        <v>44575.520439814813</v>
      </c>
      <c r="K153" s="5">
        <v>44575.520439814813</v>
      </c>
      <c r="L153" s="3">
        <f t="shared" si="4"/>
        <v>2</v>
      </c>
      <c r="M153" s="4" t="s">
        <v>418</v>
      </c>
      <c r="N153" s="4" t="s">
        <v>26</v>
      </c>
      <c r="O153" s="4" t="s">
        <v>419</v>
      </c>
      <c r="P153" s="4" t="s">
        <v>28</v>
      </c>
      <c r="Q153" s="4" t="str">
        <f t="shared" si="5"/>
        <v>DENTRO DEL TIEMPO</v>
      </c>
      <c r="R153" s="6"/>
    </row>
    <row r="154" spans="1:18" ht="42.75" customHeight="1" x14ac:dyDescent="0.25">
      <c r="A154" s="3">
        <v>147</v>
      </c>
      <c r="B154" s="4" t="s">
        <v>420</v>
      </c>
      <c r="C154" s="5">
        <v>44573</v>
      </c>
      <c r="D154" s="5">
        <v>44573</v>
      </c>
      <c r="E154" s="4">
        <v>2</v>
      </c>
      <c r="F154" s="4" t="s">
        <v>22</v>
      </c>
      <c r="G154" s="4" t="s">
        <v>30</v>
      </c>
      <c r="H154" s="4" t="s">
        <v>24</v>
      </c>
      <c r="I154" s="4" t="s">
        <v>30</v>
      </c>
      <c r="J154" s="5">
        <v>44574.60565972222</v>
      </c>
      <c r="K154" s="5">
        <v>44574.60565972222</v>
      </c>
      <c r="L154" s="3">
        <f t="shared" si="4"/>
        <v>1</v>
      </c>
      <c r="M154" s="4" t="s">
        <v>421</v>
      </c>
      <c r="N154" s="4" t="s">
        <v>26</v>
      </c>
      <c r="O154" s="4" t="s">
        <v>422</v>
      </c>
      <c r="P154" s="4" t="s">
        <v>28</v>
      </c>
      <c r="Q154" s="4" t="str">
        <f t="shared" si="5"/>
        <v>DENTRO DEL TIEMPO</v>
      </c>
      <c r="R154" s="6"/>
    </row>
    <row r="155" spans="1:18" ht="42.75" customHeight="1" x14ac:dyDescent="0.25">
      <c r="A155" s="3">
        <v>148</v>
      </c>
      <c r="B155" s="4" t="s">
        <v>423</v>
      </c>
      <c r="C155" s="5">
        <v>44573</v>
      </c>
      <c r="D155" s="5">
        <v>44573</v>
      </c>
      <c r="E155" s="4">
        <v>2</v>
      </c>
      <c r="F155" s="4" t="s">
        <v>22</v>
      </c>
      <c r="G155" s="4" t="s">
        <v>23</v>
      </c>
      <c r="H155" s="4" t="s">
        <v>24</v>
      </c>
      <c r="I155" s="4" t="s">
        <v>23</v>
      </c>
      <c r="J155" s="5">
        <v>44575.529143518521</v>
      </c>
      <c r="K155" s="5">
        <v>44575.529143518521</v>
      </c>
      <c r="L155" s="3">
        <f t="shared" si="4"/>
        <v>2</v>
      </c>
      <c r="M155" s="4" t="s">
        <v>424</v>
      </c>
      <c r="N155" s="4" t="s">
        <v>26</v>
      </c>
      <c r="O155" s="4" t="s">
        <v>425</v>
      </c>
      <c r="P155" s="4" t="s">
        <v>28</v>
      </c>
      <c r="Q155" s="4" t="str">
        <f t="shared" si="5"/>
        <v>DENTRO DEL TIEMPO</v>
      </c>
      <c r="R155" s="6"/>
    </row>
    <row r="156" spans="1:18" ht="42.75" customHeight="1" x14ac:dyDescent="0.25">
      <c r="A156" s="3">
        <v>149</v>
      </c>
      <c r="B156" s="4" t="s">
        <v>426</v>
      </c>
      <c r="C156" s="5">
        <v>44573</v>
      </c>
      <c r="D156" s="5">
        <v>44573</v>
      </c>
      <c r="E156" s="4">
        <v>2</v>
      </c>
      <c r="F156" s="4" t="s">
        <v>22</v>
      </c>
      <c r="G156" s="4" t="s">
        <v>23</v>
      </c>
      <c r="H156" s="4" t="s">
        <v>24</v>
      </c>
      <c r="I156" s="4" t="s">
        <v>23</v>
      </c>
      <c r="J156" s="5">
        <v>44578.49628472222</v>
      </c>
      <c r="K156" s="5">
        <v>44578.49628472222</v>
      </c>
      <c r="L156" s="3">
        <f t="shared" si="4"/>
        <v>3</v>
      </c>
      <c r="M156" s="4" t="s">
        <v>427</v>
      </c>
      <c r="N156" s="4" t="s">
        <v>26</v>
      </c>
      <c r="O156" s="4" t="s">
        <v>428</v>
      </c>
      <c r="P156" s="4" t="s">
        <v>28</v>
      </c>
      <c r="Q156" s="4" t="str">
        <f t="shared" si="5"/>
        <v>DENTRO DEL TIEMPO</v>
      </c>
      <c r="R156" s="6"/>
    </row>
    <row r="157" spans="1:18" ht="42.75" customHeight="1" x14ac:dyDescent="0.25">
      <c r="A157" s="3">
        <v>150</v>
      </c>
      <c r="B157" s="4" t="s">
        <v>429</v>
      </c>
      <c r="C157" s="5">
        <v>44574</v>
      </c>
      <c r="D157" s="5">
        <v>44574</v>
      </c>
      <c r="E157" s="4">
        <v>2</v>
      </c>
      <c r="F157" s="4" t="s">
        <v>22</v>
      </c>
      <c r="G157" s="4" t="s">
        <v>30</v>
      </c>
      <c r="H157" s="4" t="s">
        <v>24</v>
      </c>
      <c r="I157" s="4" t="s">
        <v>30</v>
      </c>
      <c r="J157" s="5">
        <v>44574.64576388889</v>
      </c>
      <c r="K157" s="5">
        <v>44574.64576388889</v>
      </c>
      <c r="L157" s="3">
        <f t="shared" si="4"/>
        <v>0</v>
      </c>
      <c r="M157" s="4" t="s">
        <v>430</v>
      </c>
      <c r="N157" s="4" t="s">
        <v>26</v>
      </c>
      <c r="O157" s="4" t="s">
        <v>257</v>
      </c>
      <c r="P157" s="4" t="s">
        <v>28</v>
      </c>
      <c r="Q157" s="4" t="str">
        <f t="shared" si="5"/>
        <v>DENTRO DEL TIEMPO</v>
      </c>
      <c r="R157" s="6"/>
    </row>
    <row r="158" spans="1:18" ht="42.75" customHeight="1" x14ac:dyDescent="0.25">
      <c r="A158" s="3">
        <v>151</v>
      </c>
      <c r="B158" s="4" t="s">
        <v>431</v>
      </c>
      <c r="C158" s="5">
        <v>44574</v>
      </c>
      <c r="D158" s="5">
        <v>44574</v>
      </c>
      <c r="E158" s="4">
        <v>2</v>
      </c>
      <c r="F158" s="4" t="s">
        <v>22</v>
      </c>
      <c r="G158" s="4" t="s">
        <v>30</v>
      </c>
      <c r="H158" s="4" t="s">
        <v>24</v>
      </c>
      <c r="I158" s="4" t="s">
        <v>30</v>
      </c>
      <c r="J158" s="5">
        <v>44574.654733796298</v>
      </c>
      <c r="K158" s="5">
        <v>44574.654733796298</v>
      </c>
      <c r="L158" s="3">
        <f t="shared" si="4"/>
        <v>0</v>
      </c>
      <c r="M158" s="4" t="s">
        <v>432</v>
      </c>
      <c r="N158" s="4" t="s">
        <v>26</v>
      </c>
      <c r="O158" s="4" t="s">
        <v>257</v>
      </c>
      <c r="P158" s="4" t="s">
        <v>28</v>
      </c>
      <c r="Q158" s="4" t="str">
        <f t="shared" si="5"/>
        <v>DENTRO DEL TIEMPO</v>
      </c>
      <c r="R158" s="6"/>
    </row>
    <row r="159" spans="1:18" ht="42.75" customHeight="1" x14ac:dyDescent="0.25">
      <c r="A159" s="3">
        <v>152</v>
      </c>
      <c r="B159" s="4" t="s">
        <v>433</v>
      </c>
      <c r="C159" s="5">
        <v>44574</v>
      </c>
      <c r="D159" s="5">
        <v>44574</v>
      </c>
      <c r="E159" s="4">
        <v>2</v>
      </c>
      <c r="F159" s="4" t="s">
        <v>22</v>
      </c>
      <c r="G159" s="4" t="s">
        <v>30</v>
      </c>
      <c r="H159" s="4" t="s">
        <v>24</v>
      </c>
      <c r="I159" s="4" t="s">
        <v>30</v>
      </c>
      <c r="J159" s="5">
        <v>44575.364895833336</v>
      </c>
      <c r="K159" s="5">
        <v>44575.364895833336</v>
      </c>
      <c r="L159" s="3">
        <f t="shared" si="4"/>
        <v>1</v>
      </c>
      <c r="M159" s="4" t="s">
        <v>434</v>
      </c>
      <c r="N159" s="4" t="s">
        <v>26</v>
      </c>
      <c r="O159" s="4" t="s">
        <v>257</v>
      </c>
      <c r="P159" s="4" t="s">
        <v>28</v>
      </c>
      <c r="Q159" s="4" t="str">
        <f t="shared" si="5"/>
        <v>DENTRO DEL TIEMPO</v>
      </c>
      <c r="R159" s="6"/>
    </row>
    <row r="160" spans="1:18" ht="42.75" customHeight="1" x14ac:dyDescent="0.25">
      <c r="A160" s="3">
        <v>153</v>
      </c>
      <c r="B160" s="4" t="s">
        <v>435</v>
      </c>
      <c r="C160" s="5">
        <v>44574</v>
      </c>
      <c r="D160" s="5">
        <v>44574</v>
      </c>
      <c r="E160" s="4">
        <v>2</v>
      </c>
      <c r="F160" s="4" t="s">
        <v>22</v>
      </c>
      <c r="G160" s="4" t="s">
        <v>30</v>
      </c>
      <c r="H160" s="4" t="s">
        <v>24</v>
      </c>
      <c r="I160" s="4" t="s">
        <v>30</v>
      </c>
      <c r="J160" s="5">
        <v>44574.680798611109</v>
      </c>
      <c r="K160" s="5">
        <v>44574.680798611109</v>
      </c>
      <c r="L160" s="3">
        <f t="shared" si="4"/>
        <v>0</v>
      </c>
      <c r="M160" s="4" t="s">
        <v>436</v>
      </c>
      <c r="N160" s="4" t="s">
        <v>26</v>
      </c>
      <c r="O160" s="4" t="s">
        <v>257</v>
      </c>
      <c r="P160" s="4" t="s">
        <v>28</v>
      </c>
      <c r="Q160" s="4" t="str">
        <f t="shared" si="5"/>
        <v>DENTRO DEL TIEMPO</v>
      </c>
      <c r="R160" s="6"/>
    </row>
    <row r="161" spans="1:18" ht="42.75" customHeight="1" x14ac:dyDescent="0.25">
      <c r="A161" s="3">
        <v>154</v>
      </c>
      <c r="B161" s="4" t="s">
        <v>437</v>
      </c>
      <c r="C161" s="5">
        <v>44574</v>
      </c>
      <c r="D161" s="5">
        <v>44574</v>
      </c>
      <c r="E161" s="4">
        <v>2</v>
      </c>
      <c r="F161" s="4" t="s">
        <v>22</v>
      </c>
      <c r="G161" s="4" t="s">
        <v>30</v>
      </c>
      <c r="H161" s="4" t="s">
        <v>24</v>
      </c>
      <c r="I161" s="4" t="s">
        <v>30</v>
      </c>
      <c r="J161" s="5">
        <v>44575.384930555556</v>
      </c>
      <c r="K161" s="5">
        <v>44575.384930555556</v>
      </c>
      <c r="L161" s="3">
        <f t="shared" si="4"/>
        <v>1</v>
      </c>
      <c r="M161" s="4" t="s">
        <v>438</v>
      </c>
      <c r="N161" s="4" t="s">
        <v>26</v>
      </c>
      <c r="O161" s="4" t="s">
        <v>257</v>
      </c>
      <c r="P161" s="4" t="s">
        <v>28</v>
      </c>
      <c r="Q161" s="4" t="str">
        <f t="shared" si="5"/>
        <v>DENTRO DEL TIEMPO</v>
      </c>
      <c r="R161" s="6"/>
    </row>
    <row r="162" spans="1:18" ht="42.75" customHeight="1" x14ac:dyDescent="0.25">
      <c r="A162" s="3">
        <v>155</v>
      </c>
      <c r="B162" s="4" t="s">
        <v>439</v>
      </c>
      <c r="C162" s="5">
        <v>44574</v>
      </c>
      <c r="D162" s="5">
        <v>44574</v>
      </c>
      <c r="E162" s="4">
        <v>2</v>
      </c>
      <c r="F162" s="4" t="s">
        <v>22</v>
      </c>
      <c r="G162" s="4" t="s">
        <v>30</v>
      </c>
      <c r="H162" s="4" t="s">
        <v>24</v>
      </c>
      <c r="I162" s="4" t="s">
        <v>30</v>
      </c>
      <c r="J162" s="5">
        <v>44575.390682870369</v>
      </c>
      <c r="K162" s="5">
        <v>44575.390682870369</v>
      </c>
      <c r="L162" s="3">
        <f t="shared" si="4"/>
        <v>1</v>
      </c>
      <c r="M162" s="4" t="s">
        <v>440</v>
      </c>
      <c r="N162" s="4" t="s">
        <v>26</v>
      </c>
      <c r="O162" s="4" t="s">
        <v>257</v>
      </c>
      <c r="P162" s="4" t="s">
        <v>28</v>
      </c>
      <c r="Q162" s="4" t="str">
        <f t="shared" si="5"/>
        <v>DENTRO DEL TIEMPO</v>
      </c>
      <c r="R162" s="6"/>
    </row>
    <row r="163" spans="1:18" ht="42.75" customHeight="1" x14ac:dyDescent="0.25">
      <c r="A163" s="3">
        <v>156</v>
      </c>
      <c r="B163" s="4" t="s">
        <v>441</v>
      </c>
      <c r="C163" s="5">
        <v>44574</v>
      </c>
      <c r="D163" s="5">
        <v>44574</v>
      </c>
      <c r="E163" s="4">
        <v>2</v>
      </c>
      <c r="F163" s="4" t="s">
        <v>22</v>
      </c>
      <c r="G163" s="4" t="s">
        <v>30</v>
      </c>
      <c r="H163" s="4" t="s">
        <v>24</v>
      </c>
      <c r="I163" s="4" t="s">
        <v>30</v>
      </c>
      <c r="J163" s="5">
        <v>44575.396168981482</v>
      </c>
      <c r="K163" s="5">
        <v>44575.396168981482</v>
      </c>
      <c r="L163" s="3">
        <f t="shared" si="4"/>
        <v>1</v>
      </c>
      <c r="M163" s="4" t="s">
        <v>442</v>
      </c>
      <c r="N163" s="4" t="s">
        <v>26</v>
      </c>
      <c r="O163" s="4" t="s">
        <v>257</v>
      </c>
      <c r="P163" s="4" t="s">
        <v>28</v>
      </c>
      <c r="Q163" s="4" t="str">
        <f t="shared" si="5"/>
        <v>DENTRO DEL TIEMPO</v>
      </c>
      <c r="R163" s="6"/>
    </row>
    <row r="164" spans="1:18" ht="42.75" customHeight="1" x14ac:dyDescent="0.25">
      <c r="A164" s="3">
        <v>157</v>
      </c>
      <c r="B164" s="4" t="s">
        <v>443</v>
      </c>
      <c r="C164" s="5">
        <v>44574</v>
      </c>
      <c r="D164" s="5">
        <v>44574</v>
      </c>
      <c r="E164" s="4">
        <v>2</v>
      </c>
      <c r="F164" s="4" t="s">
        <v>22</v>
      </c>
      <c r="G164" s="4" t="s">
        <v>30</v>
      </c>
      <c r="H164" s="4" t="s">
        <v>24</v>
      </c>
      <c r="I164" s="4" t="s">
        <v>30</v>
      </c>
      <c r="J164" s="5">
        <v>44575.401064814818</v>
      </c>
      <c r="K164" s="5">
        <v>44575.401064814818</v>
      </c>
      <c r="L164" s="3">
        <f t="shared" si="4"/>
        <v>1</v>
      </c>
      <c r="M164" s="4" t="s">
        <v>444</v>
      </c>
      <c r="N164" s="4" t="s">
        <v>26</v>
      </c>
      <c r="O164" s="4" t="s">
        <v>257</v>
      </c>
      <c r="P164" s="4" t="s">
        <v>28</v>
      </c>
      <c r="Q164" s="4" t="str">
        <f t="shared" si="5"/>
        <v>DENTRO DEL TIEMPO</v>
      </c>
      <c r="R164" s="6"/>
    </row>
    <row r="165" spans="1:18" ht="42.75" customHeight="1" x14ac:dyDescent="0.25">
      <c r="A165" s="3">
        <v>158</v>
      </c>
      <c r="B165" s="4" t="s">
        <v>445</v>
      </c>
      <c r="C165" s="5">
        <v>44574</v>
      </c>
      <c r="D165" s="5">
        <v>44574</v>
      </c>
      <c r="E165" s="4">
        <v>2</v>
      </c>
      <c r="F165" s="4" t="s">
        <v>22</v>
      </c>
      <c r="G165" s="4" t="s">
        <v>30</v>
      </c>
      <c r="H165" s="4" t="s">
        <v>24</v>
      </c>
      <c r="I165" s="4" t="s">
        <v>30</v>
      </c>
      <c r="J165" s="5">
        <v>44575.406631944446</v>
      </c>
      <c r="K165" s="5">
        <v>44575.406631944446</v>
      </c>
      <c r="L165" s="3">
        <f t="shared" si="4"/>
        <v>1</v>
      </c>
      <c r="M165" s="4" t="s">
        <v>446</v>
      </c>
      <c r="N165" s="4" t="s">
        <v>26</v>
      </c>
      <c r="O165" s="4" t="s">
        <v>257</v>
      </c>
      <c r="P165" s="4" t="s">
        <v>28</v>
      </c>
      <c r="Q165" s="4" t="str">
        <f t="shared" si="5"/>
        <v>DENTRO DEL TIEMPO</v>
      </c>
      <c r="R165" s="6"/>
    </row>
    <row r="166" spans="1:18" ht="42.75" customHeight="1" x14ac:dyDescent="0.25">
      <c r="A166" s="3">
        <v>159</v>
      </c>
      <c r="B166" s="4" t="s">
        <v>447</v>
      </c>
      <c r="C166" s="5">
        <v>44574</v>
      </c>
      <c r="D166" s="5">
        <v>44574</v>
      </c>
      <c r="E166" s="4">
        <v>2</v>
      </c>
      <c r="F166" s="4" t="s">
        <v>22</v>
      </c>
      <c r="G166" s="4" t="s">
        <v>30</v>
      </c>
      <c r="H166" s="4" t="s">
        <v>24</v>
      </c>
      <c r="I166" s="4" t="s">
        <v>30</v>
      </c>
      <c r="J166" s="5">
        <v>44575.601469907408</v>
      </c>
      <c r="K166" s="5">
        <v>44575.601469907408</v>
      </c>
      <c r="L166" s="3">
        <f t="shared" si="4"/>
        <v>1</v>
      </c>
      <c r="M166" s="4" t="s">
        <v>448</v>
      </c>
      <c r="N166" s="4" t="s">
        <v>26</v>
      </c>
      <c r="O166" s="4" t="s">
        <v>257</v>
      </c>
      <c r="P166" s="4" t="s">
        <v>28</v>
      </c>
      <c r="Q166" s="4" t="str">
        <f t="shared" si="5"/>
        <v>DENTRO DEL TIEMPO</v>
      </c>
      <c r="R166" s="6"/>
    </row>
    <row r="167" spans="1:18" ht="42.75" customHeight="1" x14ac:dyDescent="0.25">
      <c r="A167" s="3">
        <v>160</v>
      </c>
      <c r="B167" s="4" t="s">
        <v>449</v>
      </c>
      <c r="C167" s="5">
        <v>44574</v>
      </c>
      <c r="D167" s="5">
        <v>44574</v>
      </c>
      <c r="E167" s="4">
        <v>2</v>
      </c>
      <c r="F167" s="4" t="s">
        <v>22</v>
      </c>
      <c r="G167" s="4" t="s">
        <v>30</v>
      </c>
      <c r="H167" s="4" t="s">
        <v>24</v>
      </c>
      <c r="I167" s="4" t="s">
        <v>30</v>
      </c>
      <c r="J167" s="5">
        <v>44575.411539351851</v>
      </c>
      <c r="K167" s="5">
        <v>44575.411539351851</v>
      </c>
      <c r="L167" s="3">
        <f t="shared" si="4"/>
        <v>1</v>
      </c>
      <c r="M167" s="4" t="s">
        <v>450</v>
      </c>
      <c r="N167" s="4" t="s">
        <v>26</v>
      </c>
      <c r="O167" s="4" t="s">
        <v>257</v>
      </c>
      <c r="P167" s="4" t="s">
        <v>28</v>
      </c>
      <c r="Q167" s="4" t="str">
        <f t="shared" si="5"/>
        <v>DENTRO DEL TIEMPO</v>
      </c>
      <c r="R167" s="6"/>
    </row>
    <row r="168" spans="1:18" ht="42.75" customHeight="1" x14ac:dyDescent="0.25">
      <c r="A168" s="3">
        <v>161</v>
      </c>
      <c r="B168" s="4" t="s">
        <v>451</v>
      </c>
      <c r="C168" s="5">
        <v>44574</v>
      </c>
      <c r="D168" s="5">
        <v>44574</v>
      </c>
      <c r="E168" s="4">
        <v>2</v>
      </c>
      <c r="F168" s="4" t="s">
        <v>22</v>
      </c>
      <c r="G168" s="4" t="s">
        <v>30</v>
      </c>
      <c r="H168" s="4" t="s">
        <v>24</v>
      </c>
      <c r="I168" s="4" t="s">
        <v>30</v>
      </c>
      <c r="J168" s="5">
        <v>44575.41741898148</v>
      </c>
      <c r="K168" s="5">
        <v>44575.41741898148</v>
      </c>
      <c r="L168" s="3">
        <f t="shared" si="4"/>
        <v>1</v>
      </c>
      <c r="M168" s="4" t="s">
        <v>452</v>
      </c>
      <c r="N168" s="4" t="s">
        <v>26</v>
      </c>
      <c r="O168" s="4" t="s">
        <v>257</v>
      </c>
      <c r="P168" s="4" t="s">
        <v>28</v>
      </c>
      <c r="Q168" s="4" t="str">
        <f t="shared" si="5"/>
        <v>DENTRO DEL TIEMPO</v>
      </c>
      <c r="R168" s="6"/>
    </row>
    <row r="169" spans="1:18" ht="42.75" customHeight="1" x14ac:dyDescent="0.25">
      <c r="A169" s="3">
        <v>162</v>
      </c>
      <c r="B169" s="4" t="s">
        <v>453</v>
      </c>
      <c r="C169" s="5">
        <v>44574</v>
      </c>
      <c r="D169" s="5">
        <v>44574</v>
      </c>
      <c r="E169" s="4">
        <v>2</v>
      </c>
      <c r="F169" s="4" t="s">
        <v>22</v>
      </c>
      <c r="G169" s="4" t="s">
        <v>30</v>
      </c>
      <c r="H169" s="4" t="s">
        <v>24</v>
      </c>
      <c r="I169" s="4" t="s">
        <v>30</v>
      </c>
      <c r="J169" s="5">
        <v>44575.423831018517</v>
      </c>
      <c r="K169" s="5">
        <v>44575.423831018517</v>
      </c>
      <c r="L169" s="3">
        <f t="shared" si="4"/>
        <v>1</v>
      </c>
      <c r="M169" s="4" t="s">
        <v>454</v>
      </c>
      <c r="N169" s="4" t="s">
        <v>26</v>
      </c>
      <c r="O169" s="4" t="s">
        <v>257</v>
      </c>
      <c r="P169" s="4" t="s">
        <v>28</v>
      </c>
      <c r="Q169" s="4" t="str">
        <f t="shared" si="5"/>
        <v>DENTRO DEL TIEMPO</v>
      </c>
      <c r="R169" s="6"/>
    </row>
    <row r="170" spans="1:18" ht="42.75" customHeight="1" x14ac:dyDescent="0.25">
      <c r="A170" s="3">
        <v>163</v>
      </c>
      <c r="B170" s="4" t="s">
        <v>455</v>
      </c>
      <c r="C170" s="5">
        <v>44574</v>
      </c>
      <c r="D170" s="5">
        <v>44574</v>
      </c>
      <c r="E170" s="4">
        <v>2</v>
      </c>
      <c r="F170" s="4" t="s">
        <v>22</v>
      </c>
      <c r="G170" s="4" t="s">
        <v>30</v>
      </c>
      <c r="H170" s="4" t="s">
        <v>24</v>
      </c>
      <c r="I170" s="4" t="s">
        <v>30</v>
      </c>
      <c r="J170" s="5">
        <v>44586.441967592589</v>
      </c>
      <c r="K170" s="5">
        <v>44586.441967592589</v>
      </c>
      <c r="L170" s="3">
        <f t="shared" si="4"/>
        <v>8</v>
      </c>
      <c r="M170" s="4" t="s">
        <v>456</v>
      </c>
      <c r="N170" s="4" t="s">
        <v>26</v>
      </c>
      <c r="O170" s="4" t="s">
        <v>457</v>
      </c>
      <c r="P170" s="4" t="s">
        <v>28</v>
      </c>
      <c r="Q170" s="4" t="str">
        <f t="shared" si="5"/>
        <v>DENTRO DEL TIEMPO</v>
      </c>
      <c r="R170" s="6"/>
    </row>
    <row r="171" spans="1:18" ht="42.75" customHeight="1" x14ac:dyDescent="0.25">
      <c r="A171" s="3">
        <v>164</v>
      </c>
      <c r="B171" s="4" t="s">
        <v>458</v>
      </c>
      <c r="C171" s="5">
        <v>44574</v>
      </c>
      <c r="D171" s="5">
        <v>44574</v>
      </c>
      <c r="E171" s="4">
        <v>2</v>
      </c>
      <c r="F171" s="4" t="s">
        <v>22</v>
      </c>
      <c r="G171" s="4" t="s">
        <v>23</v>
      </c>
      <c r="H171" s="4" t="s">
        <v>24</v>
      </c>
      <c r="I171" s="4" t="s">
        <v>23</v>
      </c>
      <c r="J171" s="5">
        <v>44575.578993055555</v>
      </c>
      <c r="K171" s="5">
        <v>44575.578993055555</v>
      </c>
      <c r="L171" s="3">
        <f t="shared" si="4"/>
        <v>1</v>
      </c>
      <c r="M171" s="4" t="s">
        <v>459</v>
      </c>
      <c r="N171" s="4" t="s">
        <v>26</v>
      </c>
      <c r="O171" s="4" t="s">
        <v>460</v>
      </c>
      <c r="P171" s="4" t="s">
        <v>28</v>
      </c>
      <c r="Q171" s="4" t="str">
        <f t="shared" si="5"/>
        <v>DENTRO DEL TIEMPO</v>
      </c>
      <c r="R171" s="6"/>
    </row>
    <row r="172" spans="1:18" ht="42.75" customHeight="1" x14ac:dyDescent="0.25">
      <c r="A172" s="3">
        <v>165</v>
      </c>
      <c r="B172" s="4" t="s">
        <v>461</v>
      </c>
      <c r="C172" s="5">
        <v>44574</v>
      </c>
      <c r="D172" s="5">
        <v>44574</v>
      </c>
      <c r="E172" s="4">
        <v>2</v>
      </c>
      <c r="F172" s="4" t="s">
        <v>22</v>
      </c>
      <c r="G172" s="4" t="s">
        <v>23</v>
      </c>
      <c r="H172" s="4" t="s">
        <v>24</v>
      </c>
      <c r="I172" s="4" t="s">
        <v>23</v>
      </c>
      <c r="J172" s="5">
        <v>44575.561111111114</v>
      </c>
      <c r="K172" s="5">
        <v>44575.561111111114</v>
      </c>
      <c r="L172" s="3">
        <f t="shared" si="4"/>
        <v>1</v>
      </c>
      <c r="M172" s="4" t="s">
        <v>462</v>
      </c>
      <c r="N172" s="4" t="s">
        <v>26</v>
      </c>
      <c r="O172" s="4" t="s">
        <v>463</v>
      </c>
      <c r="P172" s="4" t="s">
        <v>28</v>
      </c>
      <c r="Q172" s="4" t="str">
        <f t="shared" si="5"/>
        <v>DENTRO DEL TIEMPO</v>
      </c>
      <c r="R172" s="6"/>
    </row>
    <row r="173" spans="1:18" ht="42.75" customHeight="1" x14ac:dyDescent="0.25">
      <c r="A173" s="3">
        <v>166</v>
      </c>
      <c r="B173" s="4" t="s">
        <v>464</v>
      </c>
      <c r="C173" s="5">
        <v>44574</v>
      </c>
      <c r="D173" s="5">
        <v>44574</v>
      </c>
      <c r="E173" s="4">
        <v>2</v>
      </c>
      <c r="F173" s="4" t="s">
        <v>22</v>
      </c>
      <c r="G173" s="4" t="s">
        <v>30</v>
      </c>
      <c r="H173" s="4" t="s">
        <v>24</v>
      </c>
      <c r="I173" s="4" t="s">
        <v>30</v>
      </c>
      <c r="J173" s="5">
        <v>44575.513611111113</v>
      </c>
      <c r="K173" s="5">
        <v>44575.513611111113</v>
      </c>
      <c r="L173" s="3">
        <f t="shared" si="4"/>
        <v>1</v>
      </c>
      <c r="M173" s="4" t="s">
        <v>465</v>
      </c>
      <c r="N173" s="4" t="s">
        <v>26</v>
      </c>
      <c r="O173" s="4" t="s">
        <v>257</v>
      </c>
      <c r="P173" s="4" t="s">
        <v>28</v>
      </c>
      <c r="Q173" s="4" t="str">
        <f t="shared" si="5"/>
        <v>DENTRO DEL TIEMPO</v>
      </c>
      <c r="R173" s="6"/>
    </row>
    <row r="174" spans="1:18" ht="42.75" customHeight="1" x14ac:dyDescent="0.25">
      <c r="A174" s="3">
        <v>167</v>
      </c>
      <c r="B174" s="4" t="s">
        <v>466</v>
      </c>
      <c r="C174" s="5">
        <v>44574</v>
      </c>
      <c r="D174" s="5">
        <v>44574</v>
      </c>
      <c r="E174" s="4">
        <v>2</v>
      </c>
      <c r="F174" s="4" t="s">
        <v>22</v>
      </c>
      <c r="G174" s="4" t="s">
        <v>30</v>
      </c>
      <c r="H174" s="4" t="s">
        <v>24</v>
      </c>
      <c r="I174" s="4" t="s">
        <v>30</v>
      </c>
      <c r="J174" s="5">
        <v>44575.523460648146</v>
      </c>
      <c r="K174" s="5">
        <v>44575.523460648146</v>
      </c>
      <c r="L174" s="3">
        <f t="shared" si="4"/>
        <v>1</v>
      </c>
      <c r="M174" s="4" t="s">
        <v>467</v>
      </c>
      <c r="N174" s="4" t="s">
        <v>26</v>
      </c>
      <c r="O174" s="4" t="s">
        <v>257</v>
      </c>
      <c r="P174" s="4" t="s">
        <v>28</v>
      </c>
      <c r="Q174" s="4" t="str">
        <f t="shared" si="5"/>
        <v>DENTRO DEL TIEMPO</v>
      </c>
      <c r="R174" s="6"/>
    </row>
    <row r="175" spans="1:18" ht="42.75" customHeight="1" x14ac:dyDescent="0.25">
      <c r="A175" s="3">
        <v>168</v>
      </c>
      <c r="B175" s="4" t="s">
        <v>468</v>
      </c>
      <c r="C175" s="5">
        <v>44574</v>
      </c>
      <c r="D175" s="5">
        <v>44574</v>
      </c>
      <c r="E175" s="4">
        <v>2</v>
      </c>
      <c r="F175" s="4" t="s">
        <v>22</v>
      </c>
      <c r="G175" s="4" t="s">
        <v>30</v>
      </c>
      <c r="H175" s="4" t="s">
        <v>24</v>
      </c>
      <c r="I175" s="4" t="s">
        <v>30</v>
      </c>
      <c r="J175" s="5">
        <v>44575.529270833336</v>
      </c>
      <c r="K175" s="5">
        <v>44575.529270833336</v>
      </c>
      <c r="L175" s="3">
        <f t="shared" si="4"/>
        <v>1</v>
      </c>
      <c r="M175" s="4" t="s">
        <v>469</v>
      </c>
      <c r="N175" s="4" t="s">
        <v>26</v>
      </c>
      <c r="O175" s="4" t="s">
        <v>257</v>
      </c>
      <c r="P175" s="4" t="s">
        <v>28</v>
      </c>
      <c r="Q175" s="4" t="str">
        <f t="shared" si="5"/>
        <v>DENTRO DEL TIEMPO</v>
      </c>
      <c r="R175" s="6"/>
    </row>
    <row r="176" spans="1:18" ht="42.75" customHeight="1" x14ac:dyDescent="0.25">
      <c r="A176" s="3">
        <v>169</v>
      </c>
      <c r="B176" s="4" t="s">
        <v>470</v>
      </c>
      <c r="C176" s="5">
        <v>44574</v>
      </c>
      <c r="D176" s="5">
        <v>44574</v>
      </c>
      <c r="E176" s="4">
        <v>2</v>
      </c>
      <c r="F176" s="4" t="s">
        <v>22</v>
      </c>
      <c r="G176" s="4" t="s">
        <v>30</v>
      </c>
      <c r="H176" s="4" t="s">
        <v>24</v>
      </c>
      <c r="I176" s="4" t="s">
        <v>30</v>
      </c>
      <c r="J176" s="5">
        <v>44575.537291666667</v>
      </c>
      <c r="K176" s="5">
        <v>44575.537291666667</v>
      </c>
      <c r="L176" s="3">
        <f t="shared" si="4"/>
        <v>1</v>
      </c>
      <c r="M176" s="4" t="s">
        <v>471</v>
      </c>
      <c r="N176" s="4" t="s">
        <v>26</v>
      </c>
      <c r="O176" s="4" t="s">
        <v>257</v>
      </c>
      <c r="P176" s="4" t="s">
        <v>28</v>
      </c>
      <c r="Q176" s="4" t="str">
        <f t="shared" si="5"/>
        <v>DENTRO DEL TIEMPO</v>
      </c>
      <c r="R176" s="6"/>
    </row>
    <row r="177" spans="1:18" ht="42.75" customHeight="1" x14ac:dyDescent="0.25">
      <c r="A177" s="3">
        <v>170</v>
      </c>
      <c r="B177" s="4" t="s">
        <v>472</v>
      </c>
      <c r="C177" s="5">
        <v>44574</v>
      </c>
      <c r="D177" s="5">
        <v>44574</v>
      </c>
      <c r="E177" s="4">
        <v>2</v>
      </c>
      <c r="F177" s="4" t="s">
        <v>22</v>
      </c>
      <c r="G177" s="4" t="s">
        <v>30</v>
      </c>
      <c r="H177" s="4" t="s">
        <v>24</v>
      </c>
      <c r="I177" s="4" t="s">
        <v>30</v>
      </c>
      <c r="J177" s="5">
        <v>44575.624386574076</v>
      </c>
      <c r="K177" s="5">
        <v>44575.624386574076</v>
      </c>
      <c r="L177" s="3">
        <f t="shared" si="4"/>
        <v>1</v>
      </c>
      <c r="M177" s="4" t="s">
        <v>473</v>
      </c>
      <c r="N177" s="4" t="s">
        <v>26</v>
      </c>
      <c r="O177" s="4" t="s">
        <v>257</v>
      </c>
      <c r="P177" s="4" t="s">
        <v>28</v>
      </c>
      <c r="Q177" s="4" t="str">
        <f t="shared" si="5"/>
        <v>DENTRO DEL TIEMPO</v>
      </c>
      <c r="R177" s="6"/>
    </row>
    <row r="178" spans="1:18" ht="42.75" customHeight="1" x14ac:dyDescent="0.25">
      <c r="A178" s="3">
        <v>171</v>
      </c>
      <c r="B178" s="4" t="s">
        <v>474</v>
      </c>
      <c r="C178" s="5">
        <v>44574</v>
      </c>
      <c r="D178" s="5">
        <v>44574</v>
      </c>
      <c r="E178" s="4">
        <v>2</v>
      </c>
      <c r="F178" s="4" t="s">
        <v>22</v>
      </c>
      <c r="G178" s="4" t="s">
        <v>30</v>
      </c>
      <c r="H178" s="4" t="s">
        <v>24</v>
      </c>
      <c r="I178" s="4" t="s">
        <v>30</v>
      </c>
      <c r="J178" s="5">
        <v>44575.628935185188</v>
      </c>
      <c r="K178" s="5">
        <v>44575.628935185188</v>
      </c>
      <c r="L178" s="3">
        <f t="shared" si="4"/>
        <v>1</v>
      </c>
      <c r="M178" s="4" t="s">
        <v>475</v>
      </c>
      <c r="N178" s="4" t="s">
        <v>26</v>
      </c>
      <c r="O178" s="4" t="s">
        <v>257</v>
      </c>
      <c r="P178" s="4" t="s">
        <v>28</v>
      </c>
      <c r="Q178" s="4" t="str">
        <f t="shared" si="5"/>
        <v>DENTRO DEL TIEMPO</v>
      </c>
      <c r="R178" s="6"/>
    </row>
    <row r="179" spans="1:18" ht="42.75" customHeight="1" x14ac:dyDescent="0.25">
      <c r="A179" s="3">
        <v>172</v>
      </c>
      <c r="B179" s="4" t="s">
        <v>476</v>
      </c>
      <c r="C179" s="5">
        <v>44574</v>
      </c>
      <c r="D179" s="5">
        <v>44574</v>
      </c>
      <c r="E179" s="4">
        <v>2</v>
      </c>
      <c r="F179" s="4" t="s">
        <v>22</v>
      </c>
      <c r="G179" s="4" t="s">
        <v>23</v>
      </c>
      <c r="H179" s="4" t="s">
        <v>24</v>
      </c>
      <c r="I179" s="4" t="s">
        <v>23</v>
      </c>
      <c r="J179" s="5">
        <v>44575.570543981485</v>
      </c>
      <c r="K179" s="5">
        <v>44575.570543981485</v>
      </c>
      <c r="L179" s="3">
        <f t="shared" si="4"/>
        <v>1</v>
      </c>
      <c r="M179" s="4" t="s">
        <v>477</v>
      </c>
      <c r="N179" s="4" t="s">
        <v>26</v>
      </c>
      <c r="O179" s="4" t="s">
        <v>478</v>
      </c>
      <c r="P179" s="4" t="s">
        <v>28</v>
      </c>
      <c r="Q179" s="4" t="str">
        <f t="shared" si="5"/>
        <v>DENTRO DEL TIEMPO</v>
      </c>
      <c r="R179" s="6"/>
    </row>
    <row r="180" spans="1:18" ht="42.75" customHeight="1" x14ac:dyDescent="0.25">
      <c r="A180" s="3">
        <v>173</v>
      </c>
      <c r="B180" s="4" t="s">
        <v>479</v>
      </c>
      <c r="C180" s="5">
        <v>44574</v>
      </c>
      <c r="D180" s="5">
        <v>44574</v>
      </c>
      <c r="E180" s="4">
        <v>2</v>
      </c>
      <c r="F180" s="4" t="s">
        <v>22</v>
      </c>
      <c r="G180" s="4" t="s">
        <v>30</v>
      </c>
      <c r="H180" s="4" t="s">
        <v>24</v>
      </c>
      <c r="I180" s="4" t="s">
        <v>30</v>
      </c>
      <c r="J180" s="5">
        <v>44575.484872685185</v>
      </c>
      <c r="K180" s="5">
        <v>44575.484872685185</v>
      </c>
      <c r="L180" s="3">
        <f t="shared" si="4"/>
        <v>1</v>
      </c>
      <c r="M180" s="4" t="s">
        <v>480</v>
      </c>
      <c r="N180" s="4" t="s">
        <v>26</v>
      </c>
      <c r="O180" s="4" t="s">
        <v>225</v>
      </c>
      <c r="P180" s="4" t="s">
        <v>28</v>
      </c>
      <c r="Q180" s="4" t="str">
        <f t="shared" si="5"/>
        <v>DENTRO DEL TIEMPO</v>
      </c>
      <c r="R180" s="6"/>
    </row>
    <row r="181" spans="1:18" ht="42.75" customHeight="1" x14ac:dyDescent="0.25">
      <c r="A181" s="3">
        <v>174</v>
      </c>
      <c r="B181" s="4" t="s">
        <v>481</v>
      </c>
      <c r="C181" s="5">
        <v>44574</v>
      </c>
      <c r="D181" s="5">
        <v>44574</v>
      </c>
      <c r="E181" s="4">
        <v>2</v>
      </c>
      <c r="F181" s="4" t="s">
        <v>22</v>
      </c>
      <c r="G181" s="4" t="s">
        <v>30</v>
      </c>
      <c r="H181" s="4" t="s">
        <v>24</v>
      </c>
      <c r="I181" s="4" t="s">
        <v>30</v>
      </c>
      <c r="J181" s="5">
        <v>44578.438310185185</v>
      </c>
      <c r="K181" s="5">
        <v>44578.438310185185</v>
      </c>
      <c r="L181" s="3">
        <f t="shared" si="4"/>
        <v>2</v>
      </c>
      <c r="M181" s="4" t="s">
        <v>482</v>
      </c>
      <c r="N181" s="4" t="s">
        <v>26</v>
      </c>
      <c r="O181" s="4" t="s">
        <v>225</v>
      </c>
      <c r="P181" s="4" t="s">
        <v>28</v>
      </c>
      <c r="Q181" s="4" t="str">
        <f t="shared" si="5"/>
        <v>DENTRO DEL TIEMPO</v>
      </c>
      <c r="R181" s="6"/>
    </row>
    <row r="182" spans="1:18" ht="42.75" customHeight="1" x14ac:dyDescent="0.25">
      <c r="A182" s="3">
        <v>175</v>
      </c>
      <c r="B182" s="4" t="s">
        <v>483</v>
      </c>
      <c r="C182" s="5">
        <v>44574</v>
      </c>
      <c r="D182" s="5">
        <v>44574</v>
      </c>
      <c r="E182" s="4">
        <v>2</v>
      </c>
      <c r="F182" s="4" t="s">
        <v>22</v>
      </c>
      <c r="G182" s="4" t="s">
        <v>30</v>
      </c>
      <c r="H182" s="4" t="s">
        <v>24</v>
      </c>
      <c r="I182" s="4" t="s">
        <v>30</v>
      </c>
      <c r="J182" s="5">
        <v>44578.443449074075</v>
      </c>
      <c r="K182" s="5">
        <v>44578.443449074075</v>
      </c>
      <c r="L182" s="3">
        <f t="shared" si="4"/>
        <v>2</v>
      </c>
      <c r="M182" s="4" t="s">
        <v>484</v>
      </c>
      <c r="N182" s="4" t="s">
        <v>26</v>
      </c>
      <c r="O182" s="4" t="s">
        <v>225</v>
      </c>
      <c r="P182" s="4" t="s">
        <v>28</v>
      </c>
      <c r="Q182" s="4" t="str">
        <f t="shared" si="5"/>
        <v>DENTRO DEL TIEMPO</v>
      </c>
      <c r="R182" s="6"/>
    </row>
    <row r="183" spans="1:18" ht="42.75" customHeight="1" x14ac:dyDescent="0.25">
      <c r="A183" s="3">
        <v>176</v>
      </c>
      <c r="B183" s="4" t="s">
        <v>485</v>
      </c>
      <c r="C183" s="5">
        <v>44574</v>
      </c>
      <c r="D183" s="5">
        <v>44574</v>
      </c>
      <c r="E183" s="4">
        <v>2</v>
      </c>
      <c r="F183" s="4" t="s">
        <v>22</v>
      </c>
      <c r="G183" s="4" t="s">
        <v>30</v>
      </c>
      <c r="H183" s="4" t="s">
        <v>24</v>
      </c>
      <c r="I183" s="4" t="s">
        <v>30</v>
      </c>
      <c r="J183" s="5">
        <v>44578.447430555556</v>
      </c>
      <c r="K183" s="5">
        <v>44578.447430555556</v>
      </c>
      <c r="L183" s="3">
        <f t="shared" si="4"/>
        <v>2</v>
      </c>
      <c r="M183" s="4" t="s">
        <v>486</v>
      </c>
      <c r="N183" s="4" t="s">
        <v>26</v>
      </c>
      <c r="O183" s="4" t="s">
        <v>225</v>
      </c>
      <c r="P183" s="4" t="s">
        <v>28</v>
      </c>
      <c r="Q183" s="4" t="str">
        <f t="shared" si="5"/>
        <v>DENTRO DEL TIEMPO</v>
      </c>
      <c r="R183" s="6"/>
    </row>
    <row r="184" spans="1:18" ht="42.75" customHeight="1" x14ac:dyDescent="0.25">
      <c r="A184" s="3">
        <v>177</v>
      </c>
      <c r="B184" s="4" t="s">
        <v>487</v>
      </c>
      <c r="C184" s="5">
        <v>44574</v>
      </c>
      <c r="D184" s="5">
        <v>44574</v>
      </c>
      <c r="E184" s="4">
        <v>2</v>
      </c>
      <c r="F184" s="4" t="s">
        <v>22</v>
      </c>
      <c r="G184" s="4" t="s">
        <v>30</v>
      </c>
      <c r="H184" s="4" t="s">
        <v>24</v>
      </c>
      <c r="I184" s="4" t="s">
        <v>30</v>
      </c>
      <c r="J184" s="5">
        <v>44578.452187499999</v>
      </c>
      <c r="K184" s="5">
        <v>44578.452187499999</v>
      </c>
      <c r="L184" s="3">
        <f t="shared" si="4"/>
        <v>2</v>
      </c>
      <c r="M184" s="4" t="s">
        <v>488</v>
      </c>
      <c r="N184" s="4" t="s">
        <v>26</v>
      </c>
      <c r="O184" s="4" t="s">
        <v>225</v>
      </c>
      <c r="P184" s="4" t="s">
        <v>28</v>
      </c>
      <c r="Q184" s="4" t="str">
        <f t="shared" si="5"/>
        <v>DENTRO DEL TIEMPO</v>
      </c>
      <c r="R184" s="6"/>
    </row>
    <row r="185" spans="1:18" ht="42.75" customHeight="1" x14ac:dyDescent="0.25">
      <c r="A185" s="3">
        <v>178</v>
      </c>
      <c r="B185" s="4" t="s">
        <v>489</v>
      </c>
      <c r="C185" s="5">
        <v>44574</v>
      </c>
      <c r="D185" s="5">
        <v>44574</v>
      </c>
      <c r="E185" s="4">
        <v>2</v>
      </c>
      <c r="F185" s="4" t="s">
        <v>22</v>
      </c>
      <c r="G185" s="4" t="s">
        <v>30</v>
      </c>
      <c r="H185" s="4" t="s">
        <v>24</v>
      </c>
      <c r="I185" s="4" t="s">
        <v>30</v>
      </c>
      <c r="J185" s="5">
        <v>44578.456319444442</v>
      </c>
      <c r="K185" s="5">
        <v>44578.456319444442</v>
      </c>
      <c r="L185" s="3">
        <f t="shared" si="4"/>
        <v>2</v>
      </c>
      <c r="M185" s="4" t="s">
        <v>490</v>
      </c>
      <c r="N185" s="4" t="s">
        <v>26</v>
      </c>
      <c r="O185" s="4" t="s">
        <v>225</v>
      </c>
      <c r="P185" s="4" t="s">
        <v>28</v>
      </c>
      <c r="Q185" s="4" t="str">
        <f t="shared" si="5"/>
        <v>DENTRO DEL TIEMPO</v>
      </c>
      <c r="R185" s="6"/>
    </row>
    <row r="186" spans="1:18" ht="42.75" customHeight="1" x14ac:dyDescent="0.25">
      <c r="A186" s="3">
        <v>179</v>
      </c>
      <c r="B186" s="4" t="s">
        <v>491</v>
      </c>
      <c r="C186" s="5">
        <v>44574</v>
      </c>
      <c r="D186" s="5">
        <v>44574</v>
      </c>
      <c r="E186" s="4">
        <v>2</v>
      </c>
      <c r="F186" s="4" t="s">
        <v>22</v>
      </c>
      <c r="G186" s="4" t="s">
        <v>30</v>
      </c>
      <c r="H186" s="4" t="s">
        <v>24</v>
      </c>
      <c r="I186" s="4" t="s">
        <v>30</v>
      </c>
      <c r="J186" s="5">
        <v>44575.638773148145</v>
      </c>
      <c r="K186" s="5">
        <v>44575.638773148145</v>
      </c>
      <c r="L186" s="3">
        <f t="shared" si="4"/>
        <v>1</v>
      </c>
      <c r="M186" s="4" t="s">
        <v>492</v>
      </c>
      <c r="N186" s="4" t="s">
        <v>26</v>
      </c>
      <c r="O186" s="4" t="s">
        <v>257</v>
      </c>
      <c r="P186" s="4" t="s">
        <v>28</v>
      </c>
      <c r="Q186" s="4" t="str">
        <f t="shared" si="5"/>
        <v>DENTRO DEL TIEMPO</v>
      </c>
      <c r="R186" s="6"/>
    </row>
    <row r="187" spans="1:18" ht="42.75" customHeight="1" x14ac:dyDescent="0.25">
      <c r="A187" s="3">
        <v>180</v>
      </c>
      <c r="B187" s="4" t="s">
        <v>493</v>
      </c>
      <c r="C187" s="5">
        <v>44574</v>
      </c>
      <c r="D187" s="5">
        <v>44574</v>
      </c>
      <c r="E187" s="4">
        <v>2</v>
      </c>
      <c r="F187" s="4" t="s">
        <v>22</v>
      </c>
      <c r="G187" s="4" t="s">
        <v>30</v>
      </c>
      <c r="H187" s="4" t="s">
        <v>24</v>
      </c>
      <c r="I187" s="4" t="s">
        <v>30</v>
      </c>
      <c r="J187" s="5">
        <v>44575.675416666665</v>
      </c>
      <c r="K187" s="5">
        <v>44575.675416666665</v>
      </c>
      <c r="L187" s="3">
        <f t="shared" si="4"/>
        <v>1</v>
      </c>
      <c r="M187" s="4" t="s">
        <v>494</v>
      </c>
      <c r="N187" s="4" t="s">
        <v>26</v>
      </c>
      <c r="O187" s="4" t="s">
        <v>257</v>
      </c>
      <c r="P187" s="4" t="s">
        <v>28</v>
      </c>
      <c r="Q187" s="4" t="str">
        <f t="shared" si="5"/>
        <v>DENTRO DEL TIEMPO</v>
      </c>
      <c r="R187" s="6"/>
    </row>
    <row r="188" spans="1:18" ht="42.75" customHeight="1" x14ac:dyDescent="0.25">
      <c r="A188" s="3">
        <v>181</v>
      </c>
      <c r="B188" s="4" t="s">
        <v>495</v>
      </c>
      <c r="C188" s="5">
        <v>44574</v>
      </c>
      <c r="D188" s="5">
        <v>44574</v>
      </c>
      <c r="E188" s="4">
        <v>2</v>
      </c>
      <c r="F188" s="4" t="s">
        <v>22</v>
      </c>
      <c r="G188" s="4" t="s">
        <v>30</v>
      </c>
      <c r="H188" s="4" t="s">
        <v>24</v>
      </c>
      <c r="I188" s="4" t="s">
        <v>30</v>
      </c>
      <c r="J188" s="5">
        <v>44575.688611111109</v>
      </c>
      <c r="K188" s="5">
        <v>44575.688611111109</v>
      </c>
      <c r="L188" s="3">
        <f t="shared" si="4"/>
        <v>1</v>
      </c>
      <c r="M188" s="4" t="s">
        <v>496</v>
      </c>
      <c r="N188" s="4" t="s">
        <v>26</v>
      </c>
      <c r="O188" s="4" t="s">
        <v>257</v>
      </c>
      <c r="P188" s="4" t="s">
        <v>28</v>
      </c>
      <c r="Q188" s="4" t="str">
        <f t="shared" si="5"/>
        <v>DENTRO DEL TIEMPO</v>
      </c>
      <c r="R188" s="6"/>
    </row>
    <row r="189" spans="1:18" ht="42.75" customHeight="1" x14ac:dyDescent="0.25">
      <c r="A189" s="3">
        <v>182</v>
      </c>
      <c r="B189" s="4" t="s">
        <v>497</v>
      </c>
      <c r="C189" s="5">
        <v>44574</v>
      </c>
      <c r="D189" s="5">
        <v>44574</v>
      </c>
      <c r="E189" s="4">
        <v>2</v>
      </c>
      <c r="F189" s="4" t="s">
        <v>22</v>
      </c>
      <c r="G189" s="4" t="s">
        <v>30</v>
      </c>
      <c r="H189" s="4" t="s">
        <v>24</v>
      </c>
      <c r="I189" s="4" t="s">
        <v>30</v>
      </c>
      <c r="J189" s="5">
        <v>44578.406817129631</v>
      </c>
      <c r="K189" s="5">
        <v>44578.406817129631</v>
      </c>
      <c r="L189" s="3">
        <f t="shared" si="4"/>
        <v>2</v>
      </c>
      <c r="M189" s="4" t="s">
        <v>498</v>
      </c>
      <c r="N189" s="4" t="s">
        <v>26</v>
      </c>
      <c r="O189" s="4" t="s">
        <v>257</v>
      </c>
      <c r="P189" s="4" t="s">
        <v>28</v>
      </c>
      <c r="Q189" s="4" t="str">
        <f t="shared" si="5"/>
        <v>DENTRO DEL TIEMPO</v>
      </c>
      <c r="R189" s="6"/>
    </row>
    <row r="190" spans="1:18" ht="42.75" customHeight="1" x14ac:dyDescent="0.25">
      <c r="A190" s="3">
        <v>183</v>
      </c>
      <c r="B190" s="4" t="s">
        <v>499</v>
      </c>
      <c r="C190" s="5">
        <v>44574</v>
      </c>
      <c r="D190" s="5">
        <v>44574</v>
      </c>
      <c r="E190" s="4">
        <v>2</v>
      </c>
      <c r="F190" s="4" t="s">
        <v>22</v>
      </c>
      <c r="G190" s="4" t="s">
        <v>30</v>
      </c>
      <c r="H190" s="4" t="s">
        <v>24</v>
      </c>
      <c r="I190" s="4" t="s">
        <v>30</v>
      </c>
      <c r="J190" s="5">
        <v>44578.41474537037</v>
      </c>
      <c r="K190" s="5">
        <v>44578.41474537037</v>
      </c>
      <c r="L190" s="3">
        <f t="shared" si="4"/>
        <v>2</v>
      </c>
      <c r="M190" s="4" t="s">
        <v>500</v>
      </c>
      <c r="N190" s="4" t="s">
        <v>26</v>
      </c>
      <c r="O190" s="4" t="s">
        <v>257</v>
      </c>
      <c r="P190" s="4" t="s">
        <v>28</v>
      </c>
      <c r="Q190" s="4" t="str">
        <f t="shared" si="5"/>
        <v>DENTRO DEL TIEMPO</v>
      </c>
      <c r="R190" s="6"/>
    </row>
    <row r="191" spans="1:18" ht="42.75" customHeight="1" x14ac:dyDescent="0.25">
      <c r="A191" s="3">
        <v>184</v>
      </c>
      <c r="B191" s="4" t="s">
        <v>501</v>
      </c>
      <c r="C191" s="5">
        <v>44574</v>
      </c>
      <c r="D191" s="5">
        <v>44574</v>
      </c>
      <c r="E191" s="4">
        <v>2</v>
      </c>
      <c r="F191" s="4" t="s">
        <v>22</v>
      </c>
      <c r="G191" s="4" t="s">
        <v>30</v>
      </c>
      <c r="H191" s="4" t="s">
        <v>24</v>
      </c>
      <c r="I191" s="4" t="s">
        <v>30</v>
      </c>
      <c r="J191" s="5">
        <v>44578.422268518516</v>
      </c>
      <c r="K191" s="5">
        <v>44578.422268518516</v>
      </c>
      <c r="L191" s="3">
        <f t="shared" si="4"/>
        <v>2</v>
      </c>
      <c r="M191" s="4" t="s">
        <v>502</v>
      </c>
      <c r="N191" s="4" t="s">
        <v>26</v>
      </c>
      <c r="O191" s="4" t="s">
        <v>257</v>
      </c>
      <c r="P191" s="4" t="s">
        <v>28</v>
      </c>
      <c r="Q191" s="4" t="str">
        <f t="shared" si="5"/>
        <v>DENTRO DEL TIEMPO</v>
      </c>
      <c r="R191" s="6"/>
    </row>
    <row r="192" spans="1:18" ht="42.75" customHeight="1" x14ac:dyDescent="0.25">
      <c r="A192" s="3">
        <v>185</v>
      </c>
      <c r="B192" s="4" t="s">
        <v>503</v>
      </c>
      <c r="C192" s="5">
        <v>44574</v>
      </c>
      <c r="D192" s="5">
        <v>44574</v>
      </c>
      <c r="E192" s="4">
        <v>2</v>
      </c>
      <c r="F192" s="4" t="s">
        <v>22</v>
      </c>
      <c r="G192" s="4" t="s">
        <v>49</v>
      </c>
      <c r="H192" s="4" t="s">
        <v>24</v>
      </c>
      <c r="I192" s="4" t="s">
        <v>49</v>
      </c>
      <c r="J192" s="5">
        <v>44586.348553240743</v>
      </c>
      <c r="K192" s="5">
        <v>44586.348553240743</v>
      </c>
      <c r="L192" s="3">
        <f t="shared" si="4"/>
        <v>8</v>
      </c>
      <c r="M192" s="4" t="s">
        <v>504</v>
      </c>
      <c r="N192" s="4" t="s">
        <v>26</v>
      </c>
      <c r="O192" s="4" t="s">
        <v>505</v>
      </c>
      <c r="P192" s="4" t="s">
        <v>28</v>
      </c>
      <c r="Q192" s="4" t="str">
        <f t="shared" si="5"/>
        <v>DENTRO DEL TIEMPO</v>
      </c>
      <c r="R192" s="6"/>
    </row>
    <row r="193" spans="1:18" ht="42.75" customHeight="1" x14ac:dyDescent="0.25">
      <c r="A193" s="3">
        <v>186</v>
      </c>
      <c r="B193" s="4" t="s">
        <v>506</v>
      </c>
      <c r="C193" s="5">
        <v>44574</v>
      </c>
      <c r="D193" s="5">
        <v>44574</v>
      </c>
      <c r="E193" s="4">
        <v>2</v>
      </c>
      <c r="F193" s="4" t="s">
        <v>22</v>
      </c>
      <c r="G193" s="4" t="s">
        <v>30</v>
      </c>
      <c r="H193" s="4" t="s">
        <v>24</v>
      </c>
      <c r="I193" s="4" t="s">
        <v>30</v>
      </c>
      <c r="J193" s="5">
        <v>44578.428935185184</v>
      </c>
      <c r="K193" s="5">
        <v>44578.428935185184</v>
      </c>
      <c r="L193" s="3">
        <f t="shared" si="4"/>
        <v>2</v>
      </c>
      <c r="M193" s="4" t="s">
        <v>507</v>
      </c>
      <c r="N193" s="4" t="s">
        <v>26</v>
      </c>
      <c r="O193" s="4" t="s">
        <v>508</v>
      </c>
      <c r="P193" s="4" t="s">
        <v>28</v>
      </c>
      <c r="Q193" s="4" t="str">
        <f t="shared" si="5"/>
        <v>DENTRO DEL TIEMPO</v>
      </c>
      <c r="R193" s="6"/>
    </row>
    <row r="194" spans="1:18" ht="42.75" customHeight="1" x14ac:dyDescent="0.25">
      <c r="A194" s="3">
        <v>187</v>
      </c>
      <c r="B194" s="4" t="s">
        <v>509</v>
      </c>
      <c r="C194" s="5">
        <v>44574</v>
      </c>
      <c r="D194" s="5">
        <v>44574</v>
      </c>
      <c r="E194" s="4">
        <v>2</v>
      </c>
      <c r="F194" s="4" t="s">
        <v>22</v>
      </c>
      <c r="G194" s="4" t="s">
        <v>30</v>
      </c>
      <c r="H194" s="4" t="s">
        <v>24</v>
      </c>
      <c r="I194" s="4" t="s">
        <v>30</v>
      </c>
      <c r="J194" s="5">
        <v>44578.475694444445</v>
      </c>
      <c r="K194" s="5">
        <v>44578.475694444445</v>
      </c>
      <c r="L194" s="3">
        <f t="shared" si="4"/>
        <v>2</v>
      </c>
      <c r="M194" s="4" t="s">
        <v>510</v>
      </c>
      <c r="N194" s="4" t="s">
        <v>26</v>
      </c>
      <c r="O194" s="4" t="s">
        <v>315</v>
      </c>
      <c r="P194" s="4" t="s">
        <v>28</v>
      </c>
      <c r="Q194" s="4" t="str">
        <f t="shared" si="5"/>
        <v>DENTRO DEL TIEMPO</v>
      </c>
      <c r="R194" s="6"/>
    </row>
    <row r="195" spans="1:18" ht="42.75" customHeight="1" x14ac:dyDescent="0.25">
      <c r="A195" s="3">
        <v>188</v>
      </c>
      <c r="B195" s="4" t="s">
        <v>511</v>
      </c>
      <c r="C195" s="5">
        <v>44574</v>
      </c>
      <c r="D195" s="5">
        <v>44574</v>
      </c>
      <c r="E195" s="4">
        <v>2</v>
      </c>
      <c r="F195" s="4" t="s">
        <v>22</v>
      </c>
      <c r="G195" s="4" t="s">
        <v>23</v>
      </c>
      <c r="H195" s="4" t="s">
        <v>24</v>
      </c>
      <c r="I195" s="4" t="s">
        <v>23</v>
      </c>
      <c r="J195" s="5">
        <v>44575.57603009259</v>
      </c>
      <c r="K195" s="5">
        <v>44575.57603009259</v>
      </c>
      <c r="L195" s="3">
        <f t="shared" si="4"/>
        <v>1</v>
      </c>
      <c r="M195" s="4" t="s">
        <v>512</v>
      </c>
      <c r="N195" s="4" t="s">
        <v>26</v>
      </c>
      <c r="O195" s="4" t="s">
        <v>513</v>
      </c>
      <c r="P195" s="4" t="s">
        <v>28</v>
      </c>
      <c r="Q195" s="4" t="str">
        <f t="shared" si="5"/>
        <v>DENTRO DEL TIEMPO</v>
      </c>
      <c r="R195" s="6"/>
    </row>
    <row r="196" spans="1:18" ht="42.75" customHeight="1" x14ac:dyDescent="0.25">
      <c r="A196" s="3">
        <v>189</v>
      </c>
      <c r="B196" s="4" t="s">
        <v>514</v>
      </c>
      <c r="C196" s="5">
        <v>44574</v>
      </c>
      <c r="D196" s="5">
        <v>44574</v>
      </c>
      <c r="E196" s="4">
        <v>2</v>
      </c>
      <c r="F196" s="4" t="s">
        <v>22</v>
      </c>
      <c r="G196" s="4" t="s">
        <v>23</v>
      </c>
      <c r="H196" s="4" t="s">
        <v>24</v>
      </c>
      <c r="I196" s="4" t="s">
        <v>23</v>
      </c>
      <c r="J196" s="5">
        <v>44575.614583333336</v>
      </c>
      <c r="K196" s="5">
        <v>44575.614583333336</v>
      </c>
      <c r="L196" s="3">
        <f t="shared" si="4"/>
        <v>1</v>
      </c>
      <c r="M196" s="4" t="s">
        <v>515</v>
      </c>
      <c r="N196" s="4" t="s">
        <v>26</v>
      </c>
      <c r="O196" s="4" t="s">
        <v>516</v>
      </c>
      <c r="P196" s="4" t="s">
        <v>28</v>
      </c>
      <c r="Q196" s="4" t="str">
        <f t="shared" si="5"/>
        <v>DENTRO DEL TIEMPO</v>
      </c>
      <c r="R196" s="6"/>
    </row>
    <row r="197" spans="1:18" ht="42.75" customHeight="1" x14ac:dyDescent="0.25">
      <c r="A197" s="3">
        <v>190</v>
      </c>
      <c r="B197" s="4" t="s">
        <v>517</v>
      </c>
      <c r="C197" s="5">
        <v>44574</v>
      </c>
      <c r="D197" s="5">
        <v>44574</v>
      </c>
      <c r="E197" s="4">
        <v>2</v>
      </c>
      <c r="F197" s="4" t="s">
        <v>22</v>
      </c>
      <c r="G197" s="4" t="s">
        <v>30</v>
      </c>
      <c r="H197" s="4" t="s">
        <v>24</v>
      </c>
      <c r="I197" s="4" t="s">
        <v>30</v>
      </c>
      <c r="J197" s="5">
        <v>44579.944560185184</v>
      </c>
      <c r="K197" s="5">
        <v>44579.944560185184</v>
      </c>
      <c r="L197" s="3">
        <f t="shared" si="4"/>
        <v>3</v>
      </c>
      <c r="M197" s="4" t="s">
        <v>518</v>
      </c>
      <c r="N197" s="4" t="s">
        <v>26</v>
      </c>
      <c r="O197" s="4" t="s">
        <v>519</v>
      </c>
      <c r="P197" s="4" t="s">
        <v>28</v>
      </c>
      <c r="Q197" s="4" t="str">
        <f t="shared" si="5"/>
        <v>DENTRO DEL TIEMPO</v>
      </c>
      <c r="R197" s="6"/>
    </row>
    <row r="198" spans="1:18" ht="42.75" customHeight="1" x14ac:dyDescent="0.25">
      <c r="A198" s="3">
        <v>191</v>
      </c>
      <c r="B198" s="4" t="s">
        <v>520</v>
      </c>
      <c r="C198" s="5">
        <v>44575</v>
      </c>
      <c r="D198" s="5">
        <v>44575</v>
      </c>
      <c r="E198" s="4">
        <v>2</v>
      </c>
      <c r="F198" s="4" t="s">
        <v>22</v>
      </c>
      <c r="G198" s="4" t="s">
        <v>23</v>
      </c>
      <c r="H198" s="4" t="s">
        <v>24</v>
      </c>
      <c r="I198" s="4" t="s">
        <v>23</v>
      </c>
      <c r="J198" s="5">
        <v>44578.439050925925</v>
      </c>
      <c r="K198" s="5">
        <v>44578.439050925925</v>
      </c>
      <c r="L198" s="3">
        <f t="shared" si="4"/>
        <v>1</v>
      </c>
      <c r="M198" s="4" t="s">
        <v>521</v>
      </c>
      <c r="N198" s="4" t="s">
        <v>26</v>
      </c>
      <c r="O198" s="4" t="s">
        <v>522</v>
      </c>
      <c r="P198" s="4" t="s">
        <v>28</v>
      </c>
      <c r="Q198" s="4" t="str">
        <f t="shared" si="5"/>
        <v>DENTRO DEL TIEMPO</v>
      </c>
      <c r="R198" s="6"/>
    </row>
    <row r="199" spans="1:18" ht="42.75" customHeight="1" x14ac:dyDescent="0.25">
      <c r="A199" s="3">
        <v>192</v>
      </c>
      <c r="B199" s="4" t="s">
        <v>523</v>
      </c>
      <c r="C199" s="5">
        <v>44575</v>
      </c>
      <c r="D199" s="5">
        <v>44575</v>
      </c>
      <c r="E199" s="4">
        <v>1308</v>
      </c>
      <c r="F199" s="4" t="s">
        <v>22</v>
      </c>
      <c r="G199" s="4" t="s">
        <v>30</v>
      </c>
      <c r="H199" s="4" t="s">
        <v>24</v>
      </c>
      <c r="I199" s="4" t="s">
        <v>30</v>
      </c>
      <c r="J199" s="5">
        <v>44579.463182870371</v>
      </c>
      <c r="K199" s="5">
        <v>44579.463182870371</v>
      </c>
      <c r="L199" s="3">
        <f t="shared" si="4"/>
        <v>2</v>
      </c>
      <c r="M199" s="4" t="s">
        <v>524</v>
      </c>
      <c r="N199" s="4" t="s">
        <v>26</v>
      </c>
      <c r="O199" s="4" t="s">
        <v>525</v>
      </c>
      <c r="P199" s="4" t="s">
        <v>28</v>
      </c>
      <c r="Q199" s="4" t="str">
        <f t="shared" si="5"/>
        <v>DENTRO DEL TIEMPO</v>
      </c>
      <c r="R199" s="6"/>
    </row>
    <row r="200" spans="1:18" ht="42.75" customHeight="1" x14ac:dyDescent="0.25">
      <c r="A200" s="3">
        <v>193</v>
      </c>
      <c r="B200" s="4" t="s">
        <v>526</v>
      </c>
      <c r="C200" s="5">
        <v>44575</v>
      </c>
      <c r="D200" s="5">
        <v>44575</v>
      </c>
      <c r="E200" s="4">
        <v>2</v>
      </c>
      <c r="F200" s="4" t="s">
        <v>22</v>
      </c>
      <c r="G200" s="4" t="s">
        <v>23</v>
      </c>
      <c r="H200" s="4" t="s">
        <v>24</v>
      </c>
      <c r="I200" s="4" t="s">
        <v>23</v>
      </c>
      <c r="J200" s="5">
        <v>44580.466689814813</v>
      </c>
      <c r="K200" s="5">
        <v>44580.466689814813</v>
      </c>
      <c r="L200" s="3">
        <f t="shared" si="4"/>
        <v>3</v>
      </c>
      <c r="M200" s="4" t="s">
        <v>527</v>
      </c>
      <c r="N200" s="4" t="s">
        <v>26</v>
      </c>
      <c r="O200" s="4" t="s">
        <v>528</v>
      </c>
      <c r="P200" s="4" t="s">
        <v>28</v>
      </c>
      <c r="Q200" s="4" t="str">
        <f t="shared" si="5"/>
        <v>DENTRO DEL TIEMPO</v>
      </c>
      <c r="R200" s="6"/>
    </row>
    <row r="201" spans="1:18" ht="42.75" customHeight="1" x14ac:dyDescent="0.25">
      <c r="A201" s="3">
        <v>194</v>
      </c>
      <c r="B201" s="4" t="s">
        <v>529</v>
      </c>
      <c r="C201" s="5">
        <v>44575</v>
      </c>
      <c r="D201" s="5">
        <v>44575</v>
      </c>
      <c r="E201" s="4">
        <v>2</v>
      </c>
      <c r="F201" s="4" t="s">
        <v>22</v>
      </c>
      <c r="G201" s="4" t="s">
        <v>23</v>
      </c>
      <c r="H201" s="4" t="s">
        <v>24</v>
      </c>
      <c r="I201" s="4" t="s">
        <v>23</v>
      </c>
      <c r="J201" s="5">
        <v>44578.485949074071</v>
      </c>
      <c r="K201" s="5">
        <v>44578.485949074071</v>
      </c>
      <c r="L201" s="3">
        <f t="shared" ref="L201:L264" si="6">+NETWORKDAYS(D201,K201,$R$8:$R$11)-1</f>
        <v>1</v>
      </c>
      <c r="M201" s="4" t="s">
        <v>530</v>
      </c>
      <c r="N201" s="4" t="s">
        <v>26</v>
      </c>
      <c r="O201" s="4" t="s">
        <v>531</v>
      </c>
      <c r="P201" s="4" t="s">
        <v>28</v>
      </c>
      <c r="Q201" s="4" t="str">
        <f t="shared" ref="Q201:Q264" si="7">IF(L201&gt;15,"FUERA DE TIEMPO","DENTRO DEL TIEMPO")</f>
        <v>DENTRO DEL TIEMPO</v>
      </c>
      <c r="R201" s="6"/>
    </row>
    <row r="202" spans="1:18" ht="42.75" customHeight="1" x14ac:dyDescent="0.25">
      <c r="A202" s="3">
        <v>195</v>
      </c>
      <c r="B202" s="4" t="s">
        <v>532</v>
      </c>
      <c r="C202" s="5">
        <v>44575</v>
      </c>
      <c r="D202" s="5">
        <v>44575</v>
      </c>
      <c r="E202" s="4">
        <v>2</v>
      </c>
      <c r="F202" s="4" t="s">
        <v>22</v>
      </c>
      <c r="G202" s="4" t="s">
        <v>23</v>
      </c>
      <c r="H202" s="4" t="s">
        <v>24</v>
      </c>
      <c r="I202" s="4" t="s">
        <v>23</v>
      </c>
      <c r="J202" s="5">
        <v>44586.353703703702</v>
      </c>
      <c r="K202" s="5">
        <v>44586.353703703702</v>
      </c>
      <c r="L202" s="3">
        <f t="shared" si="6"/>
        <v>7</v>
      </c>
      <c r="M202" s="4" t="s">
        <v>533</v>
      </c>
      <c r="N202" s="4" t="s">
        <v>26</v>
      </c>
      <c r="O202" s="4" t="s">
        <v>534</v>
      </c>
      <c r="P202" s="4" t="s">
        <v>28</v>
      </c>
      <c r="Q202" s="4" t="str">
        <f t="shared" si="7"/>
        <v>DENTRO DEL TIEMPO</v>
      </c>
      <c r="R202" s="6"/>
    </row>
    <row r="203" spans="1:18" ht="42.75" customHeight="1" x14ac:dyDescent="0.25">
      <c r="A203" s="3">
        <v>196</v>
      </c>
      <c r="B203" s="4" t="s">
        <v>535</v>
      </c>
      <c r="C203" s="5">
        <v>44575</v>
      </c>
      <c r="D203" s="5">
        <v>44575</v>
      </c>
      <c r="E203" s="4">
        <v>2</v>
      </c>
      <c r="F203" s="4" t="s">
        <v>22</v>
      </c>
      <c r="G203" s="4" t="s">
        <v>30</v>
      </c>
      <c r="H203" s="4" t="s">
        <v>24</v>
      </c>
      <c r="I203" s="4" t="s">
        <v>30</v>
      </c>
      <c r="J203" s="5">
        <v>44578.488333333335</v>
      </c>
      <c r="K203" s="5">
        <v>44578.488333333335</v>
      </c>
      <c r="L203" s="3">
        <f t="shared" si="6"/>
        <v>1</v>
      </c>
      <c r="M203" s="4" t="s">
        <v>536</v>
      </c>
      <c r="N203" s="4" t="s">
        <v>26</v>
      </c>
      <c r="O203" s="4" t="s">
        <v>257</v>
      </c>
      <c r="P203" s="4" t="s">
        <v>28</v>
      </c>
      <c r="Q203" s="4" t="str">
        <f t="shared" si="7"/>
        <v>DENTRO DEL TIEMPO</v>
      </c>
      <c r="R203" s="6"/>
    </row>
    <row r="204" spans="1:18" ht="42.75" customHeight="1" x14ac:dyDescent="0.25">
      <c r="A204" s="3">
        <v>197</v>
      </c>
      <c r="B204" s="4" t="s">
        <v>537</v>
      </c>
      <c r="C204" s="5">
        <v>44575</v>
      </c>
      <c r="D204" s="5">
        <v>44575</v>
      </c>
      <c r="E204" s="4">
        <v>2</v>
      </c>
      <c r="F204" s="4" t="s">
        <v>22</v>
      </c>
      <c r="G204" s="4" t="s">
        <v>30</v>
      </c>
      <c r="H204" s="4" t="s">
        <v>24</v>
      </c>
      <c r="I204" s="4" t="s">
        <v>30</v>
      </c>
      <c r="J204" s="5">
        <v>44578.49863425926</v>
      </c>
      <c r="K204" s="5">
        <v>44578.49863425926</v>
      </c>
      <c r="L204" s="3">
        <f t="shared" si="6"/>
        <v>1</v>
      </c>
      <c r="M204" s="4" t="s">
        <v>538</v>
      </c>
      <c r="N204" s="4" t="s">
        <v>26</v>
      </c>
      <c r="O204" s="4" t="s">
        <v>257</v>
      </c>
      <c r="P204" s="4" t="s">
        <v>28</v>
      </c>
      <c r="Q204" s="4" t="str">
        <f t="shared" si="7"/>
        <v>DENTRO DEL TIEMPO</v>
      </c>
      <c r="R204" s="6"/>
    </row>
    <row r="205" spans="1:18" ht="42.75" customHeight="1" x14ac:dyDescent="0.25">
      <c r="A205" s="3">
        <v>198</v>
      </c>
      <c r="B205" s="4" t="s">
        <v>539</v>
      </c>
      <c r="C205" s="5">
        <v>44575</v>
      </c>
      <c r="D205" s="5">
        <v>44575</v>
      </c>
      <c r="E205" s="4">
        <v>2</v>
      </c>
      <c r="F205" s="4" t="s">
        <v>22</v>
      </c>
      <c r="G205" s="4" t="s">
        <v>30</v>
      </c>
      <c r="H205" s="4" t="s">
        <v>24</v>
      </c>
      <c r="I205" s="4" t="s">
        <v>30</v>
      </c>
      <c r="J205" s="5">
        <v>44578.510405092595</v>
      </c>
      <c r="K205" s="5">
        <v>44578.510405092595</v>
      </c>
      <c r="L205" s="3">
        <f t="shared" si="6"/>
        <v>1</v>
      </c>
      <c r="M205" s="4" t="s">
        <v>540</v>
      </c>
      <c r="N205" s="4" t="s">
        <v>26</v>
      </c>
      <c r="O205" s="4" t="s">
        <v>128</v>
      </c>
      <c r="P205" s="4" t="s">
        <v>28</v>
      </c>
      <c r="Q205" s="4" t="str">
        <f t="shared" si="7"/>
        <v>DENTRO DEL TIEMPO</v>
      </c>
      <c r="R205" s="6"/>
    </row>
    <row r="206" spans="1:18" ht="42.75" customHeight="1" x14ac:dyDescent="0.25">
      <c r="A206" s="3">
        <v>199</v>
      </c>
      <c r="B206" s="4" t="s">
        <v>541</v>
      </c>
      <c r="C206" s="5">
        <v>44575</v>
      </c>
      <c r="D206" s="5">
        <v>44575</v>
      </c>
      <c r="E206" s="4">
        <v>2</v>
      </c>
      <c r="F206" s="4" t="s">
        <v>22</v>
      </c>
      <c r="G206" s="4" t="s">
        <v>30</v>
      </c>
      <c r="H206" s="4" t="s">
        <v>24</v>
      </c>
      <c r="I206" s="4" t="s">
        <v>30</v>
      </c>
      <c r="J206" s="5">
        <v>44578.588136574072</v>
      </c>
      <c r="K206" s="5">
        <v>44578.588136574072</v>
      </c>
      <c r="L206" s="3">
        <f t="shared" si="6"/>
        <v>1</v>
      </c>
      <c r="M206" s="4" t="s">
        <v>542</v>
      </c>
      <c r="N206" s="4" t="s">
        <v>26</v>
      </c>
      <c r="O206" s="4" t="s">
        <v>543</v>
      </c>
      <c r="P206" s="4" t="s">
        <v>28</v>
      </c>
      <c r="Q206" s="4" t="str">
        <f t="shared" si="7"/>
        <v>DENTRO DEL TIEMPO</v>
      </c>
      <c r="R206" s="6"/>
    </row>
    <row r="207" spans="1:18" ht="42.75" customHeight="1" x14ac:dyDescent="0.25">
      <c r="A207" s="3">
        <v>200</v>
      </c>
      <c r="B207" s="4" t="s">
        <v>544</v>
      </c>
      <c r="C207" s="5">
        <v>44575</v>
      </c>
      <c r="D207" s="5">
        <v>44575</v>
      </c>
      <c r="E207" s="4">
        <v>2</v>
      </c>
      <c r="F207" s="4" t="s">
        <v>22</v>
      </c>
      <c r="G207" s="4" t="s">
        <v>23</v>
      </c>
      <c r="H207" s="4" t="s">
        <v>24</v>
      </c>
      <c r="I207" s="4" t="s">
        <v>23</v>
      </c>
      <c r="J207" s="5">
        <v>44578.654317129629</v>
      </c>
      <c r="K207" s="5">
        <v>44578.654317129629</v>
      </c>
      <c r="L207" s="3">
        <f t="shared" si="6"/>
        <v>1</v>
      </c>
      <c r="M207" s="4" t="s">
        <v>545</v>
      </c>
      <c r="N207" s="4" t="s">
        <v>26</v>
      </c>
      <c r="O207" s="4" t="s">
        <v>54</v>
      </c>
      <c r="P207" s="4" t="s">
        <v>28</v>
      </c>
      <c r="Q207" s="4" t="str">
        <f t="shared" si="7"/>
        <v>DENTRO DEL TIEMPO</v>
      </c>
      <c r="R207" s="6"/>
    </row>
    <row r="208" spans="1:18" ht="42.75" customHeight="1" x14ac:dyDescent="0.25">
      <c r="A208" s="3">
        <v>201</v>
      </c>
      <c r="B208" s="4" t="s">
        <v>544</v>
      </c>
      <c r="C208" s="5">
        <v>44575</v>
      </c>
      <c r="D208" s="5">
        <v>44575</v>
      </c>
      <c r="E208" s="4">
        <v>2</v>
      </c>
      <c r="F208" s="4" t="s">
        <v>22</v>
      </c>
      <c r="G208" s="4" t="s">
        <v>49</v>
      </c>
      <c r="H208" s="4" t="s">
        <v>24</v>
      </c>
      <c r="I208" s="4" t="s">
        <v>49</v>
      </c>
      <c r="J208" s="5">
        <v>44578.468460648146</v>
      </c>
      <c r="K208" s="5">
        <v>44578.468460648146</v>
      </c>
      <c r="L208" s="3">
        <f t="shared" si="6"/>
        <v>1</v>
      </c>
      <c r="M208" s="4" t="s">
        <v>546</v>
      </c>
      <c r="N208" s="4" t="s">
        <v>26</v>
      </c>
      <c r="O208" s="4" t="s">
        <v>547</v>
      </c>
      <c r="P208" s="4" t="s">
        <v>28</v>
      </c>
      <c r="Q208" s="4" t="str">
        <f t="shared" si="7"/>
        <v>DENTRO DEL TIEMPO</v>
      </c>
      <c r="R208" s="6"/>
    </row>
    <row r="209" spans="1:18" ht="42.75" customHeight="1" x14ac:dyDescent="0.25">
      <c r="A209" s="3">
        <v>202</v>
      </c>
      <c r="B209" s="4" t="s">
        <v>548</v>
      </c>
      <c r="C209" s="5">
        <v>44575</v>
      </c>
      <c r="D209" s="5">
        <v>44575</v>
      </c>
      <c r="E209" s="4">
        <v>2</v>
      </c>
      <c r="F209" s="4" t="s">
        <v>22</v>
      </c>
      <c r="G209" s="4" t="s">
        <v>30</v>
      </c>
      <c r="H209" s="4" t="s">
        <v>24</v>
      </c>
      <c r="I209" s="4" t="s">
        <v>30</v>
      </c>
      <c r="J209" s="5">
        <v>44578.600243055553</v>
      </c>
      <c r="K209" s="5">
        <v>44578.600243055553</v>
      </c>
      <c r="L209" s="3">
        <f t="shared" si="6"/>
        <v>1</v>
      </c>
      <c r="M209" s="4" t="s">
        <v>549</v>
      </c>
      <c r="N209" s="4" t="s">
        <v>26</v>
      </c>
      <c r="O209" s="4" t="s">
        <v>106</v>
      </c>
      <c r="P209" s="4" t="s">
        <v>28</v>
      </c>
      <c r="Q209" s="4" t="str">
        <f t="shared" si="7"/>
        <v>DENTRO DEL TIEMPO</v>
      </c>
      <c r="R209" s="6"/>
    </row>
    <row r="210" spans="1:18" ht="42.75" customHeight="1" x14ac:dyDescent="0.25">
      <c r="A210" s="3">
        <v>203</v>
      </c>
      <c r="B210" s="4" t="s">
        <v>550</v>
      </c>
      <c r="C210" s="5">
        <v>44578</v>
      </c>
      <c r="D210" s="5">
        <v>44578</v>
      </c>
      <c r="E210" s="4">
        <v>2</v>
      </c>
      <c r="F210" s="4" t="s">
        <v>22</v>
      </c>
      <c r="G210" s="4" t="s">
        <v>23</v>
      </c>
      <c r="H210" s="4" t="s">
        <v>24</v>
      </c>
      <c r="I210" s="4" t="s">
        <v>23</v>
      </c>
      <c r="J210" s="5">
        <v>44578.662615740737</v>
      </c>
      <c r="K210" s="5">
        <v>44578.662615740737</v>
      </c>
      <c r="L210" s="3">
        <f t="shared" si="6"/>
        <v>0</v>
      </c>
      <c r="M210" s="4" t="s">
        <v>551</v>
      </c>
      <c r="N210" s="4" t="s">
        <v>26</v>
      </c>
      <c r="O210" s="4" t="s">
        <v>552</v>
      </c>
      <c r="P210" s="4" t="s">
        <v>28</v>
      </c>
      <c r="Q210" s="4" t="str">
        <f t="shared" si="7"/>
        <v>DENTRO DEL TIEMPO</v>
      </c>
      <c r="R210" s="6"/>
    </row>
    <row r="211" spans="1:18" ht="42.75" customHeight="1" x14ac:dyDescent="0.25">
      <c r="A211" s="3">
        <v>204</v>
      </c>
      <c r="B211" s="4" t="s">
        <v>553</v>
      </c>
      <c r="C211" s="5">
        <v>44578</v>
      </c>
      <c r="D211" s="5">
        <v>44578</v>
      </c>
      <c r="E211" s="4">
        <v>2</v>
      </c>
      <c r="F211" s="4" t="s">
        <v>22</v>
      </c>
      <c r="G211" s="4" t="s">
        <v>49</v>
      </c>
      <c r="H211" s="4" t="s">
        <v>24</v>
      </c>
      <c r="I211" s="4" t="s">
        <v>49</v>
      </c>
      <c r="J211" s="5">
        <v>44581.502627314818</v>
      </c>
      <c r="K211" s="5">
        <v>44581.502627314818</v>
      </c>
      <c r="L211" s="3">
        <f t="shared" si="6"/>
        <v>3</v>
      </c>
      <c r="M211" s="4" t="s">
        <v>554</v>
      </c>
      <c r="N211" s="4" t="s">
        <v>26</v>
      </c>
      <c r="O211" s="4" t="s">
        <v>555</v>
      </c>
      <c r="P211" s="4" t="s">
        <v>28</v>
      </c>
      <c r="Q211" s="4" t="str">
        <f t="shared" si="7"/>
        <v>DENTRO DEL TIEMPO</v>
      </c>
      <c r="R211" s="6"/>
    </row>
    <row r="212" spans="1:18" ht="42.75" customHeight="1" x14ac:dyDescent="0.25">
      <c r="A212" s="3">
        <v>205</v>
      </c>
      <c r="B212" s="4" t="s">
        <v>556</v>
      </c>
      <c r="C212" s="5">
        <v>44578</v>
      </c>
      <c r="D212" s="5">
        <v>44578</v>
      </c>
      <c r="E212" s="4">
        <v>2</v>
      </c>
      <c r="F212" s="4" t="s">
        <v>22</v>
      </c>
      <c r="G212" s="4" t="s">
        <v>30</v>
      </c>
      <c r="H212" s="4" t="s">
        <v>24</v>
      </c>
      <c r="I212" s="4" t="s">
        <v>30</v>
      </c>
      <c r="J212" s="5">
        <v>44578.614421296297</v>
      </c>
      <c r="K212" s="5">
        <v>44578.614421296297</v>
      </c>
      <c r="L212" s="3">
        <f t="shared" si="6"/>
        <v>0</v>
      </c>
      <c r="M212" s="4" t="s">
        <v>557</v>
      </c>
      <c r="N212" s="4" t="s">
        <v>26</v>
      </c>
      <c r="O212" s="4" t="s">
        <v>54</v>
      </c>
      <c r="P212" s="4" t="s">
        <v>28</v>
      </c>
      <c r="Q212" s="4" t="str">
        <f t="shared" si="7"/>
        <v>DENTRO DEL TIEMPO</v>
      </c>
      <c r="R212" s="6"/>
    </row>
    <row r="213" spans="1:18" ht="42.75" customHeight="1" x14ac:dyDescent="0.25">
      <c r="A213" s="3">
        <v>206</v>
      </c>
      <c r="B213" s="4" t="s">
        <v>558</v>
      </c>
      <c r="C213" s="5">
        <v>44578</v>
      </c>
      <c r="D213" s="5">
        <v>44578</v>
      </c>
      <c r="E213" s="4">
        <v>2</v>
      </c>
      <c r="F213" s="4" t="s">
        <v>22</v>
      </c>
      <c r="G213" s="4" t="s">
        <v>30</v>
      </c>
      <c r="H213" s="4" t="s">
        <v>24</v>
      </c>
      <c r="I213" s="4" t="s">
        <v>30</v>
      </c>
      <c r="J213" s="5">
        <v>44578.628472222219</v>
      </c>
      <c r="K213" s="5">
        <v>44578.628472222219</v>
      </c>
      <c r="L213" s="3">
        <f t="shared" si="6"/>
        <v>0</v>
      </c>
      <c r="M213" s="4" t="s">
        <v>559</v>
      </c>
      <c r="N213" s="4" t="s">
        <v>26</v>
      </c>
      <c r="O213" s="4" t="s">
        <v>560</v>
      </c>
      <c r="P213" s="4" t="s">
        <v>28</v>
      </c>
      <c r="Q213" s="4" t="str">
        <f t="shared" si="7"/>
        <v>DENTRO DEL TIEMPO</v>
      </c>
      <c r="R213" s="6"/>
    </row>
    <row r="214" spans="1:18" ht="42.75" customHeight="1" x14ac:dyDescent="0.25">
      <c r="A214" s="3">
        <v>207</v>
      </c>
      <c r="B214" s="4" t="s">
        <v>561</v>
      </c>
      <c r="C214" s="5">
        <v>44578</v>
      </c>
      <c r="D214" s="5">
        <v>44578</v>
      </c>
      <c r="E214" s="4">
        <v>2</v>
      </c>
      <c r="F214" s="4" t="s">
        <v>22</v>
      </c>
      <c r="G214" s="4" t="s">
        <v>30</v>
      </c>
      <c r="H214" s="4" t="s">
        <v>24</v>
      </c>
      <c r="I214" s="4" t="s">
        <v>30</v>
      </c>
      <c r="J214" s="5">
        <v>44578.635752314818</v>
      </c>
      <c r="K214" s="5">
        <v>44578.635752314818</v>
      </c>
      <c r="L214" s="3">
        <f t="shared" si="6"/>
        <v>0</v>
      </c>
      <c r="M214" s="4" t="s">
        <v>562</v>
      </c>
      <c r="N214" s="4" t="s">
        <v>26</v>
      </c>
      <c r="O214" s="4" t="s">
        <v>563</v>
      </c>
      <c r="P214" s="4" t="s">
        <v>28</v>
      </c>
      <c r="Q214" s="4" t="str">
        <f t="shared" si="7"/>
        <v>DENTRO DEL TIEMPO</v>
      </c>
      <c r="R214" s="6"/>
    </row>
    <row r="215" spans="1:18" ht="42.75" customHeight="1" x14ac:dyDescent="0.25">
      <c r="A215" s="3">
        <v>208</v>
      </c>
      <c r="B215" s="4" t="s">
        <v>564</v>
      </c>
      <c r="C215" s="5">
        <v>44578</v>
      </c>
      <c r="D215" s="5">
        <v>44578</v>
      </c>
      <c r="E215" s="4">
        <v>2</v>
      </c>
      <c r="F215" s="4" t="s">
        <v>22</v>
      </c>
      <c r="G215" s="4" t="s">
        <v>30</v>
      </c>
      <c r="H215" s="4" t="s">
        <v>24</v>
      </c>
      <c r="I215" s="4" t="s">
        <v>30</v>
      </c>
      <c r="J215" s="5">
        <v>44578.649155092593</v>
      </c>
      <c r="K215" s="5">
        <v>44578.649155092593</v>
      </c>
      <c r="L215" s="3">
        <f t="shared" si="6"/>
        <v>0</v>
      </c>
      <c r="M215" s="4" t="s">
        <v>565</v>
      </c>
      <c r="N215" s="4" t="s">
        <v>26</v>
      </c>
      <c r="O215" s="4" t="s">
        <v>566</v>
      </c>
      <c r="P215" s="4" t="s">
        <v>28</v>
      </c>
      <c r="Q215" s="4" t="str">
        <f t="shared" si="7"/>
        <v>DENTRO DEL TIEMPO</v>
      </c>
      <c r="R215" s="6"/>
    </row>
    <row r="216" spans="1:18" ht="42.75" customHeight="1" x14ac:dyDescent="0.25">
      <c r="A216" s="3">
        <v>209</v>
      </c>
      <c r="B216" s="4" t="s">
        <v>567</v>
      </c>
      <c r="C216" s="5">
        <v>44578</v>
      </c>
      <c r="D216" s="5">
        <v>44578</v>
      </c>
      <c r="E216" s="4">
        <v>2</v>
      </c>
      <c r="F216" s="4" t="s">
        <v>22</v>
      </c>
      <c r="G216" s="4" t="s">
        <v>30</v>
      </c>
      <c r="H216" s="4" t="s">
        <v>24</v>
      </c>
      <c r="I216" s="4" t="s">
        <v>30</v>
      </c>
      <c r="J216" s="5">
        <v>44578.662060185183</v>
      </c>
      <c r="K216" s="5">
        <v>44578.662060185183</v>
      </c>
      <c r="L216" s="3">
        <f t="shared" si="6"/>
        <v>0</v>
      </c>
      <c r="M216" s="4" t="s">
        <v>568</v>
      </c>
      <c r="N216" s="4" t="s">
        <v>26</v>
      </c>
      <c r="O216" s="4" t="s">
        <v>257</v>
      </c>
      <c r="P216" s="4" t="s">
        <v>28</v>
      </c>
      <c r="Q216" s="4" t="str">
        <f t="shared" si="7"/>
        <v>DENTRO DEL TIEMPO</v>
      </c>
      <c r="R216" s="6"/>
    </row>
    <row r="217" spans="1:18" ht="42.75" customHeight="1" x14ac:dyDescent="0.25">
      <c r="A217" s="3">
        <v>210</v>
      </c>
      <c r="B217" s="4" t="s">
        <v>569</v>
      </c>
      <c r="C217" s="5">
        <v>44578</v>
      </c>
      <c r="D217" s="5">
        <v>44578</v>
      </c>
      <c r="E217" s="4">
        <v>2</v>
      </c>
      <c r="F217" s="4" t="s">
        <v>22</v>
      </c>
      <c r="G217" s="4" t="s">
        <v>30</v>
      </c>
      <c r="H217" s="4" t="s">
        <v>24</v>
      </c>
      <c r="I217" s="4" t="s">
        <v>30</v>
      </c>
      <c r="J217" s="5">
        <v>44578.669606481482</v>
      </c>
      <c r="K217" s="5">
        <v>44578.669606481482</v>
      </c>
      <c r="L217" s="3">
        <f t="shared" si="6"/>
        <v>0</v>
      </c>
      <c r="M217" s="4" t="s">
        <v>570</v>
      </c>
      <c r="N217" s="4" t="s">
        <v>26</v>
      </c>
      <c r="O217" s="4" t="s">
        <v>571</v>
      </c>
      <c r="P217" s="4" t="s">
        <v>28</v>
      </c>
      <c r="Q217" s="4" t="str">
        <f t="shared" si="7"/>
        <v>DENTRO DEL TIEMPO</v>
      </c>
      <c r="R217" s="6"/>
    </row>
    <row r="218" spans="1:18" ht="42.75" customHeight="1" x14ac:dyDescent="0.25">
      <c r="A218" s="3">
        <v>211</v>
      </c>
      <c r="B218" s="4" t="s">
        <v>572</v>
      </c>
      <c r="C218" s="5">
        <v>44578</v>
      </c>
      <c r="D218" s="5">
        <v>44578</v>
      </c>
      <c r="E218" s="4">
        <v>2</v>
      </c>
      <c r="F218" s="4" t="s">
        <v>22</v>
      </c>
      <c r="G218" s="4" t="s">
        <v>30</v>
      </c>
      <c r="H218" s="4" t="s">
        <v>24</v>
      </c>
      <c r="I218" s="4" t="s">
        <v>30</v>
      </c>
      <c r="J218" s="5">
        <v>44578.682488425926</v>
      </c>
      <c r="K218" s="5">
        <v>44578.682488425926</v>
      </c>
      <c r="L218" s="3">
        <f t="shared" si="6"/>
        <v>0</v>
      </c>
      <c r="M218" s="4" t="s">
        <v>573</v>
      </c>
      <c r="N218" s="4" t="s">
        <v>26</v>
      </c>
      <c r="O218" s="4" t="s">
        <v>571</v>
      </c>
      <c r="P218" s="4" t="s">
        <v>28</v>
      </c>
      <c r="Q218" s="4" t="str">
        <f t="shared" si="7"/>
        <v>DENTRO DEL TIEMPO</v>
      </c>
      <c r="R218" s="6"/>
    </row>
    <row r="219" spans="1:18" ht="42.75" customHeight="1" x14ac:dyDescent="0.25">
      <c r="A219" s="3">
        <v>212</v>
      </c>
      <c r="B219" s="4" t="s">
        <v>574</v>
      </c>
      <c r="C219" s="5">
        <v>44578</v>
      </c>
      <c r="D219" s="5">
        <v>44578</v>
      </c>
      <c r="E219" s="4">
        <v>2</v>
      </c>
      <c r="F219" s="4" t="s">
        <v>22</v>
      </c>
      <c r="G219" s="4" t="s">
        <v>23</v>
      </c>
      <c r="H219" s="4" t="s">
        <v>24</v>
      </c>
      <c r="I219" s="4" t="s">
        <v>23</v>
      </c>
      <c r="J219" s="5">
        <v>44579.479502314818</v>
      </c>
      <c r="K219" s="5">
        <v>44579.479502314818</v>
      </c>
      <c r="L219" s="3">
        <f t="shared" si="6"/>
        <v>1</v>
      </c>
      <c r="M219" s="4" t="s">
        <v>575</v>
      </c>
      <c r="N219" s="4" t="s">
        <v>26</v>
      </c>
      <c r="O219" s="4" t="s">
        <v>576</v>
      </c>
      <c r="P219" s="4" t="s">
        <v>28</v>
      </c>
      <c r="Q219" s="4" t="str">
        <f t="shared" si="7"/>
        <v>DENTRO DEL TIEMPO</v>
      </c>
      <c r="R219" s="6"/>
    </row>
    <row r="220" spans="1:18" ht="42.75" customHeight="1" x14ac:dyDescent="0.25">
      <c r="A220" s="3">
        <v>213</v>
      </c>
      <c r="B220" s="4" t="s">
        <v>577</v>
      </c>
      <c r="C220" s="5">
        <v>44578</v>
      </c>
      <c r="D220" s="5">
        <v>44578</v>
      </c>
      <c r="E220" s="4">
        <v>2</v>
      </c>
      <c r="F220" s="4" t="s">
        <v>22</v>
      </c>
      <c r="G220" s="4" t="s">
        <v>30</v>
      </c>
      <c r="H220" s="4" t="s">
        <v>24</v>
      </c>
      <c r="I220" s="4" t="s">
        <v>30</v>
      </c>
      <c r="J220" s="5">
        <v>44578.689131944448</v>
      </c>
      <c r="K220" s="5">
        <v>44578.689131944448</v>
      </c>
      <c r="L220" s="3">
        <f t="shared" si="6"/>
        <v>0</v>
      </c>
      <c r="M220" s="4" t="s">
        <v>578</v>
      </c>
      <c r="N220" s="4" t="s">
        <v>26</v>
      </c>
      <c r="O220" s="4" t="s">
        <v>579</v>
      </c>
      <c r="P220" s="4" t="s">
        <v>28</v>
      </c>
      <c r="Q220" s="4" t="str">
        <f t="shared" si="7"/>
        <v>DENTRO DEL TIEMPO</v>
      </c>
      <c r="R220" s="6"/>
    </row>
    <row r="221" spans="1:18" ht="42.75" customHeight="1" x14ac:dyDescent="0.25">
      <c r="A221" s="3">
        <v>214</v>
      </c>
      <c r="B221" s="4" t="s">
        <v>580</v>
      </c>
      <c r="C221" s="5">
        <v>44578</v>
      </c>
      <c r="D221" s="5">
        <v>44578</v>
      </c>
      <c r="E221" s="4">
        <v>2</v>
      </c>
      <c r="F221" s="4" t="s">
        <v>22</v>
      </c>
      <c r="G221" s="4" t="s">
        <v>30</v>
      </c>
      <c r="H221" s="4" t="s">
        <v>24</v>
      </c>
      <c r="I221" s="4" t="s">
        <v>30</v>
      </c>
      <c r="J221" s="5">
        <v>44581.661828703705</v>
      </c>
      <c r="K221" s="5">
        <v>44581.661828703705</v>
      </c>
      <c r="L221" s="3">
        <f t="shared" si="6"/>
        <v>3</v>
      </c>
      <c r="M221" s="4" t="s">
        <v>581</v>
      </c>
      <c r="N221" s="4" t="s">
        <v>26</v>
      </c>
      <c r="O221" s="4" t="s">
        <v>369</v>
      </c>
      <c r="P221" s="4" t="s">
        <v>28</v>
      </c>
      <c r="Q221" s="4" t="str">
        <f t="shared" si="7"/>
        <v>DENTRO DEL TIEMPO</v>
      </c>
      <c r="R221" s="6"/>
    </row>
    <row r="222" spans="1:18" ht="42.75" customHeight="1" x14ac:dyDescent="0.25">
      <c r="A222" s="3">
        <v>215</v>
      </c>
      <c r="B222" s="4" t="s">
        <v>582</v>
      </c>
      <c r="C222" s="5">
        <v>44578</v>
      </c>
      <c r="D222" s="5">
        <v>44578</v>
      </c>
      <c r="E222" s="4">
        <v>2</v>
      </c>
      <c r="F222" s="4" t="s">
        <v>22</v>
      </c>
      <c r="G222" s="4" t="s">
        <v>30</v>
      </c>
      <c r="H222" s="4" t="s">
        <v>24</v>
      </c>
      <c r="I222" s="4" t="s">
        <v>30</v>
      </c>
      <c r="J222" s="5">
        <v>44579.349293981482</v>
      </c>
      <c r="K222" s="5">
        <v>44579.349293981482</v>
      </c>
      <c r="L222" s="3">
        <f t="shared" si="6"/>
        <v>1</v>
      </c>
      <c r="M222" s="4" t="s">
        <v>583</v>
      </c>
      <c r="N222" s="4" t="s">
        <v>26</v>
      </c>
      <c r="O222" s="4" t="s">
        <v>584</v>
      </c>
      <c r="P222" s="4" t="s">
        <v>28</v>
      </c>
      <c r="Q222" s="4" t="str">
        <f t="shared" si="7"/>
        <v>DENTRO DEL TIEMPO</v>
      </c>
      <c r="R222" s="6"/>
    </row>
    <row r="223" spans="1:18" ht="42.75" customHeight="1" x14ac:dyDescent="0.25">
      <c r="A223" s="3">
        <v>216</v>
      </c>
      <c r="B223" s="4" t="s">
        <v>585</v>
      </c>
      <c r="C223" s="5">
        <v>44578</v>
      </c>
      <c r="D223" s="5">
        <v>44578</v>
      </c>
      <c r="E223" s="4">
        <v>2</v>
      </c>
      <c r="F223" s="4" t="s">
        <v>22</v>
      </c>
      <c r="G223" s="4" t="s">
        <v>30</v>
      </c>
      <c r="H223" s="4" t="s">
        <v>24</v>
      </c>
      <c r="I223" s="4" t="s">
        <v>30</v>
      </c>
      <c r="J223" s="5">
        <v>44579.372199074074</v>
      </c>
      <c r="K223" s="5">
        <v>44579.372199074074</v>
      </c>
      <c r="L223" s="3">
        <f t="shared" si="6"/>
        <v>1</v>
      </c>
      <c r="M223" s="4" t="s">
        <v>586</v>
      </c>
      <c r="N223" s="4" t="s">
        <v>26</v>
      </c>
      <c r="O223" s="4" t="s">
        <v>587</v>
      </c>
      <c r="P223" s="4" t="s">
        <v>28</v>
      </c>
      <c r="Q223" s="4" t="str">
        <f t="shared" si="7"/>
        <v>DENTRO DEL TIEMPO</v>
      </c>
      <c r="R223" s="6"/>
    </row>
    <row r="224" spans="1:18" ht="42.75" customHeight="1" x14ac:dyDescent="0.25">
      <c r="A224" s="3">
        <v>217</v>
      </c>
      <c r="B224" s="4" t="s">
        <v>588</v>
      </c>
      <c r="C224" s="5">
        <v>44579</v>
      </c>
      <c r="D224" s="5">
        <v>44579</v>
      </c>
      <c r="E224" s="4">
        <v>2</v>
      </c>
      <c r="F224" s="4" t="s">
        <v>22</v>
      </c>
      <c r="G224" s="4" t="s">
        <v>30</v>
      </c>
      <c r="H224" s="4" t="s">
        <v>24</v>
      </c>
      <c r="I224" s="4" t="s">
        <v>30</v>
      </c>
      <c r="J224" s="5">
        <v>44579.463645833333</v>
      </c>
      <c r="K224" s="5">
        <v>44579.463645833333</v>
      </c>
      <c r="L224" s="3">
        <f t="shared" si="6"/>
        <v>0</v>
      </c>
      <c r="M224" s="4" t="s">
        <v>589</v>
      </c>
      <c r="N224" s="4" t="s">
        <v>26</v>
      </c>
      <c r="O224" s="4" t="s">
        <v>571</v>
      </c>
      <c r="P224" s="4" t="s">
        <v>28</v>
      </c>
      <c r="Q224" s="4" t="str">
        <f t="shared" si="7"/>
        <v>DENTRO DEL TIEMPO</v>
      </c>
      <c r="R224" s="6"/>
    </row>
    <row r="225" spans="1:18" ht="42.75" customHeight="1" x14ac:dyDescent="0.25">
      <c r="A225" s="3">
        <v>218</v>
      </c>
      <c r="B225" s="4" t="s">
        <v>590</v>
      </c>
      <c r="C225" s="5">
        <v>44579</v>
      </c>
      <c r="D225" s="5">
        <v>44579</v>
      </c>
      <c r="E225" s="4">
        <v>2</v>
      </c>
      <c r="F225" s="4" t="s">
        <v>22</v>
      </c>
      <c r="G225" s="4" t="s">
        <v>30</v>
      </c>
      <c r="H225" s="4" t="s">
        <v>24</v>
      </c>
      <c r="I225" s="4" t="s">
        <v>30</v>
      </c>
      <c r="J225" s="5">
        <v>44579.470520833333</v>
      </c>
      <c r="K225" s="5">
        <v>44579.470520833333</v>
      </c>
      <c r="L225" s="3">
        <f t="shared" si="6"/>
        <v>0</v>
      </c>
      <c r="M225" s="4" t="s">
        <v>591</v>
      </c>
      <c r="N225" s="4" t="s">
        <v>26</v>
      </c>
      <c r="O225" s="4" t="s">
        <v>571</v>
      </c>
      <c r="P225" s="4" t="s">
        <v>28</v>
      </c>
      <c r="Q225" s="4" t="str">
        <f t="shared" si="7"/>
        <v>DENTRO DEL TIEMPO</v>
      </c>
      <c r="R225" s="6"/>
    </row>
    <row r="226" spans="1:18" ht="42.75" customHeight="1" x14ac:dyDescent="0.25">
      <c r="A226" s="3">
        <v>219</v>
      </c>
      <c r="B226" s="4" t="s">
        <v>592</v>
      </c>
      <c r="C226" s="5">
        <v>44579</v>
      </c>
      <c r="D226" s="5">
        <v>44579</v>
      </c>
      <c r="E226" s="4">
        <v>2</v>
      </c>
      <c r="F226" s="4" t="s">
        <v>22</v>
      </c>
      <c r="G226" s="4" t="s">
        <v>30</v>
      </c>
      <c r="H226" s="4" t="s">
        <v>24</v>
      </c>
      <c r="I226" s="4" t="s">
        <v>30</v>
      </c>
      <c r="J226" s="5">
        <v>44579.479143518518</v>
      </c>
      <c r="K226" s="5">
        <v>44579.479143518518</v>
      </c>
      <c r="L226" s="3">
        <f t="shared" si="6"/>
        <v>0</v>
      </c>
      <c r="M226" s="4" t="s">
        <v>593</v>
      </c>
      <c r="N226" s="4" t="s">
        <v>26</v>
      </c>
      <c r="O226" s="4" t="s">
        <v>121</v>
      </c>
      <c r="P226" s="4" t="s">
        <v>28</v>
      </c>
      <c r="Q226" s="4" t="str">
        <f t="shared" si="7"/>
        <v>DENTRO DEL TIEMPO</v>
      </c>
      <c r="R226" s="6"/>
    </row>
    <row r="227" spans="1:18" ht="42.75" customHeight="1" x14ac:dyDescent="0.25">
      <c r="A227" s="3">
        <v>220</v>
      </c>
      <c r="B227" s="4" t="s">
        <v>594</v>
      </c>
      <c r="C227" s="5">
        <v>44579</v>
      </c>
      <c r="D227" s="5">
        <v>44579</v>
      </c>
      <c r="E227" s="4">
        <v>2</v>
      </c>
      <c r="F227" s="4" t="s">
        <v>22</v>
      </c>
      <c r="G227" s="4" t="s">
        <v>30</v>
      </c>
      <c r="H227" s="4" t="s">
        <v>24</v>
      </c>
      <c r="I227" s="4" t="s">
        <v>30</v>
      </c>
      <c r="J227" s="5">
        <v>44579.500069444446</v>
      </c>
      <c r="K227" s="5">
        <v>44579.500069444446</v>
      </c>
      <c r="L227" s="3">
        <f t="shared" si="6"/>
        <v>0</v>
      </c>
      <c r="M227" s="4" t="s">
        <v>595</v>
      </c>
      <c r="N227" s="4" t="s">
        <v>26</v>
      </c>
      <c r="O227" s="4" t="s">
        <v>596</v>
      </c>
      <c r="P227" s="4" t="s">
        <v>28</v>
      </c>
      <c r="Q227" s="4" t="str">
        <f t="shared" si="7"/>
        <v>DENTRO DEL TIEMPO</v>
      </c>
      <c r="R227" s="6"/>
    </row>
    <row r="228" spans="1:18" ht="42.75" customHeight="1" x14ac:dyDescent="0.25">
      <c r="A228" s="3">
        <v>221</v>
      </c>
      <c r="B228" s="4" t="s">
        <v>597</v>
      </c>
      <c r="C228" s="5">
        <v>44579</v>
      </c>
      <c r="D228" s="5">
        <v>44579</v>
      </c>
      <c r="E228" s="4">
        <v>2</v>
      </c>
      <c r="F228" s="4" t="s">
        <v>22</v>
      </c>
      <c r="G228" s="4" t="s">
        <v>30</v>
      </c>
      <c r="H228" s="4" t="s">
        <v>24</v>
      </c>
      <c r="I228" s="4" t="s">
        <v>30</v>
      </c>
      <c r="J228" s="5">
        <v>44579.587546296294</v>
      </c>
      <c r="K228" s="5">
        <v>44579.587546296294</v>
      </c>
      <c r="L228" s="3">
        <f t="shared" si="6"/>
        <v>0</v>
      </c>
      <c r="M228" s="4" t="s">
        <v>598</v>
      </c>
      <c r="N228" s="4" t="s">
        <v>26</v>
      </c>
      <c r="O228" s="4" t="s">
        <v>599</v>
      </c>
      <c r="P228" s="4" t="s">
        <v>28</v>
      </c>
      <c r="Q228" s="4" t="str">
        <f t="shared" si="7"/>
        <v>DENTRO DEL TIEMPO</v>
      </c>
      <c r="R228" s="6"/>
    </row>
    <row r="229" spans="1:18" ht="42.75" customHeight="1" x14ac:dyDescent="0.25">
      <c r="A229" s="3">
        <v>222</v>
      </c>
      <c r="B229" s="4" t="s">
        <v>600</v>
      </c>
      <c r="C229" s="5">
        <v>44579</v>
      </c>
      <c r="D229" s="5">
        <v>44579</v>
      </c>
      <c r="E229" s="4">
        <v>2</v>
      </c>
      <c r="F229" s="4" t="s">
        <v>22</v>
      </c>
      <c r="G229" s="4" t="s">
        <v>30</v>
      </c>
      <c r="H229" s="4" t="s">
        <v>24</v>
      </c>
      <c r="I229" s="4" t="s">
        <v>30</v>
      </c>
      <c r="J229" s="5">
        <v>44579.616493055553</v>
      </c>
      <c r="K229" s="5">
        <v>44579.616493055553</v>
      </c>
      <c r="L229" s="3">
        <f t="shared" si="6"/>
        <v>0</v>
      </c>
      <c r="M229" s="4" t="s">
        <v>601</v>
      </c>
      <c r="N229" s="4" t="s">
        <v>26</v>
      </c>
      <c r="O229" s="4" t="s">
        <v>602</v>
      </c>
      <c r="P229" s="4" t="s">
        <v>28</v>
      </c>
      <c r="Q229" s="4" t="str">
        <f t="shared" si="7"/>
        <v>DENTRO DEL TIEMPO</v>
      </c>
      <c r="R229" s="6"/>
    </row>
    <row r="230" spans="1:18" ht="42.75" customHeight="1" x14ac:dyDescent="0.25">
      <c r="A230" s="3">
        <v>223</v>
      </c>
      <c r="B230" s="4" t="s">
        <v>603</v>
      </c>
      <c r="C230" s="5">
        <v>44579</v>
      </c>
      <c r="D230" s="5">
        <v>44579</v>
      </c>
      <c r="E230" s="4">
        <v>2</v>
      </c>
      <c r="F230" s="4" t="s">
        <v>22</v>
      </c>
      <c r="G230" s="4" t="s">
        <v>30</v>
      </c>
      <c r="H230" s="4" t="s">
        <v>24</v>
      </c>
      <c r="I230" s="4" t="s">
        <v>30</v>
      </c>
      <c r="J230" s="5">
        <v>44579.636087962965</v>
      </c>
      <c r="K230" s="5">
        <v>44579.636087962965</v>
      </c>
      <c r="L230" s="3">
        <f t="shared" si="6"/>
        <v>0</v>
      </c>
      <c r="M230" s="4" t="s">
        <v>604</v>
      </c>
      <c r="N230" s="4" t="s">
        <v>26</v>
      </c>
      <c r="O230" s="4" t="s">
        <v>605</v>
      </c>
      <c r="P230" s="4" t="s">
        <v>28</v>
      </c>
      <c r="Q230" s="4" t="str">
        <f t="shared" si="7"/>
        <v>DENTRO DEL TIEMPO</v>
      </c>
      <c r="R230" s="6"/>
    </row>
    <row r="231" spans="1:18" ht="42.75" customHeight="1" x14ac:dyDescent="0.25">
      <c r="A231" s="3">
        <v>224</v>
      </c>
      <c r="B231" s="4" t="s">
        <v>606</v>
      </c>
      <c r="C231" s="5">
        <v>44579</v>
      </c>
      <c r="D231" s="5">
        <v>44579</v>
      </c>
      <c r="E231" s="4">
        <v>2</v>
      </c>
      <c r="F231" s="4" t="s">
        <v>22</v>
      </c>
      <c r="G231" s="4" t="s">
        <v>30</v>
      </c>
      <c r="H231" s="4" t="s">
        <v>24</v>
      </c>
      <c r="I231" s="4" t="s">
        <v>30</v>
      </c>
      <c r="J231" s="5">
        <v>44579.649375000001</v>
      </c>
      <c r="K231" s="5">
        <v>44579.649375000001</v>
      </c>
      <c r="L231" s="3">
        <f t="shared" si="6"/>
        <v>0</v>
      </c>
      <c r="M231" s="4" t="s">
        <v>607</v>
      </c>
      <c r="N231" s="4" t="s">
        <v>26</v>
      </c>
      <c r="O231" s="4" t="s">
        <v>608</v>
      </c>
      <c r="P231" s="4" t="s">
        <v>28</v>
      </c>
      <c r="Q231" s="4" t="str">
        <f t="shared" si="7"/>
        <v>DENTRO DEL TIEMPO</v>
      </c>
      <c r="R231" s="6"/>
    </row>
    <row r="232" spans="1:18" ht="42.75" customHeight="1" x14ac:dyDescent="0.25">
      <c r="A232" s="3">
        <v>225</v>
      </c>
      <c r="B232" s="4" t="s">
        <v>609</v>
      </c>
      <c r="C232" s="5">
        <v>44579</v>
      </c>
      <c r="D232" s="5">
        <v>44579</v>
      </c>
      <c r="E232" s="4">
        <v>2</v>
      </c>
      <c r="F232" s="4" t="s">
        <v>22</v>
      </c>
      <c r="G232" s="4" t="s">
        <v>30</v>
      </c>
      <c r="H232" s="4" t="s">
        <v>24</v>
      </c>
      <c r="I232" s="4" t="s">
        <v>30</v>
      </c>
      <c r="J232" s="5">
        <v>44579.66138888889</v>
      </c>
      <c r="K232" s="5">
        <v>44579.66138888889</v>
      </c>
      <c r="L232" s="3">
        <f t="shared" si="6"/>
        <v>0</v>
      </c>
      <c r="M232" s="4" t="s">
        <v>610</v>
      </c>
      <c r="N232" s="4" t="s">
        <v>26</v>
      </c>
      <c r="O232" s="4" t="s">
        <v>225</v>
      </c>
      <c r="P232" s="4" t="s">
        <v>28</v>
      </c>
      <c r="Q232" s="4" t="str">
        <f t="shared" si="7"/>
        <v>DENTRO DEL TIEMPO</v>
      </c>
      <c r="R232" s="6"/>
    </row>
    <row r="233" spans="1:18" ht="42.75" customHeight="1" x14ac:dyDescent="0.25">
      <c r="A233" s="3">
        <v>226</v>
      </c>
      <c r="B233" s="4" t="s">
        <v>611</v>
      </c>
      <c r="C233" s="5">
        <v>44579</v>
      </c>
      <c r="D233" s="5">
        <v>44579</v>
      </c>
      <c r="E233" s="4">
        <v>2</v>
      </c>
      <c r="F233" s="4" t="s">
        <v>22</v>
      </c>
      <c r="G233" s="4" t="s">
        <v>30</v>
      </c>
      <c r="H233" s="4" t="s">
        <v>24</v>
      </c>
      <c r="I233" s="4" t="s">
        <v>30</v>
      </c>
      <c r="J233" s="5">
        <v>44580.371296296296</v>
      </c>
      <c r="K233" s="5">
        <v>44580.371296296296</v>
      </c>
      <c r="L233" s="3">
        <f t="shared" si="6"/>
        <v>1</v>
      </c>
      <c r="M233" s="4" t="s">
        <v>612</v>
      </c>
      <c r="N233" s="4" t="s">
        <v>26</v>
      </c>
      <c r="O233" s="4" t="s">
        <v>613</v>
      </c>
      <c r="P233" s="4" t="s">
        <v>28</v>
      </c>
      <c r="Q233" s="4" t="str">
        <f t="shared" si="7"/>
        <v>DENTRO DEL TIEMPO</v>
      </c>
      <c r="R233" s="6"/>
    </row>
    <row r="234" spans="1:18" ht="42.75" customHeight="1" x14ac:dyDescent="0.25">
      <c r="A234" s="3">
        <v>227</v>
      </c>
      <c r="B234" s="4" t="s">
        <v>614</v>
      </c>
      <c r="C234" s="5">
        <v>44579</v>
      </c>
      <c r="D234" s="5">
        <v>44579</v>
      </c>
      <c r="E234" s="4">
        <v>2</v>
      </c>
      <c r="F234" s="4" t="s">
        <v>22</v>
      </c>
      <c r="G234" s="4" t="s">
        <v>30</v>
      </c>
      <c r="H234" s="4" t="s">
        <v>24</v>
      </c>
      <c r="I234" s="4" t="s">
        <v>30</v>
      </c>
      <c r="J234" s="5">
        <v>44580.42728009259</v>
      </c>
      <c r="K234" s="5">
        <v>44580.42728009259</v>
      </c>
      <c r="L234" s="3">
        <f t="shared" si="6"/>
        <v>1</v>
      </c>
      <c r="M234" s="4" t="s">
        <v>615</v>
      </c>
      <c r="N234" s="4" t="s">
        <v>26</v>
      </c>
      <c r="O234" s="4" t="s">
        <v>616</v>
      </c>
      <c r="P234" s="4" t="s">
        <v>28</v>
      </c>
      <c r="Q234" s="4" t="str">
        <f t="shared" si="7"/>
        <v>DENTRO DEL TIEMPO</v>
      </c>
      <c r="R234" s="6"/>
    </row>
    <row r="235" spans="1:18" ht="42.75" customHeight="1" x14ac:dyDescent="0.25">
      <c r="A235" s="3">
        <v>228</v>
      </c>
      <c r="B235" s="4" t="s">
        <v>617</v>
      </c>
      <c r="C235" s="5">
        <v>44579</v>
      </c>
      <c r="D235" s="5">
        <v>44579</v>
      </c>
      <c r="E235" s="4">
        <v>2</v>
      </c>
      <c r="F235" s="4" t="s">
        <v>22</v>
      </c>
      <c r="G235" s="4" t="s">
        <v>30</v>
      </c>
      <c r="H235" s="4" t="s">
        <v>24</v>
      </c>
      <c r="I235" s="4" t="s">
        <v>30</v>
      </c>
      <c r="J235" s="5">
        <v>44580.456817129627</v>
      </c>
      <c r="K235" s="5">
        <v>44580.456817129627</v>
      </c>
      <c r="L235" s="3">
        <f t="shared" si="6"/>
        <v>1</v>
      </c>
      <c r="M235" s="4" t="s">
        <v>618</v>
      </c>
      <c r="N235" s="4" t="s">
        <v>26</v>
      </c>
      <c r="O235" s="4" t="s">
        <v>254</v>
      </c>
      <c r="P235" s="4" t="s">
        <v>28</v>
      </c>
      <c r="Q235" s="4" t="str">
        <f t="shared" si="7"/>
        <v>DENTRO DEL TIEMPO</v>
      </c>
      <c r="R235" s="6"/>
    </row>
    <row r="236" spans="1:18" ht="42.75" customHeight="1" x14ac:dyDescent="0.25">
      <c r="A236" s="3">
        <v>229</v>
      </c>
      <c r="B236" s="4" t="s">
        <v>619</v>
      </c>
      <c r="C236" s="5">
        <v>44580</v>
      </c>
      <c r="D236" s="5">
        <v>44580</v>
      </c>
      <c r="E236" s="4">
        <v>2</v>
      </c>
      <c r="F236" s="4" t="s">
        <v>22</v>
      </c>
      <c r="G236" s="4" t="s">
        <v>30</v>
      </c>
      <c r="H236" s="4" t="s">
        <v>24</v>
      </c>
      <c r="I236" s="4" t="s">
        <v>30</v>
      </c>
      <c r="J236" s="5">
        <v>44580.468368055554</v>
      </c>
      <c r="K236" s="5">
        <v>44580.468368055554</v>
      </c>
      <c r="L236" s="3">
        <f t="shared" si="6"/>
        <v>0</v>
      </c>
      <c r="M236" s="4" t="s">
        <v>620</v>
      </c>
      <c r="N236" s="4" t="s">
        <v>26</v>
      </c>
      <c r="O236" s="4" t="s">
        <v>225</v>
      </c>
      <c r="P236" s="4" t="s">
        <v>28</v>
      </c>
      <c r="Q236" s="4" t="str">
        <f t="shared" si="7"/>
        <v>DENTRO DEL TIEMPO</v>
      </c>
      <c r="R236" s="6"/>
    </row>
    <row r="237" spans="1:18" ht="42.75" customHeight="1" x14ac:dyDescent="0.25">
      <c r="A237" s="3">
        <v>230</v>
      </c>
      <c r="B237" s="4" t="s">
        <v>621</v>
      </c>
      <c r="C237" s="5">
        <v>44580</v>
      </c>
      <c r="D237" s="5">
        <v>44580</v>
      </c>
      <c r="E237" s="4">
        <v>2</v>
      </c>
      <c r="F237" s="4" t="s">
        <v>22</v>
      </c>
      <c r="G237" s="4" t="s">
        <v>30</v>
      </c>
      <c r="H237" s="4" t="s">
        <v>24</v>
      </c>
      <c r="I237" s="4" t="s">
        <v>30</v>
      </c>
      <c r="J237" s="5">
        <v>44580.479074074072</v>
      </c>
      <c r="K237" s="5">
        <v>44580.479074074072</v>
      </c>
      <c r="L237" s="3">
        <f t="shared" si="6"/>
        <v>0</v>
      </c>
      <c r="M237" s="4" t="s">
        <v>622</v>
      </c>
      <c r="N237" s="4" t="s">
        <v>26</v>
      </c>
      <c r="O237" s="4" t="s">
        <v>225</v>
      </c>
      <c r="P237" s="4" t="s">
        <v>28</v>
      </c>
      <c r="Q237" s="4" t="str">
        <f t="shared" si="7"/>
        <v>DENTRO DEL TIEMPO</v>
      </c>
      <c r="R237" s="6"/>
    </row>
    <row r="238" spans="1:18" ht="42.75" customHeight="1" x14ac:dyDescent="0.25">
      <c r="A238" s="3">
        <v>231</v>
      </c>
      <c r="B238" s="4" t="s">
        <v>623</v>
      </c>
      <c r="C238" s="5">
        <v>44580</v>
      </c>
      <c r="D238" s="5">
        <v>44580</v>
      </c>
      <c r="E238" s="4">
        <v>2</v>
      </c>
      <c r="F238" s="4" t="s">
        <v>22</v>
      </c>
      <c r="G238" s="4" t="s">
        <v>30</v>
      </c>
      <c r="H238" s="4" t="s">
        <v>24</v>
      </c>
      <c r="I238" s="4" t="s">
        <v>30</v>
      </c>
      <c r="J238" s="5">
        <v>44580.488368055558</v>
      </c>
      <c r="K238" s="5">
        <v>44580.488368055558</v>
      </c>
      <c r="L238" s="3">
        <f t="shared" si="6"/>
        <v>0</v>
      </c>
      <c r="M238" s="4" t="s">
        <v>624</v>
      </c>
      <c r="N238" s="4" t="s">
        <v>26</v>
      </c>
      <c r="O238" s="4" t="s">
        <v>225</v>
      </c>
      <c r="P238" s="4" t="s">
        <v>28</v>
      </c>
      <c r="Q238" s="4" t="str">
        <f t="shared" si="7"/>
        <v>DENTRO DEL TIEMPO</v>
      </c>
      <c r="R238" s="6"/>
    </row>
    <row r="239" spans="1:18" ht="42.75" customHeight="1" x14ac:dyDescent="0.25">
      <c r="A239" s="3">
        <v>232</v>
      </c>
      <c r="B239" s="4" t="s">
        <v>625</v>
      </c>
      <c r="C239" s="5">
        <v>44580</v>
      </c>
      <c r="D239" s="5">
        <v>44580</v>
      </c>
      <c r="E239" s="4">
        <v>2</v>
      </c>
      <c r="F239" s="4" t="s">
        <v>22</v>
      </c>
      <c r="G239" s="4" t="s">
        <v>30</v>
      </c>
      <c r="H239" s="4" t="s">
        <v>24</v>
      </c>
      <c r="I239" s="4" t="s">
        <v>30</v>
      </c>
      <c r="J239" s="5">
        <v>44580.496516203704</v>
      </c>
      <c r="K239" s="5">
        <v>44580.496516203704</v>
      </c>
      <c r="L239" s="3">
        <f t="shared" si="6"/>
        <v>0</v>
      </c>
      <c r="M239" s="4" t="s">
        <v>626</v>
      </c>
      <c r="N239" s="4" t="s">
        <v>26</v>
      </c>
      <c r="O239" s="4" t="s">
        <v>225</v>
      </c>
      <c r="P239" s="4" t="s">
        <v>28</v>
      </c>
      <c r="Q239" s="4" t="str">
        <f t="shared" si="7"/>
        <v>DENTRO DEL TIEMPO</v>
      </c>
      <c r="R239" s="6"/>
    </row>
    <row r="240" spans="1:18" ht="42.75" customHeight="1" x14ac:dyDescent="0.25">
      <c r="A240" s="3">
        <v>233</v>
      </c>
      <c r="B240" s="4" t="s">
        <v>627</v>
      </c>
      <c r="C240" s="5">
        <v>44580</v>
      </c>
      <c r="D240" s="5">
        <v>44580</v>
      </c>
      <c r="E240" s="4">
        <v>2</v>
      </c>
      <c r="F240" s="4" t="s">
        <v>22</v>
      </c>
      <c r="G240" s="4" t="s">
        <v>30</v>
      </c>
      <c r="H240" s="4" t="s">
        <v>24</v>
      </c>
      <c r="I240" s="4" t="s">
        <v>30</v>
      </c>
      <c r="J240" s="5">
        <v>44580.500891203701</v>
      </c>
      <c r="K240" s="5">
        <v>44580.500891203701</v>
      </c>
      <c r="L240" s="3">
        <f t="shared" si="6"/>
        <v>0</v>
      </c>
      <c r="M240" s="4" t="s">
        <v>628</v>
      </c>
      <c r="N240" s="4" t="s">
        <v>26</v>
      </c>
      <c r="O240" s="4" t="s">
        <v>225</v>
      </c>
      <c r="P240" s="4" t="s">
        <v>28</v>
      </c>
      <c r="Q240" s="4" t="str">
        <f t="shared" si="7"/>
        <v>DENTRO DEL TIEMPO</v>
      </c>
      <c r="R240" s="6"/>
    </row>
    <row r="241" spans="1:18" ht="42.75" customHeight="1" x14ac:dyDescent="0.25">
      <c r="A241" s="3">
        <v>234</v>
      </c>
      <c r="B241" s="4" t="s">
        <v>629</v>
      </c>
      <c r="C241" s="5">
        <v>44580</v>
      </c>
      <c r="D241" s="5">
        <v>44580</v>
      </c>
      <c r="E241" s="4">
        <v>2</v>
      </c>
      <c r="F241" s="4" t="s">
        <v>22</v>
      </c>
      <c r="G241" s="4" t="s">
        <v>30</v>
      </c>
      <c r="H241" s="4" t="s">
        <v>24</v>
      </c>
      <c r="I241" s="4" t="s">
        <v>30</v>
      </c>
      <c r="J241" s="5">
        <v>44580.522604166668</v>
      </c>
      <c r="K241" s="5">
        <v>44580.522604166668</v>
      </c>
      <c r="L241" s="3">
        <f t="shared" si="6"/>
        <v>0</v>
      </c>
      <c r="M241" s="4" t="s">
        <v>630</v>
      </c>
      <c r="N241" s="4" t="s">
        <v>26</v>
      </c>
      <c r="O241" s="4" t="s">
        <v>392</v>
      </c>
      <c r="P241" s="4" t="s">
        <v>28</v>
      </c>
      <c r="Q241" s="4" t="str">
        <f t="shared" si="7"/>
        <v>DENTRO DEL TIEMPO</v>
      </c>
      <c r="R241" s="6"/>
    </row>
    <row r="242" spans="1:18" ht="42.75" customHeight="1" x14ac:dyDescent="0.25">
      <c r="A242" s="3">
        <v>235</v>
      </c>
      <c r="B242" s="9" t="s">
        <v>631</v>
      </c>
      <c r="C242" s="5">
        <v>44580</v>
      </c>
      <c r="D242" s="5">
        <v>44580</v>
      </c>
      <c r="E242" s="4">
        <v>2</v>
      </c>
      <c r="F242" s="4" t="s">
        <v>22</v>
      </c>
      <c r="G242" s="4" t="s">
        <v>23</v>
      </c>
      <c r="H242" s="4" t="s">
        <v>24</v>
      </c>
      <c r="I242" s="4" t="s">
        <v>23</v>
      </c>
      <c r="J242" s="5">
        <v>44581.435300925928</v>
      </c>
      <c r="K242" s="5">
        <v>44581.435300925928</v>
      </c>
      <c r="L242" s="3">
        <f t="shared" si="6"/>
        <v>1</v>
      </c>
      <c r="M242" s="4" t="s">
        <v>632</v>
      </c>
      <c r="N242" s="4" t="s">
        <v>26</v>
      </c>
      <c r="O242" s="4" t="s">
        <v>633</v>
      </c>
      <c r="P242" s="4" t="s">
        <v>28</v>
      </c>
      <c r="Q242" s="4" t="str">
        <f t="shared" si="7"/>
        <v>DENTRO DEL TIEMPO</v>
      </c>
      <c r="R242" s="6"/>
    </row>
    <row r="243" spans="1:18" ht="42.75" customHeight="1" x14ac:dyDescent="0.25">
      <c r="A243" s="3">
        <v>236</v>
      </c>
      <c r="B243" s="4" t="s">
        <v>634</v>
      </c>
      <c r="C243" s="5">
        <v>44580</v>
      </c>
      <c r="D243" s="5">
        <v>44580</v>
      </c>
      <c r="E243" s="4">
        <v>2</v>
      </c>
      <c r="F243" s="4" t="s">
        <v>22</v>
      </c>
      <c r="G243" s="4" t="s">
        <v>30</v>
      </c>
      <c r="H243" s="4" t="s">
        <v>24</v>
      </c>
      <c r="I243" s="4" t="s">
        <v>30</v>
      </c>
      <c r="J243" s="5">
        <v>44580.533391203702</v>
      </c>
      <c r="K243" s="5">
        <v>44580.533391203702</v>
      </c>
      <c r="L243" s="3">
        <f t="shared" si="6"/>
        <v>0</v>
      </c>
      <c r="M243" s="4" t="s">
        <v>635</v>
      </c>
      <c r="N243" s="4" t="s">
        <v>26</v>
      </c>
      <c r="O243" s="4" t="s">
        <v>636</v>
      </c>
      <c r="P243" s="4" t="s">
        <v>28</v>
      </c>
      <c r="Q243" s="4" t="str">
        <f t="shared" si="7"/>
        <v>DENTRO DEL TIEMPO</v>
      </c>
      <c r="R243" s="6"/>
    </row>
    <row r="244" spans="1:18" ht="42.75" customHeight="1" x14ac:dyDescent="0.25">
      <c r="A244" s="3">
        <v>237</v>
      </c>
      <c r="B244" s="4" t="s">
        <v>637</v>
      </c>
      <c r="C244" s="5">
        <v>44580</v>
      </c>
      <c r="D244" s="5">
        <v>44580</v>
      </c>
      <c r="E244" s="4">
        <v>2</v>
      </c>
      <c r="F244" s="4" t="s">
        <v>22</v>
      </c>
      <c r="G244" s="4" t="s">
        <v>23</v>
      </c>
      <c r="H244" s="4" t="s">
        <v>24</v>
      </c>
      <c r="I244" s="4" t="s">
        <v>23</v>
      </c>
      <c r="J244" s="5">
        <v>44581.686064814814</v>
      </c>
      <c r="K244" s="5">
        <v>44581.686064814814</v>
      </c>
      <c r="L244" s="3">
        <f t="shared" si="6"/>
        <v>1</v>
      </c>
      <c r="M244" s="4" t="s">
        <v>638</v>
      </c>
      <c r="N244" s="4" t="s">
        <v>26</v>
      </c>
      <c r="O244" s="4" t="s">
        <v>639</v>
      </c>
      <c r="P244" s="4" t="s">
        <v>28</v>
      </c>
      <c r="Q244" s="4" t="str">
        <f t="shared" si="7"/>
        <v>DENTRO DEL TIEMPO</v>
      </c>
      <c r="R244" s="6"/>
    </row>
    <row r="245" spans="1:18" ht="42.75" customHeight="1" x14ac:dyDescent="0.25">
      <c r="A245" s="3">
        <v>238</v>
      </c>
      <c r="B245" s="4" t="s">
        <v>640</v>
      </c>
      <c r="C245" s="5">
        <v>44580</v>
      </c>
      <c r="D245" s="5">
        <v>44580</v>
      </c>
      <c r="E245" s="4">
        <v>2</v>
      </c>
      <c r="F245" s="4" t="s">
        <v>22</v>
      </c>
      <c r="G245" s="4" t="s">
        <v>30</v>
      </c>
      <c r="H245" s="4" t="s">
        <v>24</v>
      </c>
      <c r="I245" s="4" t="s">
        <v>30</v>
      </c>
      <c r="J245" s="5">
        <v>44580.689074074071</v>
      </c>
      <c r="K245" s="5">
        <v>44580.689074074071</v>
      </c>
      <c r="L245" s="3">
        <f t="shared" si="6"/>
        <v>0</v>
      </c>
      <c r="M245" s="4" t="s">
        <v>641</v>
      </c>
      <c r="N245" s="4" t="s">
        <v>26</v>
      </c>
      <c r="O245" s="4" t="s">
        <v>642</v>
      </c>
      <c r="P245" s="4" t="s">
        <v>28</v>
      </c>
      <c r="Q245" s="4" t="str">
        <f t="shared" si="7"/>
        <v>DENTRO DEL TIEMPO</v>
      </c>
      <c r="R245" s="6"/>
    </row>
    <row r="246" spans="1:18" ht="42.75" customHeight="1" x14ac:dyDescent="0.25">
      <c r="A246" s="3">
        <v>239</v>
      </c>
      <c r="B246" s="4" t="s">
        <v>643</v>
      </c>
      <c r="C246" s="5">
        <v>44580</v>
      </c>
      <c r="D246" s="5">
        <v>44580</v>
      </c>
      <c r="E246" s="4">
        <v>2</v>
      </c>
      <c r="F246" s="4" t="s">
        <v>22</v>
      </c>
      <c r="G246" s="4" t="s">
        <v>30</v>
      </c>
      <c r="H246" s="4" t="s">
        <v>24</v>
      </c>
      <c r="I246" s="4" t="s">
        <v>30</v>
      </c>
      <c r="J246" s="5">
        <v>44581.602812500001</v>
      </c>
      <c r="K246" s="5">
        <v>44581.602812500001</v>
      </c>
      <c r="L246" s="3">
        <f t="shared" si="6"/>
        <v>1</v>
      </c>
      <c r="M246" s="4" t="s">
        <v>644</v>
      </c>
      <c r="N246" s="4" t="s">
        <v>26</v>
      </c>
      <c r="O246" s="4" t="s">
        <v>645</v>
      </c>
      <c r="P246" s="4" t="s">
        <v>28</v>
      </c>
      <c r="Q246" s="4" t="str">
        <f t="shared" si="7"/>
        <v>DENTRO DEL TIEMPO</v>
      </c>
      <c r="R246" s="6"/>
    </row>
    <row r="247" spans="1:18" ht="42.75" customHeight="1" x14ac:dyDescent="0.25">
      <c r="A247" s="3">
        <v>240</v>
      </c>
      <c r="B247" s="4" t="s">
        <v>646</v>
      </c>
      <c r="C247" s="5">
        <v>44580</v>
      </c>
      <c r="D247" s="5">
        <v>44580</v>
      </c>
      <c r="E247" s="4">
        <v>2</v>
      </c>
      <c r="F247" s="4" t="s">
        <v>22</v>
      </c>
      <c r="G247" s="4" t="s">
        <v>30</v>
      </c>
      <c r="H247" s="4" t="s">
        <v>24</v>
      </c>
      <c r="I247" s="4" t="s">
        <v>30</v>
      </c>
      <c r="J247" s="5">
        <v>44581.61078703704</v>
      </c>
      <c r="K247" s="5">
        <v>44581.61078703704</v>
      </c>
      <c r="L247" s="3">
        <f t="shared" si="6"/>
        <v>1</v>
      </c>
      <c r="M247" s="4" t="s">
        <v>647</v>
      </c>
      <c r="N247" s="4" t="s">
        <v>26</v>
      </c>
      <c r="O247" s="4" t="s">
        <v>648</v>
      </c>
      <c r="P247" s="4" t="s">
        <v>28</v>
      </c>
      <c r="Q247" s="4" t="str">
        <f t="shared" si="7"/>
        <v>DENTRO DEL TIEMPO</v>
      </c>
      <c r="R247" s="6"/>
    </row>
    <row r="248" spans="1:18" ht="42.75" customHeight="1" x14ac:dyDescent="0.25">
      <c r="A248" s="3">
        <v>241</v>
      </c>
      <c r="B248" s="4" t="s">
        <v>649</v>
      </c>
      <c r="C248" s="5">
        <v>44581</v>
      </c>
      <c r="D248" s="5">
        <v>44581</v>
      </c>
      <c r="E248" s="4">
        <v>2</v>
      </c>
      <c r="F248" s="4" t="s">
        <v>22</v>
      </c>
      <c r="G248" s="4" t="s">
        <v>30</v>
      </c>
      <c r="H248" s="4" t="s">
        <v>24</v>
      </c>
      <c r="I248" s="4" t="s">
        <v>30</v>
      </c>
      <c r="J248" s="5">
        <v>44582.348796296297</v>
      </c>
      <c r="K248" s="5">
        <v>44582.348796296297</v>
      </c>
      <c r="L248" s="3">
        <f t="shared" si="6"/>
        <v>1</v>
      </c>
      <c r="M248" s="4" t="s">
        <v>650</v>
      </c>
      <c r="N248" s="4" t="s">
        <v>26</v>
      </c>
      <c r="O248" s="4" t="s">
        <v>651</v>
      </c>
      <c r="P248" s="4" t="s">
        <v>28</v>
      </c>
      <c r="Q248" s="4" t="str">
        <f t="shared" si="7"/>
        <v>DENTRO DEL TIEMPO</v>
      </c>
      <c r="R248" s="6"/>
    </row>
    <row r="249" spans="1:18" ht="42.75" customHeight="1" x14ac:dyDescent="0.25">
      <c r="A249" s="3">
        <v>242</v>
      </c>
      <c r="B249" s="4" t="s">
        <v>652</v>
      </c>
      <c r="C249" s="5">
        <v>44581</v>
      </c>
      <c r="D249" s="5">
        <v>44581</v>
      </c>
      <c r="E249" s="4">
        <v>2</v>
      </c>
      <c r="F249" s="4" t="s">
        <v>22</v>
      </c>
      <c r="G249" s="4" t="s">
        <v>30</v>
      </c>
      <c r="H249" s="4" t="s">
        <v>24</v>
      </c>
      <c r="I249" s="4" t="s">
        <v>30</v>
      </c>
      <c r="J249" s="5">
        <v>44582.3828125</v>
      </c>
      <c r="K249" s="5">
        <v>44582.3828125</v>
      </c>
      <c r="L249" s="3">
        <f t="shared" si="6"/>
        <v>1</v>
      </c>
      <c r="M249" s="4" t="s">
        <v>653</v>
      </c>
      <c r="N249" s="4" t="s">
        <v>26</v>
      </c>
      <c r="O249" s="4" t="s">
        <v>654</v>
      </c>
      <c r="P249" s="4" t="s">
        <v>28</v>
      </c>
      <c r="Q249" s="4" t="str">
        <f t="shared" si="7"/>
        <v>DENTRO DEL TIEMPO</v>
      </c>
      <c r="R249" s="6"/>
    </row>
    <row r="250" spans="1:18" ht="42.75" customHeight="1" x14ac:dyDescent="0.25">
      <c r="A250" s="3">
        <v>243</v>
      </c>
      <c r="B250" s="4" t="s">
        <v>655</v>
      </c>
      <c r="C250" s="5">
        <v>44581</v>
      </c>
      <c r="D250" s="5">
        <v>44581</v>
      </c>
      <c r="E250" s="4">
        <v>2</v>
      </c>
      <c r="F250" s="4" t="s">
        <v>22</v>
      </c>
      <c r="G250" s="4" t="s">
        <v>92</v>
      </c>
      <c r="H250" s="4" t="s">
        <v>24</v>
      </c>
      <c r="I250" s="4" t="s">
        <v>92</v>
      </c>
      <c r="J250" s="5">
        <v>44585.656736111108</v>
      </c>
      <c r="K250" s="5">
        <v>44585.656736111108</v>
      </c>
      <c r="L250" s="3">
        <f t="shared" si="6"/>
        <v>2</v>
      </c>
      <c r="M250" s="4" t="s">
        <v>656</v>
      </c>
      <c r="N250" s="4" t="s">
        <v>26</v>
      </c>
      <c r="O250" s="4" t="s">
        <v>657</v>
      </c>
      <c r="P250" s="4" t="s">
        <v>28</v>
      </c>
      <c r="Q250" s="4" t="str">
        <f t="shared" si="7"/>
        <v>DENTRO DEL TIEMPO</v>
      </c>
      <c r="R250" s="6"/>
    </row>
    <row r="251" spans="1:18" ht="42.75" customHeight="1" x14ac:dyDescent="0.25">
      <c r="A251" s="3">
        <v>244</v>
      </c>
      <c r="B251" s="4" t="s">
        <v>658</v>
      </c>
      <c r="C251" s="5">
        <v>44581</v>
      </c>
      <c r="D251" s="5">
        <v>44581</v>
      </c>
      <c r="E251" s="4">
        <v>2</v>
      </c>
      <c r="F251" s="4" t="s">
        <v>22</v>
      </c>
      <c r="G251" s="4" t="s">
        <v>92</v>
      </c>
      <c r="H251" s="4" t="s">
        <v>24</v>
      </c>
      <c r="I251" s="4" t="s">
        <v>92</v>
      </c>
      <c r="J251" s="5">
        <v>44582.442164351851</v>
      </c>
      <c r="K251" s="5">
        <v>44582.442164351851</v>
      </c>
      <c r="L251" s="3">
        <f t="shared" si="6"/>
        <v>1</v>
      </c>
      <c r="M251" s="4" t="s">
        <v>659</v>
      </c>
      <c r="N251" s="4" t="s">
        <v>26</v>
      </c>
      <c r="O251" s="4" t="s">
        <v>660</v>
      </c>
      <c r="P251" s="4" t="s">
        <v>28</v>
      </c>
      <c r="Q251" s="4" t="str">
        <f t="shared" si="7"/>
        <v>DENTRO DEL TIEMPO</v>
      </c>
      <c r="R251" s="6"/>
    </row>
    <row r="252" spans="1:18" ht="42.75" customHeight="1" x14ac:dyDescent="0.25">
      <c r="A252" s="3">
        <v>245</v>
      </c>
      <c r="B252" s="4" t="s">
        <v>661</v>
      </c>
      <c r="C252" s="5">
        <v>44581</v>
      </c>
      <c r="D252" s="5">
        <v>44581</v>
      </c>
      <c r="E252" s="4">
        <v>2</v>
      </c>
      <c r="F252" s="4" t="s">
        <v>22</v>
      </c>
      <c r="G252" s="4" t="s">
        <v>30</v>
      </c>
      <c r="H252" s="4" t="s">
        <v>24</v>
      </c>
      <c r="I252" s="4" t="s">
        <v>30</v>
      </c>
      <c r="J252" s="5">
        <v>44582.455277777779</v>
      </c>
      <c r="K252" s="5">
        <v>44582.455277777779</v>
      </c>
      <c r="L252" s="3">
        <f t="shared" si="6"/>
        <v>1</v>
      </c>
      <c r="M252" s="4" t="s">
        <v>662</v>
      </c>
      <c r="N252" s="4" t="s">
        <v>26</v>
      </c>
      <c r="O252" s="4" t="s">
        <v>663</v>
      </c>
      <c r="P252" s="4" t="s">
        <v>28</v>
      </c>
      <c r="Q252" s="4" t="str">
        <f t="shared" si="7"/>
        <v>DENTRO DEL TIEMPO</v>
      </c>
      <c r="R252" s="6"/>
    </row>
    <row r="253" spans="1:18" ht="42.75" customHeight="1" x14ac:dyDescent="0.25">
      <c r="A253" s="3">
        <v>246</v>
      </c>
      <c r="B253" s="4" t="s">
        <v>664</v>
      </c>
      <c r="C253" s="5">
        <v>44581</v>
      </c>
      <c r="D253" s="5">
        <v>44581</v>
      </c>
      <c r="E253" s="4">
        <v>2</v>
      </c>
      <c r="F253" s="4" t="s">
        <v>22</v>
      </c>
      <c r="G253" s="4" t="s">
        <v>30</v>
      </c>
      <c r="H253" s="4" t="s">
        <v>24</v>
      </c>
      <c r="I253" s="4" t="s">
        <v>30</v>
      </c>
      <c r="J253" s="5">
        <v>44582.467106481483</v>
      </c>
      <c r="K253" s="5">
        <v>44582.467106481483</v>
      </c>
      <c r="L253" s="3">
        <f t="shared" si="6"/>
        <v>1</v>
      </c>
      <c r="M253" s="4" t="s">
        <v>665</v>
      </c>
      <c r="N253" s="4" t="s">
        <v>26</v>
      </c>
      <c r="O253" s="4" t="s">
        <v>666</v>
      </c>
      <c r="P253" s="4" t="s">
        <v>28</v>
      </c>
      <c r="Q253" s="4" t="str">
        <f t="shared" si="7"/>
        <v>DENTRO DEL TIEMPO</v>
      </c>
      <c r="R253" s="6"/>
    </row>
    <row r="254" spans="1:18" ht="42.75" customHeight="1" x14ac:dyDescent="0.25">
      <c r="A254" s="3">
        <v>247</v>
      </c>
      <c r="B254" s="4" t="s">
        <v>667</v>
      </c>
      <c r="C254" s="5">
        <v>44581</v>
      </c>
      <c r="D254" s="5">
        <v>44581</v>
      </c>
      <c r="E254" s="4">
        <v>2</v>
      </c>
      <c r="F254" s="4" t="s">
        <v>22</v>
      </c>
      <c r="G254" s="4" t="s">
        <v>30</v>
      </c>
      <c r="H254" s="4" t="s">
        <v>24</v>
      </c>
      <c r="I254" s="4" t="s">
        <v>30</v>
      </c>
      <c r="J254" s="5">
        <v>44582.479803240742</v>
      </c>
      <c r="K254" s="5">
        <v>44582.479803240742</v>
      </c>
      <c r="L254" s="3">
        <f t="shared" si="6"/>
        <v>1</v>
      </c>
      <c r="M254" s="4" t="s">
        <v>668</v>
      </c>
      <c r="N254" s="4" t="s">
        <v>26</v>
      </c>
      <c r="O254" s="4" t="s">
        <v>669</v>
      </c>
      <c r="P254" s="4" t="s">
        <v>28</v>
      </c>
      <c r="Q254" s="4" t="str">
        <f t="shared" si="7"/>
        <v>DENTRO DEL TIEMPO</v>
      </c>
      <c r="R254" s="6"/>
    </row>
    <row r="255" spans="1:18" ht="42.75" customHeight="1" x14ac:dyDescent="0.25">
      <c r="A255" s="3">
        <v>248</v>
      </c>
      <c r="B255" s="4" t="s">
        <v>670</v>
      </c>
      <c r="C255" s="5">
        <v>44581</v>
      </c>
      <c r="D255" s="5">
        <v>44581</v>
      </c>
      <c r="E255" s="4">
        <v>2</v>
      </c>
      <c r="F255" s="4" t="s">
        <v>22</v>
      </c>
      <c r="G255" s="4" t="s">
        <v>30</v>
      </c>
      <c r="H255" s="4" t="s">
        <v>24</v>
      </c>
      <c r="I255" s="4" t="s">
        <v>30</v>
      </c>
      <c r="J255" s="5">
        <v>44582.486122685186</v>
      </c>
      <c r="K255" s="5">
        <v>44582.486122685186</v>
      </c>
      <c r="L255" s="3">
        <f t="shared" si="6"/>
        <v>1</v>
      </c>
      <c r="M255" s="4" t="s">
        <v>671</v>
      </c>
      <c r="N255" s="4" t="s">
        <v>26</v>
      </c>
      <c r="O255" s="4" t="s">
        <v>672</v>
      </c>
      <c r="P255" s="4" t="s">
        <v>28</v>
      </c>
      <c r="Q255" s="4" t="str">
        <f t="shared" si="7"/>
        <v>DENTRO DEL TIEMPO</v>
      </c>
      <c r="R255" s="6"/>
    </row>
    <row r="256" spans="1:18" ht="42.75" customHeight="1" x14ac:dyDescent="0.25">
      <c r="A256" s="3">
        <v>249</v>
      </c>
      <c r="B256" s="4" t="s">
        <v>673</v>
      </c>
      <c r="C256" s="5">
        <v>44581</v>
      </c>
      <c r="D256" s="5">
        <v>44581</v>
      </c>
      <c r="E256" s="4">
        <v>2</v>
      </c>
      <c r="F256" s="4" t="s">
        <v>22</v>
      </c>
      <c r="G256" s="4" t="s">
        <v>30</v>
      </c>
      <c r="H256" s="4" t="s">
        <v>24</v>
      </c>
      <c r="I256" s="4" t="s">
        <v>30</v>
      </c>
      <c r="J256" s="5">
        <v>44582.50240740741</v>
      </c>
      <c r="K256" s="5">
        <v>44582.50240740741</v>
      </c>
      <c r="L256" s="3">
        <f t="shared" si="6"/>
        <v>1</v>
      </c>
      <c r="M256" s="4" t="s">
        <v>674</v>
      </c>
      <c r="N256" s="4" t="s">
        <v>26</v>
      </c>
      <c r="O256" s="4" t="s">
        <v>675</v>
      </c>
      <c r="P256" s="4" t="s">
        <v>28</v>
      </c>
      <c r="Q256" s="4" t="str">
        <f t="shared" si="7"/>
        <v>DENTRO DEL TIEMPO</v>
      </c>
      <c r="R256" s="6"/>
    </row>
    <row r="257" spans="1:18" ht="42.75" customHeight="1" x14ac:dyDescent="0.25">
      <c r="A257" s="3">
        <v>250</v>
      </c>
      <c r="B257" s="4" t="s">
        <v>676</v>
      </c>
      <c r="C257" s="5">
        <v>44581</v>
      </c>
      <c r="D257" s="5">
        <v>44581</v>
      </c>
      <c r="E257" s="4">
        <v>2</v>
      </c>
      <c r="F257" s="4" t="s">
        <v>22</v>
      </c>
      <c r="G257" s="4" t="s">
        <v>30</v>
      </c>
      <c r="H257" s="4" t="s">
        <v>24</v>
      </c>
      <c r="I257" s="4" t="s">
        <v>30</v>
      </c>
      <c r="J257" s="5">
        <v>44582.512430555558</v>
      </c>
      <c r="K257" s="5">
        <v>44582.512430555558</v>
      </c>
      <c r="L257" s="3">
        <f t="shared" si="6"/>
        <v>1</v>
      </c>
      <c r="M257" s="4" t="s">
        <v>677</v>
      </c>
      <c r="N257" s="4" t="s">
        <v>26</v>
      </c>
      <c r="O257" s="4" t="s">
        <v>678</v>
      </c>
      <c r="P257" s="4" t="s">
        <v>28</v>
      </c>
      <c r="Q257" s="4" t="str">
        <f t="shared" si="7"/>
        <v>DENTRO DEL TIEMPO</v>
      </c>
      <c r="R257" s="6"/>
    </row>
    <row r="258" spans="1:18" ht="42.75" customHeight="1" x14ac:dyDescent="0.25">
      <c r="A258" s="3">
        <v>251</v>
      </c>
      <c r="B258" s="4" t="s">
        <v>679</v>
      </c>
      <c r="C258" s="5">
        <v>44581</v>
      </c>
      <c r="D258" s="5">
        <v>44581</v>
      </c>
      <c r="E258" s="4">
        <v>86</v>
      </c>
      <c r="F258" s="4" t="s">
        <v>22</v>
      </c>
      <c r="G258" s="4" t="s">
        <v>23</v>
      </c>
      <c r="H258" s="4" t="s">
        <v>24</v>
      </c>
      <c r="I258" s="4" t="s">
        <v>23</v>
      </c>
      <c r="J258" s="5">
        <v>44582.504027777781</v>
      </c>
      <c r="K258" s="5">
        <v>44582.504027777781</v>
      </c>
      <c r="L258" s="3">
        <f t="shared" si="6"/>
        <v>1</v>
      </c>
      <c r="M258" s="4" t="s">
        <v>680</v>
      </c>
      <c r="N258" s="4" t="s">
        <v>26</v>
      </c>
      <c r="O258" s="4" t="s">
        <v>408</v>
      </c>
      <c r="P258" s="4" t="s">
        <v>28</v>
      </c>
      <c r="Q258" s="4" t="str">
        <f t="shared" si="7"/>
        <v>DENTRO DEL TIEMPO</v>
      </c>
      <c r="R258" s="6"/>
    </row>
    <row r="259" spans="1:18" ht="42.75" customHeight="1" x14ac:dyDescent="0.25">
      <c r="A259" s="3">
        <v>252</v>
      </c>
      <c r="B259" s="4" t="s">
        <v>681</v>
      </c>
      <c r="C259" s="5">
        <v>44581</v>
      </c>
      <c r="D259" s="5">
        <v>44581</v>
      </c>
      <c r="E259" s="4">
        <v>2</v>
      </c>
      <c r="F259" s="4" t="s">
        <v>22</v>
      </c>
      <c r="G259" s="4" t="s">
        <v>30</v>
      </c>
      <c r="H259" s="4" t="s">
        <v>24</v>
      </c>
      <c r="I259" s="4" t="s">
        <v>30</v>
      </c>
      <c r="J259" s="5">
        <v>44582.527858796297</v>
      </c>
      <c r="K259" s="5">
        <v>44582.527858796297</v>
      </c>
      <c r="L259" s="3">
        <f t="shared" si="6"/>
        <v>1</v>
      </c>
      <c r="M259" s="4" t="s">
        <v>682</v>
      </c>
      <c r="N259" s="4" t="s">
        <v>26</v>
      </c>
      <c r="O259" s="4" t="s">
        <v>599</v>
      </c>
      <c r="P259" s="4" t="s">
        <v>28</v>
      </c>
      <c r="Q259" s="4" t="str">
        <f t="shared" si="7"/>
        <v>DENTRO DEL TIEMPO</v>
      </c>
      <c r="R259" s="6"/>
    </row>
    <row r="260" spans="1:18" ht="42.75" customHeight="1" x14ac:dyDescent="0.25">
      <c r="A260" s="3">
        <v>253</v>
      </c>
      <c r="B260" s="4" t="s">
        <v>683</v>
      </c>
      <c r="C260" s="5">
        <v>44581</v>
      </c>
      <c r="D260" s="5">
        <v>44581</v>
      </c>
      <c r="E260" s="4">
        <v>2</v>
      </c>
      <c r="F260" s="4" t="s">
        <v>22</v>
      </c>
      <c r="G260" s="4" t="s">
        <v>30</v>
      </c>
      <c r="H260" s="4" t="s">
        <v>24</v>
      </c>
      <c r="I260" s="4" t="s">
        <v>30</v>
      </c>
      <c r="J260" s="5">
        <v>44588.527858796297</v>
      </c>
      <c r="K260" s="5">
        <v>44588.527858796297</v>
      </c>
      <c r="L260" s="3">
        <f t="shared" si="6"/>
        <v>5</v>
      </c>
      <c r="M260" s="4" t="s">
        <v>684</v>
      </c>
      <c r="N260" s="4" t="s">
        <v>26</v>
      </c>
      <c r="O260" s="4" t="s">
        <v>685</v>
      </c>
      <c r="P260" s="4" t="s">
        <v>28</v>
      </c>
      <c r="Q260" s="4" t="str">
        <f t="shared" si="7"/>
        <v>DENTRO DEL TIEMPO</v>
      </c>
      <c r="R260" s="6"/>
    </row>
    <row r="261" spans="1:18" ht="42.75" customHeight="1" x14ac:dyDescent="0.25">
      <c r="A261" s="3">
        <v>254</v>
      </c>
      <c r="B261" s="4" t="s">
        <v>686</v>
      </c>
      <c r="C261" s="5">
        <v>44581</v>
      </c>
      <c r="D261" s="5">
        <v>44581</v>
      </c>
      <c r="E261" s="4">
        <v>2</v>
      </c>
      <c r="F261" s="4" t="s">
        <v>22</v>
      </c>
      <c r="G261" s="4" t="s">
        <v>30</v>
      </c>
      <c r="H261" s="4" t="s">
        <v>24</v>
      </c>
      <c r="I261" s="4" t="s">
        <v>30</v>
      </c>
      <c r="J261" s="5">
        <v>44585.365324074075</v>
      </c>
      <c r="K261" s="5">
        <v>44585.365324074075</v>
      </c>
      <c r="L261" s="3">
        <f t="shared" si="6"/>
        <v>2</v>
      </c>
      <c r="M261" s="4" t="s">
        <v>687</v>
      </c>
      <c r="N261" s="4" t="s">
        <v>26</v>
      </c>
      <c r="O261" s="4" t="s">
        <v>531</v>
      </c>
      <c r="P261" s="4" t="s">
        <v>28</v>
      </c>
      <c r="Q261" s="4" t="str">
        <f t="shared" si="7"/>
        <v>DENTRO DEL TIEMPO</v>
      </c>
      <c r="R261" s="6"/>
    </row>
    <row r="262" spans="1:18" ht="42.75" customHeight="1" x14ac:dyDescent="0.25">
      <c r="A262" s="3">
        <v>255</v>
      </c>
      <c r="B262" s="4" t="s">
        <v>688</v>
      </c>
      <c r="C262" s="5">
        <v>44581</v>
      </c>
      <c r="D262" s="5">
        <v>44581</v>
      </c>
      <c r="E262" s="4">
        <v>2</v>
      </c>
      <c r="F262" s="4" t="s">
        <v>22</v>
      </c>
      <c r="G262" s="4" t="s">
        <v>30</v>
      </c>
      <c r="H262" s="4" t="s">
        <v>24</v>
      </c>
      <c r="I262" s="4" t="s">
        <v>30</v>
      </c>
      <c r="J262" s="5">
        <v>44582.629155092596</v>
      </c>
      <c r="K262" s="5">
        <v>44582.629155092596</v>
      </c>
      <c r="L262" s="3">
        <f t="shared" si="6"/>
        <v>1</v>
      </c>
      <c r="M262" s="4" t="s">
        <v>689</v>
      </c>
      <c r="N262" s="4" t="s">
        <v>26</v>
      </c>
      <c r="O262" s="4" t="s">
        <v>690</v>
      </c>
      <c r="P262" s="4" t="s">
        <v>28</v>
      </c>
      <c r="Q262" s="4" t="str">
        <f t="shared" si="7"/>
        <v>DENTRO DEL TIEMPO</v>
      </c>
      <c r="R262" s="6"/>
    </row>
    <row r="263" spans="1:18" ht="42.75" customHeight="1" x14ac:dyDescent="0.25">
      <c r="A263" s="3">
        <v>256</v>
      </c>
      <c r="B263" s="4" t="s">
        <v>691</v>
      </c>
      <c r="C263" s="5">
        <v>44582</v>
      </c>
      <c r="D263" s="5">
        <v>44582</v>
      </c>
      <c r="E263" s="4">
        <v>2</v>
      </c>
      <c r="F263" s="4" t="s">
        <v>22</v>
      </c>
      <c r="G263" s="4" t="s">
        <v>30</v>
      </c>
      <c r="H263" s="4" t="s">
        <v>24</v>
      </c>
      <c r="I263" s="4" t="s">
        <v>30</v>
      </c>
      <c r="J263" s="5">
        <v>44582.6718287037</v>
      </c>
      <c r="K263" s="5">
        <v>44582.6718287037</v>
      </c>
      <c r="L263" s="3">
        <f t="shared" si="6"/>
        <v>0</v>
      </c>
      <c r="M263" s="4" t="s">
        <v>692</v>
      </c>
      <c r="N263" s="4" t="s">
        <v>26</v>
      </c>
      <c r="O263" s="4" t="s">
        <v>128</v>
      </c>
      <c r="P263" s="4" t="s">
        <v>28</v>
      </c>
      <c r="Q263" s="4" t="str">
        <f t="shared" si="7"/>
        <v>DENTRO DEL TIEMPO</v>
      </c>
      <c r="R263" s="6"/>
    </row>
    <row r="264" spans="1:18" ht="42.75" customHeight="1" x14ac:dyDescent="0.25">
      <c r="A264" s="3">
        <v>257</v>
      </c>
      <c r="B264" s="4" t="s">
        <v>693</v>
      </c>
      <c r="C264" s="5">
        <v>44582</v>
      </c>
      <c r="D264" s="5">
        <v>44582</v>
      </c>
      <c r="E264" s="4">
        <v>2</v>
      </c>
      <c r="F264" s="4" t="s">
        <v>22</v>
      </c>
      <c r="G264" s="4" t="s">
        <v>30</v>
      </c>
      <c r="H264" s="4" t="s">
        <v>24</v>
      </c>
      <c r="I264" s="4" t="s">
        <v>30</v>
      </c>
      <c r="J264" s="5">
        <v>44582.683854166666</v>
      </c>
      <c r="K264" s="5">
        <v>44582.683854166666</v>
      </c>
      <c r="L264" s="3">
        <f t="shared" si="6"/>
        <v>0</v>
      </c>
      <c r="M264" s="4" t="s">
        <v>694</v>
      </c>
      <c r="N264" s="4" t="s">
        <v>26</v>
      </c>
      <c r="O264" s="4" t="s">
        <v>513</v>
      </c>
      <c r="P264" s="4" t="s">
        <v>28</v>
      </c>
      <c r="Q264" s="4" t="str">
        <f t="shared" si="7"/>
        <v>DENTRO DEL TIEMPO</v>
      </c>
      <c r="R264" s="6"/>
    </row>
    <row r="265" spans="1:18" ht="42.75" customHeight="1" x14ac:dyDescent="0.25">
      <c r="A265" s="3">
        <v>258</v>
      </c>
      <c r="B265" s="4" t="s">
        <v>695</v>
      </c>
      <c r="C265" s="5">
        <v>44582</v>
      </c>
      <c r="D265" s="5">
        <v>44582</v>
      </c>
      <c r="E265" s="4">
        <v>2</v>
      </c>
      <c r="F265" s="4" t="s">
        <v>22</v>
      </c>
      <c r="G265" s="4" t="s">
        <v>30</v>
      </c>
      <c r="H265" s="4" t="s">
        <v>24</v>
      </c>
      <c r="I265" s="4" t="s">
        <v>30</v>
      </c>
      <c r="J265" s="5">
        <v>44585.399375000001</v>
      </c>
      <c r="K265" s="5">
        <v>44585.399375000001</v>
      </c>
      <c r="L265" s="3">
        <f t="shared" ref="L265:L328" si="8">+NETWORKDAYS(D265,K265,$R$8:$R$11)-1</f>
        <v>1</v>
      </c>
      <c r="M265" s="4" t="s">
        <v>696</v>
      </c>
      <c r="N265" s="4" t="s">
        <v>26</v>
      </c>
      <c r="O265" s="4" t="s">
        <v>54</v>
      </c>
      <c r="P265" s="4" t="s">
        <v>28</v>
      </c>
      <c r="Q265" s="4" t="str">
        <f t="shared" ref="Q265:Q328" si="9">IF(L265&gt;15,"FUERA DE TIEMPO","DENTRO DEL TIEMPO")</f>
        <v>DENTRO DEL TIEMPO</v>
      </c>
      <c r="R265" s="6"/>
    </row>
    <row r="266" spans="1:18" ht="42.75" customHeight="1" x14ac:dyDescent="0.25">
      <c r="A266" s="3">
        <v>259</v>
      </c>
      <c r="B266" s="4" t="s">
        <v>697</v>
      </c>
      <c r="C266" s="5">
        <v>44582</v>
      </c>
      <c r="D266" s="5">
        <v>44582</v>
      </c>
      <c r="E266" s="4">
        <v>2</v>
      </c>
      <c r="F266" s="4" t="s">
        <v>22</v>
      </c>
      <c r="G266" s="4" t="s">
        <v>30</v>
      </c>
      <c r="H266" s="4" t="s">
        <v>24</v>
      </c>
      <c r="I266" s="4" t="s">
        <v>30</v>
      </c>
      <c r="J266" s="5">
        <v>44582.691770833335</v>
      </c>
      <c r="K266" s="5">
        <v>44582.691770833335</v>
      </c>
      <c r="L266" s="3">
        <f t="shared" si="8"/>
        <v>0</v>
      </c>
      <c r="M266" s="4" t="s">
        <v>698</v>
      </c>
      <c r="N266" s="4" t="s">
        <v>26</v>
      </c>
      <c r="O266" s="4" t="s">
        <v>54</v>
      </c>
      <c r="P266" s="4" t="s">
        <v>28</v>
      </c>
      <c r="Q266" s="4" t="str">
        <f t="shared" si="9"/>
        <v>DENTRO DEL TIEMPO</v>
      </c>
      <c r="R266" s="6"/>
    </row>
    <row r="267" spans="1:18" ht="42.75" customHeight="1" x14ac:dyDescent="0.25">
      <c r="A267" s="3">
        <v>260</v>
      </c>
      <c r="B267" s="4" t="s">
        <v>699</v>
      </c>
      <c r="C267" s="5">
        <v>44582</v>
      </c>
      <c r="D267" s="5">
        <v>44582</v>
      </c>
      <c r="E267" s="4">
        <v>102</v>
      </c>
      <c r="F267" s="4" t="s">
        <v>22</v>
      </c>
      <c r="G267" s="4" t="s">
        <v>30</v>
      </c>
      <c r="H267" s="4" t="s">
        <v>24</v>
      </c>
      <c r="I267" s="4" t="s">
        <v>30</v>
      </c>
      <c r="J267" s="5">
        <v>44585.352870370371</v>
      </c>
      <c r="K267" s="5">
        <v>44585.352870370371</v>
      </c>
      <c r="L267" s="3">
        <f t="shared" si="8"/>
        <v>1</v>
      </c>
      <c r="M267" s="4" t="s">
        <v>700</v>
      </c>
      <c r="N267" s="4" t="s">
        <v>26</v>
      </c>
      <c r="O267" s="4" t="s">
        <v>701</v>
      </c>
      <c r="P267" s="4" t="s">
        <v>28</v>
      </c>
      <c r="Q267" s="4" t="str">
        <f t="shared" si="9"/>
        <v>DENTRO DEL TIEMPO</v>
      </c>
      <c r="R267" s="6"/>
    </row>
    <row r="268" spans="1:18" ht="42.75" customHeight="1" x14ac:dyDescent="0.25">
      <c r="A268" s="3">
        <v>261</v>
      </c>
      <c r="B268" s="4" t="s">
        <v>702</v>
      </c>
      <c r="C268" s="5">
        <v>44582</v>
      </c>
      <c r="D268" s="5">
        <v>44582</v>
      </c>
      <c r="E268" s="4">
        <v>2</v>
      </c>
      <c r="F268" s="4" t="s">
        <v>22</v>
      </c>
      <c r="G268" s="4" t="s">
        <v>30</v>
      </c>
      <c r="H268" s="4" t="s">
        <v>24</v>
      </c>
      <c r="I268" s="4" t="s">
        <v>30</v>
      </c>
      <c r="J268" s="5">
        <v>44585.464016203703</v>
      </c>
      <c r="K268" s="5">
        <v>44585.464016203703</v>
      </c>
      <c r="L268" s="3">
        <f t="shared" si="8"/>
        <v>1</v>
      </c>
      <c r="M268" s="4" t="s">
        <v>703</v>
      </c>
      <c r="N268" s="4" t="s">
        <v>26</v>
      </c>
      <c r="O268" s="4" t="s">
        <v>54</v>
      </c>
      <c r="P268" s="4" t="s">
        <v>28</v>
      </c>
      <c r="Q268" s="4" t="str">
        <f t="shared" si="9"/>
        <v>DENTRO DEL TIEMPO</v>
      </c>
      <c r="R268" s="6"/>
    </row>
    <row r="269" spans="1:18" ht="42.75" customHeight="1" x14ac:dyDescent="0.25">
      <c r="A269" s="3">
        <v>262</v>
      </c>
      <c r="B269" s="4" t="s">
        <v>704</v>
      </c>
      <c r="C269" s="5">
        <v>44582</v>
      </c>
      <c r="D269" s="5">
        <v>44582</v>
      </c>
      <c r="E269" s="4">
        <v>2</v>
      </c>
      <c r="F269" s="4" t="s">
        <v>22</v>
      </c>
      <c r="G269" s="4" t="s">
        <v>30</v>
      </c>
      <c r="H269" s="4" t="s">
        <v>24</v>
      </c>
      <c r="I269" s="4" t="s">
        <v>30</v>
      </c>
      <c r="J269" s="5">
        <v>44585.470983796295</v>
      </c>
      <c r="K269" s="5">
        <v>44585.470983796295</v>
      </c>
      <c r="L269" s="3">
        <f t="shared" si="8"/>
        <v>1</v>
      </c>
      <c r="M269" s="4" t="s">
        <v>705</v>
      </c>
      <c r="N269" s="4" t="s">
        <v>26</v>
      </c>
      <c r="O269" s="4" t="s">
        <v>706</v>
      </c>
      <c r="P269" s="4" t="s">
        <v>28</v>
      </c>
      <c r="Q269" s="4" t="str">
        <f t="shared" si="9"/>
        <v>DENTRO DEL TIEMPO</v>
      </c>
      <c r="R269" s="6"/>
    </row>
    <row r="270" spans="1:18" ht="42.75" customHeight="1" x14ac:dyDescent="0.25">
      <c r="A270" s="3">
        <v>263</v>
      </c>
      <c r="B270" s="4" t="s">
        <v>707</v>
      </c>
      <c r="C270" s="5">
        <v>44582</v>
      </c>
      <c r="D270" s="5">
        <v>44582</v>
      </c>
      <c r="E270" s="4">
        <v>2</v>
      </c>
      <c r="F270" s="4" t="s">
        <v>22</v>
      </c>
      <c r="G270" s="4" t="s">
        <v>30</v>
      </c>
      <c r="H270" s="4" t="s">
        <v>24</v>
      </c>
      <c r="I270" s="4" t="s">
        <v>30</v>
      </c>
      <c r="J270" s="5">
        <v>44585.476805555554</v>
      </c>
      <c r="K270" s="5">
        <v>44585.476805555554</v>
      </c>
      <c r="L270" s="3">
        <f t="shared" si="8"/>
        <v>1</v>
      </c>
      <c r="M270" s="4" t="s">
        <v>708</v>
      </c>
      <c r="N270" s="4" t="s">
        <v>26</v>
      </c>
      <c r="O270" s="4" t="s">
        <v>709</v>
      </c>
      <c r="P270" s="4" t="s">
        <v>28</v>
      </c>
      <c r="Q270" s="4" t="str">
        <f t="shared" si="9"/>
        <v>DENTRO DEL TIEMPO</v>
      </c>
      <c r="R270" s="6"/>
    </row>
    <row r="271" spans="1:18" ht="42.75" customHeight="1" x14ac:dyDescent="0.25">
      <c r="A271" s="3">
        <v>264</v>
      </c>
      <c r="B271" s="4" t="s">
        <v>710</v>
      </c>
      <c r="C271" s="5">
        <v>44582</v>
      </c>
      <c r="D271" s="5">
        <v>44582</v>
      </c>
      <c r="E271" s="4">
        <v>2</v>
      </c>
      <c r="F271" s="4" t="s">
        <v>22</v>
      </c>
      <c r="G271" s="4" t="s">
        <v>30</v>
      </c>
      <c r="H271" s="4" t="s">
        <v>24</v>
      </c>
      <c r="I271" s="4" t="s">
        <v>30</v>
      </c>
      <c r="J271" s="5">
        <v>44585.490266203706</v>
      </c>
      <c r="K271" s="5">
        <v>44585.490266203706</v>
      </c>
      <c r="L271" s="3">
        <f t="shared" si="8"/>
        <v>1</v>
      </c>
      <c r="M271" s="4" t="s">
        <v>711</v>
      </c>
      <c r="N271" s="4" t="s">
        <v>26</v>
      </c>
      <c r="O271" s="4" t="s">
        <v>121</v>
      </c>
      <c r="P271" s="4" t="s">
        <v>28</v>
      </c>
      <c r="Q271" s="4" t="str">
        <f t="shared" si="9"/>
        <v>DENTRO DEL TIEMPO</v>
      </c>
      <c r="R271" s="6"/>
    </row>
    <row r="272" spans="1:18" ht="42.75" customHeight="1" x14ac:dyDescent="0.25">
      <c r="A272" s="3">
        <v>265</v>
      </c>
      <c r="B272" s="4" t="s">
        <v>712</v>
      </c>
      <c r="C272" s="5">
        <v>44582</v>
      </c>
      <c r="D272" s="5">
        <v>44582</v>
      </c>
      <c r="E272" s="4">
        <v>2</v>
      </c>
      <c r="F272" s="4" t="s">
        <v>22</v>
      </c>
      <c r="G272" s="4" t="s">
        <v>30</v>
      </c>
      <c r="H272" s="4" t="s">
        <v>24</v>
      </c>
      <c r="I272" s="4" t="s">
        <v>30</v>
      </c>
      <c r="J272" s="5">
        <v>44585.499293981484</v>
      </c>
      <c r="K272" s="5">
        <v>44585.499293981484</v>
      </c>
      <c r="L272" s="3">
        <f t="shared" si="8"/>
        <v>1</v>
      </c>
      <c r="M272" s="4" t="s">
        <v>713</v>
      </c>
      <c r="N272" s="4" t="s">
        <v>26</v>
      </c>
      <c r="O272" s="4" t="s">
        <v>714</v>
      </c>
      <c r="P272" s="4" t="s">
        <v>28</v>
      </c>
      <c r="Q272" s="4" t="str">
        <f t="shared" si="9"/>
        <v>DENTRO DEL TIEMPO</v>
      </c>
      <c r="R272" s="6"/>
    </row>
    <row r="273" spans="1:18" ht="42.75" customHeight="1" x14ac:dyDescent="0.25">
      <c r="A273" s="3">
        <v>266</v>
      </c>
      <c r="B273" s="4" t="s">
        <v>715</v>
      </c>
      <c r="C273" s="5">
        <v>44582</v>
      </c>
      <c r="D273" s="5">
        <v>44582</v>
      </c>
      <c r="E273" s="4">
        <v>2</v>
      </c>
      <c r="F273" s="4" t="s">
        <v>22</v>
      </c>
      <c r="G273" s="4" t="s">
        <v>30</v>
      </c>
      <c r="H273" s="4" t="s">
        <v>24</v>
      </c>
      <c r="I273" s="4" t="s">
        <v>30</v>
      </c>
      <c r="J273" s="5">
        <v>44585.525729166664</v>
      </c>
      <c r="K273" s="5">
        <v>44585.525729166664</v>
      </c>
      <c r="L273" s="3">
        <f t="shared" si="8"/>
        <v>1</v>
      </c>
      <c r="M273" s="4" t="s">
        <v>716</v>
      </c>
      <c r="N273" s="4" t="s">
        <v>26</v>
      </c>
      <c r="O273" s="4" t="s">
        <v>128</v>
      </c>
      <c r="P273" s="4" t="s">
        <v>28</v>
      </c>
      <c r="Q273" s="4" t="str">
        <f t="shared" si="9"/>
        <v>DENTRO DEL TIEMPO</v>
      </c>
      <c r="R273" s="6"/>
    </row>
    <row r="274" spans="1:18" ht="42.75" customHeight="1" x14ac:dyDescent="0.25">
      <c r="A274" s="3">
        <v>267</v>
      </c>
      <c r="B274" s="4" t="s">
        <v>717</v>
      </c>
      <c r="C274" s="5">
        <v>44582</v>
      </c>
      <c r="D274" s="5">
        <v>44582</v>
      </c>
      <c r="E274" s="4">
        <v>152</v>
      </c>
      <c r="F274" s="4" t="s">
        <v>22</v>
      </c>
      <c r="G274" s="4" t="s">
        <v>23</v>
      </c>
      <c r="H274" s="4" t="s">
        <v>24</v>
      </c>
      <c r="I274" s="4" t="s">
        <v>23</v>
      </c>
      <c r="J274" s="5">
        <v>44589.514282407406</v>
      </c>
      <c r="K274" s="5">
        <v>44589.514282407406</v>
      </c>
      <c r="L274" s="3">
        <f t="shared" si="8"/>
        <v>5</v>
      </c>
      <c r="M274" s="4" t="s">
        <v>718</v>
      </c>
      <c r="N274" s="4" t="s">
        <v>26</v>
      </c>
      <c r="O274" s="4" t="s">
        <v>719</v>
      </c>
      <c r="P274" s="4" t="s">
        <v>28</v>
      </c>
      <c r="Q274" s="4" t="str">
        <f t="shared" si="9"/>
        <v>DENTRO DEL TIEMPO</v>
      </c>
      <c r="R274" s="6"/>
    </row>
    <row r="275" spans="1:18" ht="42.75" customHeight="1" x14ac:dyDescent="0.25">
      <c r="A275" s="3">
        <v>268</v>
      </c>
      <c r="B275" s="4" t="s">
        <v>720</v>
      </c>
      <c r="C275" s="5">
        <v>44582</v>
      </c>
      <c r="D275" s="5">
        <v>44582</v>
      </c>
      <c r="E275" s="4">
        <v>2</v>
      </c>
      <c r="F275" s="4" t="s">
        <v>22</v>
      </c>
      <c r="G275" s="4" t="s">
        <v>721</v>
      </c>
      <c r="H275" s="4" t="s">
        <v>24</v>
      </c>
      <c r="I275" s="4" t="s">
        <v>721</v>
      </c>
      <c r="J275" s="5">
        <v>44585.372349537036</v>
      </c>
      <c r="K275" s="5">
        <v>44585.372349537036</v>
      </c>
      <c r="L275" s="3">
        <f t="shared" si="8"/>
        <v>1</v>
      </c>
      <c r="M275" s="4" t="s">
        <v>722</v>
      </c>
      <c r="N275" s="4" t="s">
        <v>26</v>
      </c>
      <c r="O275" s="4" t="s">
        <v>723</v>
      </c>
      <c r="P275" s="4" t="s">
        <v>28</v>
      </c>
      <c r="Q275" s="4" t="str">
        <f t="shared" si="9"/>
        <v>DENTRO DEL TIEMPO</v>
      </c>
      <c r="R275" s="6"/>
    </row>
    <row r="276" spans="1:18" ht="42.75" customHeight="1" x14ac:dyDescent="0.25">
      <c r="A276" s="3">
        <v>269</v>
      </c>
      <c r="B276" s="4" t="s">
        <v>724</v>
      </c>
      <c r="C276" s="5">
        <v>44585</v>
      </c>
      <c r="D276" s="5">
        <v>44585</v>
      </c>
      <c r="E276" s="4">
        <v>2</v>
      </c>
      <c r="F276" s="4" t="s">
        <v>22</v>
      </c>
      <c r="G276" s="4" t="s">
        <v>30</v>
      </c>
      <c r="H276" s="4" t="s">
        <v>24</v>
      </c>
      <c r="I276" s="4" t="s">
        <v>30</v>
      </c>
      <c r="J276" s="5">
        <v>44585.576736111114</v>
      </c>
      <c r="K276" s="5">
        <v>44585.576736111114</v>
      </c>
      <c r="L276" s="3">
        <f t="shared" si="8"/>
        <v>0</v>
      </c>
      <c r="M276" s="4" t="s">
        <v>725</v>
      </c>
      <c r="N276" s="4" t="s">
        <v>26</v>
      </c>
      <c r="O276" s="4" t="s">
        <v>726</v>
      </c>
      <c r="P276" s="4" t="s">
        <v>28</v>
      </c>
      <c r="Q276" s="4" t="str">
        <f t="shared" si="9"/>
        <v>DENTRO DEL TIEMPO</v>
      </c>
      <c r="R276" s="6"/>
    </row>
    <row r="277" spans="1:18" ht="42.75" customHeight="1" x14ac:dyDescent="0.25">
      <c r="A277" s="3">
        <v>270</v>
      </c>
      <c r="B277" s="4" t="s">
        <v>727</v>
      </c>
      <c r="C277" s="5">
        <v>44585</v>
      </c>
      <c r="D277" s="5">
        <v>44585</v>
      </c>
      <c r="E277" s="4">
        <v>2</v>
      </c>
      <c r="F277" s="4" t="s">
        <v>22</v>
      </c>
      <c r="G277" s="4" t="s">
        <v>30</v>
      </c>
      <c r="H277" s="4" t="s">
        <v>24</v>
      </c>
      <c r="I277" s="4" t="s">
        <v>30</v>
      </c>
      <c r="J277" s="5">
        <v>44585.598240740743</v>
      </c>
      <c r="K277" s="5">
        <v>44585.598240740743</v>
      </c>
      <c r="L277" s="3">
        <f t="shared" si="8"/>
        <v>0</v>
      </c>
      <c r="M277" s="4" t="s">
        <v>728</v>
      </c>
      <c r="N277" s="4" t="s">
        <v>26</v>
      </c>
      <c r="O277" s="4" t="s">
        <v>729</v>
      </c>
      <c r="P277" s="4" t="s">
        <v>28</v>
      </c>
      <c r="Q277" s="4" t="str">
        <f t="shared" si="9"/>
        <v>DENTRO DEL TIEMPO</v>
      </c>
      <c r="R277" s="6"/>
    </row>
    <row r="278" spans="1:18" ht="42.75" customHeight="1" x14ac:dyDescent="0.25">
      <c r="A278" s="3">
        <v>271</v>
      </c>
      <c r="B278" s="4" t="s">
        <v>730</v>
      </c>
      <c r="C278" s="5">
        <v>44585</v>
      </c>
      <c r="D278" s="5">
        <v>44585</v>
      </c>
      <c r="E278" s="4">
        <v>2</v>
      </c>
      <c r="F278" s="4" t="s">
        <v>22</v>
      </c>
      <c r="G278" s="4" t="s">
        <v>30</v>
      </c>
      <c r="H278" s="4" t="s">
        <v>24</v>
      </c>
      <c r="I278" s="4" t="s">
        <v>30</v>
      </c>
      <c r="J278" s="5">
        <v>44585.603078703702</v>
      </c>
      <c r="K278" s="5">
        <v>44585.603078703702</v>
      </c>
      <c r="L278" s="3">
        <f t="shared" si="8"/>
        <v>0</v>
      </c>
      <c r="M278" s="4" t="s">
        <v>731</v>
      </c>
      <c r="N278" s="4" t="s">
        <v>26</v>
      </c>
      <c r="O278" s="4" t="s">
        <v>732</v>
      </c>
      <c r="P278" s="4" t="s">
        <v>28</v>
      </c>
      <c r="Q278" s="4" t="str">
        <f t="shared" si="9"/>
        <v>DENTRO DEL TIEMPO</v>
      </c>
      <c r="R278" s="6"/>
    </row>
    <row r="279" spans="1:18" ht="42.75" customHeight="1" x14ac:dyDescent="0.25">
      <c r="A279" s="3">
        <v>272</v>
      </c>
      <c r="B279" s="4" t="s">
        <v>733</v>
      </c>
      <c r="C279" s="5">
        <v>44585</v>
      </c>
      <c r="D279" s="5">
        <v>44585</v>
      </c>
      <c r="E279" s="4">
        <v>2</v>
      </c>
      <c r="F279" s="4" t="s">
        <v>22</v>
      </c>
      <c r="G279" s="4" t="s">
        <v>30</v>
      </c>
      <c r="H279" s="4" t="s">
        <v>24</v>
      </c>
      <c r="I279" s="4" t="s">
        <v>30</v>
      </c>
      <c r="J279" s="5">
        <v>44585.612928240742</v>
      </c>
      <c r="K279" s="5">
        <v>44585.612928240742</v>
      </c>
      <c r="L279" s="3">
        <f t="shared" si="8"/>
        <v>0</v>
      </c>
      <c r="M279" s="4" t="s">
        <v>734</v>
      </c>
      <c r="N279" s="4" t="s">
        <v>26</v>
      </c>
      <c r="O279" s="4" t="s">
        <v>729</v>
      </c>
      <c r="P279" s="4" t="s">
        <v>28</v>
      </c>
      <c r="Q279" s="4" t="str">
        <f t="shared" si="9"/>
        <v>DENTRO DEL TIEMPO</v>
      </c>
      <c r="R279" s="6"/>
    </row>
    <row r="280" spans="1:18" ht="42.75" customHeight="1" x14ac:dyDescent="0.25">
      <c r="A280" s="3">
        <v>273</v>
      </c>
      <c r="B280" s="4" t="s">
        <v>735</v>
      </c>
      <c r="C280" s="5">
        <v>44585</v>
      </c>
      <c r="D280" s="5">
        <v>44585</v>
      </c>
      <c r="E280" s="4">
        <v>2</v>
      </c>
      <c r="F280" s="4" t="s">
        <v>22</v>
      </c>
      <c r="G280" s="4" t="s">
        <v>30</v>
      </c>
      <c r="H280" s="4" t="s">
        <v>24</v>
      </c>
      <c r="I280" s="4" t="s">
        <v>30</v>
      </c>
      <c r="J280" s="5">
        <v>44585.619328703702</v>
      </c>
      <c r="K280" s="5">
        <v>44585.619328703702</v>
      </c>
      <c r="L280" s="3">
        <f t="shared" si="8"/>
        <v>0</v>
      </c>
      <c r="M280" s="4" t="s">
        <v>736</v>
      </c>
      <c r="N280" s="4" t="s">
        <v>26</v>
      </c>
      <c r="O280" s="4" t="s">
        <v>729</v>
      </c>
      <c r="P280" s="4" t="s">
        <v>28</v>
      </c>
      <c r="Q280" s="4" t="str">
        <f t="shared" si="9"/>
        <v>DENTRO DEL TIEMPO</v>
      </c>
      <c r="R280" s="6"/>
    </row>
    <row r="281" spans="1:18" ht="42.75" customHeight="1" x14ac:dyDescent="0.25">
      <c r="A281" s="3">
        <v>274</v>
      </c>
      <c r="B281" s="4" t="s">
        <v>737</v>
      </c>
      <c r="C281" s="5">
        <v>44585</v>
      </c>
      <c r="D281" s="5">
        <v>44585</v>
      </c>
      <c r="E281" s="4">
        <v>2</v>
      </c>
      <c r="F281" s="4" t="s">
        <v>22</v>
      </c>
      <c r="G281" s="4" t="s">
        <v>30</v>
      </c>
      <c r="H281" s="4" t="s">
        <v>24</v>
      </c>
      <c r="I281" s="4" t="s">
        <v>30</v>
      </c>
      <c r="J281" s="5">
        <v>44585.624247685184</v>
      </c>
      <c r="K281" s="5">
        <v>44585.624247685184</v>
      </c>
      <c r="L281" s="3">
        <f t="shared" si="8"/>
        <v>0</v>
      </c>
      <c r="M281" s="4" t="s">
        <v>738</v>
      </c>
      <c r="N281" s="4" t="s">
        <v>26</v>
      </c>
      <c r="O281" s="4" t="s">
        <v>729</v>
      </c>
      <c r="P281" s="4" t="s">
        <v>28</v>
      </c>
      <c r="Q281" s="4" t="str">
        <f t="shared" si="9"/>
        <v>DENTRO DEL TIEMPO</v>
      </c>
      <c r="R281" s="6"/>
    </row>
    <row r="282" spans="1:18" ht="42.75" customHeight="1" x14ac:dyDescent="0.25">
      <c r="A282" s="3">
        <v>275</v>
      </c>
      <c r="B282" s="4" t="s">
        <v>739</v>
      </c>
      <c r="C282" s="5">
        <v>44585</v>
      </c>
      <c r="D282" s="5">
        <v>44585</v>
      </c>
      <c r="E282" s="4">
        <v>2</v>
      </c>
      <c r="F282" s="4" t="s">
        <v>22</v>
      </c>
      <c r="G282" s="4" t="s">
        <v>30</v>
      </c>
      <c r="H282" s="4" t="s">
        <v>24</v>
      </c>
      <c r="I282" s="4" t="s">
        <v>30</v>
      </c>
      <c r="J282" s="5">
        <v>44585.630300925928</v>
      </c>
      <c r="K282" s="5">
        <v>44585.630300925928</v>
      </c>
      <c r="L282" s="3">
        <f t="shared" si="8"/>
        <v>0</v>
      </c>
      <c r="M282" s="4" t="s">
        <v>740</v>
      </c>
      <c r="N282" s="4" t="s">
        <v>26</v>
      </c>
      <c r="O282" s="4" t="s">
        <v>729</v>
      </c>
      <c r="P282" s="4" t="s">
        <v>28</v>
      </c>
      <c r="Q282" s="4" t="str">
        <f t="shared" si="9"/>
        <v>DENTRO DEL TIEMPO</v>
      </c>
      <c r="R282" s="6"/>
    </row>
    <row r="283" spans="1:18" ht="42.75" customHeight="1" x14ac:dyDescent="0.25">
      <c r="A283" s="3">
        <v>276</v>
      </c>
      <c r="B283" s="4" t="s">
        <v>741</v>
      </c>
      <c r="C283" s="5">
        <v>44585</v>
      </c>
      <c r="D283" s="5">
        <v>44585</v>
      </c>
      <c r="E283" s="4">
        <v>2</v>
      </c>
      <c r="F283" s="4" t="s">
        <v>22</v>
      </c>
      <c r="G283" s="4" t="s">
        <v>30</v>
      </c>
      <c r="H283" s="4" t="s">
        <v>24</v>
      </c>
      <c r="I283" s="4" t="s">
        <v>30</v>
      </c>
      <c r="J283" s="5">
        <v>44585.644490740742</v>
      </c>
      <c r="K283" s="5">
        <v>44585.644490740742</v>
      </c>
      <c r="L283" s="3">
        <f t="shared" si="8"/>
        <v>0</v>
      </c>
      <c r="M283" s="4" t="s">
        <v>742</v>
      </c>
      <c r="N283" s="4" t="s">
        <v>26</v>
      </c>
      <c r="O283" s="4" t="s">
        <v>729</v>
      </c>
      <c r="P283" s="4" t="s">
        <v>28</v>
      </c>
      <c r="Q283" s="4" t="str">
        <f t="shared" si="9"/>
        <v>DENTRO DEL TIEMPO</v>
      </c>
      <c r="R283" s="6"/>
    </row>
    <row r="284" spans="1:18" ht="42.75" customHeight="1" x14ac:dyDescent="0.25">
      <c r="A284" s="3">
        <v>277</v>
      </c>
      <c r="B284" s="4" t="s">
        <v>743</v>
      </c>
      <c r="C284" s="5">
        <v>44585</v>
      </c>
      <c r="D284" s="5">
        <v>44585</v>
      </c>
      <c r="E284" s="4">
        <v>2</v>
      </c>
      <c r="F284" s="4" t="s">
        <v>22</v>
      </c>
      <c r="G284" s="4" t="s">
        <v>30</v>
      </c>
      <c r="H284" s="4" t="s">
        <v>24</v>
      </c>
      <c r="I284" s="4" t="s">
        <v>30</v>
      </c>
      <c r="J284" s="5">
        <v>44585.664953703701</v>
      </c>
      <c r="K284" s="5">
        <v>44585.664953703701</v>
      </c>
      <c r="L284" s="3">
        <f t="shared" si="8"/>
        <v>0</v>
      </c>
      <c r="M284" s="4" t="s">
        <v>744</v>
      </c>
      <c r="N284" s="4" t="s">
        <v>26</v>
      </c>
      <c r="O284" s="4" t="s">
        <v>729</v>
      </c>
      <c r="P284" s="4" t="s">
        <v>28</v>
      </c>
      <c r="Q284" s="4" t="str">
        <f t="shared" si="9"/>
        <v>DENTRO DEL TIEMPO</v>
      </c>
      <c r="R284" s="6"/>
    </row>
    <row r="285" spans="1:18" ht="42.75" customHeight="1" x14ac:dyDescent="0.25">
      <c r="A285" s="3">
        <v>278</v>
      </c>
      <c r="B285" s="4" t="s">
        <v>745</v>
      </c>
      <c r="C285" s="5">
        <v>44585</v>
      </c>
      <c r="D285" s="5">
        <v>44585</v>
      </c>
      <c r="E285" s="4">
        <v>2</v>
      </c>
      <c r="F285" s="4" t="s">
        <v>22</v>
      </c>
      <c r="G285" s="4" t="s">
        <v>30</v>
      </c>
      <c r="H285" s="4" t="s">
        <v>24</v>
      </c>
      <c r="I285" s="4" t="s">
        <v>30</v>
      </c>
      <c r="J285" s="5">
        <v>44585.671620370369</v>
      </c>
      <c r="K285" s="5">
        <v>44585.671620370369</v>
      </c>
      <c r="L285" s="3">
        <f t="shared" si="8"/>
        <v>0</v>
      </c>
      <c r="M285" s="4" t="s">
        <v>746</v>
      </c>
      <c r="N285" s="4" t="s">
        <v>26</v>
      </c>
      <c r="O285" s="4" t="s">
        <v>729</v>
      </c>
      <c r="P285" s="4" t="s">
        <v>28</v>
      </c>
      <c r="Q285" s="4" t="str">
        <f t="shared" si="9"/>
        <v>DENTRO DEL TIEMPO</v>
      </c>
      <c r="R285" s="6"/>
    </row>
    <row r="286" spans="1:18" ht="42.75" customHeight="1" x14ac:dyDescent="0.25">
      <c r="A286" s="3">
        <v>279</v>
      </c>
      <c r="B286" s="4" t="s">
        <v>747</v>
      </c>
      <c r="C286" s="5">
        <v>44585</v>
      </c>
      <c r="D286" s="5">
        <v>44585</v>
      </c>
      <c r="E286" s="4">
        <v>2</v>
      </c>
      <c r="F286" s="4" t="s">
        <v>22</v>
      </c>
      <c r="G286" s="4" t="s">
        <v>30</v>
      </c>
      <c r="H286" s="4" t="s">
        <v>24</v>
      </c>
      <c r="I286" s="4" t="s">
        <v>30</v>
      </c>
      <c r="J286" s="5">
        <v>44586.67459490741</v>
      </c>
      <c r="K286" s="5">
        <v>44586.67459490741</v>
      </c>
      <c r="L286" s="3">
        <f t="shared" si="8"/>
        <v>1</v>
      </c>
      <c r="M286" s="4" t="s">
        <v>748</v>
      </c>
      <c r="N286" s="4" t="s">
        <v>26</v>
      </c>
      <c r="O286" s="4" t="s">
        <v>729</v>
      </c>
      <c r="P286" s="4" t="s">
        <v>28</v>
      </c>
      <c r="Q286" s="4" t="str">
        <f t="shared" si="9"/>
        <v>DENTRO DEL TIEMPO</v>
      </c>
      <c r="R286" s="6"/>
    </row>
    <row r="287" spans="1:18" ht="42.75" customHeight="1" x14ac:dyDescent="0.25">
      <c r="A287" s="3">
        <v>280</v>
      </c>
      <c r="B287" s="4" t="s">
        <v>749</v>
      </c>
      <c r="C287" s="5">
        <v>44585</v>
      </c>
      <c r="D287" s="5">
        <v>44585</v>
      </c>
      <c r="E287" s="4">
        <v>42</v>
      </c>
      <c r="F287" s="4" t="s">
        <v>22</v>
      </c>
      <c r="G287" s="4" t="s">
        <v>30</v>
      </c>
      <c r="H287" s="4" t="s">
        <v>24</v>
      </c>
      <c r="I287" s="4" t="s">
        <v>30</v>
      </c>
      <c r="J287" s="5">
        <v>44586.519456018519</v>
      </c>
      <c r="K287" s="5">
        <v>44586.519456018519</v>
      </c>
      <c r="L287" s="3">
        <f t="shared" si="8"/>
        <v>1</v>
      </c>
      <c r="M287" s="4" t="s">
        <v>750</v>
      </c>
      <c r="N287" s="4" t="s">
        <v>26</v>
      </c>
      <c r="O287" s="4" t="s">
        <v>54</v>
      </c>
      <c r="P287" s="4" t="s">
        <v>28</v>
      </c>
      <c r="Q287" s="4" t="str">
        <f t="shared" si="9"/>
        <v>DENTRO DEL TIEMPO</v>
      </c>
      <c r="R287" s="6"/>
    </row>
    <row r="288" spans="1:18" ht="42.75" customHeight="1" x14ac:dyDescent="0.25">
      <c r="A288" s="3">
        <v>281</v>
      </c>
      <c r="B288" s="4" t="s">
        <v>751</v>
      </c>
      <c r="C288" s="5">
        <v>44585</v>
      </c>
      <c r="D288" s="5">
        <v>44585</v>
      </c>
      <c r="E288" s="4">
        <v>2</v>
      </c>
      <c r="F288" s="4" t="s">
        <v>22</v>
      </c>
      <c r="G288" s="4" t="s">
        <v>30</v>
      </c>
      <c r="H288" s="4" t="s">
        <v>24</v>
      </c>
      <c r="I288" s="4" t="s">
        <v>30</v>
      </c>
      <c r="J288" s="5">
        <v>44586.684467592589</v>
      </c>
      <c r="K288" s="5">
        <v>44586.684467592589</v>
      </c>
      <c r="L288" s="3">
        <f t="shared" si="8"/>
        <v>1</v>
      </c>
      <c r="M288" s="4" t="s">
        <v>752</v>
      </c>
      <c r="N288" s="4" t="s">
        <v>26</v>
      </c>
      <c r="O288" s="4" t="s">
        <v>753</v>
      </c>
      <c r="P288" s="4" t="s">
        <v>28</v>
      </c>
      <c r="Q288" s="4" t="str">
        <f t="shared" si="9"/>
        <v>DENTRO DEL TIEMPO</v>
      </c>
      <c r="R288" s="6"/>
    </row>
    <row r="289" spans="1:18" ht="42.75" customHeight="1" x14ac:dyDescent="0.25">
      <c r="A289" s="3">
        <v>282</v>
      </c>
      <c r="B289" s="8" t="s">
        <v>754</v>
      </c>
      <c r="C289" s="5">
        <v>44585</v>
      </c>
      <c r="D289" s="5">
        <v>44585</v>
      </c>
      <c r="E289" s="4">
        <v>2</v>
      </c>
      <c r="F289" s="4" t="s">
        <v>22</v>
      </c>
      <c r="G289" s="4" t="s">
        <v>23</v>
      </c>
      <c r="H289" s="4" t="s">
        <v>24</v>
      </c>
      <c r="I289" s="4" t="s">
        <v>23</v>
      </c>
      <c r="J289" s="5">
        <v>44595.640625</v>
      </c>
      <c r="K289" s="5">
        <v>44595.640625</v>
      </c>
      <c r="L289" s="3">
        <f t="shared" si="8"/>
        <v>8</v>
      </c>
      <c r="M289" s="4" t="s">
        <v>755</v>
      </c>
      <c r="N289" s="4" t="s">
        <v>26</v>
      </c>
      <c r="O289" s="4" t="s">
        <v>756</v>
      </c>
      <c r="P289" s="4" t="s">
        <v>28</v>
      </c>
      <c r="Q289" s="4" t="str">
        <f t="shared" si="9"/>
        <v>DENTRO DEL TIEMPO</v>
      </c>
      <c r="R289" s="6"/>
    </row>
    <row r="290" spans="1:18" ht="42.75" customHeight="1" x14ac:dyDescent="0.25">
      <c r="A290" s="3">
        <v>283</v>
      </c>
      <c r="B290" s="4" t="s">
        <v>757</v>
      </c>
      <c r="C290" s="5">
        <v>44586</v>
      </c>
      <c r="D290" s="5">
        <v>44586</v>
      </c>
      <c r="E290" s="4">
        <v>1</v>
      </c>
      <c r="F290" s="4" t="s">
        <v>22</v>
      </c>
      <c r="G290" s="4" t="s">
        <v>23</v>
      </c>
      <c r="H290" s="4" t="s">
        <v>24</v>
      </c>
      <c r="I290" s="4" t="s">
        <v>23</v>
      </c>
      <c r="J290" s="5">
        <v>44588.463796296295</v>
      </c>
      <c r="K290" s="5">
        <v>44588.463796296295</v>
      </c>
      <c r="L290" s="3">
        <f t="shared" si="8"/>
        <v>2</v>
      </c>
      <c r="M290" s="4" t="s">
        <v>758</v>
      </c>
      <c r="N290" s="4" t="s">
        <v>26</v>
      </c>
      <c r="O290" s="4" t="s">
        <v>759</v>
      </c>
      <c r="P290" s="4" t="s">
        <v>28</v>
      </c>
      <c r="Q290" s="4" t="str">
        <f t="shared" si="9"/>
        <v>DENTRO DEL TIEMPO</v>
      </c>
      <c r="R290" s="6"/>
    </row>
    <row r="291" spans="1:18" ht="42.75" customHeight="1" x14ac:dyDescent="0.25">
      <c r="A291" s="3">
        <v>284</v>
      </c>
      <c r="B291" s="4" t="s">
        <v>760</v>
      </c>
      <c r="C291" s="5">
        <v>44586</v>
      </c>
      <c r="D291" s="5">
        <v>44586</v>
      </c>
      <c r="E291" s="4">
        <v>2</v>
      </c>
      <c r="F291" s="4" t="s">
        <v>22</v>
      </c>
      <c r="G291" s="4" t="s">
        <v>30</v>
      </c>
      <c r="H291" s="4" t="s">
        <v>24</v>
      </c>
      <c r="I291" s="4" t="s">
        <v>30</v>
      </c>
      <c r="J291" s="5">
        <v>44587.352256944447</v>
      </c>
      <c r="K291" s="5">
        <v>44587.352256944447</v>
      </c>
      <c r="L291" s="3">
        <f t="shared" si="8"/>
        <v>1</v>
      </c>
      <c r="M291" s="4" t="s">
        <v>761</v>
      </c>
      <c r="N291" s="4" t="s">
        <v>26</v>
      </c>
      <c r="O291" s="4" t="s">
        <v>131</v>
      </c>
      <c r="P291" s="4" t="s">
        <v>28</v>
      </c>
      <c r="Q291" s="4" t="str">
        <f t="shared" si="9"/>
        <v>DENTRO DEL TIEMPO</v>
      </c>
      <c r="R291" s="6"/>
    </row>
    <row r="292" spans="1:18" ht="42.75" customHeight="1" x14ac:dyDescent="0.25">
      <c r="A292" s="3">
        <v>285</v>
      </c>
      <c r="B292" s="4" t="s">
        <v>762</v>
      </c>
      <c r="C292" s="5">
        <v>44586</v>
      </c>
      <c r="D292" s="5">
        <v>44586</v>
      </c>
      <c r="E292" s="4">
        <v>2</v>
      </c>
      <c r="F292" s="4" t="s">
        <v>22</v>
      </c>
      <c r="G292" s="4" t="s">
        <v>30</v>
      </c>
      <c r="H292" s="4" t="s">
        <v>24</v>
      </c>
      <c r="I292" s="4" t="s">
        <v>30</v>
      </c>
      <c r="J292" s="5">
        <v>44587.476087962961</v>
      </c>
      <c r="K292" s="5">
        <v>44587.476087962961</v>
      </c>
      <c r="L292" s="3">
        <f t="shared" si="8"/>
        <v>1</v>
      </c>
      <c r="M292" s="4" t="s">
        <v>763</v>
      </c>
      <c r="N292" s="4" t="s">
        <v>26</v>
      </c>
      <c r="O292" s="4" t="s">
        <v>131</v>
      </c>
      <c r="P292" s="4" t="s">
        <v>28</v>
      </c>
      <c r="Q292" s="4" t="str">
        <f t="shared" si="9"/>
        <v>DENTRO DEL TIEMPO</v>
      </c>
      <c r="R292" s="6"/>
    </row>
    <row r="293" spans="1:18" ht="42.75" customHeight="1" x14ac:dyDescent="0.25">
      <c r="A293" s="3">
        <v>286</v>
      </c>
      <c r="B293" s="4" t="s">
        <v>764</v>
      </c>
      <c r="C293" s="5">
        <v>44586</v>
      </c>
      <c r="D293" s="5">
        <v>44586</v>
      </c>
      <c r="E293" s="4">
        <v>2</v>
      </c>
      <c r="F293" s="4" t="s">
        <v>22</v>
      </c>
      <c r="G293" s="4" t="s">
        <v>30</v>
      </c>
      <c r="H293" s="4" t="s">
        <v>24</v>
      </c>
      <c r="I293" s="4" t="s">
        <v>30</v>
      </c>
      <c r="J293" s="5">
        <v>44587.489594907405</v>
      </c>
      <c r="K293" s="5">
        <v>44587.489594907405</v>
      </c>
      <c r="L293" s="3">
        <f t="shared" si="8"/>
        <v>1</v>
      </c>
      <c r="M293" s="4" t="s">
        <v>765</v>
      </c>
      <c r="N293" s="4" t="s">
        <v>26</v>
      </c>
      <c r="O293" s="4" t="s">
        <v>159</v>
      </c>
      <c r="P293" s="4" t="s">
        <v>28</v>
      </c>
      <c r="Q293" s="4" t="str">
        <f t="shared" si="9"/>
        <v>DENTRO DEL TIEMPO</v>
      </c>
      <c r="R293" s="6"/>
    </row>
    <row r="294" spans="1:18" ht="42.75" customHeight="1" x14ac:dyDescent="0.25">
      <c r="A294" s="3">
        <v>287</v>
      </c>
      <c r="B294" s="4" t="s">
        <v>766</v>
      </c>
      <c r="C294" s="5">
        <v>44586</v>
      </c>
      <c r="D294" s="5">
        <v>44586</v>
      </c>
      <c r="E294" s="4">
        <v>2</v>
      </c>
      <c r="F294" s="4" t="s">
        <v>22</v>
      </c>
      <c r="G294" s="4" t="s">
        <v>30</v>
      </c>
      <c r="H294" s="4" t="s">
        <v>24</v>
      </c>
      <c r="I294" s="4" t="s">
        <v>30</v>
      </c>
      <c r="J294" s="5">
        <v>44587.504247685189</v>
      </c>
      <c r="K294" s="5">
        <v>44587.504247685189</v>
      </c>
      <c r="L294" s="3">
        <f t="shared" si="8"/>
        <v>1</v>
      </c>
      <c r="M294" s="4" t="s">
        <v>767</v>
      </c>
      <c r="N294" s="4" t="s">
        <v>26</v>
      </c>
      <c r="O294" s="4" t="s">
        <v>768</v>
      </c>
      <c r="P294" s="4" t="s">
        <v>28</v>
      </c>
      <c r="Q294" s="4" t="str">
        <f t="shared" si="9"/>
        <v>DENTRO DEL TIEMPO</v>
      </c>
      <c r="R294" s="6"/>
    </row>
    <row r="295" spans="1:18" ht="42.75" customHeight="1" x14ac:dyDescent="0.25">
      <c r="A295" s="3">
        <v>288</v>
      </c>
      <c r="B295" s="4" t="s">
        <v>769</v>
      </c>
      <c r="C295" s="5">
        <v>44586</v>
      </c>
      <c r="D295" s="5">
        <v>44586</v>
      </c>
      <c r="E295" s="4">
        <v>2</v>
      </c>
      <c r="F295" s="4" t="s">
        <v>22</v>
      </c>
      <c r="G295" s="4" t="s">
        <v>30</v>
      </c>
      <c r="H295" s="4" t="s">
        <v>24</v>
      </c>
      <c r="I295" s="4" t="s">
        <v>30</v>
      </c>
      <c r="J295" s="5">
        <v>44587.587569444448</v>
      </c>
      <c r="K295" s="5">
        <v>44587.587569444448</v>
      </c>
      <c r="L295" s="3">
        <f t="shared" si="8"/>
        <v>1</v>
      </c>
      <c r="M295" s="4" t="s">
        <v>770</v>
      </c>
      <c r="N295" s="4" t="s">
        <v>26</v>
      </c>
      <c r="O295" s="4" t="s">
        <v>771</v>
      </c>
      <c r="P295" s="4" t="s">
        <v>28</v>
      </c>
      <c r="Q295" s="4" t="str">
        <f t="shared" si="9"/>
        <v>DENTRO DEL TIEMPO</v>
      </c>
      <c r="R295" s="6"/>
    </row>
    <row r="296" spans="1:18" ht="42.75" customHeight="1" x14ac:dyDescent="0.25">
      <c r="A296" s="3">
        <v>289</v>
      </c>
      <c r="B296" s="4" t="s">
        <v>772</v>
      </c>
      <c r="C296" s="5">
        <v>44586</v>
      </c>
      <c r="D296" s="5">
        <v>44586</v>
      </c>
      <c r="E296" s="4">
        <v>2</v>
      </c>
      <c r="F296" s="4" t="s">
        <v>22</v>
      </c>
      <c r="G296" s="4" t="s">
        <v>30</v>
      </c>
      <c r="H296" s="4" t="s">
        <v>24</v>
      </c>
      <c r="I296" s="4" t="s">
        <v>30</v>
      </c>
      <c r="J296" s="5">
        <v>44587.602048611108</v>
      </c>
      <c r="K296" s="5">
        <v>44587.602048611108</v>
      </c>
      <c r="L296" s="3">
        <f t="shared" si="8"/>
        <v>1</v>
      </c>
      <c r="M296" s="4" t="s">
        <v>773</v>
      </c>
      <c r="N296" s="4" t="s">
        <v>26</v>
      </c>
      <c r="O296" s="4" t="s">
        <v>774</v>
      </c>
      <c r="P296" s="4" t="s">
        <v>28</v>
      </c>
      <c r="Q296" s="4" t="str">
        <f t="shared" si="9"/>
        <v>DENTRO DEL TIEMPO</v>
      </c>
      <c r="R296" s="6"/>
    </row>
    <row r="297" spans="1:18" ht="42.75" customHeight="1" x14ac:dyDescent="0.25">
      <c r="A297" s="3">
        <v>290</v>
      </c>
      <c r="B297" s="4" t="s">
        <v>775</v>
      </c>
      <c r="C297" s="5">
        <v>44586</v>
      </c>
      <c r="D297" s="5">
        <v>44586</v>
      </c>
      <c r="E297" s="4">
        <v>2</v>
      </c>
      <c r="F297" s="4" t="s">
        <v>22</v>
      </c>
      <c r="G297" s="4" t="s">
        <v>30</v>
      </c>
      <c r="H297" s="4" t="s">
        <v>24</v>
      </c>
      <c r="I297" s="4" t="s">
        <v>30</v>
      </c>
      <c r="J297" s="5">
        <v>44587.620393518519</v>
      </c>
      <c r="K297" s="5">
        <v>44587.620393518519</v>
      </c>
      <c r="L297" s="3">
        <f t="shared" si="8"/>
        <v>1</v>
      </c>
      <c r="M297" s="4" t="s">
        <v>776</v>
      </c>
      <c r="N297" s="4" t="s">
        <v>26</v>
      </c>
      <c r="O297" s="4" t="s">
        <v>128</v>
      </c>
      <c r="P297" s="4" t="s">
        <v>28</v>
      </c>
      <c r="Q297" s="4" t="str">
        <f t="shared" si="9"/>
        <v>DENTRO DEL TIEMPO</v>
      </c>
      <c r="R297" s="6"/>
    </row>
    <row r="298" spans="1:18" ht="42.75" customHeight="1" x14ac:dyDescent="0.25">
      <c r="A298" s="3">
        <v>291</v>
      </c>
      <c r="B298" s="4" t="s">
        <v>777</v>
      </c>
      <c r="C298" s="5">
        <v>44586</v>
      </c>
      <c r="D298" s="5">
        <v>44586</v>
      </c>
      <c r="E298" s="4">
        <v>2</v>
      </c>
      <c r="F298" s="4" t="s">
        <v>22</v>
      </c>
      <c r="G298" s="4" t="s">
        <v>30</v>
      </c>
      <c r="H298" s="4" t="s">
        <v>24</v>
      </c>
      <c r="I298" s="4" t="s">
        <v>30</v>
      </c>
      <c r="J298" s="5">
        <v>44587.640879629631</v>
      </c>
      <c r="K298" s="5">
        <v>44587.640879629631</v>
      </c>
      <c r="L298" s="3">
        <f t="shared" si="8"/>
        <v>1</v>
      </c>
      <c r="M298" s="4" t="s">
        <v>778</v>
      </c>
      <c r="N298" s="4" t="s">
        <v>26</v>
      </c>
      <c r="O298" s="4" t="s">
        <v>128</v>
      </c>
      <c r="P298" s="4" t="s">
        <v>28</v>
      </c>
      <c r="Q298" s="4" t="str">
        <f t="shared" si="9"/>
        <v>DENTRO DEL TIEMPO</v>
      </c>
      <c r="R298" s="6"/>
    </row>
    <row r="299" spans="1:18" ht="42.75" customHeight="1" x14ac:dyDescent="0.25">
      <c r="A299" s="3">
        <v>292</v>
      </c>
      <c r="B299" s="4" t="s">
        <v>779</v>
      </c>
      <c r="C299" s="5">
        <v>44586</v>
      </c>
      <c r="D299" s="5">
        <v>44586</v>
      </c>
      <c r="E299" s="4">
        <v>2</v>
      </c>
      <c r="F299" s="4" t="s">
        <v>22</v>
      </c>
      <c r="G299" s="4" t="s">
        <v>30</v>
      </c>
      <c r="H299" s="4" t="s">
        <v>24</v>
      </c>
      <c r="I299" s="4" t="s">
        <v>30</v>
      </c>
      <c r="J299" s="5">
        <v>44587.679780092592</v>
      </c>
      <c r="K299" s="5">
        <v>44587.679780092592</v>
      </c>
      <c r="L299" s="3">
        <f t="shared" si="8"/>
        <v>1</v>
      </c>
      <c r="M299" s="4" t="s">
        <v>780</v>
      </c>
      <c r="N299" s="4" t="s">
        <v>26</v>
      </c>
      <c r="O299" s="4" t="s">
        <v>781</v>
      </c>
      <c r="P299" s="4" t="s">
        <v>28</v>
      </c>
      <c r="Q299" s="4" t="str">
        <f t="shared" si="9"/>
        <v>DENTRO DEL TIEMPO</v>
      </c>
      <c r="R299" s="6"/>
    </row>
    <row r="300" spans="1:18" ht="42.75" customHeight="1" x14ac:dyDescent="0.25">
      <c r="A300" s="3">
        <v>293</v>
      </c>
      <c r="B300" s="4" t="s">
        <v>782</v>
      </c>
      <c r="C300" s="5">
        <v>44586</v>
      </c>
      <c r="D300" s="5">
        <v>44586</v>
      </c>
      <c r="E300" s="4">
        <v>2</v>
      </c>
      <c r="F300" s="4" t="s">
        <v>22</v>
      </c>
      <c r="G300" s="4" t="s">
        <v>30</v>
      </c>
      <c r="H300" s="4" t="s">
        <v>24</v>
      </c>
      <c r="I300" s="4" t="s">
        <v>30</v>
      </c>
      <c r="J300" s="5">
        <v>44588.357928240737</v>
      </c>
      <c r="K300" s="5">
        <v>44588.357928240737</v>
      </c>
      <c r="L300" s="3">
        <f t="shared" si="8"/>
        <v>2</v>
      </c>
      <c r="M300" s="4" t="s">
        <v>783</v>
      </c>
      <c r="N300" s="4" t="s">
        <v>26</v>
      </c>
      <c r="O300" s="4" t="s">
        <v>131</v>
      </c>
      <c r="P300" s="4" t="s">
        <v>28</v>
      </c>
      <c r="Q300" s="4" t="str">
        <f t="shared" si="9"/>
        <v>DENTRO DEL TIEMPO</v>
      </c>
      <c r="R300" s="6"/>
    </row>
    <row r="301" spans="1:18" ht="42.75" customHeight="1" x14ac:dyDescent="0.25">
      <c r="A301" s="3">
        <v>294</v>
      </c>
      <c r="B301" s="4" t="s">
        <v>784</v>
      </c>
      <c r="C301" s="5">
        <v>44586</v>
      </c>
      <c r="D301" s="5">
        <v>44586</v>
      </c>
      <c r="E301" s="4">
        <v>2</v>
      </c>
      <c r="F301" s="4" t="s">
        <v>22</v>
      </c>
      <c r="G301" s="4" t="s">
        <v>30</v>
      </c>
      <c r="H301" s="4" t="s">
        <v>24</v>
      </c>
      <c r="I301" s="4" t="s">
        <v>30</v>
      </c>
      <c r="J301" s="5">
        <v>44588.374814814815</v>
      </c>
      <c r="K301" s="5">
        <v>44588.374814814815</v>
      </c>
      <c r="L301" s="3">
        <f t="shared" si="8"/>
        <v>2</v>
      </c>
      <c r="M301" s="4" t="s">
        <v>785</v>
      </c>
      <c r="N301" s="4" t="s">
        <v>26</v>
      </c>
      <c r="O301" s="4" t="s">
        <v>131</v>
      </c>
      <c r="P301" s="4" t="s">
        <v>28</v>
      </c>
      <c r="Q301" s="4" t="str">
        <f t="shared" si="9"/>
        <v>DENTRO DEL TIEMPO</v>
      </c>
      <c r="R301" s="6"/>
    </row>
    <row r="302" spans="1:18" ht="42.75" customHeight="1" x14ac:dyDescent="0.25">
      <c r="A302" s="3">
        <v>295</v>
      </c>
      <c r="B302" s="4" t="s">
        <v>786</v>
      </c>
      <c r="C302" s="5">
        <v>44586</v>
      </c>
      <c r="D302" s="5">
        <v>44586</v>
      </c>
      <c r="E302" s="4">
        <v>2</v>
      </c>
      <c r="F302" s="4" t="s">
        <v>22</v>
      </c>
      <c r="G302" s="4" t="s">
        <v>30</v>
      </c>
      <c r="H302" s="4" t="s">
        <v>24</v>
      </c>
      <c r="I302" s="4" t="s">
        <v>30</v>
      </c>
      <c r="J302" s="5">
        <v>44588.421006944445</v>
      </c>
      <c r="K302" s="5">
        <v>44588.421006944445</v>
      </c>
      <c r="L302" s="3">
        <f t="shared" si="8"/>
        <v>2</v>
      </c>
      <c r="M302" s="4" t="s">
        <v>787</v>
      </c>
      <c r="N302" s="4" t="s">
        <v>26</v>
      </c>
      <c r="O302" s="4" t="s">
        <v>788</v>
      </c>
      <c r="P302" s="4" t="s">
        <v>28</v>
      </c>
      <c r="Q302" s="4" t="str">
        <f t="shared" si="9"/>
        <v>DENTRO DEL TIEMPO</v>
      </c>
      <c r="R302" s="6"/>
    </row>
    <row r="303" spans="1:18" ht="42.75" hidden="1" customHeight="1" x14ac:dyDescent="0.25">
      <c r="A303" s="3">
        <v>296</v>
      </c>
      <c r="B303" s="9" t="s">
        <v>789</v>
      </c>
      <c r="C303" s="5">
        <v>44587</v>
      </c>
      <c r="D303" s="5">
        <v>44587</v>
      </c>
      <c r="E303" s="4">
        <v>2</v>
      </c>
      <c r="F303" s="4" t="s">
        <v>790</v>
      </c>
      <c r="G303" s="4" t="s">
        <v>791</v>
      </c>
      <c r="H303" s="4" t="s">
        <v>792</v>
      </c>
      <c r="I303" s="4" t="s">
        <v>791</v>
      </c>
      <c r="J303" s="5">
        <v>44595.689120370371</v>
      </c>
      <c r="K303" s="5">
        <v>44595.689120370371</v>
      </c>
      <c r="L303" s="3">
        <f t="shared" si="8"/>
        <v>6</v>
      </c>
      <c r="M303" s="4" t="s">
        <v>793</v>
      </c>
      <c r="N303" s="4" t="s">
        <v>26</v>
      </c>
      <c r="O303" s="4" t="s">
        <v>794</v>
      </c>
      <c r="P303" s="4" t="s">
        <v>28</v>
      </c>
      <c r="Q303" s="4" t="str">
        <f t="shared" si="9"/>
        <v>DENTRO DEL TIEMPO</v>
      </c>
      <c r="R303" s="6"/>
    </row>
    <row r="304" spans="1:18" ht="42.75" customHeight="1" x14ac:dyDescent="0.25">
      <c r="A304" s="3">
        <v>297</v>
      </c>
      <c r="B304" s="4" t="s">
        <v>795</v>
      </c>
      <c r="C304" s="5">
        <v>44587</v>
      </c>
      <c r="D304" s="5">
        <v>44587</v>
      </c>
      <c r="E304" s="4">
        <v>12</v>
      </c>
      <c r="F304" s="4" t="s">
        <v>22</v>
      </c>
      <c r="G304" s="4" t="s">
        <v>23</v>
      </c>
      <c r="H304" s="4" t="s">
        <v>24</v>
      </c>
      <c r="I304" s="4" t="s">
        <v>23</v>
      </c>
      <c r="J304" s="5">
        <v>44589.534618055557</v>
      </c>
      <c r="K304" s="5">
        <v>44589.534618055557</v>
      </c>
      <c r="L304" s="3">
        <f t="shared" si="8"/>
        <v>2</v>
      </c>
      <c r="M304" s="4" t="s">
        <v>796</v>
      </c>
      <c r="N304" s="4" t="s">
        <v>26</v>
      </c>
      <c r="O304" s="4" t="s">
        <v>797</v>
      </c>
      <c r="P304" s="4" t="s">
        <v>28</v>
      </c>
      <c r="Q304" s="4" t="str">
        <f t="shared" si="9"/>
        <v>DENTRO DEL TIEMPO</v>
      </c>
      <c r="R304" s="6"/>
    </row>
    <row r="305" spans="1:18" ht="42.75" customHeight="1" x14ac:dyDescent="0.25">
      <c r="A305" s="3">
        <v>298</v>
      </c>
      <c r="B305" s="4" t="s">
        <v>798</v>
      </c>
      <c r="C305" s="5">
        <v>44587</v>
      </c>
      <c r="D305" s="5">
        <v>44587</v>
      </c>
      <c r="E305" s="4">
        <v>2</v>
      </c>
      <c r="F305" s="4" t="s">
        <v>22</v>
      </c>
      <c r="G305" s="4" t="s">
        <v>30</v>
      </c>
      <c r="H305" s="4" t="s">
        <v>24</v>
      </c>
      <c r="I305" s="4" t="s">
        <v>30</v>
      </c>
      <c r="J305" s="5">
        <v>44588.449386574073</v>
      </c>
      <c r="K305" s="5">
        <v>44588.449386574073</v>
      </c>
      <c r="L305" s="3">
        <f t="shared" si="8"/>
        <v>1</v>
      </c>
      <c r="M305" s="4" t="s">
        <v>799</v>
      </c>
      <c r="N305" s="4" t="s">
        <v>26</v>
      </c>
      <c r="O305" s="4" t="s">
        <v>54</v>
      </c>
      <c r="P305" s="4" t="s">
        <v>28</v>
      </c>
      <c r="Q305" s="4" t="str">
        <f t="shared" si="9"/>
        <v>DENTRO DEL TIEMPO</v>
      </c>
      <c r="R305" s="6"/>
    </row>
    <row r="306" spans="1:18" ht="42.75" customHeight="1" x14ac:dyDescent="0.25">
      <c r="A306" s="3">
        <v>299</v>
      </c>
      <c r="B306" s="4" t="s">
        <v>800</v>
      </c>
      <c r="C306" s="5">
        <v>44587</v>
      </c>
      <c r="D306" s="5">
        <v>44587</v>
      </c>
      <c r="E306" s="4">
        <v>2</v>
      </c>
      <c r="F306" s="4" t="s">
        <v>22</v>
      </c>
      <c r="G306" s="4" t="s">
        <v>30</v>
      </c>
      <c r="H306" s="4" t="s">
        <v>24</v>
      </c>
      <c r="I306" s="4" t="s">
        <v>30</v>
      </c>
      <c r="J306" s="5">
        <v>44588.462083333332</v>
      </c>
      <c r="K306" s="5">
        <v>44588.462083333332</v>
      </c>
      <c r="L306" s="3">
        <f t="shared" si="8"/>
        <v>1</v>
      </c>
      <c r="M306" s="4" t="s">
        <v>801</v>
      </c>
      <c r="N306" s="4" t="s">
        <v>26</v>
      </c>
      <c r="O306" s="4" t="s">
        <v>54</v>
      </c>
      <c r="P306" s="4" t="s">
        <v>28</v>
      </c>
      <c r="Q306" s="4" t="str">
        <f t="shared" si="9"/>
        <v>DENTRO DEL TIEMPO</v>
      </c>
      <c r="R306" s="6"/>
    </row>
    <row r="307" spans="1:18" ht="42.75" customHeight="1" x14ac:dyDescent="0.25">
      <c r="A307" s="3">
        <v>300</v>
      </c>
      <c r="B307" s="4" t="s">
        <v>802</v>
      </c>
      <c r="C307" s="5">
        <v>44587</v>
      </c>
      <c r="D307" s="5">
        <v>44587</v>
      </c>
      <c r="E307" s="4">
        <v>194</v>
      </c>
      <c r="F307" s="4" t="s">
        <v>22</v>
      </c>
      <c r="G307" s="4" t="s">
        <v>23</v>
      </c>
      <c r="H307" s="4" t="s">
        <v>24</v>
      </c>
      <c r="I307" s="4" t="s">
        <v>23</v>
      </c>
      <c r="J307" s="5">
        <v>44589.545902777776</v>
      </c>
      <c r="K307" s="5">
        <v>44589.545902777776</v>
      </c>
      <c r="L307" s="3">
        <f t="shared" si="8"/>
        <v>2</v>
      </c>
      <c r="M307" s="4" t="s">
        <v>803</v>
      </c>
      <c r="N307" s="4" t="s">
        <v>26</v>
      </c>
      <c r="O307" s="4" t="s">
        <v>804</v>
      </c>
      <c r="P307" s="4" t="s">
        <v>28</v>
      </c>
      <c r="Q307" s="4" t="str">
        <f t="shared" si="9"/>
        <v>DENTRO DEL TIEMPO</v>
      </c>
      <c r="R307" s="6"/>
    </row>
    <row r="308" spans="1:18" ht="42.75" customHeight="1" x14ac:dyDescent="0.25">
      <c r="A308" s="3">
        <v>301</v>
      </c>
      <c r="B308" s="4" t="s">
        <v>805</v>
      </c>
      <c r="C308" s="5">
        <v>44587</v>
      </c>
      <c r="D308" s="5">
        <v>44587</v>
      </c>
      <c r="E308" s="4">
        <v>2</v>
      </c>
      <c r="F308" s="4" t="s">
        <v>22</v>
      </c>
      <c r="G308" s="4" t="s">
        <v>30</v>
      </c>
      <c r="H308" s="4" t="s">
        <v>24</v>
      </c>
      <c r="I308" s="4" t="s">
        <v>30</v>
      </c>
      <c r="J308" s="5">
        <v>44588.488182870373</v>
      </c>
      <c r="K308" s="5">
        <v>44588.488182870373</v>
      </c>
      <c r="L308" s="3">
        <f t="shared" si="8"/>
        <v>1</v>
      </c>
      <c r="M308" s="4" t="s">
        <v>806</v>
      </c>
      <c r="N308" s="4" t="s">
        <v>26</v>
      </c>
      <c r="O308" s="4" t="s">
        <v>807</v>
      </c>
      <c r="P308" s="4" t="s">
        <v>28</v>
      </c>
      <c r="Q308" s="4" t="str">
        <f t="shared" si="9"/>
        <v>DENTRO DEL TIEMPO</v>
      </c>
      <c r="R308" s="6"/>
    </row>
    <row r="309" spans="1:18" ht="42.75" customHeight="1" x14ac:dyDescent="0.25">
      <c r="A309" s="3">
        <v>302</v>
      </c>
      <c r="B309" s="4" t="s">
        <v>808</v>
      </c>
      <c r="C309" s="5">
        <v>44587</v>
      </c>
      <c r="D309" s="5">
        <v>44587</v>
      </c>
      <c r="E309" s="4">
        <v>54</v>
      </c>
      <c r="F309" s="4" t="s">
        <v>22</v>
      </c>
      <c r="G309" s="4" t="s">
        <v>23</v>
      </c>
      <c r="H309" s="4" t="s">
        <v>24</v>
      </c>
      <c r="I309" s="4" t="s">
        <v>23</v>
      </c>
      <c r="J309" s="5">
        <v>44589.552858796298</v>
      </c>
      <c r="K309" s="5">
        <v>44589.552858796298</v>
      </c>
      <c r="L309" s="3">
        <f t="shared" si="8"/>
        <v>2</v>
      </c>
      <c r="M309" s="4" t="s">
        <v>809</v>
      </c>
      <c r="N309" s="4" t="s">
        <v>26</v>
      </c>
      <c r="O309" s="4" t="s">
        <v>810</v>
      </c>
      <c r="P309" s="4" t="s">
        <v>28</v>
      </c>
      <c r="Q309" s="4" t="str">
        <f t="shared" si="9"/>
        <v>DENTRO DEL TIEMPO</v>
      </c>
      <c r="R309" s="6"/>
    </row>
    <row r="310" spans="1:18" ht="42.75" hidden="1" customHeight="1" x14ac:dyDescent="0.25">
      <c r="A310" s="3">
        <v>303</v>
      </c>
      <c r="B310" s="9" t="s">
        <v>811</v>
      </c>
      <c r="C310" s="5">
        <v>44587</v>
      </c>
      <c r="D310" s="5">
        <v>44587</v>
      </c>
      <c r="E310" s="4">
        <v>2</v>
      </c>
      <c r="F310" s="4" t="s">
        <v>790</v>
      </c>
      <c r="G310" s="4" t="s">
        <v>812</v>
      </c>
      <c r="H310" s="4" t="s">
        <v>813</v>
      </c>
      <c r="I310" s="4" t="s">
        <v>812</v>
      </c>
      <c r="J310" s="5">
        <v>44599.6721875</v>
      </c>
      <c r="K310" s="5">
        <v>44599.6721875</v>
      </c>
      <c r="L310" s="3">
        <f t="shared" si="8"/>
        <v>8</v>
      </c>
      <c r="M310" s="4" t="s">
        <v>814</v>
      </c>
      <c r="N310" s="4" t="s">
        <v>26</v>
      </c>
      <c r="O310" s="4" t="s">
        <v>815</v>
      </c>
      <c r="P310" s="4" t="s">
        <v>28</v>
      </c>
      <c r="Q310" s="4" t="str">
        <f t="shared" si="9"/>
        <v>DENTRO DEL TIEMPO</v>
      </c>
      <c r="R310" s="6"/>
    </row>
    <row r="311" spans="1:18" ht="42.75" customHeight="1" x14ac:dyDescent="0.25">
      <c r="A311" s="3">
        <v>304</v>
      </c>
      <c r="B311" s="4" t="s">
        <v>816</v>
      </c>
      <c r="C311" s="5">
        <v>44587</v>
      </c>
      <c r="D311" s="5">
        <v>44587</v>
      </c>
      <c r="E311" s="4">
        <v>2</v>
      </c>
      <c r="F311" s="4" t="s">
        <v>22</v>
      </c>
      <c r="G311" s="4" t="s">
        <v>30</v>
      </c>
      <c r="H311" s="4" t="s">
        <v>24</v>
      </c>
      <c r="I311" s="4" t="s">
        <v>30</v>
      </c>
      <c r="J311" s="5">
        <v>44588.508692129632</v>
      </c>
      <c r="K311" s="5">
        <v>44588.508692129632</v>
      </c>
      <c r="L311" s="3">
        <f t="shared" si="8"/>
        <v>1</v>
      </c>
      <c r="M311" s="4" t="s">
        <v>817</v>
      </c>
      <c r="N311" s="4" t="s">
        <v>26</v>
      </c>
      <c r="O311" s="4" t="s">
        <v>818</v>
      </c>
      <c r="P311" s="4" t="s">
        <v>28</v>
      </c>
      <c r="Q311" s="4" t="str">
        <f t="shared" si="9"/>
        <v>DENTRO DEL TIEMPO</v>
      </c>
      <c r="R311" s="6"/>
    </row>
    <row r="312" spans="1:18" ht="42.75" customHeight="1" x14ac:dyDescent="0.25">
      <c r="A312" s="3">
        <v>305</v>
      </c>
      <c r="B312" s="4" t="s">
        <v>819</v>
      </c>
      <c r="C312" s="5">
        <v>44587</v>
      </c>
      <c r="D312" s="5">
        <v>44587</v>
      </c>
      <c r="E312" s="4">
        <v>2</v>
      </c>
      <c r="F312" s="4" t="s">
        <v>22</v>
      </c>
      <c r="G312" s="4" t="s">
        <v>30</v>
      </c>
      <c r="H312" s="4" t="s">
        <v>24</v>
      </c>
      <c r="I312" s="4" t="s">
        <v>30</v>
      </c>
      <c r="J312" s="5">
        <v>44588.516863425924</v>
      </c>
      <c r="K312" s="5">
        <v>44588.516863425924</v>
      </c>
      <c r="L312" s="3">
        <f t="shared" si="8"/>
        <v>1</v>
      </c>
      <c r="M312" s="4" t="s">
        <v>820</v>
      </c>
      <c r="N312" s="4" t="s">
        <v>26</v>
      </c>
      <c r="O312" s="4" t="s">
        <v>663</v>
      </c>
      <c r="P312" s="4" t="s">
        <v>28</v>
      </c>
      <c r="Q312" s="4" t="str">
        <f t="shared" si="9"/>
        <v>DENTRO DEL TIEMPO</v>
      </c>
      <c r="R312" s="6"/>
    </row>
    <row r="313" spans="1:18" ht="42.75" customHeight="1" x14ac:dyDescent="0.25">
      <c r="A313" s="3">
        <v>306</v>
      </c>
      <c r="B313" s="4" t="s">
        <v>821</v>
      </c>
      <c r="C313" s="5">
        <v>44587</v>
      </c>
      <c r="D313" s="5">
        <v>44587</v>
      </c>
      <c r="E313" s="4">
        <v>2</v>
      </c>
      <c r="F313" s="4" t="s">
        <v>22</v>
      </c>
      <c r="G313" s="4" t="s">
        <v>30</v>
      </c>
      <c r="H313" s="4" t="s">
        <v>24</v>
      </c>
      <c r="I313" s="4" t="s">
        <v>30</v>
      </c>
      <c r="J313" s="5">
        <v>44588.522881944446</v>
      </c>
      <c r="K313" s="5">
        <v>44588.522881944446</v>
      </c>
      <c r="L313" s="3">
        <f t="shared" si="8"/>
        <v>1</v>
      </c>
      <c r="M313" s="4" t="s">
        <v>822</v>
      </c>
      <c r="N313" s="4" t="s">
        <v>26</v>
      </c>
      <c r="O313" s="4" t="s">
        <v>823</v>
      </c>
      <c r="P313" s="4" t="s">
        <v>28</v>
      </c>
      <c r="Q313" s="4" t="str">
        <f t="shared" si="9"/>
        <v>DENTRO DEL TIEMPO</v>
      </c>
      <c r="R313" s="6"/>
    </row>
    <row r="314" spans="1:18" ht="42.75" customHeight="1" x14ac:dyDescent="0.25">
      <c r="A314" s="3">
        <v>307</v>
      </c>
      <c r="B314" s="4" t="s">
        <v>824</v>
      </c>
      <c r="C314" s="5">
        <v>44587</v>
      </c>
      <c r="D314" s="5">
        <v>44587</v>
      </c>
      <c r="E314" s="4">
        <v>2</v>
      </c>
      <c r="F314" s="4" t="s">
        <v>22</v>
      </c>
      <c r="G314" s="4" t="s">
        <v>30</v>
      </c>
      <c r="H314" s="4" t="s">
        <v>24</v>
      </c>
      <c r="I314" s="4" t="s">
        <v>30</v>
      </c>
      <c r="J314" s="5">
        <v>44588.618472222224</v>
      </c>
      <c r="K314" s="5">
        <v>44588.618472222224</v>
      </c>
      <c r="L314" s="3">
        <f t="shared" si="8"/>
        <v>1</v>
      </c>
      <c r="M314" s="4" t="s">
        <v>825</v>
      </c>
      <c r="N314" s="4" t="s">
        <v>26</v>
      </c>
      <c r="O314" s="4" t="s">
        <v>663</v>
      </c>
      <c r="P314" s="4" t="s">
        <v>28</v>
      </c>
      <c r="Q314" s="4" t="str">
        <f t="shared" si="9"/>
        <v>DENTRO DEL TIEMPO</v>
      </c>
      <c r="R314" s="6"/>
    </row>
    <row r="315" spans="1:18" ht="42.75" customHeight="1" x14ac:dyDescent="0.25">
      <c r="A315" s="3">
        <v>308</v>
      </c>
      <c r="B315" s="4" t="s">
        <v>826</v>
      </c>
      <c r="C315" s="5">
        <v>44588</v>
      </c>
      <c r="D315" s="5">
        <v>44588</v>
      </c>
      <c r="E315" s="4">
        <v>2</v>
      </c>
      <c r="F315" s="4" t="s">
        <v>22</v>
      </c>
      <c r="G315" s="4" t="s">
        <v>30</v>
      </c>
      <c r="H315" s="4" t="s">
        <v>24</v>
      </c>
      <c r="I315" s="4" t="s">
        <v>30</v>
      </c>
      <c r="J315" s="5">
        <v>44588.682592592595</v>
      </c>
      <c r="K315" s="5">
        <v>44588.682592592595</v>
      </c>
      <c r="L315" s="3">
        <f t="shared" si="8"/>
        <v>0</v>
      </c>
      <c r="M315" s="4" t="s">
        <v>827</v>
      </c>
      <c r="N315" s="4" t="s">
        <v>26</v>
      </c>
      <c r="O315" s="4" t="s">
        <v>828</v>
      </c>
      <c r="P315" s="4" t="s">
        <v>28</v>
      </c>
      <c r="Q315" s="4" t="str">
        <f t="shared" si="9"/>
        <v>DENTRO DEL TIEMPO</v>
      </c>
      <c r="R315" s="6"/>
    </row>
    <row r="316" spans="1:18" ht="42.75" customHeight="1" x14ac:dyDescent="0.25">
      <c r="A316" s="3">
        <v>309</v>
      </c>
      <c r="B316" s="4" t="s">
        <v>829</v>
      </c>
      <c r="C316" s="5">
        <v>44588</v>
      </c>
      <c r="D316" s="5">
        <v>44588</v>
      </c>
      <c r="E316" s="4">
        <v>2</v>
      </c>
      <c r="F316" s="4" t="s">
        <v>22</v>
      </c>
      <c r="G316" s="4" t="s">
        <v>30</v>
      </c>
      <c r="H316" s="4" t="s">
        <v>24</v>
      </c>
      <c r="I316" s="4" t="s">
        <v>30</v>
      </c>
      <c r="J316" s="5">
        <v>44589.362962962965</v>
      </c>
      <c r="K316" s="5">
        <v>44589.362962962965</v>
      </c>
      <c r="L316" s="3">
        <f t="shared" si="8"/>
        <v>1</v>
      </c>
      <c r="M316" s="4" t="s">
        <v>830</v>
      </c>
      <c r="N316" s="4" t="s">
        <v>26</v>
      </c>
      <c r="O316" s="4" t="s">
        <v>709</v>
      </c>
      <c r="P316" s="4" t="s">
        <v>28</v>
      </c>
      <c r="Q316" s="4" t="str">
        <f t="shared" si="9"/>
        <v>DENTRO DEL TIEMPO</v>
      </c>
      <c r="R316" s="6"/>
    </row>
    <row r="317" spans="1:18" ht="42.75" customHeight="1" x14ac:dyDescent="0.25">
      <c r="A317" s="3">
        <v>310</v>
      </c>
      <c r="B317" s="4" t="s">
        <v>831</v>
      </c>
      <c r="C317" s="5">
        <v>44588</v>
      </c>
      <c r="D317" s="5">
        <v>44588</v>
      </c>
      <c r="E317" s="4">
        <v>2</v>
      </c>
      <c r="F317" s="4" t="s">
        <v>22</v>
      </c>
      <c r="G317" s="4" t="s">
        <v>30</v>
      </c>
      <c r="H317" s="4" t="s">
        <v>24</v>
      </c>
      <c r="I317" s="4" t="s">
        <v>30</v>
      </c>
      <c r="J317" s="5">
        <v>44589.372789351852</v>
      </c>
      <c r="K317" s="5">
        <v>44589.372789351852</v>
      </c>
      <c r="L317" s="3">
        <f t="shared" si="8"/>
        <v>1</v>
      </c>
      <c r="M317" s="4" t="s">
        <v>832</v>
      </c>
      <c r="N317" s="4" t="s">
        <v>26</v>
      </c>
      <c r="O317" s="4" t="s">
        <v>833</v>
      </c>
      <c r="P317" s="4" t="s">
        <v>28</v>
      </c>
      <c r="Q317" s="4" t="str">
        <f t="shared" si="9"/>
        <v>DENTRO DEL TIEMPO</v>
      </c>
      <c r="R317" s="6"/>
    </row>
    <row r="318" spans="1:18" ht="42.75" customHeight="1" x14ac:dyDescent="0.25">
      <c r="A318" s="3">
        <v>311</v>
      </c>
      <c r="B318" s="4" t="s">
        <v>834</v>
      </c>
      <c r="C318" s="5">
        <v>44588</v>
      </c>
      <c r="D318" s="5">
        <v>44588</v>
      </c>
      <c r="E318" s="4">
        <v>1</v>
      </c>
      <c r="F318" s="4" t="s">
        <v>22</v>
      </c>
      <c r="G318" s="4" t="s">
        <v>23</v>
      </c>
      <c r="H318" s="4" t="s">
        <v>24</v>
      </c>
      <c r="I318" s="4" t="s">
        <v>23</v>
      </c>
      <c r="J318" s="5">
        <v>44589.566770833335</v>
      </c>
      <c r="K318" s="5">
        <v>44589.566770833335</v>
      </c>
      <c r="L318" s="3">
        <f t="shared" si="8"/>
        <v>1</v>
      </c>
      <c r="M318" s="4" t="s">
        <v>835</v>
      </c>
      <c r="N318" s="4" t="s">
        <v>26</v>
      </c>
      <c r="O318" s="4" t="s">
        <v>836</v>
      </c>
      <c r="P318" s="4" t="s">
        <v>28</v>
      </c>
      <c r="Q318" s="4" t="str">
        <f t="shared" si="9"/>
        <v>DENTRO DEL TIEMPO</v>
      </c>
      <c r="R318" s="6"/>
    </row>
    <row r="319" spans="1:18" ht="42.75" customHeight="1" x14ac:dyDescent="0.25">
      <c r="A319" s="3">
        <v>312</v>
      </c>
      <c r="B319" s="4" t="s">
        <v>837</v>
      </c>
      <c r="C319" s="5">
        <v>44588</v>
      </c>
      <c r="D319" s="5">
        <v>44588</v>
      </c>
      <c r="E319" s="4">
        <v>2</v>
      </c>
      <c r="F319" s="4" t="s">
        <v>22</v>
      </c>
      <c r="G319" s="4" t="s">
        <v>30</v>
      </c>
      <c r="H319" s="4" t="s">
        <v>24</v>
      </c>
      <c r="I319" s="4" t="s">
        <v>30</v>
      </c>
      <c r="J319" s="5">
        <v>44589.442546296297</v>
      </c>
      <c r="K319" s="5">
        <v>44589.442546296297</v>
      </c>
      <c r="L319" s="3">
        <f t="shared" si="8"/>
        <v>1</v>
      </c>
      <c r="M319" s="4" t="s">
        <v>838</v>
      </c>
      <c r="N319" s="4" t="s">
        <v>26</v>
      </c>
      <c r="O319" s="4" t="s">
        <v>240</v>
      </c>
      <c r="P319" s="4" t="s">
        <v>28</v>
      </c>
      <c r="Q319" s="4" t="str">
        <f t="shared" si="9"/>
        <v>DENTRO DEL TIEMPO</v>
      </c>
      <c r="R319" s="6"/>
    </row>
    <row r="320" spans="1:18" ht="42.75" hidden="1" customHeight="1" x14ac:dyDescent="0.25">
      <c r="A320" s="3">
        <v>313</v>
      </c>
      <c r="B320" s="9" t="s">
        <v>839</v>
      </c>
      <c r="C320" s="5">
        <v>44588</v>
      </c>
      <c r="D320" s="5">
        <v>44588</v>
      </c>
      <c r="E320" s="4">
        <v>2</v>
      </c>
      <c r="F320" s="4" t="s">
        <v>790</v>
      </c>
      <c r="G320" s="4" t="s">
        <v>840</v>
      </c>
      <c r="H320" s="4" t="s">
        <v>841</v>
      </c>
      <c r="I320" s="4" t="s">
        <v>840</v>
      </c>
      <c r="J320" s="5">
        <v>44615.576053240744</v>
      </c>
      <c r="K320" s="5">
        <v>44615.576053240744</v>
      </c>
      <c r="L320" s="3">
        <f t="shared" si="8"/>
        <v>19</v>
      </c>
      <c r="M320" s="4" t="s">
        <v>842</v>
      </c>
      <c r="N320" s="4" t="s">
        <v>26</v>
      </c>
      <c r="O320" s="4" t="s">
        <v>843</v>
      </c>
      <c r="P320" s="4" t="s">
        <v>28</v>
      </c>
      <c r="Q320" s="4" t="str">
        <f t="shared" si="9"/>
        <v>FUERA DE TIEMPO</v>
      </c>
      <c r="R320" s="6"/>
    </row>
    <row r="321" spans="1:18" ht="42.75" customHeight="1" x14ac:dyDescent="0.25">
      <c r="A321" s="3">
        <v>314</v>
      </c>
      <c r="B321" s="4" t="s">
        <v>844</v>
      </c>
      <c r="C321" s="5">
        <v>44588</v>
      </c>
      <c r="D321" s="5">
        <v>44588</v>
      </c>
      <c r="E321" s="4">
        <v>2</v>
      </c>
      <c r="F321" s="4" t="s">
        <v>22</v>
      </c>
      <c r="G321" s="4" t="s">
        <v>30</v>
      </c>
      <c r="H321" s="4" t="s">
        <v>24</v>
      </c>
      <c r="I321" s="4" t="s">
        <v>30</v>
      </c>
      <c r="J321" s="5">
        <v>44589.458564814813</v>
      </c>
      <c r="K321" s="5">
        <v>44589.458564814813</v>
      </c>
      <c r="L321" s="3">
        <f t="shared" si="8"/>
        <v>1</v>
      </c>
      <c r="M321" s="4" t="s">
        <v>845</v>
      </c>
      <c r="N321" s="4" t="s">
        <v>26</v>
      </c>
      <c r="O321" s="4" t="s">
        <v>846</v>
      </c>
      <c r="P321" s="4" t="s">
        <v>28</v>
      </c>
      <c r="Q321" s="4" t="str">
        <f t="shared" si="9"/>
        <v>DENTRO DEL TIEMPO</v>
      </c>
      <c r="R321" s="6"/>
    </row>
    <row r="322" spans="1:18" ht="42.75" customHeight="1" x14ac:dyDescent="0.25">
      <c r="A322" s="3">
        <v>315</v>
      </c>
      <c r="B322" s="4" t="s">
        <v>847</v>
      </c>
      <c r="C322" s="5">
        <v>44589</v>
      </c>
      <c r="D322" s="5">
        <v>44589</v>
      </c>
      <c r="E322" s="4">
        <v>2</v>
      </c>
      <c r="F322" s="4" t="s">
        <v>22</v>
      </c>
      <c r="G322" s="4" t="s">
        <v>23</v>
      </c>
      <c r="H322" s="4" t="s">
        <v>24</v>
      </c>
      <c r="I322" s="4" t="s">
        <v>23</v>
      </c>
      <c r="J322" s="5">
        <v>44589.610173611109</v>
      </c>
      <c r="K322" s="5">
        <v>44589.610173611109</v>
      </c>
      <c r="L322" s="3">
        <f t="shared" si="8"/>
        <v>0</v>
      </c>
      <c r="M322" s="4" t="s">
        <v>848</v>
      </c>
      <c r="N322" s="4" t="s">
        <v>26</v>
      </c>
      <c r="O322" s="4" t="s">
        <v>719</v>
      </c>
      <c r="P322" s="4" t="s">
        <v>28</v>
      </c>
      <c r="Q322" s="4" t="str">
        <f t="shared" si="9"/>
        <v>DENTRO DEL TIEMPO</v>
      </c>
      <c r="R322" s="6"/>
    </row>
    <row r="323" spans="1:18" ht="42.75" customHeight="1" x14ac:dyDescent="0.25">
      <c r="A323" s="3">
        <v>316</v>
      </c>
      <c r="B323" s="4" t="s">
        <v>849</v>
      </c>
      <c r="C323" s="5">
        <v>44589</v>
      </c>
      <c r="D323" s="5">
        <v>44589</v>
      </c>
      <c r="E323" s="4">
        <v>2</v>
      </c>
      <c r="F323" s="4" t="s">
        <v>22</v>
      </c>
      <c r="G323" s="4" t="s">
        <v>30</v>
      </c>
      <c r="H323" s="4" t="s">
        <v>24</v>
      </c>
      <c r="I323" s="4" t="s">
        <v>30</v>
      </c>
      <c r="J323" s="5">
        <v>44589.540868055556</v>
      </c>
      <c r="K323" s="5">
        <v>44589.540868055556</v>
      </c>
      <c r="L323" s="3">
        <f t="shared" si="8"/>
        <v>0</v>
      </c>
      <c r="M323" s="4" t="s">
        <v>850</v>
      </c>
      <c r="N323" s="4" t="s">
        <v>26</v>
      </c>
      <c r="O323" s="4" t="s">
        <v>851</v>
      </c>
      <c r="P323" s="4" t="s">
        <v>28</v>
      </c>
      <c r="Q323" s="4" t="str">
        <f t="shared" si="9"/>
        <v>DENTRO DEL TIEMPO</v>
      </c>
      <c r="R323" s="6"/>
    </row>
    <row r="324" spans="1:18" ht="42.75" customHeight="1" x14ac:dyDescent="0.25">
      <c r="A324" s="3">
        <v>317</v>
      </c>
      <c r="B324" s="4" t="s">
        <v>852</v>
      </c>
      <c r="C324" s="5">
        <v>44589</v>
      </c>
      <c r="D324" s="5">
        <v>44589</v>
      </c>
      <c r="E324" s="4">
        <v>2</v>
      </c>
      <c r="F324" s="4" t="s">
        <v>22</v>
      </c>
      <c r="G324" s="4" t="s">
        <v>30</v>
      </c>
      <c r="H324" s="4" t="s">
        <v>24</v>
      </c>
      <c r="I324" s="4" t="s">
        <v>30</v>
      </c>
      <c r="J324" s="5">
        <v>44589.603136574071</v>
      </c>
      <c r="K324" s="5">
        <v>44589.603136574071</v>
      </c>
      <c r="L324" s="3">
        <f t="shared" si="8"/>
        <v>0</v>
      </c>
      <c r="M324" s="4" t="s">
        <v>853</v>
      </c>
      <c r="N324" s="4" t="s">
        <v>26</v>
      </c>
      <c r="O324" s="4" t="s">
        <v>854</v>
      </c>
      <c r="P324" s="4" t="s">
        <v>28</v>
      </c>
      <c r="Q324" s="4" t="str">
        <f t="shared" si="9"/>
        <v>DENTRO DEL TIEMPO</v>
      </c>
      <c r="R324" s="6"/>
    </row>
    <row r="325" spans="1:18" ht="42.75" customHeight="1" x14ac:dyDescent="0.25">
      <c r="A325" s="3">
        <v>318</v>
      </c>
      <c r="B325" s="4" t="s">
        <v>855</v>
      </c>
      <c r="C325" s="5">
        <v>44589</v>
      </c>
      <c r="D325" s="5">
        <v>44589</v>
      </c>
      <c r="E325" s="4">
        <v>2</v>
      </c>
      <c r="F325" s="4" t="s">
        <v>22</v>
      </c>
      <c r="G325" s="4" t="s">
        <v>30</v>
      </c>
      <c r="H325" s="4" t="s">
        <v>24</v>
      </c>
      <c r="I325" s="4" t="s">
        <v>30</v>
      </c>
      <c r="J325" s="5">
        <v>44589.612928240742</v>
      </c>
      <c r="K325" s="5">
        <v>44589.612928240742</v>
      </c>
      <c r="L325" s="3">
        <f t="shared" si="8"/>
        <v>0</v>
      </c>
      <c r="M325" s="4" t="s">
        <v>856</v>
      </c>
      <c r="N325" s="4" t="s">
        <v>26</v>
      </c>
      <c r="O325" s="4" t="s">
        <v>857</v>
      </c>
      <c r="P325" s="4" t="s">
        <v>28</v>
      </c>
      <c r="Q325" s="4" t="str">
        <f t="shared" si="9"/>
        <v>DENTRO DEL TIEMPO</v>
      </c>
      <c r="R325" s="6"/>
    </row>
    <row r="326" spans="1:18" ht="42.75" customHeight="1" x14ac:dyDescent="0.25">
      <c r="A326" s="3">
        <v>319</v>
      </c>
      <c r="B326" s="4" t="s">
        <v>858</v>
      </c>
      <c r="C326" s="5">
        <v>44589</v>
      </c>
      <c r="D326" s="5">
        <v>44589</v>
      </c>
      <c r="E326" s="4">
        <v>2</v>
      </c>
      <c r="F326" s="4" t="s">
        <v>22</v>
      </c>
      <c r="G326" s="4" t="s">
        <v>30</v>
      </c>
      <c r="H326" s="4" t="s">
        <v>24</v>
      </c>
      <c r="I326" s="4" t="s">
        <v>30</v>
      </c>
      <c r="J326" s="5">
        <v>44589.6247337963</v>
      </c>
      <c r="K326" s="5">
        <v>44589.6247337963</v>
      </c>
      <c r="L326" s="3">
        <f t="shared" si="8"/>
        <v>0</v>
      </c>
      <c r="M326" s="4" t="s">
        <v>859</v>
      </c>
      <c r="N326" s="4" t="s">
        <v>26</v>
      </c>
      <c r="O326" s="4" t="s">
        <v>846</v>
      </c>
      <c r="P326" s="4" t="s">
        <v>28</v>
      </c>
      <c r="Q326" s="4" t="str">
        <f t="shared" si="9"/>
        <v>DENTRO DEL TIEMPO</v>
      </c>
      <c r="R326" s="6"/>
    </row>
    <row r="327" spans="1:18" ht="42.75" customHeight="1" x14ac:dyDescent="0.25">
      <c r="A327" s="3">
        <v>320</v>
      </c>
      <c r="B327" s="4" t="s">
        <v>860</v>
      </c>
      <c r="C327" s="5">
        <v>44589</v>
      </c>
      <c r="D327" s="5">
        <v>44589</v>
      </c>
      <c r="E327" s="4">
        <v>2</v>
      </c>
      <c r="F327" s="4" t="s">
        <v>22</v>
      </c>
      <c r="G327" s="4" t="s">
        <v>30</v>
      </c>
      <c r="H327" s="4" t="s">
        <v>24</v>
      </c>
      <c r="I327" s="4" t="s">
        <v>30</v>
      </c>
      <c r="J327" s="5">
        <v>44589.64880787037</v>
      </c>
      <c r="K327" s="5">
        <v>44589.64880787037</v>
      </c>
      <c r="L327" s="3">
        <f t="shared" si="8"/>
        <v>0</v>
      </c>
      <c r="M327" s="4" t="s">
        <v>861</v>
      </c>
      <c r="N327" s="4" t="s">
        <v>26</v>
      </c>
      <c r="O327" s="4" t="s">
        <v>106</v>
      </c>
      <c r="P327" s="4" t="s">
        <v>28</v>
      </c>
      <c r="Q327" s="4" t="str">
        <f t="shared" si="9"/>
        <v>DENTRO DEL TIEMPO</v>
      </c>
      <c r="R327" s="6"/>
    </row>
    <row r="328" spans="1:18" ht="42.75" customHeight="1" x14ac:dyDescent="0.25">
      <c r="A328" s="3">
        <v>321</v>
      </c>
      <c r="B328" s="4" t="s">
        <v>862</v>
      </c>
      <c r="C328" s="5">
        <v>44589</v>
      </c>
      <c r="D328" s="5">
        <v>44589</v>
      </c>
      <c r="E328" s="4">
        <v>2334</v>
      </c>
      <c r="F328" s="4" t="s">
        <v>22</v>
      </c>
      <c r="G328" s="4" t="s">
        <v>30</v>
      </c>
      <c r="H328" s="4" t="s">
        <v>24</v>
      </c>
      <c r="I328" s="4" t="s">
        <v>30</v>
      </c>
      <c r="J328" s="5">
        <v>44589.668923611112</v>
      </c>
      <c r="K328" s="5">
        <v>44589.668923611112</v>
      </c>
      <c r="L328" s="3">
        <f t="shared" si="8"/>
        <v>0</v>
      </c>
      <c r="M328" s="4" t="s">
        <v>863</v>
      </c>
      <c r="N328" s="4" t="s">
        <v>26</v>
      </c>
      <c r="O328" s="4" t="s">
        <v>864</v>
      </c>
      <c r="P328" s="4" t="s">
        <v>28</v>
      </c>
      <c r="Q328" s="4" t="str">
        <f t="shared" si="9"/>
        <v>DENTRO DEL TIEMPO</v>
      </c>
      <c r="R328" s="6"/>
    </row>
    <row r="329" spans="1:18" ht="42.75" customHeight="1" x14ac:dyDescent="0.25">
      <c r="A329" s="3">
        <v>322</v>
      </c>
      <c r="B329" s="4" t="s">
        <v>865</v>
      </c>
      <c r="C329" s="5">
        <v>44589</v>
      </c>
      <c r="D329" s="5">
        <v>44589</v>
      </c>
      <c r="E329" s="4">
        <v>2</v>
      </c>
      <c r="F329" s="4" t="s">
        <v>22</v>
      </c>
      <c r="G329" s="4" t="s">
        <v>23</v>
      </c>
      <c r="H329" s="4" t="s">
        <v>24</v>
      </c>
      <c r="I329" s="4" t="s">
        <v>23</v>
      </c>
      <c r="J329" s="5">
        <v>44596.360914351855</v>
      </c>
      <c r="K329" s="5">
        <v>44596.360914351855</v>
      </c>
      <c r="L329" s="3">
        <f t="shared" ref="L329:L392" si="10">+NETWORKDAYS(D329,K329,$R$8:$R$11)-1</f>
        <v>5</v>
      </c>
      <c r="M329" s="4" t="s">
        <v>866</v>
      </c>
      <c r="N329" s="4" t="s">
        <v>26</v>
      </c>
      <c r="O329" s="4" t="s">
        <v>867</v>
      </c>
      <c r="P329" s="4" t="s">
        <v>28</v>
      </c>
      <c r="Q329" s="4" t="str">
        <f t="shared" ref="Q329:Q392" si="11">IF(L329&gt;15,"FUERA DE TIEMPO","DENTRO DEL TIEMPO")</f>
        <v>DENTRO DEL TIEMPO</v>
      </c>
      <c r="R329" s="6"/>
    </row>
    <row r="330" spans="1:18" ht="42.75" customHeight="1" x14ac:dyDescent="0.25">
      <c r="A330" s="3">
        <v>323</v>
      </c>
      <c r="B330" s="4" t="s">
        <v>868</v>
      </c>
      <c r="C330" s="5">
        <v>44589</v>
      </c>
      <c r="D330" s="5">
        <v>44589</v>
      </c>
      <c r="E330" s="4">
        <v>2</v>
      </c>
      <c r="F330" s="4" t="s">
        <v>22</v>
      </c>
      <c r="G330" s="4" t="s">
        <v>30</v>
      </c>
      <c r="H330" s="4" t="s">
        <v>24</v>
      </c>
      <c r="I330" s="4" t="s">
        <v>30</v>
      </c>
      <c r="J330" s="5">
        <v>44589.679756944446</v>
      </c>
      <c r="K330" s="5">
        <v>44589.679756944446</v>
      </c>
      <c r="L330" s="3">
        <f t="shared" si="10"/>
        <v>0</v>
      </c>
      <c r="M330" s="4" t="s">
        <v>869</v>
      </c>
      <c r="N330" s="4" t="s">
        <v>26</v>
      </c>
      <c r="O330" s="4" t="s">
        <v>106</v>
      </c>
      <c r="P330" s="4" t="s">
        <v>28</v>
      </c>
      <c r="Q330" s="4" t="str">
        <f t="shared" si="11"/>
        <v>DENTRO DEL TIEMPO</v>
      </c>
      <c r="R330" s="6"/>
    </row>
    <row r="331" spans="1:18" ht="42.75" customHeight="1" x14ac:dyDescent="0.25">
      <c r="A331" s="3">
        <v>324</v>
      </c>
      <c r="B331" s="4" t="s">
        <v>870</v>
      </c>
      <c r="C331" s="5">
        <v>44589</v>
      </c>
      <c r="D331" s="5">
        <v>44589</v>
      </c>
      <c r="E331" s="4">
        <v>2</v>
      </c>
      <c r="F331" s="4" t="s">
        <v>22</v>
      </c>
      <c r="G331" s="4" t="s">
        <v>30</v>
      </c>
      <c r="H331" s="4" t="s">
        <v>24</v>
      </c>
      <c r="I331" s="4" t="s">
        <v>30</v>
      </c>
      <c r="J331" s="5">
        <v>44589.68854166667</v>
      </c>
      <c r="K331" s="5">
        <v>44589.68854166667</v>
      </c>
      <c r="L331" s="3">
        <f t="shared" si="10"/>
        <v>0</v>
      </c>
      <c r="M331" s="4" t="s">
        <v>871</v>
      </c>
      <c r="N331" s="4" t="s">
        <v>26</v>
      </c>
      <c r="O331" s="4" t="s">
        <v>109</v>
      </c>
      <c r="P331" s="4" t="s">
        <v>28</v>
      </c>
      <c r="Q331" s="4" t="str">
        <f t="shared" si="11"/>
        <v>DENTRO DEL TIEMPO</v>
      </c>
      <c r="R331" s="6"/>
    </row>
    <row r="332" spans="1:18" ht="42.75" customHeight="1" x14ac:dyDescent="0.25">
      <c r="A332" s="3">
        <v>325</v>
      </c>
      <c r="B332" s="4" t="s">
        <v>872</v>
      </c>
      <c r="C332" s="5">
        <v>44589</v>
      </c>
      <c r="D332" s="5">
        <v>44589</v>
      </c>
      <c r="E332" s="4">
        <v>2</v>
      </c>
      <c r="F332" s="4" t="s">
        <v>22</v>
      </c>
      <c r="G332" s="4" t="s">
        <v>30</v>
      </c>
      <c r="H332" s="4" t="s">
        <v>24</v>
      </c>
      <c r="I332" s="4" t="s">
        <v>30</v>
      </c>
      <c r="J332" s="5">
        <v>44592.498622685183</v>
      </c>
      <c r="K332" s="5">
        <v>44592.498622685183</v>
      </c>
      <c r="L332" s="3">
        <f t="shared" si="10"/>
        <v>1</v>
      </c>
      <c r="M332" s="4" t="s">
        <v>873</v>
      </c>
      <c r="N332" s="4" t="s">
        <v>26</v>
      </c>
      <c r="O332" s="4" t="s">
        <v>112</v>
      </c>
      <c r="P332" s="4" t="s">
        <v>28</v>
      </c>
      <c r="Q332" s="4" t="str">
        <f t="shared" si="11"/>
        <v>DENTRO DEL TIEMPO</v>
      </c>
      <c r="R332" s="6"/>
    </row>
    <row r="333" spans="1:18" ht="42.75" customHeight="1" x14ac:dyDescent="0.25">
      <c r="A333" s="3">
        <v>326</v>
      </c>
      <c r="B333" s="4" t="s">
        <v>874</v>
      </c>
      <c r="C333" s="5">
        <v>44589</v>
      </c>
      <c r="D333" s="5">
        <v>44589</v>
      </c>
      <c r="E333" s="4">
        <v>2</v>
      </c>
      <c r="F333" s="4" t="s">
        <v>22</v>
      </c>
      <c r="G333" s="4" t="s">
        <v>30</v>
      </c>
      <c r="H333" s="4" t="s">
        <v>24</v>
      </c>
      <c r="I333" s="4" t="s">
        <v>30</v>
      </c>
      <c r="J333" s="5">
        <v>44592.518807870372</v>
      </c>
      <c r="K333" s="5">
        <v>44592.518807870372</v>
      </c>
      <c r="L333" s="3">
        <f t="shared" si="10"/>
        <v>1</v>
      </c>
      <c r="M333" s="4" t="s">
        <v>875</v>
      </c>
      <c r="N333" s="4" t="s">
        <v>26</v>
      </c>
      <c r="O333" s="4" t="s">
        <v>112</v>
      </c>
      <c r="P333" s="4" t="s">
        <v>28</v>
      </c>
      <c r="Q333" s="4" t="str">
        <f t="shared" si="11"/>
        <v>DENTRO DEL TIEMPO</v>
      </c>
      <c r="R333" s="6"/>
    </row>
    <row r="334" spans="1:18" ht="42.75" customHeight="1" x14ac:dyDescent="0.25">
      <c r="A334" s="3">
        <v>327</v>
      </c>
      <c r="B334" s="4" t="s">
        <v>876</v>
      </c>
      <c r="C334" s="5">
        <v>44589</v>
      </c>
      <c r="D334" s="5">
        <v>44589</v>
      </c>
      <c r="E334" s="4">
        <v>2</v>
      </c>
      <c r="F334" s="4" t="s">
        <v>22</v>
      </c>
      <c r="G334" s="4" t="s">
        <v>30</v>
      </c>
      <c r="H334" s="4" t="s">
        <v>24</v>
      </c>
      <c r="I334" s="4" t="s">
        <v>30</v>
      </c>
      <c r="J334" s="5">
        <v>44592.530405092592</v>
      </c>
      <c r="K334" s="5">
        <v>44592.530405092592</v>
      </c>
      <c r="L334" s="3">
        <f t="shared" si="10"/>
        <v>1</v>
      </c>
      <c r="M334" s="4" t="s">
        <v>877</v>
      </c>
      <c r="N334" s="4" t="s">
        <v>26</v>
      </c>
      <c r="O334" s="4" t="s">
        <v>109</v>
      </c>
      <c r="P334" s="4" t="s">
        <v>28</v>
      </c>
      <c r="Q334" s="4" t="str">
        <f t="shared" si="11"/>
        <v>DENTRO DEL TIEMPO</v>
      </c>
      <c r="R334" s="6"/>
    </row>
    <row r="335" spans="1:18" ht="42.75" customHeight="1" x14ac:dyDescent="0.25">
      <c r="A335" s="3">
        <v>328</v>
      </c>
      <c r="B335" s="4" t="s">
        <v>878</v>
      </c>
      <c r="C335" s="5">
        <v>44589</v>
      </c>
      <c r="D335" s="5">
        <v>44589</v>
      </c>
      <c r="E335" s="4">
        <v>2</v>
      </c>
      <c r="F335" s="4" t="s">
        <v>22</v>
      </c>
      <c r="G335" s="4" t="s">
        <v>30</v>
      </c>
      <c r="H335" s="4" t="s">
        <v>24</v>
      </c>
      <c r="I335" s="4" t="s">
        <v>30</v>
      </c>
      <c r="J335" s="5">
        <v>44592.535208333335</v>
      </c>
      <c r="K335" s="5">
        <v>44592.535208333335</v>
      </c>
      <c r="L335" s="3">
        <f t="shared" si="10"/>
        <v>1</v>
      </c>
      <c r="M335" s="4" t="s">
        <v>879</v>
      </c>
      <c r="N335" s="4" t="s">
        <v>26</v>
      </c>
      <c r="O335" s="4" t="s">
        <v>109</v>
      </c>
      <c r="P335" s="4" t="s">
        <v>28</v>
      </c>
      <c r="Q335" s="4" t="str">
        <f t="shared" si="11"/>
        <v>DENTRO DEL TIEMPO</v>
      </c>
      <c r="R335" s="6"/>
    </row>
    <row r="336" spans="1:18" ht="42.75" customHeight="1" x14ac:dyDescent="0.25">
      <c r="A336" s="3">
        <v>329</v>
      </c>
      <c r="B336" s="4" t="s">
        <v>880</v>
      </c>
      <c r="C336" s="5">
        <v>44589</v>
      </c>
      <c r="D336" s="5">
        <v>44589</v>
      </c>
      <c r="E336" s="4">
        <v>2</v>
      </c>
      <c r="F336" s="4" t="s">
        <v>22</v>
      </c>
      <c r="G336" s="4" t="s">
        <v>30</v>
      </c>
      <c r="H336" s="4" t="s">
        <v>24</v>
      </c>
      <c r="I336" s="4" t="s">
        <v>30</v>
      </c>
      <c r="J336" s="5">
        <v>44592.540590277778</v>
      </c>
      <c r="K336" s="5">
        <v>44592.540590277778</v>
      </c>
      <c r="L336" s="3">
        <f t="shared" si="10"/>
        <v>1</v>
      </c>
      <c r="M336" s="4" t="s">
        <v>881</v>
      </c>
      <c r="N336" s="4" t="s">
        <v>26</v>
      </c>
      <c r="O336" s="4" t="s">
        <v>109</v>
      </c>
      <c r="P336" s="4" t="s">
        <v>28</v>
      </c>
      <c r="Q336" s="4" t="str">
        <f t="shared" si="11"/>
        <v>DENTRO DEL TIEMPO</v>
      </c>
      <c r="R336" s="6"/>
    </row>
    <row r="337" spans="1:18" ht="42.75" customHeight="1" x14ac:dyDescent="0.25">
      <c r="A337" s="3">
        <v>330</v>
      </c>
      <c r="B337" s="4" t="s">
        <v>882</v>
      </c>
      <c r="C337" s="5">
        <v>44589</v>
      </c>
      <c r="D337" s="5">
        <v>44589</v>
      </c>
      <c r="E337" s="4">
        <v>2</v>
      </c>
      <c r="F337" s="4" t="s">
        <v>22</v>
      </c>
      <c r="G337" s="4" t="s">
        <v>30</v>
      </c>
      <c r="H337" s="4" t="s">
        <v>24</v>
      </c>
      <c r="I337" s="4" t="s">
        <v>30</v>
      </c>
      <c r="J337" s="5">
        <v>44592.576018518521</v>
      </c>
      <c r="K337" s="5">
        <v>44592.576018518521</v>
      </c>
      <c r="L337" s="3">
        <f t="shared" si="10"/>
        <v>1</v>
      </c>
      <c r="M337" s="4" t="s">
        <v>883</v>
      </c>
      <c r="N337" s="4" t="s">
        <v>26</v>
      </c>
      <c r="O337" s="4" t="s">
        <v>106</v>
      </c>
      <c r="P337" s="4" t="s">
        <v>28</v>
      </c>
      <c r="Q337" s="4" t="str">
        <f t="shared" si="11"/>
        <v>DENTRO DEL TIEMPO</v>
      </c>
      <c r="R337" s="6"/>
    </row>
    <row r="338" spans="1:18" ht="42.75" customHeight="1" x14ac:dyDescent="0.25">
      <c r="A338" s="3">
        <v>331</v>
      </c>
      <c r="B338" s="4" t="s">
        <v>884</v>
      </c>
      <c r="C338" s="5">
        <v>44589</v>
      </c>
      <c r="D338" s="5">
        <v>44589</v>
      </c>
      <c r="E338" s="4">
        <v>2</v>
      </c>
      <c r="F338" s="4" t="s">
        <v>22</v>
      </c>
      <c r="G338" s="4" t="s">
        <v>30</v>
      </c>
      <c r="H338" s="4" t="s">
        <v>24</v>
      </c>
      <c r="I338" s="4" t="s">
        <v>30</v>
      </c>
      <c r="J338" s="5">
        <v>44592.585868055554</v>
      </c>
      <c r="K338" s="5">
        <v>44592.585868055554</v>
      </c>
      <c r="L338" s="3">
        <f t="shared" si="10"/>
        <v>1</v>
      </c>
      <c r="M338" s="4" t="s">
        <v>885</v>
      </c>
      <c r="N338" s="4" t="s">
        <v>26</v>
      </c>
      <c r="O338" s="4" t="s">
        <v>106</v>
      </c>
      <c r="P338" s="4" t="s">
        <v>28</v>
      </c>
      <c r="Q338" s="4" t="str">
        <f t="shared" si="11"/>
        <v>DENTRO DEL TIEMPO</v>
      </c>
      <c r="R338" s="6"/>
    </row>
    <row r="339" spans="1:18" ht="42.75" customHeight="1" x14ac:dyDescent="0.25">
      <c r="A339" s="3">
        <v>332</v>
      </c>
      <c r="B339" s="4" t="s">
        <v>886</v>
      </c>
      <c r="C339" s="5">
        <v>44591</v>
      </c>
      <c r="D339" s="5">
        <v>44591</v>
      </c>
      <c r="E339" s="4">
        <v>6</v>
      </c>
      <c r="F339" s="4" t="s">
        <v>22</v>
      </c>
      <c r="G339" s="4" t="s">
        <v>23</v>
      </c>
      <c r="H339" s="4" t="s">
        <v>24</v>
      </c>
      <c r="I339" s="4" t="s">
        <v>23</v>
      </c>
      <c r="J339" s="5">
        <v>44592.470208333332</v>
      </c>
      <c r="K339" s="5">
        <v>44592.470208333332</v>
      </c>
      <c r="L339" s="3">
        <f t="shared" si="10"/>
        <v>0</v>
      </c>
      <c r="M339" s="4" t="s">
        <v>887</v>
      </c>
      <c r="N339" s="4" t="s">
        <v>26</v>
      </c>
      <c r="O339" s="4" t="s">
        <v>888</v>
      </c>
      <c r="P339" s="4" t="s">
        <v>28</v>
      </c>
      <c r="Q339" s="4" t="str">
        <f t="shared" si="11"/>
        <v>DENTRO DEL TIEMPO</v>
      </c>
      <c r="R339" s="6"/>
    </row>
    <row r="340" spans="1:18" ht="42.75" customHeight="1" x14ac:dyDescent="0.25">
      <c r="A340" s="3">
        <v>333</v>
      </c>
      <c r="B340" s="4" t="s">
        <v>889</v>
      </c>
      <c r="C340" s="5">
        <v>44591</v>
      </c>
      <c r="D340" s="5">
        <v>44591</v>
      </c>
      <c r="E340" s="4">
        <v>5</v>
      </c>
      <c r="F340" s="4" t="s">
        <v>22</v>
      </c>
      <c r="G340" s="4" t="s">
        <v>23</v>
      </c>
      <c r="H340" s="4" t="s">
        <v>24</v>
      </c>
      <c r="I340" s="4" t="s">
        <v>23</v>
      </c>
      <c r="J340" s="5">
        <v>44599.616435185184</v>
      </c>
      <c r="K340" s="5">
        <v>44599.616435185184</v>
      </c>
      <c r="L340" s="3">
        <f t="shared" si="10"/>
        <v>5</v>
      </c>
      <c r="M340" s="4" t="s">
        <v>890</v>
      </c>
      <c r="N340" s="4" t="s">
        <v>26</v>
      </c>
      <c r="O340" s="4" t="s">
        <v>891</v>
      </c>
      <c r="P340" s="4" t="s">
        <v>28</v>
      </c>
      <c r="Q340" s="4" t="str">
        <f t="shared" si="11"/>
        <v>DENTRO DEL TIEMPO</v>
      </c>
      <c r="R340" s="6"/>
    </row>
    <row r="341" spans="1:18" ht="42.75" customHeight="1" x14ac:dyDescent="0.25">
      <c r="A341" s="3">
        <v>334</v>
      </c>
      <c r="B341" s="4" t="s">
        <v>892</v>
      </c>
      <c r="C341" s="5">
        <v>44591</v>
      </c>
      <c r="D341" s="5">
        <v>44591</v>
      </c>
      <c r="E341" s="4">
        <v>6</v>
      </c>
      <c r="F341" s="4" t="s">
        <v>22</v>
      </c>
      <c r="G341" s="4" t="s">
        <v>23</v>
      </c>
      <c r="H341" s="4" t="s">
        <v>24</v>
      </c>
      <c r="I341" s="4" t="s">
        <v>23</v>
      </c>
      <c r="J341" s="5">
        <v>44592.487430555557</v>
      </c>
      <c r="K341" s="5">
        <v>44592.487430555557</v>
      </c>
      <c r="L341" s="3">
        <f t="shared" si="10"/>
        <v>0</v>
      </c>
      <c r="M341" s="4" t="s">
        <v>893</v>
      </c>
      <c r="N341" s="4" t="s">
        <v>26</v>
      </c>
      <c r="O341" s="4" t="s">
        <v>894</v>
      </c>
      <c r="P341" s="4" t="s">
        <v>28</v>
      </c>
      <c r="Q341" s="4" t="str">
        <f t="shared" si="11"/>
        <v>DENTRO DEL TIEMPO</v>
      </c>
      <c r="R341" s="6"/>
    </row>
    <row r="342" spans="1:18" ht="42.75" customHeight="1" x14ac:dyDescent="0.25">
      <c r="A342" s="3">
        <v>335</v>
      </c>
      <c r="B342" s="4" t="s">
        <v>895</v>
      </c>
      <c r="C342" s="5">
        <v>44591</v>
      </c>
      <c r="D342" s="5">
        <v>44591</v>
      </c>
      <c r="E342" s="4">
        <v>2</v>
      </c>
      <c r="F342" s="4" t="s">
        <v>22</v>
      </c>
      <c r="G342" s="4" t="s">
        <v>23</v>
      </c>
      <c r="H342" s="4" t="s">
        <v>24</v>
      </c>
      <c r="I342" s="4" t="s">
        <v>23</v>
      </c>
      <c r="J342" s="5">
        <v>44599.587013888886</v>
      </c>
      <c r="K342" s="5">
        <v>44599.587013888886</v>
      </c>
      <c r="L342" s="3">
        <f t="shared" si="10"/>
        <v>5</v>
      </c>
      <c r="M342" s="4" t="s">
        <v>896</v>
      </c>
      <c r="N342" s="4" t="s">
        <v>26</v>
      </c>
      <c r="O342" s="4" t="s">
        <v>897</v>
      </c>
      <c r="P342" s="4" t="s">
        <v>28</v>
      </c>
      <c r="Q342" s="4" t="str">
        <f t="shared" si="11"/>
        <v>DENTRO DEL TIEMPO</v>
      </c>
      <c r="R342" s="6"/>
    </row>
    <row r="343" spans="1:18" ht="42.75" customHeight="1" x14ac:dyDescent="0.25">
      <c r="A343" s="3">
        <v>336</v>
      </c>
      <c r="B343" s="4" t="s">
        <v>898</v>
      </c>
      <c r="C343" s="5">
        <v>44591</v>
      </c>
      <c r="D343" s="5">
        <v>44591</v>
      </c>
      <c r="E343" s="4">
        <v>2</v>
      </c>
      <c r="F343" s="4" t="s">
        <v>22</v>
      </c>
      <c r="G343" s="4" t="s">
        <v>23</v>
      </c>
      <c r="H343" s="4" t="s">
        <v>24</v>
      </c>
      <c r="I343" s="4" t="s">
        <v>23</v>
      </c>
      <c r="J343" s="5">
        <v>44593.488981481481</v>
      </c>
      <c r="K343" s="5">
        <v>44593.488981481481</v>
      </c>
      <c r="L343" s="3">
        <f t="shared" si="10"/>
        <v>1</v>
      </c>
      <c r="M343" s="4" t="s">
        <v>899</v>
      </c>
      <c r="N343" s="4" t="s">
        <v>26</v>
      </c>
      <c r="O343" s="4" t="s">
        <v>900</v>
      </c>
      <c r="P343" s="4" t="s">
        <v>28</v>
      </c>
      <c r="Q343" s="4" t="str">
        <f t="shared" si="11"/>
        <v>DENTRO DEL TIEMPO</v>
      </c>
      <c r="R343" s="6"/>
    </row>
    <row r="344" spans="1:18" ht="42.75" customHeight="1" x14ac:dyDescent="0.25">
      <c r="A344" s="3">
        <v>337</v>
      </c>
      <c r="B344" s="4" t="s">
        <v>901</v>
      </c>
      <c r="C344" s="5">
        <v>44591</v>
      </c>
      <c r="D344" s="5">
        <v>44591</v>
      </c>
      <c r="E344" s="4">
        <v>2</v>
      </c>
      <c r="F344" s="4" t="s">
        <v>22</v>
      </c>
      <c r="G344" s="4" t="s">
        <v>23</v>
      </c>
      <c r="H344" s="4" t="s">
        <v>24</v>
      </c>
      <c r="I344" s="4" t="s">
        <v>23</v>
      </c>
      <c r="J344" s="5">
        <v>44593.507488425923</v>
      </c>
      <c r="K344" s="5">
        <v>44593.507488425923</v>
      </c>
      <c r="L344" s="3">
        <f t="shared" si="10"/>
        <v>1</v>
      </c>
      <c r="M344" s="4" t="s">
        <v>902</v>
      </c>
      <c r="N344" s="4" t="s">
        <v>26</v>
      </c>
      <c r="O344" s="4" t="s">
        <v>903</v>
      </c>
      <c r="P344" s="4" t="s">
        <v>28</v>
      </c>
      <c r="Q344" s="4" t="str">
        <f t="shared" si="11"/>
        <v>DENTRO DEL TIEMPO</v>
      </c>
      <c r="R344" s="6"/>
    </row>
    <row r="345" spans="1:18" ht="42.75" customHeight="1" x14ac:dyDescent="0.25">
      <c r="A345" s="3">
        <v>338</v>
      </c>
      <c r="B345" s="4" t="s">
        <v>904</v>
      </c>
      <c r="C345" s="5">
        <v>44591</v>
      </c>
      <c r="D345" s="5">
        <v>44591</v>
      </c>
      <c r="E345" s="4">
        <v>2</v>
      </c>
      <c r="F345" s="4" t="s">
        <v>22</v>
      </c>
      <c r="G345" s="4" t="s">
        <v>23</v>
      </c>
      <c r="H345" s="4" t="s">
        <v>24</v>
      </c>
      <c r="I345" s="4" t="s">
        <v>23</v>
      </c>
      <c r="J345" s="5">
        <v>44593.532141203701</v>
      </c>
      <c r="K345" s="5">
        <v>44593.532141203701</v>
      </c>
      <c r="L345" s="3">
        <f t="shared" si="10"/>
        <v>1</v>
      </c>
      <c r="M345" s="4" t="s">
        <v>905</v>
      </c>
      <c r="N345" s="4" t="s">
        <v>26</v>
      </c>
      <c r="O345" s="4" t="s">
        <v>906</v>
      </c>
      <c r="P345" s="4" t="s">
        <v>28</v>
      </c>
      <c r="Q345" s="4" t="str">
        <f t="shared" si="11"/>
        <v>DENTRO DEL TIEMPO</v>
      </c>
      <c r="R345" s="6"/>
    </row>
    <row r="346" spans="1:18" ht="42.75" customHeight="1" x14ac:dyDescent="0.25">
      <c r="A346" s="3">
        <v>339</v>
      </c>
      <c r="B346" s="4" t="s">
        <v>907</v>
      </c>
      <c r="C346" s="5">
        <v>44591</v>
      </c>
      <c r="D346" s="5">
        <v>44591</v>
      </c>
      <c r="E346" s="4">
        <v>2</v>
      </c>
      <c r="F346" s="4" t="s">
        <v>22</v>
      </c>
      <c r="G346" s="4" t="s">
        <v>23</v>
      </c>
      <c r="H346" s="4" t="s">
        <v>24</v>
      </c>
      <c r="I346" s="4" t="s">
        <v>23</v>
      </c>
      <c r="J346" s="5">
        <v>44593.546296296299</v>
      </c>
      <c r="K346" s="5">
        <v>44593.546296296299</v>
      </c>
      <c r="L346" s="3">
        <f t="shared" si="10"/>
        <v>1</v>
      </c>
      <c r="M346" s="4" t="s">
        <v>908</v>
      </c>
      <c r="N346" s="4" t="s">
        <v>26</v>
      </c>
      <c r="O346" s="4" t="s">
        <v>277</v>
      </c>
      <c r="P346" s="4" t="s">
        <v>28</v>
      </c>
      <c r="Q346" s="4" t="str">
        <f t="shared" si="11"/>
        <v>DENTRO DEL TIEMPO</v>
      </c>
      <c r="R346" s="6"/>
    </row>
    <row r="347" spans="1:18" ht="42.75" customHeight="1" x14ac:dyDescent="0.25">
      <c r="A347" s="3">
        <v>340</v>
      </c>
      <c r="B347" s="4" t="s">
        <v>909</v>
      </c>
      <c r="C347" s="5">
        <v>44591</v>
      </c>
      <c r="D347" s="5">
        <v>44591</v>
      </c>
      <c r="E347" s="4">
        <v>2</v>
      </c>
      <c r="F347" s="4" t="s">
        <v>22</v>
      </c>
      <c r="G347" s="4" t="s">
        <v>23</v>
      </c>
      <c r="H347" s="4" t="s">
        <v>24</v>
      </c>
      <c r="I347" s="4" t="s">
        <v>23</v>
      </c>
      <c r="J347" s="5">
        <v>44593.585497685184</v>
      </c>
      <c r="K347" s="5">
        <v>44593.585497685184</v>
      </c>
      <c r="L347" s="3">
        <f t="shared" si="10"/>
        <v>1</v>
      </c>
      <c r="M347" s="4" t="s">
        <v>910</v>
      </c>
      <c r="N347" s="4" t="s">
        <v>26</v>
      </c>
      <c r="O347" s="4" t="s">
        <v>911</v>
      </c>
      <c r="P347" s="4" t="s">
        <v>28</v>
      </c>
      <c r="Q347" s="4" t="str">
        <f t="shared" si="11"/>
        <v>DENTRO DEL TIEMPO</v>
      </c>
      <c r="R347" s="6"/>
    </row>
    <row r="348" spans="1:18" ht="42.75" customHeight="1" x14ac:dyDescent="0.25">
      <c r="A348" s="3">
        <v>341</v>
      </c>
      <c r="B348" s="4" t="s">
        <v>912</v>
      </c>
      <c r="C348" s="5">
        <v>44591</v>
      </c>
      <c r="D348" s="5">
        <v>44591</v>
      </c>
      <c r="E348" s="4">
        <v>2</v>
      </c>
      <c r="F348" s="4" t="s">
        <v>22</v>
      </c>
      <c r="G348" s="4" t="s">
        <v>23</v>
      </c>
      <c r="H348" s="4" t="s">
        <v>24</v>
      </c>
      <c r="I348" s="4" t="s">
        <v>23</v>
      </c>
      <c r="J348" s="5">
        <v>44593.591782407406</v>
      </c>
      <c r="K348" s="5">
        <v>44593.591782407406</v>
      </c>
      <c r="L348" s="3">
        <f t="shared" si="10"/>
        <v>1</v>
      </c>
      <c r="M348" s="4" t="s">
        <v>913</v>
      </c>
      <c r="N348" s="4" t="s">
        <v>26</v>
      </c>
      <c r="O348" s="4" t="s">
        <v>833</v>
      </c>
      <c r="P348" s="4" t="s">
        <v>28</v>
      </c>
      <c r="Q348" s="4" t="str">
        <f t="shared" si="11"/>
        <v>DENTRO DEL TIEMPO</v>
      </c>
      <c r="R348" s="6"/>
    </row>
    <row r="349" spans="1:18" ht="42.75" customHeight="1" x14ac:dyDescent="0.25">
      <c r="A349" s="3">
        <v>342</v>
      </c>
      <c r="B349" s="4" t="s">
        <v>914</v>
      </c>
      <c r="C349" s="5">
        <v>44591</v>
      </c>
      <c r="D349" s="5">
        <v>44591</v>
      </c>
      <c r="E349" s="4">
        <v>2</v>
      </c>
      <c r="F349" s="4" t="s">
        <v>22</v>
      </c>
      <c r="G349" s="4" t="s">
        <v>23</v>
      </c>
      <c r="H349" s="4" t="s">
        <v>24</v>
      </c>
      <c r="I349" s="4" t="s">
        <v>23</v>
      </c>
      <c r="J349" s="5">
        <v>44593.606307870374</v>
      </c>
      <c r="K349" s="5">
        <v>44593.606307870374</v>
      </c>
      <c r="L349" s="3">
        <f t="shared" si="10"/>
        <v>1</v>
      </c>
      <c r="M349" s="4" t="s">
        <v>915</v>
      </c>
      <c r="N349" s="4" t="s">
        <v>26</v>
      </c>
      <c r="O349" s="4" t="s">
        <v>916</v>
      </c>
      <c r="P349" s="4" t="s">
        <v>28</v>
      </c>
      <c r="Q349" s="4" t="str">
        <f t="shared" si="11"/>
        <v>DENTRO DEL TIEMPO</v>
      </c>
      <c r="R349" s="6"/>
    </row>
    <row r="350" spans="1:18" ht="42.75" customHeight="1" x14ac:dyDescent="0.25">
      <c r="A350" s="3">
        <v>343</v>
      </c>
      <c r="B350" s="4" t="s">
        <v>917</v>
      </c>
      <c r="C350" s="5">
        <v>44591</v>
      </c>
      <c r="D350" s="5">
        <v>44591</v>
      </c>
      <c r="E350" s="4">
        <v>2</v>
      </c>
      <c r="F350" s="4" t="s">
        <v>22</v>
      </c>
      <c r="G350" s="4" t="s">
        <v>23</v>
      </c>
      <c r="H350" s="4" t="s">
        <v>24</v>
      </c>
      <c r="I350" s="4" t="s">
        <v>23</v>
      </c>
      <c r="J350" s="5">
        <v>44593.599710648145</v>
      </c>
      <c r="K350" s="5">
        <v>44593.599710648145</v>
      </c>
      <c r="L350" s="3">
        <f t="shared" si="10"/>
        <v>1</v>
      </c>
      <c r="M350" s="4" t="s">
        <v>918</v>
      </c>
      <c r="N350" s="4" t="s">
        <v>26</v>
      </c>
      <c r="O350" s="4" t="s">
        <v>916</v>
      </c>
      <c r="P350" s="4" t="s">
        <v>28</v>
      </c>
      <c r="Q350" s="4" t="str">
        <f t="shared" si="11"/>
        <v>DENTRO DEL TIEMPO</v>
      </c>
      <c r="R350" s="6"/>
    </row>
    <row r="351" spans="1:18" ht="42.75" customHeight="1" x14ac:dyDescent="0.25">
      <c r="A351" s="3">
        <v>344</v>
      </c>
      <c r="B351" s="4" t="s">
        <v>919</v>
      </c>
      <c r="C351" s="5">
        <v>44591</v>
      </c>
      <c r="D351" s="5">
        <v>44591</v>
      </c>
      <c r="E351" s="4">
        <v>2</v>
      </c>
      <c r="F351" s="4" t="s">
        <v>22</v>
      </c>
      <c r="G351" s="4" t="s">
        <v>23</v>
      </c>
      <c r="H351" s="4" t="s">
        <v>24</v>
      </c>
      <c r="I351" s="4" t="s">
        <v>23</v>
      </c>
      <c r="J351" s="5">
        <v>44593.6247337963</v>
      </c>
      <c r="K351" s="5">
        <v>44593.6247337963</v>
      </c>
      <c r="L351" s="3">
        <f t="shared" si="10"/>
        <v>1</v>
      </c>
      <c r="M351" s="4" t="s">
        <v>920</v>
      </c>
      <c r="N351" s="4" t="s">
        <v>26</v>
      </c>
      <c r="O351" s="4" t="s">
        <v>921</v>
      </c>
      <c r="P351" s="4" t="s">
        <v>28</v>
      </c>
      <c r="Q351" s="4" t="str">
        <f t="shared" si="11"/>
        <v>DENTRO DEL TIEMPO</v>
      </c>
      <c r="R351" s="6"/>
    </row>
    <row r="352" spans="1:18" ht="42.75" customHeight="1" x14ac:dyDescent="0.25">
      <c r="A352" s="3">
        <v>345</v>
      </c>
      <c r="B352" s="9" t="s">
        <v>922</v>
      </c>
      <c r="C352" s="5">
        <v>44591</v>
      </c>
      <c r="D352" s="5">
        <v>44591</v>
      </c>
      <c r="E352" s="4">
        <v>2</v>
      </c>
      <c r="F352" s="4" t="s">
        <v>22</v>
      </c>
      <c r="G352" s="4" t="s">
        <v>23</v>
      </c>
      <c r="H352" s="4" t="s">
        <v>24</v>
      </c>
      <c r="I352" s="4" t="s">
        <v>23</v>
      </c>
      <c r="J352" s="5">
        <v>44593.630694444444</v>
      </c>
      <c r="K352" s="5">
        <v>44593.630694444444</v>
      </c>
      <c r="L352" s="3">
        <f t="shared" si="10"/>
        <v>1</v>
      </c>
      <c r="M352" s="4" t="s">
        <v>923</v>
      </c>
      <c r="N352" s="4" t="s">
        <v>26</v>
      </c>
      <c r="O352" s="4" t="s">
        <v>165</v>
      </c>
      <c r="P352" s="4" t="s">
        <v>28</v>
      </c>
      <c r="Q352" s="4" t="str">
        <f t="shared" si="11"/>
        <v>DENTRO DEL TIEMPO</v>
      </c>
      <c r="R352" s="6"/>
    </row>
    <row r="353" spans="1:18" ht="42.75" customHeight="1" x14ac:dyDescent="0.25">
      <c r="A353" s="3">
        <v>346</v>
      </c>
      <c r="B353" s="4" t="s">
        <v>924</v>
      </c>
      <c r="C353" s="5">
        <v>44591</v>
      </c>
      <c r="D353" s="5">
        <v>44591</v>
      </c>
      <c r="E353" s="4">
        <v>2</v>
      </c>
      <c r="F353" s="4" t="s">
        <v>22</v>
      </c>
      <c r="G353" s="4" t="s">
        <v>23</v>
      </c>
      <c r="H353" s="4" t="s">
        <v>24</v>
      </c>
      <c r="I353" s="4" t="s">
        <v>23</v>
      </c>
      <c r="J353" s="5">
        <v>44593.642013888886</v>
      </c>
      <c r="K353" s="5">
        <v>44593.642013888886</v>
      </c>
      <c r="L353" s="3">
        <f t="shared" si="10"/>
        <v>1</v>
      </c>
      <c r="M353" s="4" t="s">
        <v>925</v>
      </c>
      <c r="N353" s="4" t="s">
        <v>26</v>
      </c>
      <c r="O353" s="4" t="s">
        <v>926</v>
      </c>
      <c r="P353" s="4" t="s">
        <v>28</v>
      </c>
      <c r="Q353" s="4" t="str">
        <f t="shared" si="11"/>
        <v>DENTRO DEL TIEMPO</v>
      </c>
      <c r="R353" s="6"/>
    </row>
    <row r="354" spans="1:18" ht="42.75" customHeight="1" x14ac:dyDescent="0.25">
      <c r="A354" s="3">
        <v>347</v>
      </c>
      <c r="B354" s="4" t="s">
        <v>927</v>
      </c>
      <c r="C354" s="5">
        <v>44591</v>
      </c>
      <c r="D354" s="5">
        <v>44591</v>
      </c>
      <c r="E354" s="4">
        <v>2</v>
      </c>
      <c r="F354" s="4" t="s">
        <v>22</v>
      </c>
      <c r="G354" s="4" t="s">
        <v>23</v>
      </c>
      <c r="H354" s="4" t="s">
        <v>24</v>
      </c>
      <c r="I354" s="4" t="s">
        <v>23</v>
      </c>
      <c r="J354" s="5">
        <v>44593.647557870368</v>
      </c>
      <c r="K354" s="5">
        <v>44593.647557870368</v>
      </c>
      <c r="L354" s="3">
        <f t="shared" si="10"/>
        <v>1</v>
      </c>
      <c r="M354" s="4" t="s">
        <v>928</v>
      </c>
      <c r="N354" s="4" t="s">
        <v>26</v>
      </c>
      <c r="O354" s="4" t="s">
        <v>929</v>
      </c>
      <c r="P354" s="4" t="s">
        <v>28</v>
      </c>
      <c r="Q354" s="4" t="str">
        <f t="shared" si="11"/>
        <v>DENTRO DEL TIEMPO</v>
      </c>
      <c r="R354" s="6"/>
    </row>
    <row r="355" spans="1:18" ht="42.75" customHeight="1" x14ac:dyDescent="0.25">
      <c r="A355" s="3">
        <v>348</v>
      </c>
      <c r="B355" s="4" t="s">
        <v>930</v>
      </c>
      <c r="C355" s="5">
        <v>44591</v>
      </c>
      <c r="D355" s="5">
        <v>44591</v>
      </c>
      <c r="E355" s="4">
        <v>2</v>
      </c>
      <c r="F355" s="4" t="s">
        <v>22</v>
      </c>
      <c r="G355" s="4" t="s">
        <v>23</v>
      </c>
      <c r="H355" s="4" t="s">
        <v>24</v>
      </c>
      <c r="I355" s="4" t="s">
        <v>23</v>
      </c>
      <c r="J355" s="5">
        <v>44593.655636574076</v>
      </c>
      <c r="K355" s="5">
        <v>44593.655636574076</v>
      </c>
      <c r="L355" s="3">
        <f t="shared" si="10"/>
        <v>1</v>
      </c>
      <c r="M355" s="4" t="s">
        <v>931</v>
      </c>
      <c r="N355" s="4" t="s">
        <v>26</v>
      </c>
      <c r="O355" s="4" t="s">
        <v>663</v>
      </c>
      <c r="P355" s="4" t="s">
        <v>28</v>
      </c>
      <c r="Q355" s="4" t="str">
        <f t="shared" si="11"/>
        <v>DENTRO DEL TIEMPO</v>
      </c>
      <c r="R355" s="6"/>
    </row>
    <row r="356" spans="1:18" ht="42.75" customHeight="1" x14ac:dyDescent="0.25">
      <c r="A356" s="3">
        <v>349</v>
      </c>
      <c r="B356" s="4" t="s">
        <v>932</v>
      </c>
      <c r="C356" s="5">
        <v>44591</v>
      </c>
      <c r="D356" s="5">
        <v>44591</v>
      </c>
      <c r="E356" s="4">
        <v>2</v>
      </c>
      <c r="F356" s="4" t="s">
        <v>22</v>
      </c>
      <c r="G356" s="4" t="s">
        <v>23</v>
      </c>
      <c r="H356" s="4" t="s">
        <v>24</v>
      </c>
      <c r="I356" s="4" t="s">
        <v>23</v>
      </c>
      <c r="J356" s="5">
        <v>44593.663402777776</v>
      </c>
      <c r="K356" s="5">
        <v>44593.663402777776</v>
      </c>
      <c r="L356" s="3">
        <f t="shared" si="10"/>
        <v>1</v>
      </c>
      <c r="M356" s="4" t="s">
        <v>933</v>
      </c>
      <c r="N356" s="4" t="s">
        <v>26</v>
      </c>
      <c r="O356" s="4" t="s">
        <v>934</v>
      </c>
      <c r="P356" s="4" t="s">
        <v>28</v>
      </c>
      <c r="Q356" s="4" t="str">
        <f t="shared" si="11"/>
        <v>DENTRO DEL TIEMPO</v>
      </c>
      <c r="R356" s="6"/>
    </row>
    <row r="357" spans="1:18" ht="42.75" customHeight="1" x14ac:dyDescent="0.25">
      <c r="A357" s="3">
        <v>350</v>
      </c>
      <c r="B357" s="8" t="s">
        <v>935</v>
      </c>
      <c r="C357" s="5">
        <v>44567</v>
      </c>
      <c r="D357" s="5">
        <v>44567</v>
      </c>
      <c r="E357" s="4">
        <v>18</v>
      </c>
      <c r="F357" s="4" t="s">
        <v>22</v>
      </c>
      <c r="G357" s="4" t="s">
        <v>23</v>
      </c>
      <c r="H357" s="4" t="s">
        <v>24</v>
      </c>
      <c r="I357" s="4" t="s">
        <v>23</v>
      </c>
      <c r="J357" s="5">
        <v>44567.691932870373</v>
      </c>
      <c r="K357" s="5">
        <v>44567.691932870373</v>
      </c>
      <c r="L357" s="3">
        <f t="shared" si="10"/>
        <v>0</v>
      </c>
      <c r="M357" s="8" t="s">
        <v>936</v>
      </c>
      <c r="N357" s="4" t="s">
        <v>26</v>
      </c>
      <c r="O357" s="8" t="s">
        <v>937</v>
      </c>
      <c r="P357" s="4" t="s">
        <v>28</v>
      </c>
      <c r="Q357" s="4" t="str">
        <f t="shared" si="11"/>
        <v>DENTRO DEL TIEMPO</v>
      </c>
      <c r="R357" s="6"/>
    </row>
    <row r="358" spans="1:18" ht="42.75" customHeight="1" x14ac:dyDescent="0.25">
      <c r="A358" s="3">
        <v>351</v>
      </c>
      <c r="B358" s="9" t="s">
        <v>261</v>
      </c>
      <c r="C358" s="5">
        <v>44571</v>
      </c>
      <c r="D358" s="5">
        <v>44571</v>
      </c>
      <c r="E358" s="4">
        <v>31</v>
      </c>
      <c r="F358" s="4" t="s">
        <v>22</v>
      </c>
      <c r="G358" s="4" t="s">
        <v>23</v>
      </c>
      <c r="H358" s="4" t="s">
        <v>24</v>
      </c>
      <c r="I358" s="4" t="s">
        <v>23</v>
      </c>
      <c r="J358" s="5">
        <v>44574.415150462963</v>
      </c>
      <c r="K358" s="5">
        <v>44574.415150462963</v>
      </c>
      <c r="L358" s="3">
        <f t="shared" si="10"/>
        <v>3</v>
      </c>
      <c r="M358" s="8" t="s">
        <v>262</v>
      </c>
      <c r="N358" s="4" t="s">
        <v>26</v>
      </c>
      <c r="O358" s="8" t="s">
        <v>263</v>
      </c>
      <c r="P358" s="4" t="s">
        <v>28</v>
      </c>
      <c r="Q358" s="4" t="str">
        <f t="shared" si="11"/>
        <v>DENTRO DEL TIEMPO</v>
      </c>
      <c r="R358" s="6"/>
    </row>
    <row r="359" spans="1:18" ht="42.75" customHeight="1" x14ac:dyDescent="0.25">
      <c r="A359" s="3">
        <v>352</v>
      </c>
      <c r="B359" s="8" t="s">
        <v>938</v>
      </c>
      <c r="C359" s="5">
        <v>44571</v>
      </c>
      <c r="D359" s="5">
        <v>44571</v>
      </c>
      <c r="E359" s="4">
        <v>2</v>
      </c>
      <c r="F359" s="4" t="s">
        <v>22</v>
      </c>
      <c r="G359" s="4" t="s">
        <v>23</v>
      </c>
      <c r="H359" s="4" t="s">
        <v>24</v>
      </c>
      <c r="I359" s="4" t="s">
        <v>23</v>
      </c>
      <c r="J359" s="5">
        <v>44572</v>
      </c>
      <c r="K359" s="5">
        <v>44572</v>
      </c>
      <c r="L359" s="3">
        <f t="shared" si="10"/>
        <v>1</v>
      </c>
      <c r="M359" s="8" t="s">
        <v>939</v>
      </c>
      <c r="N359" s="4" t="s">
        <v>26</v>
      </c>
      <c r="O359" s="8" t="s">
        <v>937</v>
      </c>
      <c r="P359" s="4" t="s">
        <v>28</v>
      </c>
      <c r="Q359" s="4" t="str">
        <f t="shared" si="11"/>
        <v>DENTRO DEL TIEMPO</v>
      </c>
      <c r="R359" s="6"/>
    </row>
    <row r="360" spans="1:18" ht="42.75" customHeight="1" x14ac:dyDescent="0.25">
      <c r="A360" s="3">
        <v>353</v>
      </c>
      <c r="B360" s="8" t="s">
        <v>940</v>
      </c>
      <c r="C360" s="5">
        <v>44574</v>
      </c>
      <c r="D360" s="5">
        <v>44574</v>
      </c>
      <c r="E360" s="4">
        <v>48</v>
      </c>
      <c r="F360" s="4" t="s">
        <v>22</v>
      </c>
      <c r="G360" s="4" t="s">
        <v>23</v>
      </c>
      <c r="H360" s="4" t="s">
        <v>24</v>
      </c>
      <c r="I360" s="4" t="s">
        <v>23</v>
      </c>
      <c r="J360" s="5">
        <v>44578.373726851853</v>
      </c>
      <c r="K360" s="5">
        <v>44578.373726851853</v>
      </c>
      <c r="L360" s="3">
        <f t="shared" si="10"/>
        <v>2</v>
      </c>
      <c r="M360" s="8" t="s">
        <v>941</v>
      </c>
      <c r="N360" s="4" t="s">
        <v>26</v>
      </c>
      <c r="O360" s="8" t="s">
        <v>937</v>
      </c>
      <c r="P360" s="4" t="s">
        <v>28</v>
      </c>
      <c r="Q360" s="4" t="str">
        <f t="shared" si="11"/>
        <v>DENTRO DEL TIEMPO</v>
      </c>
      <c r="R360" s="6"/>
    </row>
    <row r="361" spans="1:18" ht="42.75" hidden="1" customHeight="1" x14ac:dyDescent="0.25">
      <c r="A361" s="3">
        <v>354</v>
      </c>
      <c r="B361" s="9" t="s">
        <v>942</v>
      </c>
      <c r="C361" s="5">
        <v>44581</v>
      </c>
      <c r="D361" s="5">
        <v>44581</v>
      </c>
      <c r="E361" s="4">
        <v>2</v>
      </c>
      <c r="F361" s="4" t="s">
        <v>790</v>
      </c>
      <c r="G361" s="4" t="s">
        <v>943</v>
      </c>
      <c r="H361" s="4" t="s">
        <v>792</v>
      </c>
      <c r="I361" s="4" t="s">
        <v>943</v>
      </c>
      <c r="J361" s="5">
        <v>44582.380949074075</v>
      </c>
      <c r="K361" s="5">
        <v>44582.380949074075</v>
      </c>
      <c r="L361" s="3">
        <f t="shared" si="10"/>
        <v>1</v>
      </c>
      <c r="M361" s="8" t="s">
        <v>944</v>
      </c>
      <c r="N361" s="4" t="s">
        <v>26</v>
      </c>
      <c r="O361" s="8" t="s">
        <v>937</v>
      </c>
      <c r="P361" s="4" t="s">
        <v>28</v>
      </c>
      <c r="Q361" s="4" t="str">
        <f t="shared" si="11"/>
        <v>DENTRO DEL TIEMPO</v>
      </c>
      <c r="R361" s="6"/>
    </row>
    <row r="362" spans="1:18" ht="42.75" customHeight="1" x14ac:dyDescent="0.25">
      <c r="A362" s="3">
        <v>355</v>
      </c>
      <c r="B362" s="8" t="s">
        <v>945</v>
      </c>
      <c r="C362" s="5" t="s">
        <v>946</v>
      </c>
      <c r="D362" s="5" t="s">
        <v>946</v>
      </c>
      <c r="E362" s="4">
        <v>62</v>
      </c>
      <c r="F362" s="4" t="s">
        <v>22</v>
      </c>
      <c r="G362" s="4" t="s">
        <v>23</v>
      </c>
      <c r="H362" s="4" t="s">
        <v>24</v>
      </c>
      <c r="I362" s="4" t="s">
        <v>23</v>
      </c>
      <c r="J362" s="5">
        <v>44589.380949074075</v>
      </c>
      <c r="K362" s="5">
        <v>44589.380949074075</v>
      </c>
      <c r="L362" s="3" t="e">
        <f t="shared" si="10"/>
        <v>#VALUE!</v>
      </c>
      <c r="M362" s="8" t="s">
        <v>947</v>
      </c>
      <c r="N362" s="4" t="s">
        <v>26</v>
      </c>
      <c r="O362" s="8" t="s">
        <v>948</v>
      </c>
      <c r="P362" s="4" t="s">
        <v>28</v>
      </c>
      <c r="Q362" s="4" t="e">
        <f t="shared" si="11"/>
        <v>#VALUE!</v>
      </c>
      <c r="R362" s="6"/>
    </row>
    <row r="363" spans="1:18" ht="42.75" customHeight="1" x14ac:dyDescent="0.25">
      <c r="A363" s="3">
        <v>356</v>
      </c>
      <c r="B363" s="8" t="s">
        <v>949</v>
      </c>
      <c r="C363" s="5" t="s">
        <v>950</v>
      </c>
      <c r="D363" s="5" t="s">
        <v>950</v>
      </c>
      <c r="E363" s="4">
        <v>2</v>
      </c>
      <c r="F363" s="4" t="s">
        <v>22</v>
      </c>
      <c r="G363" s="4" t="s">
        <v>23</v>
      </c>
      <c r="H363" s="4" t="s">
        <v>24</v>
      </c>
      <c r="I363" s="4" t="s">
        <v>23</v>
      </c>
      <c r="J363" s="5">
        <v>44585.419872685183</v>
      </c>
      <c r="K363" s="5">
        <v>44585.419872685183</v>
      </c>
      <c r="L363" s="3" t="e">
        <f t="shared" si="10"/>
        <v>#VALUE!</v>
      </c>
      <c r="M363" s="8" t="s">
        <v>951</v>
      </c>
      <c r="N363" s="4" t="s">
        <v>26</v>
      </c>
      <c r="O363" s="8" t="s">
        <v>128</v>
      </c>
      <c r="P363" s="4" t="s">
        <v>28</v>
      </c>
      <c r="Q363" s="4" t="e">
        <f t="shared" si="11"/>
        <v>#VALUE!</v>
      </c>
      <c r="R363" s="6"/>
    </row>
    <row r="364" spans="1:18" ht="42.75" customHeight="1" x14ac:dyDescent="0.25">
      <c r="A364" s="3">
        <v>357</v>
      </c>
      <c r="B364" s="8" t="s">
        <v>952</v>
      </c>
      <c r="C364" s="5">
        <v>44586</v>
      </c>
      <c r="D364" s="5">
        <v>44586</v>
      </c>
      <c r="E364" s="4">
        <v>2</v>
      </c>
      <c r="F364" s="4" t="s">
        <v>22</v>
      </c>
      <c r="G364" s="8" t="s">
        <v>721</v>
      </c>
      <c r="H364" s="4" t="s">
        <v>24</v>
      </c>
      <c r="I364" s="8" t="s">
        <v>721</v>
      </c>
      <c r="J364" s="5">
        <v>44587.380601851852</v>
      </c>
      <c r="K364" s="5">
        <v>44587.380601851852</v>
      </c>
      <c r="L364" s="3">
        <f t="shared" si="10"/>
        <v>1</v>
      </c>
      <c r="M364" s="8" t="s">
        <v>953</v>
      </c>
      <c r="N364" s="4" t="s">
        <v>26</v>
      </c>
      <c r="O364" s="8" t="s">
        <v>954</v>
      </c>
      <c r="P364" s="4" t="s">
        <v>28</v>
      </c>
      <c r="Q364" s="4" t="str">
        <f t="shared" si="11"/>
        <v>DENTRO DEL TIEMPO</v>
      </c>
      <c r="R364" s="6"/>
    </row>
    <row r="365" spans="1:18" ht="42.75" customHeight="1" x14ac:dyDescent="0.25">
      <c r="A365" s="3">
        <v>358</v>
      </c>
      <c r="B365" s="8" t="s">
        <v>955</v>
      </c>
      <c r="C365" s="5">
        <v>44592</v>
      </c>
      <c r="D365" s="5">
        <v>44592</v>
      </c>
      <c r="E365" s="4">
        <v>437</v>
      </c>
      <c r="F365" s="4" t="s">
        <v>22</v>
      </c>
      <c r="G365" s="4" t="s">
        <v>23</v>
      </c>
      <c r="H365" s="4" t="s">
        <v>24</v>
      </c>
      <c r="I365" s="4" t="s">
        <v>23</v>
      </c>
      <c r="J365" s="5">
        <v>44593.386770833335</v>
      </c>
      <c r="K365" s="5">
        <v>44593.386770833335</v>
      </c>
      <c r="L365" s="3">
        <f t="shared" si="10"/>
        <v>1</v>
      </c>
      <c r="M365" s="8" t="s">
        <v>956</v>
      </c>
      <c r="N365" s="4" t="s">
        <v>26</v>
      </c>
      <c r="O365" s="8" t="s">
        <v>957</v>
      </c>
      <c r="P365" s="4" t="s">
        <v>28</v>
      </c>
      <c r="Q365" s="4" t="str">
        <f t="shared" si="11"/>
        <v>DENTRO DEL TIEMPO</v>
      </c>
      <c r="R365" s="6"/>
    </row>
    <row r="366" spans="1:18" ht="42.75" customHeight="1" x14ac:dyDescent="0.25">
      <c r="A366" s="3">
        <v>359</v>
      </c>
      <c r="B366" s="8" t="s">
        <v>958</v>
      </c>
      <c r="C366" s="5">
        <v>44566</v>
      </c>
      <c r="D366" s="5">
        <v>44566</v>
      </c>
      <c r="E366" s="4">
        <v>116</v>
      </c>
      <c r="F366" s="4" t="s">
        <v>22</v>
      </c>
      <c r="G366" s="4" t="s">
        <v>23</v>
      </c>
      <c r="H366" s="4" t="s">
        <v>24</v>
      </c>
      <c r="I366" s="4" t="s">
        <v>23</v>
      </c>
      <c r="J366" s="5">
        <v>44566.591921296298</v>
      </c>
      <c r="K366" s="5">
        <v>44566.591921296298</v>
      </c>
      <c r="L366" s="3">
        <f t="shared" si="10"/>
        <v>0</v>
      </c>
      <c r="M366" s="8" t="s">
        <v>959</v>
      </c>
      <c r="N366" s="4" t="s">
        <v>26</v>
      </c>
      <c r="O366" s="8" t="s">
        <v>960</v>
      </c>
      <c r="P366" s="4" t="s">
        <v>28</v>
      </c>
      <c r="Q366" s="4" t="str">
        <f t="shared" si="11"/>
        <v>DENTRO DEL TIEMPO</v>
      </c>
      <c r="R366" s="6"/>
    </row>
    <row r="367" spans="1:18" ht="42.75" customHeight="1" x14ac:dyDescent="0.25">
      <c r="A367" s="3">
        <v>360</v>
      </c>
      <c r="B367" s="8" t="s">
        <v>961</v>
      </c>
      <c r="C367" s="5">
        <v>44566</v>
      </c>
      <c r="D367" s="5">
        <v>44566</v>
      </c>
      <c r="E367" s="4">
        <v>50</v>
      </c>
      <c r="F367" s="4" t="s">
        <v>22</v>
      </c>
      <c r="G367" s="4" t="s">
        <v>23</v>
      </c>
      <c r="H367" s="4" t="s">
        <v>24</v>
      </c>
      <c r="I367" s="4" t="s">
        <v>23</v>
      </c>
      <c r="J367" s="5">
        <v>44566.598541666666</v>
      </c>
      <c r="K367" s="5">
        <v>44566.598541666666</v>
      </c>
      <c r="L367" s="3">
        <f t="shared" si="10"/>
        <v>0</v>
      </c>
      <c r="M367" s="8" t="s">
        <v>962</v>
      </c>
      <c r="N367" s="4" t="s">
        <v>26</v>
      </c>
      <c r="O367" s="8" t="s">
        <v>960</v>
      </c>
      <c r="P367" s="4" t="s">
        <v>28</v>
      </c>
      <c r="Q367" s="4" t="str">
        <f t="shared" si="11"/>
        <v>DENTRO DEL TIEMPO</v>
      </c>
      <c r="R367" s="6"/>
    </row>
    <row r="368" spans="1:18" ht="42.75" customHeight="1" x14ac:dyDescent="0.25">
      <c r="A368" s="3">
        <v>361</v>
      </c>
      <c r="B368" s="8" t="s">
        <v>963</v>
      </c>
      <c r="C368" s="5">
        <v>44566</v>
      </c>
      <c r="D368" s="5">
        <v>44566</v>
      </c>
      <c r="E368" s="4">
        <v>48</v>
      </c>
      <c r="F368" s="4" t="s">
        <v>22</v>
      </c>
      <c r="G368" s="4" t="s">
        <v>23</v>
      </c>
      <c r="H368" s="4" t="s">
        <v>24</v>
      </c>
      <c r="I368" s="4" t="s">
        <v>23</v>
      </c>
      <c r="J368" s="5">
        <v>44566.598541666666</v>
      </c>
      <c r="K368" s="5">
        <v>44566.598541666666</v>
      </c>
      <c r="L368" s="3">
        <f t="shared" si="10"/>
        <v>0</v>
      </c>
      <c r="M368" s="8" t="s">
        <v>964</v>
      </c>
      <c r="N368" s="4" t="s">
        <v>26</v>
      </c>
      <c r="O368" s="8" t="s">
        <v>960</v>
      </c>
      <c r="P368" s="4" t="s">
        <v>28</v>
      </c>
      <c r="Q368" s="4" t="str">
        <f t="shared" si="11"/>
        <v>DENTRO DEL TIEMPO</v>
      </c>
      <c r="R368" s="6"/>
    </row>
    <row r="369" spans="1:18" ht="42.75" customHeight="1" x14ac:dyDescent="0.25">
      <c r="A369" s="3">
        <v>362</v>
      </c>
      <c r="B369" s="8" t="s">
        <v>965</v>
      </c>
      <c r="C369" s="5">
        <v>44566</v>
      </c>
      <c r="D369" s="5">
        <v>44566</v>
      </c>
      <c r="E369" s="4">
        <v>90</v>
      </c>
      <c r="F369" s="4" t="s">
        <v>22</v>
      </c>
      <c r="G369" s="4" t="s">
        <v>23</v>
      </c>
      <c r="H369" s="4" t="s">
        <v>24</v>
      </c>
      <c r="I369" s="4" t="s">
        <v>23</v>
      </c>
      <c r="J369" s="5">
        <v>44566.598541666666</v>
      </c>
      <c r="K369" s="5">
        <v>44566.598541666666</v>
      </c>
      <c r="L369" s="3">
        <f t="shared" si="10"/>
        <v>0</v>
      </c>
      <c r="M369" s="8" t="s">
        <v>966</v>
      </c>
      <c r="N369" s="4" t="s">
        <v>26</v>
      </c>
      <c r="O369" s="8" t="s">
        <v>960</v>
      </c>
      <c r="P369" s="4" t="s">
        <v>28</v>
      </c>
      <c r="Q369" s="4" t="str">
        <f t="shared" si="11"/>
        <v>DENTRO DEL TIEMPO</v>
      </c>
      <c r="R369" s="6"/>
    </row>
    <row r="370" spans="1:18" ht="42.75" customHeight="1" x14ac:dyDescent="0.25">
      <c r="A370" s="3">
        <v>363</v>
      </c>
      <c r="B370" s="8" t="s">
        <v>967</v>
      </c>
      <c r="C370" s="5">
        <v>44566</v>
      </c>
      <c r="D370" s="5">
        <v>44566</v>
      </c>
      <c r="E370" s="4">
        <v>1300</v>
      </c>
      <c r="F370" s="4" t="s">
        <v>22</v>
      </c>
      <c r="G370" s="4" t="s">
        <v>23</v>
      </c>
      <c r="H370" s="4" t="s">
        <v>24</v>
      </c>
      <c r="I370" s="4" t="s">
        <v>23</v>
      </c>
      <c r="J370" s="5">
        <v>44566.598541666666</v>
      </c>
      <c r="K370" s="5">
        <v>44566.598541666666</v>
      </c>
      <c r="L370" s="3">
        <f t="shared" si="10"/>
        <v>0</v>
      </c>
      <c r="M370" s="8" t="s">
        <v>968</v>
      </c>
      <c r="N370" s="4" t="s">
        <v>26</v>
      </c>
      <c r="O370" s="8" t="s">
        <v>960</v>
      </c>
      <c r="P370" s="4" t="s">
        <v>28</v>
      </c>
      <c r="Q370" s="4" t="str">
        <f t="shared" si="11"/>
        <v>DENTRO DEL TIEMPO</v>
      </c>
      <c r="R370" s="6"/>
    </row>
    <row r="371" spans="1:18" ht="42.75" customHeight="1" x14ac:dyDescent="0.25">
      <c r="A371" s="3">
        <v>364</v>
      </c>
      <c r="B371" s="8" t="s">
        <v>969</v>
      </c>
      <c r="C371" s="5">
        <v>44566</v>
      </c>
      <c r="D371" s="5">
        <v>44566</v>
      </c>
      <c r="E371" s="4">
        <v>2046</v>
      </c>
      <c r="F371" s="4" t="s">
        <v>22</v>
      </c>
      <c r="G371" s="4" t="s">
        <v>23</v>
      </c>
      <c r="H371" s="4" t="s">
        <v>24</v>
      </c>
      <c r="I371" s="4" t="s">
        <v>23</v>
      </c>
      <c r="J371" s="5">
        <v>44566.598541666666</v>
      </c>
      <c r="K371" s="5">
        <v>44566.598541666666</v>
      </c>
      <c r="L371" s="3">
        <f t="shared" si="10"/>
        <v>0</v>
      </c>
      <c r="M371" s="8" t="s">
        <v>970</v>
      </c>
      <c r="N371" s="4" t="s">
        <v>26</v>
      </c>
      <c r="O371" s="8" t="s">
        <v>960</v>
      </c>
      <c r="P371" s="4" t="s">
        <v>28</v>
      </c>
      <c r="Q371" s="4" t="str">
        <f t="shared" si="11"/>
        <v>DENTRO DEL TIEMPO</v>
      </c>
      <c r="R371" s="6"/>
    </row>
    <row r="372" spans="1:18" ht="42.75" customHeight="1" x14ac:dyDescent="0.25">
      <c r="A372" s="3">
        <v>365</v>
      </c>
      <c r="B372" s="8" t="s">
        <v>971</v>
      </c>
      <c r="C372" s="5">
        <v>44568</v>
      </c>
      <c r="D372" s="5">
        <v>44568</v>
      </c>
      <c r="E372" s="4">
        <v>44</v>
      </c>
      <c r="F372" s="4" t="s">
        <v>22</v>
      </c>
      <c r="G372" s="4" t="s">
        <v>23</v>
      </c>
      <c r="H372" s="4" t="s">
        <v>24</v>
      </c>
      <c r="I372" s="4" t="s">
        <v>23</v>
      </c>
      <c r="J372" s="5">
        <v>44568.598541666666</v>
      </c>
      <c r="K372" s="5">
        <v>44568.598541666666</v>
      </c>
      <c r="L372" s="3">
        <f t="shared" si="10"/>
        <v>0</v>
      </c>
      <c r="M372" s="8" t="s">
        <v>972</v>
      </c>
      <c r="N372" s="4" t="s">
        <v>26</v>
      </c>
      <c r="O372" s="8" t="s">
        <v>937</v>
      </c>
      <c r="P372" s="4" t="s">
        <v>28</v>
      </c>
      <c r="Q372" s="4" t="str">
        <f t="shared" si="11"/>
        <v>DENTRO DEL TIEMPO</v>
      </c>
      <c r="R372" s="6"/>
    </row>
    <row r="373" spans="1:18" ht="42.75" customHeight="1" x14ac:dyDescent="0.25">
      <c r="A373" s="3">
        <v>366</v>
      </c>
      <c r="B373" s="8" t="s">
        <v>973</v>
      </c>
      <c r="C373" s="5">
        <v>44568</v>
      </c>
      <c r="D373" s="5">
        <v>44568</v>
      </c>
      <c r="E373" s="4">
        <v>824</v>
      </c>
      <c r="F373" s="4" t="s">
        <v>22</v>
      </c>
      <c r="G373" s="4" t="s">
        <v>23</v>
      </c>
      <c r="H373" s="4" t="s">
        <v>24</v>
      </c>
      <c r="I373" s="4" t="s">
        <v>23</v>
      </c>
      <c r="J373" s="5">
        <v>44568.598541666666</v>
      </c>
      <c r="K373" s="5">
        <v>44568.598541666666</v>
      </c>
      <c r="L373" s="3">
        <f t="shared" si="10"/>
        <v>0</v>
      </c>
      <c r="M373" s="8" t="s">
        <v>974</v>
      </c>
      <c r="N373" s="4" t="s">
        <v>26</v>
      </c>
      <c r="O373" s="8" t="s">
        <v>937</v>
      </c>
      <c r="P373" s="4" t="s">
        <v>28</v>
      </c>
      <c r="Q373" s="4" t="str">
        <f t="shared" si="11"/>
        <v>DENTRO DEL TIEMPO</v>
      </c>
      <c r="R373" s="6"/>
    </row>
    <row r="374" spans="1:18" ht="42.75" customHeight="1" x14ac:dyDescent="0.25">
      <c r="A374" s="3">
        <v>367</v>
      </c>
      <c r="B374" s="8" t="s">
        <v>975</v>
      </c>
      <c r="C374" s="5">
        <v>44572</v>
      </c>
      <c r="D374" s="5">
        <v>44572</v>
      </c>
      <c r="E374" s="4">
        <v>252</v>
      </c>
      <c r="F374" s="4" t="s">
        <v>22</v>
      </c>
      <c r="G374" s="4" t="s">
        <v>23</v>
      </c>
      <c r="H374" s="4" t="s">
        <v>24</v>
      </c>
      <c r="I374" s="4" t="s">
        <v>23</v>
      </c>
      <c r="J374" s="5">
        <v>44572.598541666666</v>
      </c>
      <c r="K374" s="5">
        <v>44572.598541666666</v>
      </c>
      <c r="L374" s="3">
        <f t="shared" si="10"/>
        <v>0</v>
      </c>
      <c r="M374" s="8" t="s">
        <v>976</v>
      </c>
      <c r="N374" s="4" t="s">
        <v>26</v>
      </c>
      <c r="O374" s="8" t="s">
        <v>937</v>
      </c>
      <c r="P374" s="4" t="s">
        <v>28</v>
      </c>
      <c r="Q374" s="4" t="str">
        <f t="shared" si="11"/>
        <v>DENTRO DEL TIEMPO</v>
      </c>
      <c r="R374" s="6"/>
    </row>
    <row r="375" spans="1:18" ht="42.75" customHeight="1" x14ac:dyDescent="0.25">
      <c r="A375" s="3">
        <v>368</v>
      </c>
      <c r="B375" s="8" t="s">
        <v>977</v>
      </c>
      <c r="C375" s="5">
        <v>44572</v>
      </c>
      <c r="D375" s="5">
        <v>44572</v>
      </c>
      <c r="E375" s="4">
        <v>52</v>
      </c>
      <c r="F375" s="4" t="s">
        <v>22</v>
      </c>
      <c r="G375" s="4" t="s">
        <v>23</v>
      </c>
      <c r="H375" s="4" t="s">
        <v>24</v>
      </c>
      <c r="I375" s="4" t="s">
        <v>23</v>
      </c>
      <c r="J375" s="5">
        <v>44573.598541666666</v>
      </c>
      <c r="K375" s="5">
        <v>44573.598541666666</v>
      </c>
      <c r="L375" s="3">
        <f t="shared" si="10"/>
        <v>1</v>
      </c>
      <c r="M375" s="8" t="s">
        <v>978</v>
      </c>
      <c r="N375" s="4" t="s">
        <v>26</v>
      </c>
      <c r="O375" s="8" t="s">
        <v>937</v>
      </c>
      <c r="P375" s="4" t="s">
        <v>28</v>
      </c>
      <c r="Q375" s="4" t="str">
        <f t="shared" si="11"/>
        <v>DENTRO DEL TIEMPO</v>
      </c>
      <c r="R375" s="6"/>
    </row>
    <row r="376" spans="1:18" ht="42.75" customHeight="1" x14ac:dyDescent="0.25">
      <c r="A376" s="3">
        <v>369</v>
      </c>
      <c r="B376" s="8" t="s">
        <v>979</v>
      </c>
      <c r="C376" s="5">
        <v>44573</v>
      </c>
      <c r="D376" s="5">
        <v>44573</v>
      </c>
      <c r="E376" s="4">
        <v>2236</v>
      </c>
      <c r="F376" s="4" t="s">
        <v>22</v>
      </c>
      <c r="G376" s="4" t="s">
        <v>23</v>
      </c>
      <c r="H376" s="4" t="s">
        <v>24</v>
      </c>
      <c r="I376" s="4" t="s">
        <v>23</v>
      </c>
      <c r="J376" s="5">
        <v>44574.598541666666</v>
      </c>
      <c r="K376" s="5">
        <v>44574.598541666666</v>
      </c>
      <c r="L376" s="3">
        <f t="shared" si="10"/>
        <v>1</v>
      </c>
      <c r="M376" s="8" t="s">
        <v>980</v>
      </c>
      <c r="N376" s="4" t="s">
        <v>26</v>
      </c>
      <c r="O376" s="8" t="s">
        <v>937</v>
      </c>
      <c r="P376" s="4" t="s">
        <v>28</v>
      </c>
      <c r="Q376" s="4" t="str">
        <f t="shared" si="11"/>
        <v>DENTRO DEL TIEMPO</v>
      </c>
      <c r="R376" s="6"/>
    </row>
    <row r="377" spans="1:18" ht="42.75" customHeight="1" x14ac:dyDescent="0.25">
      <c r="A377" s="3">
        <v>370</v>
      </c>
      <c r="B377" s="8" t="s">
        <v>981</v>
      </c>
      <c r="C377" s="5">
        <v>44573</v>
      </c>
      <c r="D377" s="5">
        <v>44573</v>
      </c>
      <c r="E377" s="4">
        <v>2</v>
      </c>
      <c r="F377" s="4" t="s">
        <v>22</v>
      </c>
      <c r="G377" s="4" t="s">
        <v>23</v>
      </c>
      <c r="H377" s="4" t="s">
        <v>24</v>
      </c>
      <c r="I377" s="4" t="s">
        <v>23</v>
      </c>
      <c r="J377" s="5">
        <v>44574.598541666666</v>
      </c>
      <c r="K377" s="5">
        <v>44574.598541666666</v>
      </c>
      <c r="L377" s="3">
        <f t="shared" si="10"/>
        <v>1</v>
      </c>
      <c r="M377" s="8" t="s">
        <v>982</v>
      </c>
      <c r="N377" s="4" t="s">
        <v>26</v>
      </c>
      <c r="O377" s="8" t="s">
        <v>983</v>
      </c>
      <c r="P377" s="4" t="s">
        <v>28</v>
      </c>
      <c r="Q377" s="4" t="str">
        <f t="shared" si="11"/>
        <v>DENTRO DEL TIEMPO</v>
      </c>
      <c r="R377" s="6"/>
    </row>
    <row r="378" spans="1:18" ht="42.75" customHeight="1" x14ac:dyDescent="0.25">
      <c r="A378" s="3">
        <v>371</v>
      </c>
      <c r="B378" s="8" t="s">
        <v>984</v>
      </c>
      <c r="C378" s="5">
        <v>44575</v>
      </c>
      <c r="D378" s="5">
        <v>44575</v>
      </c>
      <c r="E378" s="4">
        <v>706</v>
      </c>
      <c r="F378" s="4" t="s">
        <v>22</v>
      </c>
      <c r="G378" s="4" t="s">
        <v>23</v>
      </c>
      <c r="H378" s="4" t="s">
        <v>24</v>
      </c>
      <c r="I378" s="4" t="s">
        <v>23</v>
      </c>
      <c r="J378" s="5">
        <v>44575.598541666666</v>
      </c>
      <c r="K378" s="5">
        <v>44575.598541666666</v>
      </c>
      <c r="L378" s="3">
        <f t="shared" si="10"/>
        <v>0</v>
      </c>
      <c r="M378" s="8" t="s">
        <v>985</v>
      </c>
      <c r="N378" s="4" t="s">
        <v>26</v>
      </c>
      <c r="O378" s="8" t="s">
        <v>986</v>
      </c>
      <c r="P378" s="4" t="s">
        <v>28</v>
      </c>
      <c r="Q378" s="4" t="str">
        <f t="shared" si="11"/>
        <v>DENTRO DEL TIEMPO</v>
      </c>
      <c r="R378" s="6"/>
    </row>
    <row r="379" spans="1:18" ht="42.75" customHeight="1" x14ac:dyDescent="0.25">
      <c r="A379" s="3">
        <v>372</v>
      </c>
      <c r="B379" s="8" t="s">
        <v>987</v>
      </c>
      <c r="C379" s="5">
        <v>44575</v>
      </c>
      <c r="D379" s="5">
        <v>44575</v>
      </c>
      <c r="E379" s="4">
        <v>48</v>
      </c>
      <c r="F379" s="4" t="s">
        <v>22</v>
      </c>
      <c r="G379" s="4" t="s">
        <v>23</v>
      </c>
      <c r="H379" s="4" t="s">
        <v>24</v>
      </c>
      <c r="I379" s="4" t="s">
        <v>23</v>
      </c>
      <c r="J379" s="5">
        <v>44575.598541666666</v>
      </c>
      <c r="K379" s="5">
        <v>44575.598541666666</v>
      </c>
      <c r="L379" s="3">
        <f t="shared" si="10"/>
        <v>0</v>
      </c>
      <c r="M379" s="8" t="s">
        <v>988</v>
      </c>
      <c r="N379" s="4" t="s">
        <v>26</v>
      </c>
      <c r="O379" s="8" t="s">
        <v>983</v>
      </c>
      <c r="P379" s="4" t="s">
        <v>28</v>
      </c>
      <c r="Q379" s="4" t="str">
        <f t="shared" si="11"/>
        <v>DENTRO DEL TIEMPO</v>
      </c>
      <c r="R379" s="6"/>
    </row>
    <row r="380" spans="1:18" ht="42.75" customHeight="1" x14ac:dyDescent="0.25">
      <c r="A380" s="3">
        <v>373</v>
      </c>
      <c r="B380" s="8" t="s">
        <v>989</v>
      </c>
      <c r="C380" s="5">
        <v>44573</v>
      </c>
      <c r="D380" s="5">
        <v>44573</v>
      </c>
      <c r="E380" s="4">
        <v>390</v>
      </c>
      <c r="F380" s="4" t="s">
        <v>22</v>
      </c>
      <c r="G380" s="4" t="s">
        <v>23</v>
      </c>
      <c r="H380" s="4" t="s">
        <v>24</v>
      </c>
      <c r="I380" s="4" t="s">
        <v>23</v>
      </c>
      <c r="J380" s="5">
        <v>44578.598541666666</v>
      </c>
      <c r="K380" s="5">
        <v>44578.598541666666</v>
      </c>
      <c r="L380" s="3">
        <f t="shared" si="10"/>
        <v>3</v>
      </c>
      <c r="M380" s="8" t="s">
        <v>990</v>
      </c>
      <c r="N380" s="4" t="s">
        <v>26</v>
      </c>
      <c r="O380" s="8" t="s">
        <v>991</v>
      </c>
      <c r="P380" s="4" t="s">
        <v>28</v>
      </c>
      <c r="Q380" s="4" t="str">
        <f t="shared" si="11"/>
        <v>DENTRO DEL TIEMPO</v>
      </c>
      <c r="R380" s="6"/>
    </row>
    <row r="381" spans="1:18" ht="42.75" customHeight="1" x14ac:dyDescent="0.25">
      <c r="A381" s="3">
        <v>374</v>
      </c>
      <c r="B381" s="8" t="s">
        <v>992</v>
      </c>
      <c r="C381" s="5">
        <v>44575</v>
      </c>
      <c r="D381" s="5">
        <v>44575</v>
      </c>
      <c r="E381" s="4">
        <v>86</v>
      </c>
      <c r="F381" s="4" t="s">
        <v>22</v>
      </c>
      <c r="G381" s="4" t="s">
        <v>23</v>
      </c>
      <c r="H381" s="4" t="s">
        <v>24</v>
      </c>
      <c r="I381" s="4" t="s">
        <v>23</v>
      </c>
      <c r="J381" s="5">
        <v>44578.598541666666</v>
      </c>
      <c r="K381" s="5">
        <v>44578.598541666666</v>
      </c>
      <c r="L381" s="3">
        <f t="shared" si="10"/>
        <v>1</v>
      </c>
      <c r="M381" s="8" t="s">
        <v>545</v>
      </c>
      <c r="N381" s="4" t="s">
        <v>26</v>
      </c>
      <c r="O381" s="8" t="s">
        <v>993</v>
      </c>
      <c r="P381" s="4" t="s">
        <v>28</v>
      </c>
      <c r="Q381" s="4" t="str">
        <f t="shared" si="11"/>
        <v>DENTRO DEL TIEMPO</v>
      </c>
      <c r="R381" s="6"/>
    </row>
    <row r="382" spans="1:18" ht="42.75" customHeight="1" x14ac:dyDescent="0.25">
      <c r="A382" s="3">
        <v>375</v>
      </c>
      <c r="B382" s="8" t="s">
        <v>994</v>
      </c>
      <c r="C382" s="5">
        <v>44578</v>
      </c>
      <c r="D382" s="5">
        <v>44578</v>
      </c>
      <c r="E382" s="4">
        <v>34</v>
      </c>
      <c r="F382" s="4" t="s">
        <v>22</v>
      </c>
      <c r="G382" s="4" t="s">
        <v>23</v>
      </c>
      <c r="H382" s="4" t="s">
        <v>24</v>
      </c>
      <c r="I382" s="4" t="s">
        <v>23</v>
      </c>
      <c r="J382" s="5">
        <v>44579.598541666666</v>
      </c>
      <c r="K382" s="5">
        <v>44579.598541666666</v>
      </c>
      <c r="L382" s="3">
        <f t="shared" si="10"/>
        <v>1</v>
      </c>
      <c r="M382" s="8" t="s">
        <v>995</v>
      </c>
      <c r="N382" s="4" t="s">
        <v>26</v>
      </c>
      <c r="O382" s="8" t="s">
        <v>986</v>
      </c>
      <c r="P382" s="4" t="s">
        <v>28</v>
      </c>
      <c r="Q382" s="4" t="str">
        <f t="shared" si="11"/>
        <v>DENTRO DEL TIEMPO</v>
      </c>
      <c r="R382" s="6"/>
    </row>
    <row r="383" spans="1:18" ht="42.75" customHeight="1" x14ac:dyDescent="0.25">
      <c r="A383" s="3">
        <v>376</v>
      </c>
      <c r="B383" s="8" t="s">
        <v>996</v>
      </c>
      <c r="C383" s="5">
        <v>44571</v>
      </c>
      <c r="D383" s="5">
        <v>44571</v>
      </c>
      <c r="E383" s="4">
        <v>2</v>
      </c>
      <c r="F383" s="4" t="s">
        <v>22</v>
      </c>
      <c r="G383" s="4" t="s">
        <v>23</v>
      </c>
      <c r="H383" s="4" t="s">
        <v>24</v>
      </c>
      <c r="I383" s="4" t="s">
        <v>23</v>
      </c>
      <c r="J383" s="5">
        <v>44581.575069444443</v>
      </c>
      <c r="K383" s="5">
        <v>44581.575069444443</v>
      </c>
      <c r="L383" s="3">
        <f t="shared" si="10"/>
        <v>8</v>
      </c>
      <c r="M383" s="8" t="s">
        <v>285</v>
      </c>
      <c r="N383" s="4" t="s">
        <v>26</v>
      </c>
      <c r="O383" s="8" t="s">
        <v>983</v>
      </c>
      <c r="P383" s="4" t="s">
        <v>28</v>
      </c>
      <c r="Q383" s="4" t="str">
        <f t="shared" si="11"/>
        <v>DENTRO DEL TIEMPO</v>
      </c>
      <c r="R383" s="6"/>
    </row>
    <row r="384" spans="1:18" ht="42.75" customHeight="1" x14ac:dyDescent="0.25">
      <c r="A384" s="3">
        <v>377</v>
      </c>
      <c r="B384" s="8" t="s">
        <v>997</v>
      </c>
      <c r="C384" s="5">
        <v>44580</v>
      </c>
      <c r="D384" s="5">
        <v>44580</v>
      </c>
      <c r="E384" s="4">
        <v>44</v>
      </c>
      <c r="F384" s="4" t="s">
        <v>22</v>
      </c>
      <c r="G384" s="4" t="s">
        <v>721</v>
      </c>
      <c r="H384" s="4" t="s">
        <v>24</v>
      </c>
      <c r="I384" s="4" t="s">
        <v>721</v>
      </c>
      <c r="J384" s="5">
        <v>44581.598541666666</v>
      </c>
      <c r="K384" s="5">
        <v>44581.598541666666</v>
      </c>
      <c r="L384" s="3">
        <f t="shared" si="10"/>
        <v>1</v>
      </c>
      <c r="M384" s="8" t="s">
        <v>998</v>
      </c>
      <c r="N384" s="4" t="s">
        <v>26</v>
      </c>
      <c r="O384" s="8" t="s">
        <v>999</v>
      </c>
      <c r="P384" s="4" t="s">
        <v>28</v>
      </c>
      <c r="Q384" s="4" t="str">
        <f t="shared" si="11"/>
        <v>DENTRO DEL TIEMPO</v>
      </c>
      <c r="R384" s="6"/>
    </row>
    <row r="385" spans="1:18" ht="42.75" customHeight="1" x14ac:dyDescent="0.25">
      <c r="A385" s="3">
        <v>378</v>
      </c>
      <c r="B385" s="8" t="s">
        <v>1000</v>
      </c>
      <c r="C385" s="5">
        <v>44580</v>
      </c>
      <c r="D385" s="5">
        <v>44580</v>
      </c>
      <c r="E385" s="4">
        <v>62</v>
      </c>
      <c r="F385" s="4" t="s">
        <v>22</v>
      </c>
      <c r="G385" s="4" t="s">
        <v>23</v>
      </c>
      <c r="H385" s="4" t="s">
        <v>24</v>
      </c>
      <c r="I385" s="4" t="s">
        <v>23</v>
      </c>
      <c r="J385" s="5">
        <v>44581.598541666666</v>
      </c>
      <c r="K385" s="5">
        <v>44581.598541666666</v>
      </c>
      <c r="L385" s="3">
        <f t="shared" si="10"/>
        <v>1</v>
      </c>
      <c r="M385" s="8" t="s">
        <v>1001</v>
      </c>
      <c r="N385" s="4" t="s">
        <v>26</v>
      </c>
      <c r="O385" s="8" t="s">
        <v>999</v>
      </c>
      <c r="P385" s="4" t="s">
        <v>28</v>
      </c>
      <c r="Q385" s="4" t="str">
        <f t="shared" si="11"/>
        <v>DENTRO DEL TIEMPO</v>
      </c>
      <c r="R385" s="6"/>
    </row>
    <row r="386" spans="1:18" ht="42.75" customHeight="1" x14ac:dyDescent="0.25">
      <c r="A386" s="3">
        <v>379</v>
      </c>
      <c r="B386" s="8" t="s">
        <v>1002</v>
      </c>
      <c r="C386" s="5">
        <v>44564</v>
      </c>
      <c r="D386" s="5">
        <v>44564</v>
      </c>
      <c r="E386" s="4">
        <v>303</v>
      </c>
      <c r="F386" s="4" t="s">
        <v>22</v>
      </c>
      <c r="G386" s="4" t="s">
        <v>23</v>
      </c>
      <c r="H386" s="4" t="s">
        <v>24</v>
      </c>
      <c r="I386" s="4" t="s">
        <v>23</v>
      </c>
      <c r="J386" s="5">
        <v>44582.598541666666</v>
      </c>
      <c r="K386" s="5">
        <v>44582.598541666666</v>
      </c>
      <c r="L386" s="3">
        <f t="shared" si="10"/>
        <v>14</v>
      </c>
      <c r="M386" s="8" t="s">
        <v>1003</v>
      </c>
      <c r="N386" s="4" t="s">
        <v>26</v>
      </c>
      <c r="O386" s="8" t="s">
        <v>937</v>
      </c>
      <c r="P386" s="4" t="s">
        <v>28</v>
      </c>
      <c r="Q386" s="4" t="str">
        <f t="shared" si="11"/>
        <v>DENTRO DEL TIEMPO</v>
      </c>
      <c r="R386" s="6"/>
    </row>
    <row r="387" spans="1:18" ht="42.75" customHeight="1" x14ac:dyDescent="0.25">
      <c r="A387" s="3">
        <v>380</v>
      </c>
      <c r="B387" s="8" t="s">
        <v>1004</v>
      </c>
      <c r="C387" s="5">
        <v>44581</v>
      </c>
      <c r="D387" s="5">
        <v>44581</v>
      </c>
      <c r="E387" s="4">
        <v>11</v>
      </c>
      <c r="F387" s="4" t="s">
        <v>22</v>
      </c>
      <c r="G387" s="4" t="s">
        <v>23</v>
      </c>
      <c r="H387" s="4" t="s">
        <v>24</v>
      </c>
      <c r="I387" s="4" t="s">
        <v>23</v>
      </c>
      <c r="J387" s="5">
        <v>44582.598541666666</v>
      </c>
      <c r="K387" s="5">
        <v>44582.598541666666</v>
      </c>
      <c r="L387" s="3">
        <f t="shared" si="10"/>
        <v>1</v>
      </c>
      <c r="M387" s="8" t="s">
        <v>944</v>
      </c>
      <c r="N387" s="4" t="s">
        <v>26</v>
      </c>
      <c r="O387" s="8" t="s">
        <v>937</v>
      </c>
      <c r="P387" s="4" t="s">
        <v>28</v>
      </c>
      <c r="Q387" s="4" t="str">
        <f t="shared" si="11"/>
        <v>DENTRO DEL TIEMPO</v>
      </c>
      <c r="R387" s="6"/>
    </row>
    <row r="388" spans="1:18" ht="42.75" customHeight="1" x14ac:dyDescent="0.25">
      <c r="A388" s="3">
        <v>381</v>
      </c>
      <c r="B388" s="8" t="s">
        <v>1005</v>
      </c>
      <c r="C388" s="5">
        <v>44582</v>
      </c>
      <c r="D388" s="5">
        <v>44582</v>
      </c>
      <c r="E388" s="4">
        <v>654</v>
      </c>
      <c r="F388" s="4" t="s">
        <v>22</v>
      </c>
      <c r="G388" s="4" t="s">
        <v>23</v>
      </c>
      <c r="H388" s="4" t="s">
        <v>24</v>
      </c>
      <c r="I388" s="4" t="s">
        <v>23</v>
      </c>
      <c r="J388" s="5">
        <v>44582.598541666666</v>
      </c>
      <c r="K388" s="5">
        <v>44582.598541666666</v>
      </c>
      <c r="L388" s="3">
        <f t="shared" si="10"/>
        <v>0</v>
      </c>
      <c r="M388" s="8" t="s">
        <v>1006</v>
      </c>
      <c r="N388" s="4" t="s">
        <v>26</v>
      </c>
      <c r="O388" s="8" t="s">
        <v>937</v>
      </c>
      <c r="P388" s="4" t="s">
        <v>28</v>
      </c>
      <c r="Q388" s="4" t="str">
        <f t="shared" si="11"/>
        <v>DENTRO DEL TIEMPO</v>
      </c>
      <c r="R388" s="6"/>
    </row>
    <row r="389" spans="1:18" ht="42.75" customHeight="1" x14ac:dyDescent="0.25">
      <c r="A389" s="3">
        <v>382</v>
      </c>
      <c r="B389" s="8" t="s">
        <v>1007</v>
      </c>
      <c r="C389" s="5">
        <v>44582</v>
      </c>
      <c r="D389" s="5">
        <v>44582</v>
      </c>
      <c r="E389" s="4">
        <v>2</v>
      </c>
      <c r="F389" s="4" t="s">
        <v>22</v>
      </c>
      <c r="G389" s="4" t="s">
        <v>23</v>
      </c>
      <c r="H389" s="4" t="s">
        <v>24</v>
      </c>
      <c r="I389" s="4" t="s">
        <v>23</v>
      </c>
      <c r="J389" s="5">
        <v>44586.598541666666</v>
      </c>
      <c r="K389" s="5">
        <v>44586.598541666666</v>
      </c>
      <c r="L389" s="3">
        <f t="shared" si="10"/>
        <v>2</v>
      </c>
      <c r="M389" s="8" t="s">
        <v>333</v>
      </c>
      <c r="N389" s="4" t="s">
        <v>26</v>
      </c>
      <c r="O389" s="8" t="s">
        <v>1008</v>
      </c>
      <c r="P389" s="4" t="s">
        <v>28</v>
      </c>
      <c r="Q389" s="4" t="str">
        <f t="shared" si="11"/>
        <v>DENTRO DEL TIEMPO</v>
      </c>
      <c r="R389" s="6"/>
    </row>
    <row r="390" spans="1:18" ht="42.75" customHeight="1" x14ac:dyDescent="0.25">
      <c r="A390" s="3">
        <v>383</v>
      </c>
      <c r="B390" s="8" t="s">
        <v>1009</v>
      </c>
      <c r="C390" s="5">
        <v>44580</v>
      </c>
      <c r="D390" s="5">
        <v>44580</v>
      </c>
      <c r="E390" s="4">
        <v>2</v>
      </c>
      <c r="F390" s="4" t="s">
        <v>22</v>
      </c>
      <c r="G390" s="4" t="s">
        <v>23</v>
      </c>
      <c r="H390" s="4" t="s">
        <v>24</v>
      </c>
      <c r="I390" s="4" t="s">
        <v>23</v>
      </c>
      <c r="J390" s="5">
        <v>44579.598541666666</v>
      </c>
      <c r="K390" s="5">
        <v>44579.598541666666</v>
      </c>
      <c r="L390" s="3">
        <f t="shared" si="10"/>
        <v>-3</v>
      </c>
      <c r="M390" s="8" t="s">
        <v>1010</v>
      </c>
      <c r="N390" s="4" t="s">
        <v>26</v>
      </c>
      <c r="O390" s="8" t="s">
        <v>1011</v>
      </c>
      <c r="P390" s="4" t="s">
        <v>28</v>
      </c>
      <c r="Q390" s="4" t="str">
        <f t="shared" si="11"/>
        <v>DENTRO DEL TIEMPO</v>
      </c>
      <c r="R390" s="6"/>
    </row>
    <row r="391" spans="1:18" ht="42.75" customHeight="1" x14ac:dyDescent="0.25">
      <c r="A391" s="3">
        <v>384</v>
      </c>
      <c r="B391" s="8" t="s">
        <v>1012</v>
      </c>
      <c r="C391" s="5">
        <v>44588</v>
      </c>
      <c r="D391" s="5">
        <v>44588</v>
      </c>
      <c r="E391" s="4">
        <v>152</v>
      </c>
      <c r="F391" s="4" t="s">
        <v>22</v>
      </c>
      <c r="G391" s="4" t="s">
        <v>23</v>
      </c>
      <c r="H391" s="4" t="s">
        <v>24</v>
      </c>
      <c r="I391" s="4" t="s">
        <v>23</v>
      </c>
      <c r="J391" s="5">
        <v>44589.598541666666</v>
      </c>
      <c r="K391" s="5">
        <v>44589.598541666666</v>
      </c>
      <c r="L391" s="3">
        <f t="shared" si="10"/>
        <v>1</v>
      </c>
      <c r="M391" s="8" t="s">
        <v>1013</v>
      </c>
      <c r="N391" s="4" t="s">
        <v>26</v>
      </c>
      <c r="O391" s="8" t="s">
        <v>1014</v>
      </c>
      <c r="P391" s="4" t="s">
        <v>28</v>
      </c>
      <c r="Q391" s="4" t="str">
        <f t="shared" si="11"/>
        <v>DENTRO DEL TIEMPO</v>
      </c>
      <c r="R391" s="6"/>
    </row>
    <row r="392" spans="1:18" ht="42.75" customHeight="1" x14ac:dyDescent="0.25">
      <c r="A392" s="3">
        <v>385</v>
      </c>
      <c r="B392" s="8" t="s">
        <v>1015</v>
      </c>
      <c r="C392" s="5">
        <v>44589</v>
      </c>
      <c r="D392" s="5">
        <v>44589</v>
      </c>
      <c r="E392" s="4">
        <v>1394</v>
      </c>
      <c r="F392" s="4" t="s">
        <v>22</v>
      </c>
      <c r="G392" s="4" t="s">
        <v>23</v>
      </c>
      <c r="H392" s="4" t="s">
        <v>24</v>
      </c>
      <c r="I392" s="4" t="s">
        <v>23</v>
      </c>
      <c r="J392" s="5">
        <v>44589.598541666666</v>
      </c>
      <c r="K392" s="5">
        <v>44589.598541666666</v>
      </c>
      <c r="L392" s="3">
        <f t="shared" si="10"/>
        <v>0</v>
      </c>
      <c r="M392" s="8" t="s">
        <v>1016</v>
      </c>
      <c r="N392" s="4" t="s">
        <v>26</v>
      </c>
      <c r="O392" s="8" t="s">
        <v>986</v>
      </c>
      <c r="P392" s="4" t="s">
        <v>28</v>
      </c>
      <c r="Q392" s="4" t="str">
        <f t="shared" si="11"/>
        <v>DENTRO DEL TIEMPO</v>
      </c>
      <c r="R392" s="6"/>
    </row>
    <row r="393" spans="1:18" ht="42.75" customHeight="1" x14ac:dyDescent="0.25">
      <c r="A393" s="3">
        <v>386</v>
      </c>
      <c r="B393" s="8" t="s">
        <v>1017</v>
      </c>
      <c r="C393" s="5">
        <v>44592</v>
      </c>
      <c r="D393" s="5">
        <v>44592</v>
      </c>
      <c r="E393" s="4">
        <v>56</v>
      </c>
      <c r="F393" s="4" t="s">
        <v>22</v>
      </c>
      <c r="G393" s="4" t="s">
        <v>23</v>
      </c>
      <c r="H393" s="4" t="s">
        <v>24</v>
      </c>
      <c r="I393" s="4" t="s">
        <v>23</v>
      </c>
      <c r="J393" s="5">
        <v>44592.598541666666</v>
      </c>
      <c r="K393" s="5">
        <v>44592.598541666666</v>
      </c>
      <c r="L393" s="3">
        <f t="shared" ref="L393:L456" si="12">+NETWORKDAYS(D393,K393,$R$8:$R$11)-1</f>
        <v>0</v>
      </c>
      <c r="M393" s="8" t="s">
        <v>1018</v>
      </c>
      <c r="N393" s="4" t="s">
        <v>26</v>
      </c>
      <c r="O393" s="8" t="s">
        <v>937</v>
      </c>
      <c r="P393" s="4" t="s">
        <v>28</v>
      </c>
      <c r="Q393" s="4" t="str">
        <f t="shared" ref="Q393:Q425" si="13">IF(L393&gt;15,"FUERA DE TIEMPO","DENTRO DEL TIEMPO")</f>
        <v>DENTRO DEL TIEMPO</v>
      </c>
      <c r="R393" s="6"/>
    </row>
    <row r="394" spans="1:18" ht="42.75" customHeight="1" x14ac:dyDescent="0.25">
      <c r="A394" s="3">
        <v>387</v>
      </c>
      <c r="B394" s="8" t="s">
        <v>1019</v>
      </c>
      <c r="C394" s="5">
        <v>44592</v>
      </c>
      <c r="D394" s="5">
        <v>44592</v>
      </c>
      <c r="E394" s="4">
        <v>62</v>
      </c>
      <c r="F394" s="4" t="s">
        <v>22</v>
      </c>
      <c r="G394" s="4" t="s">
        <v>23</v>
      </c>
      <c r="H394" s="4" t="s">
        <v>24</v>
      </c>
      <c r="I394" s="4" t="s">
        <v>23</v>
      </c>
      <c r="J394" s="5">
        <v>44592.598541666666</v>
      </c>
      <c r="K394" s="5">
        <v>44592.598541666666</v>
      </c>
      <c r="L394" s="3">
        <f t="shared" si="12"/>
        <v>0</v>
      </c>
      <c r="M394" s="8" t="s">
        <v>1020</v>
      </c>
      <c r="N394" s="4" t="s">
        <v>26</v>
      </c>
      <c r="O394" s="8" t="s">
        <v>937</v>
      </c>
      <c r="P394" s="4" t="s">
        <v>28</v>
      </c>
      <c r="Q394" s="4" t="str">
        <f t="shared" si="13"/>
        <v>DENTRO DEL TIEMPO</v>
      </c>
      <c r="R394" s="6"/>
    </row>
    <row r="395" spans="1:18" ht="36" x14ac:dyDescent="0.25">
      <c r="A395" s="3">
        <v>388</v>
      </c>
      <c r="B395" s="10" t="s">
        <v>1021</v>
      </c>
      <c r="C395" s="11">
        <v>44566</v>
      </c>
      <c r="D395" s="11">
        <v>44566</v>
      </c>
      <c r="E395" s="12">
        <v>2</v>
      </c>
      <c r="F395" s="13" t="s">
        <v>22</v>
      </c>
      <c r="G395" s="13" t="s">
        <v>1022</v>
      </c>
      <c r="H395" s="13" t="s">
        <v>1023</v>
      </c>
      <c r="I395" s="13" t="s">
        <v>1022</v>
      </c>
      <c r="J395" s="11">
        <v>44566</v>
      </c>
      <c r="K395" s="11">
        <v>44566</v>
      </c>
      <c r="L395" s="3">
        <f t="shared" si="12"/>
        <v>0</v>
      </c>
      <c r="M395" s="14" t="s">
        <v>1024</v>
      </c>
      <c r="N395" s="15" t="s">
        <v>1025</v>
      </c>
      <c r="O395" s="8" t="s">
        <v>1026</v>
      </c>
      <c r="P395" s="16">
        <v>1900459346</v>
      </c>
      <c r="Q395" s="4" t="str">
        <f t="shared" si="13"/>
        <v>DENTRO DEL TIEMPO</v>
      </c>
    </row>
    <row r="396" spans="1:18" ht="36" x14ac:dyDescent="0.25">
      <c r="A396" s="3">
        <v>389</v>
      </c>
      <c r="B396" s="10" t="s">
        <v>1027</v>
      </c>
      <c r="C396" s="11">
        <v>44566</v>
      </c>
      <c r="D396" s="11">
        <v>44566</v>
      </c>
      <c r="E396" s="12">
        <v>2</v>
      </c>
      <c r="F396" s="13" t="s">
        <v>22</v>
      </c>
      <c r="G396" s="13" t="s">
        <v>1022</v>
      </c>
      <c r="H396" s="13" t="s">
        <v>1023</v>
      </c>
      <c r="I396" s="13" t="s">
        <v>1022</v>
      </c>
      <c r="J396" s="11">
        <v>44567</v>
      </c>
      <c r="K396" s="11">
        <v>44567</v>
      </c>
      <c r="L396" s="3">
        <f t="shared" si="12"/>
        <v>1</v>
      </c>
      <c r="M396" s="14" t="s">
        <v>1028</v>
      </c>
      <c r="N396" s="15" t="s">
        <v>1025</v>
      </c>
      <c r="O396" s="8" t="s">
        <v>1029</v>
      </c>
      <c r="P396" s="16" t="s">
        <v>1030</v>
      </c>
      <c r="Q396" s="4" t="str">
        <f t="shared" si="13"/>
        <v>DENTRO DEL TIEMPO</v>
      </c>
    </row>
    <row r="397" spans="1:18" ht="36" x14ac:dyDescent="0.25">
      <c r="A397" s="3">
        <v>390</v>
      </c>
      <c r="B397" s="10" t="s">
        <v>1031</v>
      </c>
      <c r="C397" s="11">
        <v>44566</v>
      </c>
      <c r="D397" s="11">
        <v>44566</v>
      </c>
      <c r="E397" s="12">
        <v>2</v>
      </c>
      <c r="F397" s="13" t="s">
        <v>22</v>
      </c>
      <c r="G397" s="13" t="s">
        <v>1022</v>
      </c>
      <c r="H397" s="13" t="s">
        <v>1023</v>
      </c>
      <c r="I397" s="13" t="s">
        <v>1022</v>
      </c>
      <c r="J397" s="11">
        <v>44567</v>
      </c>
      <c r="K397" s="11">
        <v>44567</v>
      </c>
      <c r="L397" s="3">
        <f t="shared" si="12"/>
        <v>1</v>
      </c>
      <c r="M397" s="14" t="s">
        <v>1032</v>
      </c>
      <c r="N397" s="15" t="s">
        <v>1025</v>
      </c>
      <c r="O397" s="8" t="s">
        <v>1033</v>
      </c>
      <c r="P397" s="16" t="s">
        <v>1030</v>
      </c>
      <c r="Q397" s="4" t="str">
        <f t="shared" si="13"/>
        <v>DENTRO DEL TIEMPO</v>
      </c>
    </row>
    <row r="398" spans="1:18" ht="36" x14ac:dyDescent="0.25">
      <c r="A398" s="3">
        <v>391</v>
      </c>
      <c r="B398" s="10" t="s">
        <v>1034</v>
      </c>
      <c r="C398" s="11">
        <v>44566</v>
      </c>
      <c r="D398" s="11">
        <v>44566</v>
      </c>
      <c r="E398" s="12">
        <v>34</v>
      </c>
      <c r="F398" s="13" t="s">
        <v>22</v>
      </c>
      <c r="G398" s="13" t="s">
        <v>1022</v>
      </c>
      <c r="H398" s="17" t="s">
        <v>1023</v>
      </c>
      <c r="I398" s="13" t="s">
        <v>1022</v>
      </c>
      <c r="J398" s="11">
        <v>44568</v>
      </c>
      <c r="K398" s="11">
        <v>44568</v>
      </c>
      <c r="L398" s="3">
        <f t="shared" si="12"/>
        <v>2</v>
      </c>
      <c r="M398" s="14" t="s">
        <v>1035</v>
      </c>
      <c r="N398" s="15" t="s">
        <v>1025</v>
      </c>
      <c r="O398" s="8" t="s">
        <v>1036</v>
      </c>
      <c r="P398" s="16" t="s">
        <v>1030</v>
      </c>
      <c r="Q398" s="4" t="str">
        <f t="shared" si="13"/>
        <v>DENTRO DEL TIEMPO</v>
      </c>
    </row>
    <row r="399" spans="1:18" ht="36" x14ac:dyDescent="0.25">
      <c r="A399" s="3">
        <v>392</v>
      </c>
      <c r="B399" s="10" t="s">
        <v>1037</v>
      </c>
      <c r="C399" s="11">
        <v>44566</v>
      </c>
      <c r="D399" s="11">
        <v>44566</v>
      </c>
      <c r="E399" s="12">
        <v>26</v>
      </c>
      <c r="F399" s="13" t="s">
        <v>22</v>
      </c>
      <c r="G399" s="13" t="s">
        <v>1022</v>
      </c>
      <c r="H399" s="17" t="s">
        <v>1023</v>
      </c>
      <c r="I399" s="13" t="s">
        <v>1022</v>
      </c>
      <c r="J399" s="11">
        <v>44568</v>
      </c>
      <c r="K399" s="11">
        <v>44568</v>
      </c>
      <c r="L399" s="3">
        <f t="shared" si="12"/>
        <v>2</v>
      </c>
      <c r="M399" s="14" t="s">
        <v>1038</v>
      </c>
      <c r="N399" s="15" t="s">
        <v>1039</v>
      </c>
      <c r="O399" s="8" t="s">
        <v>1036</v>
      </c>
      <c r="P399" s="16" t="s">
        <v>1030</v>
      </c>
      <c r="Q399" s="4" t="str">
        <f t="shared" si="13"/>
        <v>DENTRO DEL TIEMPO</v>
      </c>
    </row>
    <row r="400" spans="1:18" ht="36" x14ac:dyDescent="0.25">
      <c r="A400" s="3">
        <v>393</v>
      </c>
      <c r="B400" s="10" t="s">
        <v>1040</v>
      </c>
      <c r="C400" s="11">
        <v>44568</v>
      </c>
      <c r="D400" s="11">
        <v>44568</v>
      </c>
      <c r="E400" s="12">
        <v>2</v>
      </c>
      <c r="F400" s="13" t="s">
        <v>22</v>
      </c>
      <c r="G400" s="13" t="s">
        <v>1022</v>
      </c>
      <c r="H400" s="17" t="s">
        <v>1023</v>
      </c>
      <c r="I400" s="13" t="s">
        <v>1022</v>
      </c>
      <c r="J400" s="11">
        <v>44568</v>
      </c>
      <c r="K400" s="11">
        <v>44568</v>
      </c>
      <c r="L400" s="3">
        <f t="shared" si="12"/>
        <v>0</v>
      </c>
      <c r="M400" s="18" t="s">
        <v>1041</v>
      </c>
      <c r="N400" s="15" t="s">
        <v>1025</v>
      </c>
      <c r="O400" s="8" t="s">
        <v>1026</v>
      </c>
      <c r="P400" s="16">
        <v>1900692540</v>
      </c>
      <c r="Q400" s="4" t="str">
        <f t="shared" si="13"/>
        <v>DENTRO DEL TIEMPO</v>
      </c>
    </row>
    <row r="401" spans="1:17" ht="36" x14ac:dyDescent="0.25">
      <c r="A401" s="3">
        <v>394</v>
      </c>
      <c r="B401" s="10" t="s">
        <v>1042</v>
      </c>
      <c r="C401" s="11">
        <v>44568</v>
      </c>
      <c r="D401" s="11">
        <v>44568</v>
      </c>
      <c r="E401" s="12">
        <v>2</v>
      </c>
      <c r="F401" s="13" t="s">
        <v>22</v>
      </c>
      <c r="G401" s="13" t="s">
        <v>1022</v>
      </c>
      <c r="H401" s="17" t="s">
        <v>1023</v>
      </c>
      <c r="I401" s="13" t="s">
        <v>1022</v>
      </c>
      <c r="J401" s="11">
        <v>44572</v>
      </c>
      <c r="K401" s="11">
        <v>44572</v>
      </c>
      <c r="L401" s="3">
        <f t="shared" si="12"/>
        <v>2</v>
      </c>
      <c r="M401" s="18" t="s">
        <v>1043</v>
      </c>
      <c r="N401" s="15" t="s">
        <v>1025</v>
      </c>
      <c r="O401" s="8" t="s">
        <v>1044</v>
      </c>
      <c r="P401" s="16" t="s">
        <v>1030</v>
      </c>
      <c r="Q401" s="4" t="str">
        <f t="shared" si="13"/>
        <v>DENTRO DEL TIEMPO</v>
      </c>
    </row>
    <row r="402" spans="1:17" ht="36" x14ac:dyDescent="0.25">
      <c r="A402" s="3">
        <v>395</v>
      </c>
      <c r="B402" s="10" t="s">
        <v>1045</v>
      </c>
      <c r="C402" s="11">
        <v>44571</v>
      </c>
      <c r="D402" s="11">
        <v>44571</v>
      </c>
      <c r="E402" s="12">
        <v>2</v>
      </c>
      <c r="F402" s="13" t="s">
        <v>22</v>
      </c>
      <c r="G402" s="13" t="s">
        <v>1022</v>
      </c>
      <c r="H402" s="17" t="s">
        <v>1023</v>
      </c>
      <c r="I402" s="13" t="s">
        <v>1022</v>
      </c>
      <c r="J402" s="11">
        <v>44572</v>
      </c>
      <c r="K402" s="11">
        <v>44572</v>
      </c>
      <c r="L402" s="3">
        <f t="shared" si="12"/>
        <v>1</v>
      </c>
      <c r="M402" s="18" t="s">
        <v>1046</v>
      </c>
      <c r="N402" s="15" t="s">
        <v>1025</v>
      </c>
      <c r="O402" s="8" t="s">
        <v>1047</v>
      </c>
      <c r="P402" s="16" t="s">
        <v>1030</v>
      </c>
      <c r="Q402" s="4" t="str">
        <f t="shared" si="13"/>
        <v>DENTRO DEL TIEMPO</v>
      </c>
    </row>
    <row r="403" spans="1:17" ht="36" x14ac:dyDescent="0.25">
      <c r="A403" s="3">
        <v>396</v>
      </c>
      <c r="B403" s="10" t="s">
        <v>1048</v>
      </c>
      <c r="C403" s="11">
        <v>44571</v>
      </c>
      <c r="D403" s="11">
        <v>44571</v>
      </c>
      <c r="E403" s="12">
        <v>2</v>
      </c>
      <c r="F403" s="13" t="s">
        <v>22</v>
      </c>
      <c r="G403" s="13" t="s">
        <v>1022</v>
      </c>
      <c r="H403" s="17" t="s">
        <v>1023</v>
      </c>
      <c r="I403" s="13" t="s">
        <v>1022</v>
      </c>
      <c r="J403" s="11">
        <v>44572</v>
      </c>
      <c r="K403" s="11">
        <v>44572</v>
      </c>
      <c r="L403" s="3">
        <f t="shared" si="12"/>
        <v>1</v>
      </c>
      <c r="M403" s="18" t="s">
        <v>1049</v>
      </c>
      <c r="N403" s="15" t="s">
        <v>1025</v>
      </c>
      <c r="O403" s="8" t="s">
        <v>1026</v>
      </c>
      <c r="P403" s="16" t="s">
        <v>1030</v>
      </c>
      <c r="Q403" s="4" t="str">
        <f t="shared" si="13"/>
        <v>DENTRO DEL TIEMPO</v>
      </c>
    </row>
    <row r="404" spans="1:17" ht="36" x14ac:dyDescent="0.25">
      <c r="A404" s="3">
        <v>397</v>
      </c>
      <c r="B404" s="10" t="s">
        <v>1050</v>
      </c>
      <c r="C404" s="11">
        <v>44571</v>
      </c>
      <c r="D404" s="11">
        <v>44571</v>
      </c>
      <c r="E404" s="12">
        <v>2</v>
      </c>
      <c r="F404" s="13" t="s">
        <v>22</v>
      </c>
      <c r="G404" s="13" t="s">
        <v>1022</v>
      </c>
      <c r="H404" s="17" t="s">
        <v>1023</v>
      </c>
      <c r="I404" s="17" t="s">
        <v>1022</v>
      </c>
      <c r="J404" s="11">
        <v>44572</v>
      </c>
      <c r="K404" s="11">
        <v>44572</v>
      </c>
      <c r="L404" s="3">
        <f t="shared" si="12"/>
        <v>1</v>
      </c>
      <c r="M404" s="18" t="s">
        <v>1051</v>
      </c>
      <c r="N404" s="15" t="s">
        <v>1025</v>
      </c>
      <c r="O404" s="8" t="s">
        <v>1052</v>
      </c>
      <c r="P404" s="16" t="s">
        <v>1030</v>
      </c>
      <c r="Q404" s="4" t="str">
        <f t="shared" si="13"/>
        <v>DENTRO DEL TIEMPO</v>
      </c>
    </row>
    <row r="405" spans="1:17" ht="36" x14ac:dyDescent="0.25">
      <c r="A405" s="3">
        <v>398</v>
      </c>
      <c r="B405" s="10" t="s">
        <v>1053</v>
      </c>
      <c r="C405" s="11">
        <v>44572</v>
      </c>
      <c r="D405" s="11">
        <v>44572</v>
      </c>
      <c r="E405" s="12">
        <v>2</v>
      </c>
      <c r="F405" s="13" t="s">
        <v>22</v>
      </c>
      <c r="G405" s="13" t="s">
        <v>1022</v>
      </c>
      <c r="H405" s="17" t="s">
        <v>1023</v>
      </c>
      <c r="I405" s="17" t="s">
        <v>1022</v>
      </c>
      <c r="J405" s="11">
        <v>44573</v>
      </c>
      <c r="K405" s="11">
        <v>44573</v>
      </c>
      <c r="L405" s="3">
        <f t="shared" si="12"/>
        <v>1</v>
      </c>
      <c r="M405" s="18" t="s">
        <v>1054</v>
      </c>
      <c r="N405" s="15" t="s">
        <v>1025</v>
      </c>
      <c r="O405" s="8" t="s">
        <v>1055</v>
      </c>
      <c r="P405" s="16" t="s">
        <v>1030</v>
      </c>
      <c r="Q405" s="4" t="str">
        <f t="shared" si="13"/>
        <v>DENTRO DEL TIEMPO</v>
      </c>
    </row>
    <row r="406" spans="1:17" ht="36" x14ac:dyDescent="0.25">
      <c r="A406" s="3">
        <v>399</v>
      </c>
      <c r="B406" s="10" t="s">
        <v>1056</v>
      </c>
      <c r="C406" s="11">
        <v>44572</v>
      </c>
      <c r="D406" s="11">
        <v>44572</v>
      </c>
      <c r="E406" s="12">
        <v>2</v>
      </c>
      <c r="F406" s="13" t="s">
        <v>22</v>
      </c>
      <c r="G406" s="13" t="s">
        <v>1022</v>
      </c>
      <c r="H406" s="17" t="s">
        <v>1023</v>
      </c>
      <c r="I406" s="17" t="s">
        <v>1022</v>
      </c>
      <c r="J406" s="11">
        <v>44573</v>
      </c>
      <c r="K406" s="11">
        <v>44573</v>
      </c>
      <c r="L406" s="3">
        <f t="shared" si="12"/>
        <v>1</v>
      </c>
      <c r="M406" s="18" t="s">
        <v>1057</v>
      </c>
      <c r="N406" s="15" t="s">
        <v>1025</v>
      </c>
      <c r="O406" s="8">
        <v>1103707210</v>
      </c>
      <c r="P406" s="16" t="s">
        <v>1030</v>
      </c>
      <c r="Q406" s="4" t="str">
        <f t="shared" si="13"/>
        <v>DENTRO DEL TIEMPO</v>
      </c>
    </row>
    <row r="407" spans="1:17" ht="36" x14ac:dyDescent="0.25">
      <c r="A407" s="3">
        <v>400</v>
      </c>
      <c r="B407" s="10" t="s">
        <v>1058</v>
      </c>
      <c r="C407" s="11">
        <v>44573</v>
      </c>
      <c r="D407" s="11">
        <v>44573</v>
      </c>
      <c r="E407" s="12">
        <v>102</v>
      </c>
      <c r="F407" s="13" t="s">
        <v>22</v>
      </c>
      <c r="G407" s="13" t="s">
        <v>1022</v>
      </c>
      <c r="H407" s="17" t="s">
        <v>1023</v>
      </c>
      <c r="I407" s="17" t="s">
        <v>1022</v>
      </c>
      <c r="J407" s="11">
        <v>44573</v>
      </c>
      <c r="K407" s="11">
        <v>44573</v>
      </c>
      <c r="L407" s="3">
        <f t="shared" si="12"/>
        <v>0</v>
      </c>
      <c r="M407" s="18" t="s">
        <v>1059</v>
      </c>
      <c r="N407" s="15" t="s">
        <v>1025</v>
      </c>
      <c r="O407" s="8">
        <v>1103707210</v>
      </c>
      <c r="P407" s="16" t="s">
        <v>1030</v>
      </c>
      <c r="Q407" s="4" t="str">
        <f t="shared" si="13"/>
        <v>DENTRO DEL TIEMPO</v>
      </c>
    </row>
    <row r="408" spans="1:17" ht="36" x14ac:dyDescent="0.25">
      <c r="A408" s="3">
        <v>401</v>
      </c>
      <c r="B408" s="10" t="s">
        <v>1060</v>
      </c>
      <c r="C408" s="11">
        <v>44573</v>
      </c>
      <c r="D408" s="11">
        <v>44573</v>
      </c>
      <c r="E408" s="12">
        <v>2</v>
      </c>
      <c r="F408" s="13" t="s">
        <v>22</v>
      </c>
      <c r="G408" s="13" t="s">
        <v>1022</v>
      </c>
      <c r="H408" s="17" t="s">
        <v>1023</v>
      </c>
      <c r="I408" s="17" t="s">
        <v>1022</v>
      </c>
      <c r="J408" s="11">
        <v>44573</v>
      </c>
      <c r="K408" s="11">
        <v>44573</v>
      </c>
      <c r="L408" s="3">
        <f t="shared" si="12"/>
        <v>0</v>
      </c>
      <c r="M408" s="18" t="s">
        <v>1061</v>
      </c>
      <c r="N408" s="15" t="s">
        <v>1025</v>
      </c>
      <c r="O408" s="8" t="s">
        <v>1062</v>
      </c>
      <c r="P408" s="16" t="s">
        <v>1030</v>
      </c>
      <c r="Q408" s="4" t="str">
        <f t="shared" si="13"/>
        <v>DENTRO DEL TIEMPO</v>
      </c>
    </row>
    <row r="409" spans="1:17" ht="36" x14ac:dyDescent="0.25">
      <c r="A409" s="3">
        <v>402</v>
      </c>
      <c r="B409" s="10" t="s">
        <v>1063</v>
      </c>
      <c r="C409" s="11">
        <v>44573</v>
      </c>
      <c r="D409" s="11">
        <v>44573</v>
      </c>
      <c r="E409" s="12">
        <v>40</v>
      </c>
      <c r="F409" s="13" t="s">
        <v>22</v>
      </c>
      <c r="G409" s="13" t="s">
        <v>1022</v>
      </c>
      <c r="H409" s="17" t="s">
        <v>1023</v>
      </c>
      <c r="I409" s="17" t="s">
        <v>1022</v>
      </c>
      <c r="J409" s="11">
        <v>44574</v>
      </c>
      <c r="K409" s="11">
        <v>44574</v>
      </c>
      <c r="L409" s="3">
        <f t="shared" si="12"/>
        <v>1</v>
      </c>
      <c r="M409" s="18" t="s">
        <v>1064</v>
      </c>
      <c r="N409" s="15" t="s">
        <v>1025</v>
      </c>
      <c r="O409" s="8" t="s">
        <v>1026</v>
      </c>
      <c r="P409" s="16" t="s">
        <v>1065</v>
      </c>
      <c r="Q409" s="4" t="str">
        <f t="shared" si="13"/>
        <v>DENTRO DEL TIEMPO</v>
      </c>
    </row>
    <row r="410" spans="1:17" ht="36" x14ac:dyDescent="0.25">
      <c r="A410" s="3">
        <v>403</v>
      </c>
      <c r="B410" s="10" t="s">
        <v>1066</v>
      </c>
      <c r="C410" s="11">
        <v>44574</v>
      </c>
      <c r="D410" s="11">
        <v>44574</v>
      </c>
      <c r="E410" s="12">
        <v>2</v>
      </c>
      <c r="F410" s="13" t="s">
        <v>22</v>
      </c>
      <c r="G410" s="13" t="s">
        <v>1022</v>
      </c>
      <c r="H410" s="17" t="s">
        <v>1023</v>
      </c>
      <c r="I410" s="17" t="s">
        <v>1022</v>
      </c>
      <c r="J410" s="11">
        <v>44575</v>
      </c>
      <c r="K410" s="11">
        <v>44575</v>
      </c>
      <c r="L410" s="3">
        <f t="shared" si="12"/>
        <v>1</v>
      </c>
      <c r="M410" s="18" t="s">
        <v>1067</v>
      </c>
      <c r="N410" s="15" t="s">
        <v>1025</v>
      </c>
      <c r="O410" s="8" t="s">
        <v>1068</v>
      </c>
      <c r="P410" s="16" t="s">
        <v>1030</v>
      </c>
      <c r="Q410" s="4" t="str">
        <f t="shared" si="13"/>
        <v>DENTRO DEL TIEMPO</v>
      </c>
    </row>
    <row r="411" spans="1:17" ht="36" x14ac:dyDescent="0.25">
      <c r="A411" s="3">
        <v>404</v>
      </c>
      <c r="B411" s="10" t="s">
        <v>1069</v>
      </c>
      <c r="C411" s="11">
        <v>44575</v>
      </c>
      <c r="D411" s="11">
        <v>44575</v>
      </c>
      <c r="E411" s="12">
        <v>2</v>
      </c>
      <c r="F411" s="13" t="s">
        <v>22</v>
      </c>
      <c r="G411" s="13" t="s">
        <v>1022</v>
      </c>
      <c r="H411" s="13" t="s">
        <v>1023</v>
      </c>
      <c r="I411" s="17" t="s">
        <v>1022</v>
      </c>
      <c r="J411" s="11">
        <v>44575</v>
      </c>
      <c r="K411" s="11">
        <v>44575</v>
      </c>
      <c r="L411" s="3">
        <f t="shared" si="12"/>
        <v>0</v>
      </c>
      <c r="M411" s="18" t="s">
        <v>1070</v>
      </c>
      <c r="N411" s="15" t="s">
        <v>1025</v>
      </c>
      <c r="O411" s="8" t="s">
        <v>1047</v>
      </c>
      <c r="P411" s="16" t="s">
        <v>1030</v>
      </c>
      <c r="Q411" s="4" t="str">
        <f t="shared" si="13"/>
        <v>DENTRO DEL TIEMPO</v>
      </c>
    </row>
    <row r="412" spans="1:17" ht="36" x14ac:dyDescent="0.25">
      <c r="A412" s="3">
        <v>405</v>
      </c>
      <c r="B412" s="10" t="s">
        <v>1071</v>
      </c>
      <c r="C412" s="11">
        <v>44578</v>
      </c>
      <c r="D412" s="11">
        <v>44578</v>
      </c>
      <c r="E412" s="12">
        <v>2</v>
      </c>
      <c r="F412" s="13" t="s">
        <v>22</v>
      </c>
      <c r="G412" s="13" t="s">
        <v>1072</v>
      </c>
      <c r="H412" s="13" t="s">
        <v>1023</v>
      </c>
      <c r="I412" s="13" t="s">
        <v>1072</v>
      </c>
      <c r="J412" s="19">
        <v>44578</v>
      </c>
      <c r="K412" s="19">
        <v>44578</v>
      </c>
      <c r="L412" s="3">
        <f t="shared" si="12"/>
        <v>0</v>
      </c>
      <c r="M412" s="14" t="s">
        <v>1073</v>
      </c>
      <c r="N412" s="15" t="s">
        <v>1025</v>
      </c>
      <c r="O412" s="8" t="s">
        <v>1026</v>
      </c>
      <c r="P412" s="20" t="s">
        <v>1030</v>
      </c>
      <c r="Q412" s="4" t="str">
        <f t="shared" si="13"/>
        <v>DENTRO DEL TIEMPO</v>
      </c>
    </row>
    <row r="413" spans="1:17" ht="36" x14ac:dyDescent="0.25">
      <c r="A413" s="3">
        <v>406</v>
      </c>
      <c r="B413" s="10" t="s">
        <v>1074</v>
      </c>
      <c r="C413" s="11">
        <v>44579</v>
      </c>
      <c r="D413" s="11">
        <v>44580</v>
      </c>
      <c r="E413" s="12">
        <v>2</v>
      </c>
      <c r="F413" s="13" t="s">
        <v>22</v>
      </c>
      <c r="G413" s="13" t="s">
        <v>1072</v>
      </c>
      <c r="H413" s="13" t="s">
        <v>1023</v>
      </c>
      <c r="I413" s="13" t="s">
        <v>1072</v>
      </c>
      <c r="J413" s="19">
        <v>44580</v>
      </c>
      <c r="K413" s="19">
        <v>44580</v>
      </c>
      <c r="L413" s="3">
        <f t="shared" si="12"/>
        <v>0</v>
      </c>
      <c r="M413" s="14" t="s">
        <v>1075</v>
      </c>
      <c r="N413" s="15" t="s">
        <v>1025</v>
      </c>
      <c r="O413" s="8" t="s">
        <v>1026</v>
      </c>
      <c r="P413" s="20" t="s">
        <v>1030</v>
      </c>
      <c r="Q413" s="4" t="str">
        <f t="shared" si="13"/>
        <v>DENTRO DEL TIEMPO</v>
      </c>
    </row>
    <row r="414" spans="1:17" ht="36" x14ac:dyDescent="0.25">
      <c r="A414" s="3">
        <v>407</v>
      </c>
      <c r="B414" s="10" t="s">
        <v>1076</v>
      </c>
      <c r="C414" s="11">
        <v>44580</v>
      </c>
      <c r="D414" s="11">
        <v>44580</v>
      </c>
      <c r="E414" s="12">
        <v>2</v>
      </c>
      <c r="F414" s="13" t="s">
        <v>22</v>
      </c>
      <c r="G414" s="13" t="s">
        <v>1072</v>
      </c>
      <c r="H414" s="13" t="s">
        <v>1023</v>
      </c>
      <c r="I414" s="13" t="s">
        <v>1072</v>
      </c>
      <c r="J414" s="19">
        <v>44580</v>
      </c>
      <c r="K414" s="19">
        <v>44580</v>
      </c>
      <c r="L414" s="3">
        <f t="shared" si="12"/>
        <v>0</v>
      </c>
      <c r="M414" s="14" t="s">
        <v>1077</v>
      </c>
      <c r="N414" s="15" t="s">
        <v>1025</v>
      </c>
      <c r="O414" s="8" t="s">
        <v>1026</v>
      </c>
      <c r="P414" s="20" t="s">
        <v>1030</v>
      </c>
      <c r="Q414" s="4" t="str">
        <f t="shared" si="13"/>
        <v>DENTRO DEL TIEMPO</v>
      </c>
    </row>
    <row r="415" spans="1:17" ht="36" x14ac:dyDescent="0.25">
      <c r="A415" s="3">
        <v>408</v>
      </c>
      <c r="B415" s="10" t="s">
        <v>1078</v>
      </c>
      <c r="C415" s="11">
        <v>44580</v>
      </c>
      <c r="D415" s="11">
        <v>44580</v>
      </c>
      <c r="E415" s="12">
        <v>2</v>
      </c>
      <c r="F415" s="13" t="s">
        <v>22</v>
      </c>
      <c r="G415" s="13" t="s">
        <v>1072</v>
      </c>
      <c r="H415" s="13" t="s">
        <v>1023</v>
      </c>
      <c r="I415" s="13" t="s">
        <v>1072</v>
      </c>
      <c r="J415" s="19">
        <v>44581</v>
      </c>
      <c r="K415" s="19">
        <v>44581</v>
      </c>
      <c r="L415" s="3">
        <f t="shared" si="12"/>
        <v>1</v>
      </c>
      <c r="M415" s="14" t="s">
        <v>1079</v>
      </c>
      <c r="N415" s="15" t="s">
        <v>1025</v>
      </c>
      <c r="O415" s="8" t="s">
        <v>1026</v>
      </c>
      <c r="P415" s="20" t="s">
        <v>1030</v>
      </c>
      <c r="Q415" s="4" t="str">
        <f t="shared" si="13"/>
        <v>DENTRO DEL TIEMPO</v>
      </c>
    </row>
    <row r="416" spans="1:17" ht="36" x14ac:dyDescent="0.25">
      <c r="A416" s="3">
        <v>409</v>
      </c>
      <c r="B416" s="10" t="s">
        <v>1078</v>
      </c>
      <c r="C416" s="11">
        <v>44580</v>
      </c>
      <c r="D416" s="11">
        <v>44580</v>
      </c>
      <c r="E416" s="12">
        <v>2</v>
      </c>
      <c r="F416" s="13" t="s">
        <v>22</v>
      </c>
      <c r="G416" s="13" t="s">
        <v>1072</v>
      </c>
      <c r="H416" s="13" t="s">
        <v>1023</v>
      </c>
      <c r="I416" s="13" t="s">
        <v>1072</v>
      </c>
      <c r="J416" s="19">
        <v>44581</v>
      </c>
      <c r="K416" s="19">
        <v>44581</v>
      </c>
      <c r="L416" s="3">
        <f t="shared" si="12"/>
        <v>1</v>
      </c>
      <c r="M416" s="14" t="s">
        <v>1080</v>
      </c>
      <c r="N416" s="15" t="s">
        <v>1025</v>
      </c>
      <c r="O416" s="8" t="s">
        <v>1026</v>
      </c>
      <c r="P416" s="20" t="s">
        <v>1030</v>
      </c>
      <c r="Q416" s="4" t="str">
        <f t="shared" si="13"/>
        <v>DENTRO DEL TIEMPO</v>
      </c>
    </row>
    <row r="417" spans="1:17" ht="36" x14ac:dyDescent="0.25">
      <c r="A417" s="3">
        <v>410</v>
      </c>
      <c r="B417" s="10" t="s">
        <v>1081</v>
      </c>
      <c r="C417" s="11">
        <v>44582</v>
      </c>
      <c r="D417" s="11">
        <v>44582</v>
      </c>
      <c r="E417" s="12">
        <v>2</v>
      </c>
      <c r="F417" s="13" t="s">
        <v>22</v>
      </c>
      <c r="G417" s="13" t="s">
        <v>1072</v>
      </c>
      <c r="H417" s="13" t="s">
        <v>1023</v>
      </c>
      <c r="I417" s="13" t="s">
        <v>1072</v>
      </c>
      <c r="J417" s="19">
        <v>44582</v>
      </c>
      <c r="K417" s="19">
        <v>44582</v>
      </c>
      <c r="L417" s="3">
        <f t="shared" si="12"/>
        <v>0</v>
      </c>
      <c r="M417" s="14" t="s">
        <v>1082</v>
      </c>
      <c r="N417" s="15" t="s">
        <v>1025</v>
      </c>
      <c r="O417" s="8" t="s">
        <v>1026</v>
      </c>
      <c r="P417" s="16" t="s">
        <v>1030</v>
      </c>
      <c r="Q417" s="4" t="str">
        <f t="shared" si="13"/>
        <v>DENTRO DEL TIEMPO</v>
      </c>
    </row>
    <row r="418" spans="1:17" ht="36" x14ac:dyDescent="0.25">
      <c r="A418" s="3">
        <v>411</v>
      </c>
      <c r="B418" s="10" t="s">
        <v>1083</v>
      </c>
      <c r="C418" s="11">
        <v>44582</v>
      </c>
      <c r="D418" s="11">
        <v>44582</v>
      </c>
      <c r="E418" s="12">
        <v>2</v>
      </c>
      <c r="F418" s="13" t="s">
        <v>22</v>
      </c>
      <c r="G418" s="13" t="s">
        <v>1072</v>
      </c>
      <c r="H418" s="13" t="s">
        <v>1023</v>
      </c>
      <c r="I418" s="13" t="s">
        <v>1072</v>
      </c>
      <c r="J418" s="11">
        <v>44585</v>
      </c>
      <c r="K418" s="11">
        <v>44585</v>
      </c>
      <c r="L418" s="3">
        <f t="shared" si="12"/>
        <v>1</v>
      </c>
      <c r="M418" s="14" t="s">
        <v>1084</v>
      </c>
      <c r="N418" s="15" t="s">
        <v>1025</v>
      </c>
      <c r="O418" s="8" t="s">
        <v>1047</v>
      </c>
      <c r="P418" s="16" t="s">
        <v>1030</v>
      </c>
      <c r="Q418" s="4" t="str">
        <f t="shared" si="13"/>
        <v>DENTRO DEL TIEMPO</v>
      </c>
    </row>
    <row r="419" spans="1:17" ht="36" x14ac:dyDescent="0.25">
      <c r="A419" s="3">
        <v>412</v>
      </c>
      <c r="B419" s="10" t="s">
        <v>1085</v>
      </c>
      <c r="C419" s="21">
        <v>44585</v>
      </c>
      <c r="D419" s="21">
        <v>44585</v>
      </c>
      <c r="E419" s="22">
        <v>2</v>
      </c>
      <c r="F419" s="13" t="s">
        <v>22</v>
      </c>
      <c r="G419" s="13" t="s">
        <v>1072</v>
      </c>
      <c r="H419" s="13" t="s">
        <v>1023</v>
      </c>
      <c r="I419" s="13" t="s">
        <v>1072</v>
      </c>
      <c r="J419" s="21">
        <v>44585</v>
      </c>
      <c r="K419" s="21">
        <v>44585</v>
      </c>
      <c r="L419" s="3">
        <f t="shared" si="12"/>
        <v>0</v>
      </c>
      <c r="M419" s="14" t="s">
        <v>1086</v>
      </c>
      <c r="N419" s="15" t="s">
        <v>1025</v>
      </c>
      <c r="O419" s="8" t="s">
        <v>1026</v>
      </c>
      <c r="P419" s="22" t="s">
        <v>1030</v>
      </c>
      <c r="Q419" s="4" t="str">
        <f t="shared" si="13"/>
        <v>DENTRO DEL TIEMPO</v>
      </c>
    </row>
    <row r="420" spans="1:17" ht="36" x14ac:dyDescent="0.25">
      <c r="A420" s="3">
        <v>413</v>
      </c>
      <c r="B420" s="10" t="s">
        <v>1087</v>
      </c>
      <c r="C420" s="21">
        <v>44585</v>
      </c>
      <c r="D420" s="21">
        <v>44585</v>
      </c>
      <c r="E420" s="22">
        <v>2</v>
      </c>
      <c r="F420" s="13" t="s">
        <v>22</v>
      </c>
      <c r="G420" s="13" t="s">
        <v>1072</v>
      </c>
      <c r="H420" s="13" t="s">
        <v>1023</v>
      </c>
      <c r="I420" s="13" t="s">
        <v>1072</v>
      </c>
      <c r="J420" s="21">
        <v>44586</v>
      </c>
      <c r="K420" s="21">
        <v>44586</v>
      </c>
      <c r="L420" s="3">
        <f t="shared" si="12"/>
        <v>1</v>
      </c>
      <c r="M420" s="14" t="s">
        <v>1088</v>
      </c>
      <c r="N420" s="15" t="s">
        <v>1025</v>
      </c>
      <c r="O420" s="8" t="s">
        <v>1026</v>
      </c>
      <c r="P420" s="22" t="s">
        <v>1030</v>
      </c>
      <c r="Q420" s="4" t="str">
        <f t="shared" si="13"/>
        <v>DENTRO DEL TIEMPO</v>
      </c>
    </row>
    <row r="421" spans="1:17" ht="36" x14ac:dyDescent="0.25">
      <c r="A421" s="3">
        <v>414</v>
      </c>
      <c r="B421" s="10" t="s">
        <v>1089</v>
      </c>
      <c r="C421" s="21">
        <v>44586</v>
      </c>
      <c r="D421" s="21">
        <v>44586</v>
      </c>
      <c r="E421" s="22">
        <v>2</v>
      </c>
      <c r="F421" s="13" t="s">
        <v>22</v>
      </c>
      <c r="G421" s="13" t="s">
        <v>1072</v>
      </c>
      <c r="H421" s="13" t="s">
        <v>1023</v>
      </c>
      <c r="I421" s="13" t="s">
        <v>1072</v>
      </c>
      <c r="J421" s="21">
        <v>44586</v>
      </c>
      <c r="K421" s="21">
        <v>44586</v>
      </c>
      <c r="L421" s="3">
        <f t="shared" si="12"/>
        <v>0</v>
      </c>
      <c r="M421" s="14" t="s">
        <v>1090</v>
      </c>
      <c r="N421" s="15" t="s">
        <v>1025</v>
      </c>
      <c r="O421" s="8" t="s">
        <v>1026</v>
      </c>
      <c r="P421" s="22" t="s">
        <v>1030</v>
      </c>
      <c r="Q421" s="4" t="str">
        <f t="shared" si="13"/>
        <v>DENTRO DEL TIEMPO</v>
      </c>
    </row>
    <row r="422" spans="1:17" ht="36" x14ac:dyDescent="0.25">
      <c r="A422" s="3">
        <v>415</v>
      </c>
      <c r="B422" s="10" t="s">
        <v>1091</v>
      </c>
      <c r="C422" s="21">
        <v>44588</v>
      </c>
      <c r="D422" s="21">
        <v>44588</v>
      </c>
      <c r="E422" s="22">
        <v>2</v>
      </c>
      <c r="F422" s="13" t="s">
        <v>22</v>
      </c>
      <c r="G422" s="13" t="s">
        <v>1072</v>
      </c>
      <c r="H422" s="13" t="s">
        <v>1023</v>
      </c>
      <c r="I422" s="13" t="s">
        <v>1072</v>
      </c>
      <c r="J422" s="21">
        <v>44588</v>
      </c>
      <c r="K422" s="21">
        <v>44588</v>
      </c>
      <c r="L422" s="3">
        <f t="shared" si="12"/>
        <v>0</v>
      </c>
      <c r="M422" s="14" t="s">
        <v>1092</v>
      </c>
      <c r="N422" s="15" t="s">
        <v>1025</v>
      </c>
      <c r="O422" s="8" t="s">
        <v>1093</v>
      </c>
      <c r="P422" s="22" t="s">
        <v>1030</v>
      </c>
      <c r="Q422" s="4" t="str">
        <f t="shared" si="13"/>
        <v>DENTRO DEL TIEMPO</v>
      </c>
    </row>
    <row r="423" spans="1:17" ht="36" x14ac:dyDescent="0.25">
      <c r="A423" s="3">
        <v>416</v>
      </c>
      <c r="B423" s="10" t="s">
        <v>1094</v>
      </c>
      <c r="C423" s="21">
        <v>44589</v>
      </c>
      <c r="D423" s="21">
        <v>44589</v>
      </c>
      <c r="E423" s="22">
        <v>2</v>
      </c>
      <c r="F423" s="23" t="s">
        <v>22</v>
      </c>
      <c r="G423" s="23" t="s">
        <v>1072</v>
      </c>
      <c r="H423" s="23" t="s">
        <v>1023</v>
      </c>
      <c r="I423" s="22" t="s">
        <v>1072</v>
      </c>
      <c r="J423" s="21">
        <v>44589</v>
      </c>
      <c r="K423" s="21">
        <v>44589</v>
      </c>
      <c r="L423" s="3">
        <f t="shared" si="12"/>
        <v>0</v>
      </c>
      <c r="M423" s="14" t="s">
        <v>1095</v>
      </c>
      <c r="N423" s="22" t="s">
        <v>1025</v>
      </c>
      <c r="O423" s="8" t="s">
        <v>1026</v>
      </c>
      <c r="P423" s="22" t="s">
        <v>1030</v>
      </c>
      <c r="Q423" s="4" t="str">
        <f t="shared" si="13"/>
        <v>DENTRO DEL TIEMPO</v>
      </c>
    </row>
    <row r="424" spans="1:17" ht="36" x14ac:dyDescent="0.25">
      <c r="A424" s="3">
        <v>417</v>
      </c>
      <c r="B424" s="10" t="s">
        <v>1096</v>
      </c>
      <c r="C424" s="21">
        <v>44592</v>
      </c>
      <c r="D424" s="21">
        <v>44592</v>
      </c>
      <c r="E424" s="22">
        <v>2</v>
      </c>
      <c r="F424" s="23" t="s">
        <v>22</v>
      </c>
      <c r="G424" s="23" t="s">
        <v>1072</v>
      </c>
      <c r="H424" s="23" t="s">
        <v>1023</v>
      </c>
      <c r="I424" s="22" t="s">
        <v>1072</v>
      </c>
      <c r="J424" s="21">
        <v>44592</v>
      </c>
      <c r="K424" s="21">
        <v>44592</v>
      </c>
      <c r="L424" s="3">
        <f t="shared" si="12"/>
        <v>0</v>
      </c>
      <c r="M424" s="14" t="s">
        <v>1097</v>
      </c>
      <c r="N424" s="22" t="s">
        <v>1025</v>
      </c>
      <c r="O424" s="8" t="s">
        <v>1026</v>
      </c>
      <c r="P424" s="22" t="s">
        <v>1030</v>
      </c>
      <c r="Q424" s="4" t="str">
        <f t="shared" si="13"/>
        <v>DENTRO DEL TIEMPO</v>
      </c>
    </row>
    <row r="425" spans="1:17" ht="36" x14ac:dyDescent="0.25">
      <c r="A425" s="3">
        <v>418</v>
      </c>
      <c r="B425" s="10" t="s">
        <v>1098</v>
      </c>
      <c r="C425" s="21">
        <v>44592</v>
      </c>
      <c r="D425" s="21">
        <v>44592</v>
      </c>
      <c r="E425" s="22">
        <v>2</v>
      </c>
      <c r="F425" s="23" t="s">
        <v>22</v>
      </c>
      <c r="G425" s="23" t="s">
        <v>1072</v>
      </c>
      <c r="H425" s="23" t="s">
        <v>1023</v>
      </c>
      <c r="I425" s="22" t="s">
        <v>1072</v>
      </c>
      <c r="J425" s="21">
        <v>44592</v>
      </c>
      <c r="K425" s="21">
        <v>44592</v>
      </c>
      <c r="L425" s="3">
        <f t="shared" si="12"/>
        <v>0</v>
      </c>
      <c r="M425" s="14" t="s">
        <v>1099</v>
      </c>
      <c r="N425" s="22" t="s">
        <v>1025</v>
      </c>
      <c r="O425" s="8" t="s">
        <v>1093</v>
      </c>
      <c r="P425" s="22" t="s">
        <v>1030</v>
      </c>
      <c r="Q425" s="4" t="str">
        <f t="shared" si="13"/>
        <v>DENTRO DEL TIEMPO</v>
      </c>
    </row>
    <row r="426" spans="1:17" ht="27" x14ac:dyDescent="0.25">
      <c r="A426" s="3">
        <v>419</v>
      </c>
      <c r="B426" s="10" t="s">
        <v>1100</v>
      </c>
      <c r="C426" s="21">
        <v>44209</v>
      </c>
      <c r="D426" s="21">
        <v>44582</v>
      </c>
      <c r="E426" s="22">
        <v>40</v>
      </c>
      <c r="F426" s="23" t="s">
        <v>22</v>
      </c>
      <c r="G426" s="23" t="s">
        <v>1101</v>
      </c>
      <c r="H426" s="23" t="s">
        <v>1102</v>
      </c>
      <c r="I426" s="22" t="s">
        <v>1101</v>
      </c>
      <c r="J426" s="21">
        <v>44593</v>
      </c>
      <c r="K426" s="21">
        <v>44593</v>
      </c>
      <c r="L426" s="3">
        <f t="shared" si="12"/>
        <v>7</v>
      </c>
      <c r="M426" s="14" t="s">
        <v>1103</v>
      </c>
      <c r="N426" s="22" t="s">
        <v>1104</v>
      </c>
      <c r="O426" s="8" t="s">
        <v>1026</v>
      </c>
      <c r="P426" s="22" t="s">
        <v>1105</v>
      </c>
      <c r="Q426" s="4" t="str">
        <f>IF(L426&gt;15,"FUERA DE TIEMPO","DENTRO DEL TIEMPO")</f>
        <v>DENTRO DEL TIEMPO</v>
      </c>
    </row>
    <row r="427" spans="1:17" ht="27" x14ac:dyDescent="0.25">
      <c r="A427" s="3">
        <v>420</v>
      </c>
      <c r="B427" s="10" t="s">
        <v>1106</v>
      </c>
      <c r="C427" s="21">
        <v>44512</v>
      </c>
      <c r="D427" s="21">
        <v>44586</v>
      </c>
      <c r="E427" s="22">
        <v>9</v>
      </c>
      <c r="F427" s="23" t="s">
        <v>22</v>
      </c>
      <c r="G427" s="23" t="s">
        <v>1101</v>
      </c>
      <c r="H427" s="23" t="s">
        <v>1102</v>
      </c>
      <c r="I427" s="22" t="s">
        <v>1101</v>
      </c>
      <c r="J427" s="21">
        <v>44592</v>
      </c>
      <c r="K427" s="21">
        <v>44592</v>
      </c>
      <c r="L427" s="3">
        <f t="shared" si="12"/>
        <v>4</v>
      </c>
      <c r="M427" s="14" t="s">
        <v>1107</v>
      </c>
      <c r="N427" s="22" t="s">
        <v>1104</v>
      </c>
      <c r="O427" s="8" t="s">
        <v>1026</v>
      </c>
      <c r="P427" s="22" t="s">
        <v>1105</v>
      </c>
      <c r="Q427" s="4" t="str">
        <f t="shared" ref="Q427:Q490" si="14">IF(L427&gt;15,"FUERA DE TIEMPO","DENTRO DEL TIEMPO")</f>
        <v>DENTRO DEL TIEMPO</v>
      </c>
    </row>
    <row r="428" spans="1:17" ht="27" x14ac:dyDescent="0.25">
      <c r="A428" s="3">
        <v>421</v>
      </c>
      <c r="B428" s="10" t="s">
        <v>1108</v>
      </c>
      <c r="C428" s="21">
        <v>44561</v>
      </c>
      <c r="D428" s="21">
        <v>44582</v>
      </c>
      <c r="E428" s="22">
        <v>3</v>
      </c>
      <c r="F428" s="23" t="s">
        <v>22</v>
      </c>
      <c r="G428" s="23" t="s">
        <v>1109</v>
      </c>
      <c r="H428" s="23" t="s">
        <v>1102</v>
      </c>
      <c r="I428" s="22" t="s">
        <v>1109</v>
      </c>
      <c r="J428" s="21">
        <v>44592</v>
      </c>
      <c r="K428" s="21">
        <v>44592</v>
      </c>
      <c r="L428" s="3">
        <f t="shared" si="12"/>
        <v>6</v>
      </c>
      <c r="M428" s="14" t="s">
        <v>1110</v>
      </c>
      <c r="N428" s="22" t="s">
        <v>1104</v>
      </c>
      <c r="O428" s="8" t="s">
        <v>1026</v>
      </c>
      <c r="P428" s="22" t="s">
        <v>1105</v>
      </c>
      <c r="Q428" s="4" t="str">
        <f t="shared" si="14"/>
        <v>DENTRO DEL TIEMPO</v>
      </c>
    </row>
    <row r="429" spans="1:17" ht="27" x14ac:dyDescent="0.25">
      <c r="A429" s="3">
        <v>422</v>
      </c>
      <c r="B429" s="10" t="s">
        <v>1111</v>
      </c>
      <c r="C429" s="21">
        <v>44543</v>
      </c>
      <c r="D429" s="21">
        <v>44586</v>
      </c>
      <c r="E429" s="22">
        <f>24+9</f>
        <v>33</v>
      </c>
      <c r="F429" s="23" t="s">
        <v>22</v>
      </c>
      <c r="G429" s="23" t="s">
        <v>1101</v>
      </c>
      <c r="H429" s="23" t="s">
        <v>1102</v>
      </c>
      <c r="I429" s="22" t="s">
        <v>1101</v>
      </c>
      <c r="J429" s="21">
        <v>44586</v>
      </c>
      <c r="K429" s="21">
        <v>44586</v>
      </c>
      <c r="L429" s="3">
        <f t="shared" si="12"/>
        <v>0</v>
      </c>
      <c r="M429" s="14" t="s">
        <v>1112</v>
      </c>
      <c r="N429" s="22" t="s">
        <v>1104</v>
      </c>
      <c r="O429" s="8" t="s">
        <v>1026</v>
      </c>
      <c r="P429" s="22" t="s">
        <v>1105</v>
      </c>
      <c r="Q429" s="4" t="str">
        <f t="shared" si="14"/>
        <v>DENTRO DEL TIEMPO</v>
      </c>
    </row>
    <row r="430" spans="1:17" ht="27" x14ac:dyDescent="0.25">
      <c r="A430" s="3">
        <v>423</v>
      </c>
      <c r="B430" s="10" t="s">
        <v>1113</v>
      </c>
      <c r="C430" s="21">
        <v>44559</v>
      </c>
      <c r="D430" s="21">
        <v>44585</v>
      </c>
      <c r="E430" s="22">
        <v>43</v>
      </c>
      <c r="F430" s="23" t="s">
        <v>22</v>
      </c>
      <c r="G430" s="23" t="s">
        <v>1101</v>
      </c>
      <c r="H430" s="23" t="s">
        <v>1102</v>
      </c>
      <c r="I430" s="22" t="s">
        <v>1101</v>
      </c>
      <c r="J430" s="21">
        <v>44592</v>
      </c>
      <c r="K430" s="21">
        <v>44592</v>
      </c>
      <c r="L430" s="3">
        <f t="shared" si="12"/>
        <v>5</v>
      </c>
      <c r="M430" s="14" t="s">
        <v>1114</v>
      </c>
      <c r="N430" s="22" t="s">
        <v>1104</v>
      </c>
      <c r="O430" s="8" t="s">
        <v>1026</v>
      </c>
      <c r="P430" s="22" t="s">
        <v>1105</v>
      </c>
      <c r="Q430" s="4" t="str">
        <f t="shared" si="14"/>
        <v>DENTRO DEL TIEMPO</v>
      </c>
    </row>
    <row r="431" spans="1:17" ht="27" x14ac:dyDescent="0.25">
      <c r="A431" s="3">
        <v>424</v>
      </c>
      <c r="B431" s="10" t="s">
        <v>1115</v>
      </c>
      <c r="C431" s="21">
        <v>44564</v>
      </c>
      <c r="D431" s="21">
        <v>44566</v>
      </c>
      <c r="E431" s="22">
        <v>4</v>
      </c>
      <c r="F431" s="23" t="s">
        <v>22</v>
      </c>
      <c r="G431" s="23" t="s">
        <v>1101</v>
      </c>
      <c r="H431" s="23" t="s">
        <v>1102</v>
      </c>
      <c r="I431" s="22" t="s">
        <v>1101</v>
      </c>
      <c r="J431" s="21">
        <v>44566</v>
      </c>
      <c r="K431" s="21">
        <v>44566</v>
      </c>
      <c r="L431" s="3">
        <f t="shared" si="12"/>
        <v>0</v>
      </c>
      <c r="M431" s="14" t="s">
        <v>1116</v>
      </c>
      <c r="N431" s="22" t="s">
        <v>1104</v>
      </c>
      <c r="O431" s="8" t="s">
        <v>1026</v>
      </c>
      <c r="P431" s="22" t="s">
        <v>1105</v>
      </c>
      <c r="Q431" s="4" t="str">
        <f t="shared" si="14"/>
        <v>DENTRO DEL TIEMPO</v>
      </c>
    </row>
    <row r="432" spans="1:17" ht="27" x14ac:dyDescent="0.25">
      <c r="A432" s="3">
        <v>425</v>
      </c>
      <c r="B432" s="10" t="s">
        <v>1117</v>
      </c>
      <c r="C432" s="21">
        <v>44565</v>
      </c>
      <c r="D432" s="21">
        <v>44592</v>
      </c>
      <c r="E432" s="22">
        <v>118</v>
      </c>
      <c r="F432" s="23" t="s">
        <v>22</v>
      </c>
      <c r="G432" s="23" t="s">
        <v>1101</v>
      </c>
      <c r="H432" s="23" t="s">
        <v>1102</v>
      </c>
      <c r="I432" s="22" t="s">
        <v>1101</v>
      </c>
      <c r="J432" s="21">
        <v>44601</v>
      </c>
      <c r="K432" s="21">
        <v>44601</v>
      </c>
      <c r="L432" s="3">
        <f t="shared" si="12"/>
        <v>7</v>
      </c>
      <c r="M432" s="14" t="s">
        <v>1118</v>
      </c>
      <c r="N432" s="22" t="s">
        <v>1104</v>
      </c>
      <c r="O432" s="8" t="s">
        <v>1026</v>
      </c>
      <c r="P432" s="22" t="s">
        <v>1105</v>
      </c>
      <c r="Q432" s="4" t="str">
        <f t="shared" si="14"/>
        <v>DENTRO DEL TIEMPO</v>
      </c>
    </row>
    <row r="433" spans="1:17" ht="27" x14ac:dyDescent="0.25">
      <c r="A433" s="3">
        <v>426</v>
      </c>
      <c r="B433" s="10" t="s">
        <v>1119</v>
      </c>
      <c r="C433" s="21">
        <v>44565</v>
      </c>
      <c r="D433" s="21">
        <v>44565</v>
      </c>
      <c r="E433" s="22">
        <v>70</v>
      </c>
      <c r="F433" s="23" t="s">
        <v>22</v>
      </c>
      <c r="G433" s="23" t="s">
        <v>1101</v>
      </c>
      <c r="H433" s="23" t="s">
        <v>1102</v>
      </c>
      <c r="I433" s="22" t="s">
        <v>1101</v>
      </c>
      <c r="J433" s="21">
        <v>44567</v>
      </c>
      <c r="K433" s="21">
        <v>44567</v>
      </c>
      <c r="L433" s="3">
        <f t="shared" si="12"/>
        <v>2</v>
      </c>
      <c r="M433" s="14" t="s">
        <v>1120</v>
      </c>
      <c r="N433" s="22" t="s">
        <v>1104</v>
      </c>
      <c r="O433" s="8" t="s">
        <v>1026</v>
      </c>
      <c r="P433" s="22" t="s">
        <v>1105</v>
      </c>
      <c r="Q433" s="4" t="str">
        <f t="shared" si="14"/>
        <v>DENTRO DEL TIEMPO</v>
      </c>
    </row>
    <row r="434" spans="1:17" ht="27" x14ac:dyDescent="0.25">
      <c r="A434" s="3">
        <v>427</v>
      </c>
      <c r="B434" s="10" t="s">
        <v>1121</v>
      </c>
      <c r="C434" s="21">
        <v>44574</v>
      </c>
      <c r="D434" s="21">
        <v>44574</v>
      </c>
      <c r="E434" s="22">
        <v>275</v>
      </c>
      <c r="F434" s="23" t="s">
        <v>22</v>
      </c>
      <c r="G434" s="23" t="s">
        <v>1101</v>
      </c>
      <c r="H434" s="23" t="s">
        <v>1102</v>
      </c>
      <c r="I434" s="22" t="s">
        <v>1101</v>
      </c>
      <c r="J434" s="21">
        <v>44574</v>
      </c>
      <c r="K434" s="21">
        <v>44574</v>
      </c>
      <c r="L434" s="3">
        <f t="shared" si="12"/>
        <v>0</v>
      </c>
      <c r="M434" s="14" t="s">
        <v>1122</v>
      </c>
      <c r="N434" s="22" t="s">
        <v>1104</v>
      </c>
      <c r="O434" s="8" t="s">
        <v>1026</v>
      </c>
      <c r="P434" s="22" t="s">
        <v>1105</v>
      </c>
      <c r="Q434" s="4" t="str">
        <f t="shared" si="14"/>
        <v>DENTRO DEL TIEMPO</v>
      </c>
    </row>
    <row r="435" spans="1:17" ht="27" x14ac:dyDescent="0.25">
      <c r="A435" s="3">
        <v>428</v>
      </c>
      <c r="B435" s="10" t="s">
        <v>1123</v>
      </c>
      <c r="C435" s="21">
        <v>44566</v>
      </c>
      <c r="D435" s="21">
        <v>44573</v>
      </c>
      <c r="E435" s="22">
        <v>31</v>
      </c>
      <c r="F435" s="23" t="s">
        <v>22</v>
      </c>
      <c r="G435" s="23" t="s">
        <v>1101</v>
      </c>
      <c r="H435" s="23" t="s">
        <v>1102</v>
      </c>
      <c r="I435" s="22" t="s">
        <v>1101</v>
      </c>
      <c r="J435" s="21">
        <v>44574</v>
      </c>
      <c r="K435" s="21">
        <v>44574</v>
      </c>
      <c r="L435" s="3">
        <f t="shared" si="12"/>
        <v>1</v>
      </c>
      <c r="M435" s="14" t="s">
        <v>1124</v>
      </c>
      <c r="N435" s="22" t="s">
        <v>1104</v>
      </c>
      <c r="O435" s="8" t="s">
        <v>1026</v>
      </c>
      <c r="P435" s="22" t="s">
        <v>1105</v>
      </c>
      <c r="Q435" s="4" t="str">
        <f t="shared" si="14"/>
        <v>DENTRO DEL TIEMPO</v>
      </c>
    </row>
    <row r="436" spans="1:17" ht="27" x14ac:dyDescent="0.25">
      <c r="A436" s="3">
        <v>429</v>
      </c>
      <c r="B436" s="10" t="s">
        <v>1125</v>
      </c>
      <c r="C436" s="21">
        <v>44566</v>
      </c>
      <c r="D436" s="21">
        <v>44589</v>
      </c>
      <c r="E436" s="22">
        <v>102</v>
      </c>
      <c r="F436" s="23" t="s">
        <v>22</v>
      </c>
      <c r="G436" s="23" t="s">
        <v>1101</v>
      </c>
      <c r="H436" s="23" t="s">
        <v>1102</v>
      </c>
      <c r="I436" s="22" t="s">
        <v>1101</v>
      </c>
      <c r="J436" s="21">
        <v>44592</v>
      </c>
      <c r="K436" s="21">
        <v>44592</v>
      </c>
      <c r="L436" s="3">
        <f t="shared" si="12"/>
        <v>1</v>
      </c>
      <c r="M436" s="14" t="s">
        <v>1126</v>
      </c>
      <c r="N436" s="22" t="s">
        <v>1104</v>
      </c>
      <c r="O436" s="8" t="s">
        <v>1026</v>
      </c>
      <c r="P436" s="22" t="s">
        <v>1105</v>
      </c>
      <c r="Q436" s="4" t="str">
        <f t="shared" si="14"/>
        <v>DENTRO DEL TIEMPO</v>
      </c>
    </row>
    <row r="437" spans="1:17" ht="27" x14ac:dyDescent="0.25">
      <c r="A437" s="3">
        <v>430</v>
      </c>
      <c r="B437" s="10" t="s">
        <v>1127</v>
      </c>
      <c r="C437" s="21">
        <v>44566</v>
      </c>
      <c r="D437" s="21">
        <v>44582</v>
      </c>
      <c r="E437" s="22">
        <v>1</v>
      </c>
      <c r="F437" s="23" t="s">
        <v>22</v>
      </c>
      <c r="G437" s="23" t="s">
        <v>1101</v>
      </c>
      <c r="H437" s="23" t="s">
        <v>1102</v>
      </c>
      <c r="I437" s="22" t="s">
        <v>1101</v>
      </c>
      <c r="J437" s="21">
        <v>44587</v>
      </c>
      <c r="K437" s="21">
        <v>44587</v>
      </c>
      <c r="L437" s="3">
        <f t="shared" si="12"/>
        <v>3</v>
      </c>
      <c r="M437" s="14" t="s">
        <v>1128</v>
      </c>
      <c r="N437" s="22" t="s">
        <v>1104</v>
      </c>
      <c r="O437" s="8" t="s">
        <v>1026</v>
      </c>
      <c r="P437" s="22" t="s">
        <v>1105</v>
      </c>
      <c r="Q437" s="4" t="str">
        <f t="shared" si="14"/>
        <v>DENTRO DEL TIEMPO</v>
      </c>
    </row>
    <row r="438" spans="1:17" ht="27" x14ac:dyDescent="0.25">
      <c r="A438" s="3">
        <v>431</v>
      </c>
      <c r="B438" s="10" t="s">
        <v>1129</v>
      </c>
      <c r="C438" s="21">
        <v>44567</v>
      </c>
      <c r="D438" s="21">
        <v>44567</v>
      </c>
      <c r="E438" s="22">
        <v>3</v>
      </c>
      <c r="F438" s="23" t="s">
        <v>22</v>
      </c>
      <c r="G438" s="23" t="s">
        <v>1101</v>
      </c>
      <c r="H438" s="23" t="s">
        <v>1102</v>
      </c>
      <c r="I438" s="22" t="s">
        <v>1101</v>
      </c>
      <c r="J438" s="21">
        <v>44568</v>
      </c>
      <c r="K438" s="21">
        <v>44568</v>
      </c>
      <c r="L438" s="3">
        <f t="shared" si="12"/>
        <v>1</v>
      </c>
      <c r="M438" s="14" t="s">
        <v>1130</v>
      </c>
      <c r="N438" s="22" t="s">
        <v>1104</v>
      </c>
      <c r="O438" s="8" t="s">
        <v>1026</v>
      </c>
      <c r="P438" s="22" t="s">
        <v>1105</v>
      </c>
      <c r="Q438" s="4" t="str">
        <f t="shared" si="14"/>
        <v>DENTRO DEL TIEMPO</v>
      </c>
    </row>
    <row r="439" spans="1:17" ht="27" x14ac:dyDescent="0.25">
      <c r="A439" s="3">
        <v>432</v>
      </c>
      <c r="B439" s="10" t="s">
        <v>1131</v>
      </c>
      <c r="C439" s="21">
        <v>44571</v>
      </c>
      <c r="D439" s="21">
        <v>44571</v>
      </c>
      <c r="E439" s="22">
        <v>4</v>
      </c>
      <c r="F439" s="23" t="s">
        <v>22</v>
      </c>
      <c r="G439" s="23" t="s">
        <v>1101</v>
      </c>
      <c r="H439" s="23" t="s">
        <v>1102</v>
      </c>
      <c r="I439" s="22" t="s">
        <v>1101</v>
      </c>
      <c r="J439" s="21">
        <v>44574</v>
      </c>
      <c r="K439" s="21">
        <v>44574</v>
      </c>
      <c r="L439" s="3">
        <f t="shared" si="12"/>
        <v>3</v>
      </c>
      <c r="M439" s="14" t="s">
        <v>1132</v>
      </c>
      <c r="N439" s="22" t="s">
        <v>1104</v>
      </c>
      <c r="O439" s="8" t="s">
        <v>1133</v>
      </c>
      <c r="P439" s="22" t="s">
        <v>1105</v>
      </c>
      <c r="Q439" s="4" t="str">
        <f t="shared" si="14"/>
        <v>DENTRO DEL TIEMPO</v>
      </c>
    </row>
    <row r="440" spans="1:17" ht="27" x14ac:dyDescent="0.25">
      <c r="A440" s="3">
        <v>433</v>
      </c>
      <c r="B440" s="10" t="s">
        <v>1134</v>
      </c>
      <c r="C440" s="21">
        <v>44571</v>
      </c>
      <c r="D440" s="21">
        <v>44571</v>
      </c>
      <c r="E440" s="22">
        <v>6</v>
      </c>
      <c r="F440" s="23" t="s">
        <v>22</v>
      </c>
      <c r="G440" s="23" t="s">
        <v>1101</v>
      </c>
      <c r="H440" s="23" t="s">
        <v>1102</v>
      </c>
      <c r="I440" s="22" t="s">
        <v>1101</v>
      </c>
      <c r="J440" s="21">
        <v>44574</v>
      </c>
      <c r="K440" s="21">
        <v>44574</v>
      </c>
      <c r="L440" s="3">
        <f t="shared" si="12"/>
        <v>3</v>
      </c>
      <c r="M440" s="14" t="s">
        <v>1135</v>
      </c>
      <c r="N440" s="22" t="s">
        <v>1104</v>
      </c>
      <c r="O440" s="8" t="s">
        <v>1026</v>
      </c>
      <c r="P440" s="22" t="s">
        <v>1105</v>
      </c>
      <c r="Q440" s="4" t="str">
        <f t="shared" si="14"/>
        <v>DENTRO DEL TIEMPO</v>
      </c>
    </row>
    <row r="441" spans="1:17" ht="27" x14ac:dyDescent="0.25">
      <c r="A441" s="3">
        <v>434</v>
      </c>
      <c r="B441" s="10" t="s">
        <v>1136</v>
      </c>
      <c r="C441" s="21">
        <v>44574</v>
      </c>
      <c r="D441" s="21">
        <v>44574</v>
      </c>
      <c r="E441" s="22">
        <v>2</v>
      </c>
      <c r="F441" s="23" t="s">
        <v>22</v>
      </c>
      <c r="G441" s="23" t="s">
        <v>1101</v>
      </c>
      <c r="H441" s="23" t="s">
        <v>1102</v>
      </c>
      <c r="I441" s="22" t="s">
        <v>1101</v>
      </c>
      <c r="J441" s="21">
        <v>44575</v>
      </c>
      <c r="K441" s="21">
        <v>44575</v>
      </c>
      <c r="L441" s="3">
        <f t="shared" si="12"/>
        <v>1</v>
      </c>
      <c r="M441" s="14" t="s">
        <v>1137</v>
      </c>
      <c r="N441" s="22" t="s">
        <v>1104</v>
      </c>
      <c r="O441" s="8" t="s">
        <v>1026</v>
      </c>
      <c r="P441" s="22" t="s">
        <v>1105</v>
      </c>
      <c r="Q441" s="4" t="str">
        <f t="shared" si="14"/>
        <v>DENTRO DEL TIEMPO</v>
      </c>
    </row>
    <row r="442" spans="1:17" ht="27" x14ac:dyDescent="0.25">
      <c r="A442" s="3">
        <v>435</v>
      </c>
      <c r="B442" s="10" t="s">
        <v>1138</v>
      </c>
      <c r="C442" s="21">
        <v>44574</v>
      </c>
      <c r="D442" s="21">
        <v>44579</v>
      </c>
      <c r="E442" s="22">
        <v>1</v>
      </c>
      <c r="F442" s="23" t="s">
        <v>22</v>
      </c>
      <c r="G442" s="23" t="s">
        <v>1101</v>
      </c>
      <c r="H442" s="23" t="s">
        <v>1102</v>
      </c>
      <c r="I442" s="22" t="s">
        <v>1101</v>
      </c>
      <c r="J442" s="21">
        <v>44592</v>
      </c>
      <c r="K442" s="21">
        <v>44592</v>
      </c>
      <c r="L442" s="3">
        <f t="shared" si="12"/>
        <v>9</v>
      </c>
      <c r="M442" s="14" t="s">
        <v>1139</v>
      </c>
      <c r="N442" s="22" t="s">
        <v>1104</v>
      </c>
      <c r="O442" s="8" t="s">
        <v>1026</v>
      </c>
      <c r="P442" s="22" t="s">
        <v>1105</v>
      </c>
      <c r="Q442" s="4" t="str">
        <f t="shared" si="14"/>
        <v>DENTRO DEL TIEMPO</v>
      </c>
    </row>
    <row r="443" spans="1:17" ht="27" x14ac:dyDescent="0.25">
      <c r="A443" s="3">
        <v>436</v>
      </c>
      <c r="B443" s="10" t="s">
        <v>1140</v>
      </c>
      <c r="C443" s="21">
        <v>44574</v>
      </c>
      <c r="D443" s="21">
        <v>44574</v>
      </c>
      <c r="E443" s="22">
        <v>74</v>
      </c>
      <c r="F443" s="23" t="s">
        <v>22</v>
      </c>
      <c r="G443" s="23" t="s">
        <v>1101</v>
      </c>
      <c r="H443" s="23" t="s">
        <v>1102</v>
      </c>
      <c r="I443" s="22" t="s">
        <v>1101</v>
      </c>
      <c r="J443" s="21">
        <v>44574</v>
      </c>
      <c r="K443" s="21">
        <v>44574</v>
      </c>
      <c r="L443" s="3">
        <f t="shared" si="12"/>
        <v>0</v>
      </c>
      <c r="M443" s="14" t="s">
        <v>1141</v>
      </c>
      <c r="N443" s="22" t="s">
        <v>1104</v>
      </c>
      <c r="O443" s="8" t="s">
        <v>1026</v>
      </c>
      <c r="P443" s="22" t="s">
        <v>1105</v>
      </c>
      <c r="Q443" s="4" t="str">
        <f t="shared" si="14"/>
        <v>DENTRO DEL TIEMPO</v>
      </c>
    </row>
    <row r="444" spans="1:17" ht="27" x14ac:dyDescent="0.25">
      <c r="A444" s="3">
        <v>437</v>
      </c>
      <c r="B444" s="10" t="s">
        <v>1142</v>
      </c>
      <c r="C444" s="21">
        <v>44573</v>
      </c>
      <c r="D444" s="21">
        <v>44573</v>
      </c>
      <c r="E444" s="22">
        <v>1</v>
      </c>
      <c r="F444" s="23" t="s">
        <v>22</v>
      </c>
      <c r="G444" s="23" t="s">
        <v>1101</v>
      </c>
      <c r="H444" s="23" t="s">
        <v>1102</v>
      </c>
      <c r="I444" s="22" t="s">
        <v>1101</v>
      </c>
      <c r="J444" s="21">
        <v>44578</v>
      </c>
      <c r="K444" s="21">
        <v>44578</v>
      </c>
      <c r="L444" s="3">
        <f t="shared" si="12"/>
        <v>3</v>
      </c>
      <c r="M444" s="14" t="s">
        <v>1143</v>
      </c>
      <c r="N444" s="22" t="s">
        <v>1104</v>
      </c>
      <c r="O444" s="8" t="s">
        <v>1026</v>
      </c>
      <c r="P444" s="22" t="s">
        <v>1105</v>
      </c>
      <c r="Q444" s="4" t="str">
        <f t="shared" si="14"/>
        <v>DENTRO DEL TIEMPO</v>
      </c>
    </row>
    <row r="445" spans="1:17" ht="27" x14ac:dyDescent="0.25">
      <c r="A445" s="3">
        <v>438</v>
      </c>
      <c r="B445" s="10" t="s">
        <v>1144</v>
      </c>
      <c r="C445" s="21">
        <v>44574</v>
      </c>
      <c r="D445" s="21">
        <v>44574</v>
      </c>
      <c r="E445" s="22">
        <v>11</v>
      </c>
      <c r="F445" s="23" t="s">
        <v>22</v>
      </c>
      <c r="G445" s="23" t="s">
        <v>1101</v>
      </c>
      <c r="H445" s="23" t="s">
        <v>1102</v>
      </c>
      <c r="I445" s="22" t="s">
        <v>1101</v>
      </c>
      <c r="J445" s="21">
        <v>44575</v>
      </c>
      <c r="K445" s="21">
        <v>44575</v>
      </c>
      <c r="L445" s="3">
        <f t="shared" si="12"/>
        <v>1</v>
      </c>
      <c r="M445" s="14" t="s">
        <v>1145</v>
      </c>
      <c r="N445" s="22" t="s">
        <v>1104</v>
      </c>
      <c r="O445" s="8" t="s">
        <v>1133</v>
      </c>
      <c r="P445" s="22" t="s">
        <v>1105</v>
      </c>
      <c r="Q445" s="4" t="str">
        <f t="shared" si="14"/>
        <v>DENTRO DEL TIEMPO</v>
      </c>
    </row>
    <row r="446" spans="1:17" ht="27" x14ac:dyDescent="0.25">
      <c r="A446" s="3">
        <v>439</v>
      </c>
      <c r="B446" s="10" t="s">
        <v>1146</v>
      </c>
      <c r="C446" s="21">
        <v>44573</v>
      </c>
      <c r="D446" s="21">
        <v>44573</v>
      </c>
      <c r="E446" s="22">
        <v>1</v>
      </c>
      <c r="F446" s="23" t="s">
        <v>22</v>
      </c>
      <c r="G446" s="23" t="s">
        <v>1101</v>
      </c>
      <c r="H446" s="23" t="s">
        <v>1102</v>
      </c>
      <c r="I446" s="22" t="s">
        <v>1101</v>
      </c>
      <c r="J446" s="21">
        <v>44578</v>
      </c>
      <c r="K446" s="21">
        <v>44578</v>
      </c>
      <c r="L446" s="3">
        <f t="shared" si="12"/>
        <v>3</v>
      </c>
      <c r="M446" s="14" t="s">
        <v>1147</v>
      </c>
      <c r="N446" s="22" t="s">
        <v>1104</v>
      </c>
      <c r="O446" s="8" t="s">
        <v>1026</v>
      </c>
      <c r="P446" s="22" t="s">
        <v>1105</v>
      </c>
      <c r="Q446" s="4" t="str">
        <f t="shared" si="14"/>
        <v>DENTRO DEL TIEMPO</v>
      </c>
    </row>
    <row r="447" spans="1:17" ht="27" x14ac:dyDescent="0.25">
      <c r="A447" s="3">
        <v>440</v>
      </c>
      <c r="B447" s="10" t="s">
        <v>1148</v>
      </c>
      <c r="C447" s="21">
        <v>44573</v>
      </c>
      <c r="D447" s="21">
        <v>44573</v>
      </c>
      <c r="E447" s="22">
        <v>1</v>
      </c>
      <c r="F447" s="23" t="s">
        <v>22</v>
      </c>
      <c r="G447" s="23" t="s">
        <v>1101</v>
      </c>
      <c r="H447" s="23" t="s">
        <v>1102</v>
      </c>
      <c r="I447" s="22" t="s">
        <v>1101</v>
      </c>
      <c r="J447" s="21">
        <v>44578</v>
      </c>
      <c r="K447" s="21">
        <v>44578</v>
      </c>
      <c r="L447" s="3">
        <f t="shared" si="12"/>
        <v>3</v>
      </c>
      <c r="M447" s="14" t="s">
        <v>1149</v>
      </c>
      <c r="N447" s="22" t="s">
        <v>1104</v>
      </c>
      <c r="O447" s="8" t="s">
        <v>1133</v>
      </c>
      <c r="P447" s="22" t="s">
        <v>1105</v>
      </c>
      <c r="Q447" s="4" t="str">
        <f t="shared" si="14"/>
        <v>DENTRO DEL TIEMPO</v>
      </c>
    </row>
    <row r="448" spans="1:17" ht="27" x14ac:dyDescent="0.25">
      <c r="A448" s="3">
        <v>441</v>
      </c>
      <c r="B448" s="10" t="s">
        <v>1150</v>
      </c>
      <c r="C448" s="21">
        <v>44573</v>
      </c>
      <c r="D448" s="21">
        <v>44573</v>
      </c>
      <c r="E448" s="22">
        <v>1</v>
      </c>
      <c r="F448" s="23" t="s">
        <v>22</v>
      </c>
      <c r="G448" s="23" t="s">
        <v>1101</v>
      </c>
      <c r="H448" s="23" t="s">
        <v>1102</v>
      </c>
      <c r="I448" s="22" t="s">
        <v>1101</v>
      </c>
      <c r="J448" s="21">
        <v>44578</v>
      </c>
      <c r="K448" s="21">
        <v>44578</v>
      </c>
      <c r="L448" s="3">
        <f t="shared" si="12"/>
        <v>3</v>
      </c>
      <c r="M448" s="14" t="s">
        <v>1151</v>
      </c>
      <c r="N448" s="22" t="s">
        <v>1104</v>
      </c>
      <c r="O448" s="8" t="s">
        <v>1133</v>
      </c>
      <c r="P448" s="22" t="s">
        <v>1105</v>
      </c>
      <c r="Q448" s="4" t="str">
        <f t="shared" si="14"/>
        <v>DENTRO DEL TIEMPO</v>
      </c>
    </row>
    <row r="449" spans="1:17" ht="27" x14ac:dyDescent="0.25">
      <c r="A449" s="3">
        <v>442</v>
      </c>
      <c r="B449" s="10" t="s">
        <v>1152</v>
      </c>
      <c r="C449" s="21">
        <v>44573</v>
      </c>
      <c r="D449" s="21">
        <v>44573</v>
      </c>
      <c r="E449" s="22">
        <v>1</v>
      </c>
      <c r="F449" s="23" t="s">
        <v>22</v>
      </c>
      <c r="G449" s="23" t="s">
        <v>1101</v>
      </c>
      <c r="H449" s="23" t="s">
        <v>1102</v>
      </c>
      <c r="I449" s="22" t="s">
        <v>1101</v>
      </c>
      <c r="J449" s="21">
        <v>44578</v>
      </c>
      <c r="K449" s="21">
        <v>44578</v>
      </c>
      <c r="L449" s="3">
        <f t="shared" si="12"/>
        <v>3</v>
      </c>
      <c r="M449" s="14" t="s">
        <v>1153</v>
      </c>
      <c r="N449" s="22" t="s">
        <v>1104</v>
      </c>
      <c r="O449" s="8" t="s">
        <v>1133</v>
      </c>
      <c r="P449" s="22" t="s">
        <v>1105</v>
      </c>
      <c r="Q449" s="4" t="str">
        <f t="shared" si="14"/>
        <v>DENTRO DEL TIEMPO</v>
      </c>
    </row>
    <row r="450" spans="1:17" ht="27" x14ac:dyDescent="0.25">
      <c r="A450" s="3">
        <v>443</v>
      </c>
      <c r="B450" s="10" t="s">
        <v>1154</v>
      </c>
      <c r="C450" s="21" t="s">
        <v>1154</v>
      </c>
      <c r="D450" s="21">
        <v>44573</v>
      </c>
      <c r="E450" s="22">
        <v>1</v>
      </c>
      <c r="F450" s="23" t="s">
        <v>22</v>
      </c>
      <c r="G450" s="23" t="s">
        <v>1101</v>
      </c>
      <c r="H450" s="23" t="s">
        <v>1102</v>
      </c>
      <c r="I450" s="22" t="s">
        <v>1101</v>
      </c>
      <c r="J450" s="21">
        <v>44578</v>
      </c>
      <c r="K450" s="21">
        <v>44578</v>
      </c>
      <c r="L450" s="3">
        <f t="shared" si="12"/>
        <v>3</v>
      </c>
      <c r="M450" s="14" t="s">
        <v>1155</v>
      </c>
      <c r="N450" s="22" t="s">
        <v>1104</v>
      </c>
      <c r="O450" s="8" t="s">
        <v>1133</v>
      </c>
      <c r="P450" s="22" t="s">
        <v>1105</v>
      </c>
      <c r="Q450" s="4" t="str">
        <f t="shared" si="14"/>
        <v>DENTRO DEL TIEMPO</v>
      </c>
    </row>
    <row r="451" spans="1:17" ht="27" x14ac:dyDescent="0.25">
      <c r="A451" s="3">
        <v>444</v>
      </c>
      <c r="B451" s="10" t="s">
        <v>1156</v>
      </c>
      <c r="C451" s="21">
        <v>44573</v>
      </c>
      <c r="D451" s="21">
        <v>44573</v>
      </c>
      <c r="E451" s="22">
        <v>1</v>
      </c>
      <c r="F451" s="23" t="s">
        <v>22</v>
      </c>
      <c r="G451" s="23" t="s">
        <v>1101</v>
      </c>
      <c r="H451" s="23" t="s">
        <v>1102</v>
      </c>
      <c r="I451" s="22" t="s">
        <v>1101</v>
      </c>
      <c r="J451" s="21">
        <v>44579</v>
      </c>
      <c r="K451" s="21">
        <v>44579</v>
      </c>
      <c r="L451" s="3">
        <f t="shared" si="12"/>
        <v>4</v>
      </c>
      <c r="M451" s="14" t="s">
        <v>1157</v>
      </c>
      <c r="N451" s="22" t="s">
        <v>1104</v>
      </c>
      <c r="O451" s="8" t="s">
        <v>1133</v>
      </c>
      <c r="P451" s="22" t="s">
        <v>1105</v>
      </c>
      <c r="Q451" s="4" t="str">
        <f t="shared" si="14"/>
        <v>DENTRO DEL TIEMPO</v>
      </c>
    </row>
    <row r="452" spans="1:17" ht="27" x14ac:dyDescent="0.25">
      <c r="A452" s="3">
        <v>445</v>
      </c>
      <c r="B452" s="10" t="s">
        <v>1158</v>
      </c>
      <c r="C452" s="21">
        <v>44573</v>
      </c>
      <c r="D452" s="21">
        <v>44573</v>
      </c>
      <c r="E452" s="22">
        <v>3</v>
      </c>
      <c r="F452" s="23" t="s">
        <v>22</v>
      </c>
      <c r="G452" s="23" t="s">
        <v>1159</v>
      </c>
      <c r="H452" s="23" t="s">
        <v>1102</v>
      </c>
      <c r="I452" s="22" t="s">
        <v>1159</v>
      </c>
      <c r="J452" s="21">
        <v>44579</v>
      </c>
      <c r="K452" s="21">
        <v>44579</v>
      </c>
      <c r="L452" s="3">
        <f t="shared" si="12"/>
        <v>4</v>
      </c>
      <c r="M452" s="14" t="s">
        <v>1160</v>
      </c>
      <c r="N452" s="22" t="s">
        <v>1104</v>
      </c>
      <c r="O452" s="8" t="s">
        <v>1133</v>
      </c>
      <c r="P452" s="22" t="s">
        <v>1105</v>
      </c>
      <c r="Q452" s="4" t="str">
        <f t="shared" si="14"/>
        <v>DENTRO DEL TIEMPO</v>
      </c>
    </row>
    <row r="453" spans="1:17" ht="27" x14ac:dyDescent="0.25">
      <c r="A453" s="3">
        <v>446</v>
      </c>
      <c r="B453" s="10" t="s">
        <v>1161</v>
      </c>
      <c r="C453" s="21">
        <v>44575</v>
      </c>
      <c r="D453" s="21">
        <v>44575</v>
      </c>
      <c r="E453" s="22">
        <v>1</v>
      </c>
      <c r="F453" s="23" t="s">
        <v>22</v>
      </c>
      <c r="G453" s="23" t="s">
        <v>1101</v>
      </c>
      <c r="H453" s="23" t="s">
        <v>1102</v>
      </c>
      <c r="I453" s="22" t="s">
        <v>1101</v>
      </c>
      <c r="J453" s="21">
        <v>44579</v>
      </c>
      <c r="K453" s="21">
        <v>44579</v>
      </c>
      <c r="L453" s="3">
        <f t="shared" si="12"/>
        <v>2</v>
      </c>
      <c r="M453" s="14" t="s">
        <v>1162</v>
      </c>
      <c r="N453" s="22" t="s">
        <v>1104</v>
      </c>
      <c r="O453" s="8" t="s">
        <v>1133</v>
      </c>
      <c r="P453" s="22" t="s">
        <v>1105</v>
      </c>
      <c r="Q453" s="4" t="str">
        <f t="shared" si="14"/>
        <v>DENTRO DEL TIEMPO</v>
      </c>
    </row>
    <row r="454" spans="1:17" ht="27" x14ac:dyDescent="0.25">
      <c r="A454" s="3">
        <v>447</v>
      </c>
      <c r="B454" s="10" t="s">
        <v>1163</v>
      </c>
      <c r="C454" s="21">
        <v>44575</v>
      </c>
      <c r="D454" s="21">
        <v>44575</v>
      </c>
      <c r="E454" s="22">
        <v>1</v>
      </c>
      <c r="F454" s="23" t="s">
        <v>22</v>
      </c>
      <c r="G454" s="23" t="s">
        <v>1101</v>
      </c>
      <c r="H454" s="23" t="s">
        <v>1102</v>
      </c>
      <c r="I454" s="22" t="s">
        <v>1101</v>
      </c>
      <c r="J454" s="21">
        <v>44579</v>
      </c>
      <c r="K454" s="21">
        <v>44579</v>
      </c>
      <c r="L454" s="3">
        <f t="shared" si="12"/>
        <v>2</v>
      </c>
      <c r="M454" s="14" t="s">
        <v>1164</v>
      </c>
      <c r="N454" s="22" t="s">
        <v>1104</v>
      </c>
      <c r="O454" s="8" t="s">
        <v>1133</v>
      </c>
      <c r="P454" s="22" t="s">
        <v>1105</v>
      </c>
      <c r="Q454" s="4" t="str">
        <f t="shared" si="14"/>
        <v>DENTRO DEL TIEMPO</v>
      </c>
    </row>
    <row r="455" spans="1:17" ht="27" x14ac:dyDescent="0.25">
      <c r="A455" s="3">
        <v>448</v>
      </c>
      <c r="B455" s="10" t="s">
        <v>1165</v>
      </c>
      <c r="C455" s="21">
        <v>44575</v>
      </c>
      <c r="D455" s="21">
        <v>44575</v>
      </c>
      <c r="E455" s="22">
        <v>137</v>
      </c>
      <c r="F455" s="23" t="s">
        <v>22</v>
      </c>
      <c r="G455" s="23" t="s">
        <v>1101</v>
      </c>
      <c r="H455" s="23" t="s">
        <v>1102</v>
      </c>
      <c r="I455" s="22" t="s">
        <v>1101</v>
      </c>
      <c r="J455" s="21">
        <v>44587</v>
      </c>
      <c r="K455" s="21">
        <v>44587</v>
      </c>
      <c r="L455" s="3">
        <f t="shared" si="12"/>
        <v>8</v>
      </c>
      <c r="M455" s="14" t="s">
        <v>1166</v>
      </c>
      <c r="N455" s="22" t="s">
        <v>1104</v>
      </c>
      <c r="O455" s="8" t="s">
        <v>1133</v>
      </c>
      <c r="P455" s="22" t="s">
        <v>1105</v>
      </c>
      <c r="Q455" s="4" t="str">
        <f t="shared" si="14"/>
        <v>DENTRO DEL TIEMPO</v>
      </c>
    </row>
    <row r="456" spans="1:17" ht="27" x14ac:dyDescent="0.25">
      <c r="A456" s="3">
        <v>449</v>
      </c>
      <c r="B456" s="10" t="s">
        <v>1167</v>
      </c>
      <c r="C456" s="21">
        <v>44575</v>
      </c>
      <c r="D456" s="21">
        <v>44575</v>
      </c>
      <c r="E456" s="22">
        <v>1</v>
      </c>
      <c r="F456" s="23" t="s">
        <v>22</v>
      </c>
      <c r="G456" s="23" t="s">
        <v>1101</v>
      </c>
      <c r="H456" s="23" t="s">
        <v>1102</v>
      </c>
      <c r="I456" s="22" t="s">
        <v>1101</v>
      </c>
      <c r="J456" s="21">
        <v>44579</v>
      </c>
      <c r="K456" s="21">
        <v>44579</v>
      </c>
      <c r="L456" s="3">
        <f t="shared" si="12"/>
        <v>2</v>
      </c>
      <c r="M456" s="14" t="s">
        <v>1168</v>
      </c>
      <c r="N456" s="22" t="s">
        <v>1104</v>
      </c>
      <c r="O456" s="8" t="s">
        <v>1133</v>
      </c>
      <c r="P456" s="22" t="s">
        <v>1105</v>
      </c>
      <c r="Q456" s="4" t="str">
        <f t="shared" si="14"/>
        <v>DENTRO DEL TIEMPO</v>
      </c>
    </row>
    <row r="457" spans="1:17" ht="27" x14ac:dyDescent="0.25">
      <c r="A457" s="3">
        <v>450</v>
      </c>
      <c r="B457" s="10" t="s">
        <v>1169</v>
      </c>
      <c r="C457" s="21">
        <v>44575</v>
      </c>
      <c r="D457" s="21">
        <v>44575</v>
      </c>
      <c r="E457" s="22">
        <v>1</v>
      </c>
      <c r="F457" s="23" t="s">
        <v>22</v>
      </c>
      <c r="G457" s="23" t="s">
        <v>1101</v>
      </c>
      <c r="H457" s="23" t="s">
        <v>1102</v>
      </c>
      <c r="I457" s="22" t="s">
        <v>1101</v>
      </c>
      <c r="J457" s="21">
        <v>44579</v>
      </c>
      <c r="K457" s="21">
        <v>44579</v>
      </c>
      <c r="L457" s="3">
        <f t="shared" ref="L457:L492" si="15">+NETWORKDAYS(D457,K457,$R$8:$R$11)-1</f>
        <v>2</v>
      </c>
      <c r="M457" s="14" t="s">
        <v>1170</v>
      </c>
      <c r="N457" s="22" t="s">
        <v>1104</v>
      </c>
      <c r="O457" s="8" t="s">
        <v>1133</v>
      </c>
      <c r="P457" s="22" t="s">
        <v>1105</v>
      </c>
      <c r="Q457" s="4" t="str">
        <f t="shared" si="14"/>
        <v>DENTRO DEL TIEMPO</v>
      </c>
    </row>
    <row r="458" spans="1:17" ht="27" x14ac:dyDescent="0.25">
      <c r="A458" s="3">
        <v>451</v>
      </c>
      <c r="B458" s="10" t="s">
        <v>1171</v>
      </c>
      <c r="C458" s="21">
        <v>44575</v>
      </c>
      <c r="D458" s="21">
        <v>44575</v>
      </c>
      <c r="E458" s="22">
        <v>1</v>
      </c>
      <c r="F458" s="23" t="s">
        <v>22</v>
      </c>
      <c r="G458" s="23" t="s">
        <v>1101</v>
      </c>
      <c r="H458" s="23" t="s">
        <v>1102</v>
      </c>
      <c r="I458" s="22" t="s">
        <v>1101</v>
      </c>
      <c r="J458" s="21">
        <v>44580</v>
      </c>
      <c r="K458" s="21">
        <v>44580</v>
      </c>
      <c r="L458" s="3">
        <f t="shared" si="15"/>
        <v>3</v>
      </c>
      <c r="M458" s="14" t="s">
        <v>1172</v>
      </c>
      <c r="N458" s="22" t="s">
        <v>1104</v>
      </c>
      <c r="O458" s="8" t="s">
        <v>1133</v>
      </c>
      <c r="P458" s="22" t="s">
        <v>1105</v>
      </c>
      <c r="Q458" s="4" t="str">
        <f t="shared" si="14"/>
        <v>DENTRO DEL TIEMPO</v>
      </c>
    </row>
    <row r="459" spans="1:17" ht="27" x14ac:dyDescent="0.25">
      <c r="A459" s="3">
        <v>452</v>
      </c>
      <c r="B459" s="10" t="s">
        <v>1173</v>
      </c>
      <c r="C459" s="21">
        <v>44575</v>
      </c>
      <c r="D459" s="21">
        <v>44575</v>
      </c>
      <c r="E459" s="22">
        <v>1</v>
      </c>
      <c r="F459" s="23" t="s">
        <v>22</v>
      </c>
      <c r="G459" s="23" t="s">
        <v>1101</v>
      </c>
      <c r="H459" s="23" t="s">
        <v>1102</v>
      </c>
      <c r="I459" s="22" t="s">
        <v>1101</v>
      </c>
      <c r="J459" s="21">
        <v>44579</v>
      </c>
      <c r="K459" s="21">
        <v>44579</v>
      </c>
      <c r="L459" s="3">
        <f t="shared" si="15"/>
        <v>2</v>
      </c>
      <c r="M459" s="14" t="s">
        <v>1174</v>
      </c>
      <c r="N459" s="22" t="s">
        <v>1104</v>
      </c>
      <c r="O459" s="8" t="s">
        <v>1133</v>
      </c>
      <c r="P459" s="22" t="s">
        <v>1105</v>
      </c>
      <c r="Q459" s="4" t="str">
        <f t="shared" si="14"/>
        <v>DENTRO DEL TIEMPO</v>
      </c>
    </row>
    <row r="460" spans="1:17" ht="27" x14ac:dyDescent="0.25">
      <c r="A460" s="3">
        <v>453</v>
      </c>
      <c r="B460" s="10" t="s">
        <v>1175</v>
      </c>
      <c r="C460" s="21">
        <v>44579</v>
      </c>
      <c r="D460" s="21">
        <v>44579</v>
      </c>
      <c r="E460" s="22">
        <v>1</v>
      </c>
      <c r="F460" s="23" t="s">
        <v>22</v>
      </c>
      <c r="G460" s="23" t="s">
        <v>1101</v>
      </c>
      <c r="H460" s="23" t="s">
        <v>1102</v>
      </c>
      <c r="I460" s="22" t="s">
        <v>1101</v>
      </c>
      <c r="J460" s="21">
        <v>44588</v>
      </c>
      <c r="K460" s="21">
        <v>44588</v>
      </c>
      <c r="L460" s="3">
        <f t="shared" si="15"/>
        <v>7</v>
      </c>
      <c r="M460" s="14" t="s">
        <v>1176</v>
      </c>
      <c r="N460" s="22" t="s">
        <v>1104</v>
      </c>
      <c r="O460" s="8" t="s">
        <v>1133</v>
      </c>
      <c r="P460" s="22" t="s">
        <v>1105</v>
      </c>
      <c r="Q460" s="4" t="str">
        <f t="shared" si="14"/>
        <v>DENTRO DEL TIEMPO</v>
      </c>
    </row>
    <row r="461" spans="1:17" ht="27" x14ac:dyDescent="0.25">
      <c r="A461" s="3">
        <v>454</v>
      </c>
      <c r="B461" s="10" t="s">
        <v>1177</v>
      </c>
      <c r="C461" s="21">
        <v>44579</v>
      </c>
      <c r="D461" s="21">
        <v>44579</v>
      </c>
      <c r="E461" s="22">
        <v>1</v>
      </c>
      <c r="F461" s="23" t="s">
        <v>22</v>
      </c>
      <c r="G461" s="23" t="s">
        <v>1101</v>
      </c>
      <c r="H461" s="23" t="s">
        <v>1102</v>
      </c>
      <c r="I461" s="22" t="s">
        <v>1101</v>
      </c>
      <c r="J461" s="21">
        <v>44588</v>
      </c>
      <c r="K461" s="21">
        <v>44588</v>
      </c>
      <c r="L461" s="3">
        <f t="shared" si="15"/>
        <v>7</v>
      </c>
      <c r="M461" s="14" t="s">
        <v>1178</v>
      </c>
      <c r="N461" s="22" t="s">
        <v>1104</v>
      </c>
      <c r="O461" s="8" t="s">
        <v>1133</v>
      </c>
      <c r="P461" s="22" t="s">
        <v>1105</v>
      </c>
      <c r="Q461" s="4" t="str">
        <f t="shared" si="14"/>
        <v>DENTRO DEL TIEMPO</v>
      </c>
    </row>
    <row r="462" spans="1:17" ht="27" x14ac:dyDescent="0.25">
      <c r="A462" s="3">
        <v>455</v>
      </c>
      <c r="B462" s="10" t="s">
        <v>1179</v>
      </c>
      <c r="C462" s="21">
        <v>44579</v>
      </c>
      <c r="D462" s="21">
        <v>44579</v>
      </c>
      <c r="E462" s="22">
        <v>4</v>
      </c>
      <c r="F462" s="23" t="s">
        <v>22</v>
      </c>
      <c r="G462" s="23" t="s">
        <v>1101</v>
      </c>
      <c r="H462" s="23" t="s">
        <v>1102</v>
      </c>
      <c r="I462" s="22" t="s">
        <v>1101</v>
      </c>
      <c r="J462" s="21">
        <v>44579</v>
      </c>
      <c r="K462" s="21">
        <v>44579</v>
      </c>
      <c r="L462" s="3">
        <f t="shared" si="15"/>
        <v>0</v>
      </c>
      <c r="M462" s="14" t="s">
        <v>1160</v>
      </c>
      <c r="N462" s="22" t="s">
        <v>1104</v>
      </c>
      <c r="O462" s="8" t="s">
        <v>1133</v>
      </c>
      <c r="P462" s="22" t="s">
        <v>1105</v>
      </c>
      <c r="Q462" s="4" t="str">
        <f t="shared" si="14"/>
        <v>DENTRO DEL TIEMPO</v>
      </c>
    </row>
    <row r="463" spans="1:17" ht="27" x14ac:dyDescent="0.25">
      <c r="A463" s="3">
        <v>456</v>
      </c>
      <c r="B463" s="10" t="s">
        <v>1180</v>
      </c>
      <c r="C463" s="21">
        <v>44579</v>
      </c>
      <c r="D463" s="21">
        <v>44579</v>
      </c>
      <c r="E463" s="22">
        <v>21</v>
      </c>
      <c r="F463" s="23" t="s">
        <v>22</v>
      </c>
      <c r="G463" s="23" t="s">
        <v>1101</v>
      </c>
      <c r="H463" s="23" t="s">
        <v>1102</v>
      </c>
      <c r="I463" s="22" t="s">
        <v>1101</v>
      </c>
      <c r="J463" s="21">
        <v>44581</v>
      </c>
      <c r="K463" s="21">
        <v>44581</v>
      </c>
      <c r="L463" s="3">
        <f t="shared" si="15"/>
        <v>2</v>
      </c>
      <c r="M463" s="14" t="s">
        <v>1181</v>
      </c>
      <c r="N463" s="22" t="s">
        <v>1104</v>
      </c>
      <c r="O463" s="8" t="s">
        <v>1133</v>
      </c>
      <c r="P463" s="22" t="s">
        <v>1105</v>
      </c>
      <c r="Q463" s="4" t="str">
        <f t="shared" si="14"/>
        <v>DENTRO DEL TIEMPO</v>
      </c>
    </row>
    <row r="464" spans="1:17" ht="27" x14ac:dyDescent="0.25">
      <c r="A464" s="3">
        <v>457</v>
      </c>
      <c r="B464" s="10" t="s">
        <v>1182</v>
      </c>
      <c r="C464" s="21">
        <v>44579</v>
      </c>
      <c r="D464" s="21">
        <v>44579</v>
      </c>
      <c r="E464" s="22">
        <v>1</v>
      </c>
      <c r="F464" s="23" t="s">
        <v>22</v>
      </c>
      <c r="G464" s="23" t="s">
        <v>1101</v>
      </c>
      <c r="H464" s="23" t="s">
        <v>1102</v>
      </c>
      <c r="I464" s="22" t="s">
        <v>1101</v>
      </c>
      <c r="J464" s="21">
        <v>44588</v>
      </c>
      <c r="K464" s="21">
        <v>44588</v>
      </c>
      <c r="L464" s="3">
        <f t="shared" si="15"/>
        <v>7</v>
      </c>
      <c r="M464" s="14" t="s">
        <v>1183</v>
      </c>
      <c r="N464" s="22" t="s">
        <v>1104</v>
      </c>
      <c r="O464" s="8" t="s">
        <v>1133</v>
      </c>
      <c r="P464" s="22" t="s">
        <v>1105</v>
      </c>
      <c r="Q464" s="4" t="str">
        <f t="shared" si="14"/>
        <v>DENTRO DEL TIEMPO</v>
      </c>
    </row>
    <row r="465" spans="1:17" ht="27" x14ac:dyDescent="0.25">
      <c r="A465" s="3">
        <v>458</v>
      </c>
      <c r="B465" s="10" t="s">
        <v>1184</v>
      </c>
      <c r="C465" s="21">
        <v>44579</v>
      </c>
      <c r="D465" s="21">
        <v>44579</v>
      </c>
      <c r="E465" s="22">
        <v>1</v>
      </c>
      <c r="F465" s="23" t="s">
        <v>22</v>
      </c>
      <c r="G465" s="23" t="s">
        <v>1101</v>
      </c>
      <c r="H465" s="23" t="s">
        <v>1102</v>
      </c>
      <c r="I465" s="22" t="s">
        <v>1101</v>
      </c>
      <c r="J465" s="21">
        <v>44589</v>
      </c>
      <c r="K465" s="21">
        <v>44589</v>
      </c>
      <c r="L465" s="3">
        <f t="shared" si="15"/>
        <v>8</v>
      </c>
      <c r="M465" s="14" t="s">
        <v>1185</v>
      </c>
      <c r="N465" s="22" t="s">
        <v>1104</v>
      </c>
      <c r="O465" s="8" t="s">
        <v>1133</v>
      </c>
      <c r="P465" s="22" t="s">
        <v>1105</v>
      </c>
      <c r="Q465" s="4" t="str">
        <f t="shared" si="14"/>
        <v>DENTRO DEL TIEMPO</v>
      </c>
    </row>
    <row r="466" spans="1:17" ht="27" x14ac:dyDescent="0.25">
      <c r="A466" s="3">
        <v>459</v>
      </c>
      <c r="B466" s="10" t="s">
        <v>1186</v>
      </c>
      <c r="C466" s="21">
        <v>44582</v>
      </c>
      <c r="D466" s="21">
        <v>44582</v>
      </c>
      <c r="E466" s="22">
        <v>1</v>
      </c>
      <c r="F466" s="23" t="s">
        <v>22</v>
      </c>
      <c r="G466" s="23" t="s">
        <v>1101</v>
      </c>
      <c r="H466" s="23" t="s">
        <v>1102</v>
      </c>
      <c r="I466" s="22" t="s">
        <v>1101</v>
      </c>
      <c r="J466" s="21">
        <v>44589</v>
      </c>
      <c r="K466" s="21">
        <v>44589</v>
      </c>
      <c r="L466" s="3">
        <f t="shared" si="15"/>
        <v>5</v>
      </c>
      <c r="M466" s="14" t="s">
        <v>1187</v>
      </c>
      <c r="N466" s="22" t="s">
        <v>1104</v>
      </c>
      <c r="O466" s="8" t="s">
        <v>1133</v>
      </c>
      <c r="P466" s="22" t="s">
        <v>1105</v>
      </c>
      <c r="Q466" s="4" t="str">
        <f t="shared" si="14"/>
        <v>DENTRO DEL TIEMPO</v>
      </c>
    </row>
    <row r="467" spans="1:17" ht="27" x14ac:dyDescent="0.25">
      <c r="A467" s="3">
        <v>460</v>
      </c>
      <c r="B467" s="10" t="s">
        <v>1188</v>
      </c>
      <c r="C467" s="21">
        <v>44582</v>
      </c>
      <c r="D467" s="21">
        <v>44582</v>
      </c>
      <c r="E467" s="22">
        <v>3</v>
      </c>
      <c r="F467" s="23" t="s">
        <v>22</v>
      </c>
      <c r="G467" s="23" t="s">
        <v>1101</v>
      </c>
      <c r="H467" s="23" t="s">
        <v>1102</v>
      </c>
      <c r="I467" s="22" t="s">
        <v>1101</v>
      </c>
      <c r="J467" s="21">
        <v>44589</v>
      </c>
      <c r="K467" s="21">
        <v>44589</v>
      </c>
      <c r="L467" s="3">
        <f t="shared" si="15"/>
        <v>5</v>
      </c>
      <c r="M467" s="14" t="s">
        <v>1189</v>
      </c>
      <c r="N467" s="22" t="s">
        <v>1104</v>
      </c>
      <c r="O467" s="8" t="s">
        <v>1133</v>
      </c>
      <c r="P467" s="22" t="s">
        <v>1105</v>
      </c>
      <c r="Q467" s="4" t="str">
        <f t="shared" si="14"/>
        <v>DENTRO DEL TIEMPO</v>
      </c>
    </row>
    <row r="468" spans="1:17" ht="27" x14ac:dyDescent="0.25">
      <c r="A468" s="3">
        <v>461</v>
      </c>
      <c r="B468" s="10" t="s">
        <v>1190</v>
      </c>
      <c r="C468" s="21">
        <v>44586</v>
      </c>
      <c r="D468" s="21">
        <v>44586</v>
      </c>
      <c r="E468" s="22">
        <v>1</v>
      </c>
      <c r="F468" s="23" t="s">
        <v>22</v>
      </c>
      <c r="G468" s="23" t="s">
        <v>1101</v>
      </c>
      <c r="H468" s="23" t="s">
        <v>1102</v>
      </c>
      <c r="I468" s="22" t="s">
        <v>1101</v>
      </c>
      <c r="J468" s="21">
        <v>44593</v>
      </c>
      <c r="K468" s="21">
        <v>44593</v>
      </c>
      <c r="L468" s="3">
        <f t="shared" si="15"/>
        <v>5</v>
      </c>
      <c r="M468" s="14" t="s">
        <v>1191</v>
      </c>
      <c r="N468" s="22" t="s">
        <v>1104</v>
      </c>
      <c r="O468" s="8" t="s">
        <v>1133</v>
      </c>
      <c r="P468" s="22" t="s">
        <v>1105</v>
      </c>
      <c r="Q468" s="4" t="str">
        <f t="shared" si="14"/>
        <v>DENTRO DEL TIEMPO</v>
      </c>
    </row>
    <row r="469" spans="1:17" ht="27" x14ac:dyDescent="0.25">
      <c r="A469" s="3">
        <v>462</v>
      </c>
      <c r="B469" s="10" t="s">
        <v>1192</v>
      </c>
      <c r="C469" s="21">
        <v>44586</v>
      </c>
      <c r="D469" s="21">
        <v>44586</v>
      </c>
      <c r="E469" s="22">
        <v>5</v>
      </c>
      <c r="F469" s="23" t="s">
        <v>22</v>
      </c>
      <c r="G469" s="23" t="s">
        <v>1101</v>
      </c>
      <c r="H469" s="23" t="s">
        <v>1102</v>
      </c>
      <c r="I469" s="22" t="s">
        <v>1101</v>
      </c>
      <c r="J469" s="21">
        <v>44593</v>
      </c>
      <c r="K469" s="21">
        <v>44593</v>
      </c>
      <c r="L469" s="3">
        <f t="shared" si="15"/>
        <v>5</v>
      </c>
      <c r="M469" s="14" t="s">
        <v>1193</v>
      </c>
      <c r="N469" s="22" t="s">
        <v>1104</v>
      </c>
      <c r="O469" s="8" t="s">
        <v>1026</v>
      </c>
      <c r="P469" s="22" t="s">
        <v>1105</v>
      </c>
      <c r="Q469" s="4" t="str">
        <f t="shared" si="14"/>
        <v>DENTRO DEL TIEMPO</v>
      </c>
    </row>
    <row r="470" spans="1:17" ht="27" x14ac:dyDescent="0.25">
      <c r="A470" s="3">
        <v>463</v>
      </c>
      <c r="B470" s="10" t="s">
        <v>1194</v>
      </c>
      <c r="C470" s="21">
        <v>44585</v>
      </c>
      <c r="D470" s="21">
        <v>44585</v>
      </c>
      <c r="E470" s="22">
        <v>1</v>
      </c>
      <c r="F470" s="23" t="s">
        <v>22</v>
      </c>
      <c r="G470" s="23" t="s">
        <v>1101</v>
      </c>
      <c r="H470" s="23" t="s">
        <v>1102</v>
      </c>
      <c r="I470" s="22" t="s">
        <v>1101</v>
      </c>
      <c r="J470" s="21">
        <v>44594</v>
      </c>
      <c r="K470" s="21">
        <v>44594</v>
      </c>
      <c r="L470" s="3">
        <f t="shared" si="15"/>
        <v>7</v>
      </c>
      <c r="M470" s="14" t="s">
        <v>1195</v>
      </c>
      <c r="N470" s="22" t="s">
        <v>1104</v>
      </c>
      <c r="O470" s="8" t="s">
        <v>1133</v>
      </c>
      <c r="P470" s="22" t="s">
        <v>1105</v>
      </c>
      <c r="Q470" s="4" t="str">
        <f t="shared" si="14"/>
        <v>DENTRO DEL TIEMPO</v>
      </c>
    </row>
    <row r="471" spans="1:17" ht="27" x14ac:dyDescent="0.25">
      <c r="A471" s="3">
        <v>464</v>
      </c>
      <c r="B471" s="10" t="s">
        <v>1196</v>
      </c>
      <c r="C471" s="21">
        <v>44585</v>
      </c>
      <c r="D471" s="21">
        <v>44585</v>
      </c>
      <c r="E471" s="22">
        <v>165</v>
      </c>
      <c r="F471" s="23" t="s">
        <v>22</v>
      </c>
      <c r="G471" s="23" t="s">
        <v>1101</v>
      </c>
      <c r="H471" s="23" t="s">
        <v>1102</v>
      </c>
      <c r="I471" s="22" t="s">
        <v>1101</v>
      </c>
      <c r="J471" s="21">
        <v>44594</v>
      </c>
      <c r="K471" s="21">
        <v>44594</v>
      </c>
      <c r="L471" s="3">
        <f t="shared" si="15"/>
        <v>7</v>
      </c>
      <c r="M471" s="14" t="s">
        <v>1197</v>
      </c>
      <c r="N471" s="22" t="s">
        <v>1104</v>
      </c>
      <c r="O471" s="8" t="s">
        <v>1133</v>
      </c>
      <c r="P471" s="22" t="s">
        <v>1105</v>
      </c>
      <c r="Q471" s="4" t="str">
        <f t="shared" si="14"/>
        <v>DENTRO DEL TIEMPO</v>
      </c>
    </row>
    <row r="472" spans="1:17" ht="27" x14ac:dyDescent="0.25">
      <c r="A472" s="3">
        <v>465</v>
      </c>
      <c r="B472" s="10" t="s">
        <v>1198</v>
      </c>
      <c r="C472" s="21">
        <v>44585</v>
      </c>
      <c r="D472" s="21">
        <v>44585</v>
      </c>
      <c r="E472" s="22">
        <v>1</v>
      </c>
      <c r="F472" s="23" t="s">
        <v>22</v>
      </c>
      <c r="G472" s="23" t="s">
        <v>1101</v>
      </c>
      <c r="H472" s="23" t="s">
        <v>1102</v>
      </c>
      <c r="I472" s="22" t="s">
        <v>1101</v>
      </c>
      <c r="J472" s="21">
        <v>44594</v>
      </c>
      <c r="K472" s="21">
        <v>44594</v>
      </c>
      <c r="L472" s="3">
        <f t="shared" si="15"/>
        <v>7</v>
      </c>
      <c r="M472" s="14" t="s">
        <v>1199</v>
      </c>
      <c r="N472" s="22" t="s">
        <v>1104</v>
      </c>
      <c r="O472" s="8" t="s">
        <v>1133</v>
      </c>
      <c r="P472" s="22" t="s">
        <v>1105</v>
      </c>
      <c r="Q472" s="4" t="str">
        <f t="shared" si="14"/>
        <v>DENTRO DEL TIEMPO</v>
      </c>
    </row>
    <row r="473" spans="1:17" ht="27" x14ac:dyDescent="0.25">
      <c r="A473" s="3">
        <v>466</v>
      </c>
      <c r="B473" s="10" t="s">
        <v>1200</v>
      </c>
      <c r="C473" s="21">
        <v>44586</v>
      </c>
      <c r="D473" s="21">
        <v>44586</v>
      </c>
      <c r="E473" s="22">
        <v>39</v>
      </c>
      <c r="F473" s="23" t="s">
        <v>22</v>
      </c>
      <c r="G473" s="23" t="s">
        <v>1101</v>
      </c>
      <c r="H473" s="23" t="s">
        <v>1102</v>
      </c>
      <c r="I473" s="22" t="s">
        <v>1101</v>
      </c>
      <c r="J473" s="21">
        <v>44593</v>
      </c>
      <c r="K473" s="21">
        <v>44593</v>
      </c>
      <c r="L473" s="3">
        <f t="shared" si="15"/>
        <v>5</v>
      </c>
      <c r="M473" s="14" t="s">
        <v>1201</v>
      </c>
      <c r="N473" s="22" t="s">
        <v>1104</v>
      </c>
      <c r="O473" s="8" t="s">
        <v>1133</v>
      </c>
      <c r="P473" s="22" t="s">
        <v>1105</v>
      </c>
      <c r="Q473" s="4" t="str">
        <f t="shared" si="14"/>
        <v>DENTRO DEL TIEMPO</v>
      </c>
    </row>
    <row r="474" spans="1:17" ht="27" x14ac:dyDescent="0.25">
      <c r="A474" s="3">
        <v>467</v>
      </c>
      <c r="B474" s="10" t="s">
        <v>1202</v>
      </c>
      <c r="C474" s="21">
        <v>44586</v>
      </c>
      <c r="D474" s="21">
        <v>44586</v>
      </c>
      <c r="E474" s="22">
        <v>3</v>
      </c>
      <c r="F474" s="23" t="s">
        <v>22</v>
      </c>
      <c r="G474" s="23" t="s">
        <v>1101</v>
      </c>
      <c r="H474" s="23" t="s">
        <v>1102</v>
      </c>
      <c r="I474" s="22" t="s">
        <v>1101</v>
      </c>
      <c r="J474" s="21">
        <v>44595</v>
      </c>
      <c r="K474" s="21">
        <v>44595</v>
      </c>
      <c r="L474" s="3">
        <f t="shared" si="15"/>
        <v>7</v>
      </c>
      <c r="M474" s="14" t="s">
        <v>1203</v>
      </c>
      <c r="N474" s="22" t="s">
        <v>1104</v>
      </c>
      <c r="O474" s="8" t="s">
        <v>1133</v>
      </c>
      <c r="P474" s="22" t="s">
        <v>1105</v>
      </c>
      <c r="Q474" s="4" t="str">
        <f t="shared" si="14"/>
        <v>DENTRO DEL TIEMPO</v>
      </c>
    </row>
    <row r="475" spans="1:17" ht="27" x14ac:dyDescent="0.25">
      <c r="A475" s="3">
        <v>468</v>
      </c>
      <c r="B475" s="10" t="s">
        <v>1204</v>
      </c>
      <c r="C475" s="21">
        <v>44586</v>
      </c>
      <c r="D475" s="21">
        <v>44586</v>
      </c>
      <c r="E475" s="22">
        <v>3</v>
      </c>
      <c r="F475" s="23" t="s">
        <v>22</v>
      </c>
      <c r="G475" s="23" t="s">
        <v>1101</v>
      </c>
      <c r="H475" s="23" t="s">
        <v>1102</v>
      </c>
      <c r="I475" s="22" t="s">
        <v>1101</v>
      </c>
      <c r="J475" s="21">
        <v>44595</v>
      </c>
      <c r="K475" s="21">
        <v>44595</v>
      </c>
      <c r="L475" s="3">
        <f t="shared" si="15"/>
        <v>7</v>
      </c>
      <c r="M475" s="14" t="s">
        <v>1205</v>
      </c>
      <c r="N475" s="22" t="s">
        <v>1104</v>
      </c>
      <c r="O475" s="8" t="s">
        <v>1133</v>
      </c>
      <c r="P475" s="22" t="s">
        <v>1105</v>
      </c>
      <c r="Q475" s="4" t="str">
        <f t="shared" si="14"/>
        <v>DENTRO DEL TIEMPO</v>
      </c>
    </row>
    <row r="476" spans="1:17" ht="27" x14ac:dyDescent="0.25">
      <c r="A476" s="3">
        <v>469</v>
      </c>
      <c r="B476" s="10" t="s">
        <v>1206</v>
      </c>
      <c r="C476" s="21">
        <v>44588</v>
      </c>
      <c r="D476" s="21">
        <v>44588</v>
      </c>
      <c r="E476" s="22">
        <v>5</v>
      </c>
      <c r="F476" s="23" t="s">
        <v>22</v>
      </c>
      <c r="G476" s="23" t="s">
        <v>1101</v>
      </c>
      <c r="H476" s="23" t="s">
        <v>1102</v>
      </c>
      <c r="I476" s="22" t="s">
        <v>1101</v>
      </c>
      <c r="J476" s="21">
        <v>44600</v>
      </c>
      <c r="K476" s="21">
        <v>44600</v>
      </c>
      <c r="L476" s="3">
        <f t="shared" si="15"/>
        <v>8</v>
      </c>
      <c r="M476" s="14" t="s">
        <v>1207</v>
      </c>
      <c r="N476" s="22" t="s">
        <v>1104</v>
      </c>
      <c r="O476" s="8" t="s">
        <v>1133</v>
      </c>
      <c r="P476" s="22" t="s">
        <v>1105</v>
      </c>
      <c r="Q476" s="4" t="str">
        <f t="shared" si="14"/>
        <v>DENTRO DEL TIEMPO</v>
      </c>
    </row>
    <row r="477" spans="1:17" ht="27" x14ac:dyDescent="0.25">
      <c r="A477" s="3">
        <v>470</v>
      </c>
      <c r="B477" s="10" t="s">
        <v>1208</v>
      </c>
      <c r="C477" s="21">
        <v>44588</v>
      </c>
      <c r="D477" s="21">
        <v>44588</v>
      </c>
      <c r="E477" s="22">
        <v>1</v>
      </c>
      <c r="F477" s="23" t="s">
        <v>22</v>
      </c>
      <c r="G477" s="23" t="s">
        <v>1101</v>
      </c>
      <c r="H477" s="23" t="s">
        <v>1102</v>
      </c>
      <c r="I477" s="22" t="s">
        <v>1101</v>
      </c>
      <c r="J477" s="21">
        <v>44595</v>
      </c>
      <c r="K477" s="21">
        <v>44595</v>
      </c>
      <c r="L477" s="3">
        <f t="shared" si="15"/>
        <v>5</v>
      </c>
      <c r="M477" s="14" t="s">
        <v>1209</v>
      </c>
      <c r="N477" s="22" t="s">
        <v>1104</v>
      </c>
      <c r="O477" s="8" t="s">
        <v>1133</v>
      </c>
      <c r="P477" s="22" t="s">
        <v>1105</v>
      </c>
      <c r="Q477" s="4" t="str">
        <f t="shared" si="14"/>
        <v>DENTRO DEL TIEMPO</v>
      </c>
    </row>
    <row r="478" spans="1:17" ht="27" x14ac:dyDescent="0.25">
      <c r="A478" s="3">
        <v>471</v>
      </c>
      <c r="B478" s="10" t="s">
        <v>1210</v>
      </c>
      <c r="C478" s="21">
        <v>44588</v>
      </c>
      <c r="D478" s="21">
        <v>44588</v>
      </c>
      <c r="E478" s="22">
        <v>1</v>
      </c>
      <c r="F478" s="23" t="s">
        <v>22</v>
      </c>
      <c r="G478" s="23" t="s">
        <v>1101</v>
      </c>
      <c r="H478" s="23" t="s">
        <v>1102</v>
      </c>
      <c r="I478" s="22" t="s">
        <v>1101</v>
      </c>
      <c r="J478" s="21">
        <v>44595</v>
      </c>
      <c r="K478" s="21">
        <v>44595</v>
      </c>
      <c r="L478" s="3">
        <f t="shared" si="15"/>
        <v>5</v>
      </c>
      <c r="M478" s="14" t="s">
        <v>1209</v>
      </c>
      <c r="N478" s="22" t="s">
        <v>1104</v>
      </c>
      <c r="O478" s="8" t="s">
        <v>1133</v>
      </c>
      <c r="P478" s="22" t="s">
        <v>1105</v>
      </c>
      <c r="Q478" s="4" t="str">
        <f t="shared" si="14"/>
        <v>DENTRO DEL TIEMPO</v>
      </c>
    </row>
    <row r="479" spans="1:17" ht="27" x14ac:dyDescent="0.25">
      <c r="A479" s="3">
        <v>472</v>
      </c>
      <c r="B479" s="10" t="s">
        <v>1211</v>
      </c>
      <c r="C479" s="21">
        <v>44589</v>
      </c>
      <c r="D479" s="21">
        <v>44589</v>
      </c>
      <c r="E479" s="22">
        <v>15</v>
      </c>
      <c r="F479" s="23" t="s">
        <v>22</v>
      </c>
      <c r="G479" s="23" t="s">
        <v>1101</v>
      </c>
      <c r="H479" s="23" t="s">
        <v>1102</v>
      </c>
      <c r="I479" s="22" t="s">
        <v>1101</v>
      </c>
      <c r="J479" s="21">
        <v>44600</v>
      </c>
      <c r="K479" s="21">
        <v>44600</v>
      </c>
      <c r="L479" s="3">
        <f t="shared" si="15"/>
        <v>7</v>
      </c>
      <c r="M479" s="14" t="s">
        <v>1212</v>
      </c>
      <c r="N479" s="22" t="s">
        <v>1104</v>
      </c>
      <c r="O479" s="8" t="s">
        <v>1133</v>
      </c>
      <c r="P479" s="22" t="s">
        <v>1105</v>
      </c>
      <c r="Q479" s="4" t="str">
        <f t="shared" si="14"/>
        <v>DENTRO DEL TIEMPO</v>
      </c>
    </row>
    <row r="480" spans="1:17" ht="27" x14ac:dyDescent="0.25">
      <c r="A480" s="3">
        <v>473</v>
      </c>
      <c r="B480" s="10" t="s">
        <v>1213</v>
      </c>
      <c r="C480" s="21">
        <v>44588</v>
      </c>
      <c r="D480" s="21">
        <v>44588</v>
      </c>
      <c r="E480" s="22">
        <v>1</v>
      </c>
      <c r="F480" s="23" t="s">
        <v>22</v>
      </c>
      <c r="G480" s="23" t="s">
        <v>1101</v>
      </c>
      <c r="H480" s="23" t="s">
        <v>1102</v>
      </c>
      <c r="I480" s="22" t="s">
        <v>1101</v>
      </c>
      <c r="J480" s="21">
        <v>44595</v>
      </c>
      <c r="K480" s="21">
        <v>44595</v>
      </c>
      <c r="L480" s="3">
        <f t="shared" si="15"/>
        <v>5</v>
      </c>
      <c r="M480" s="14" t="s">
        <v>1214</v>
      </c>
      <c r="N480" s="22" t="s">
        <v>1104</v>
      </c>
      <c r="O480" s="8" t="s">
        <v>1133</v>
      </c>
      <c r="P480" s="22" t="s">
        <v>1105</v>
      </c>
      <c r="Q480" s="4" t="str">
        <f t="shared" si="14"/>
        <v>DENTRO DEL TIEMPO</v>
      </c>
    </row>
    <row r="481" spans="1:17" ht="27" x14ac:dyDescent="0.25">
      <c r="A481" s="3">
        <v>474</v>
      </c>
      <c r="B481" s="10" t="s">
        <v>1215</v>
      </c>
      <c r="C481" s="21">
        <v>44588</v>
      </c>
      <c r="D481" s="21">
        <v>44588</v>
      </c>
      <c r="E481" s="22">
        <v>1</v>
      </c>
      <c r="F481" s="23" t="s">
        <v>22</v>
      </c>
      <c r="G481" s="23" t="s">
        <v>1101</v>
      </c>
      <c r="H481" s="23" t="s">
        <v>1102</v>
      </c>
      <c r="I481" s="22" t="s">
        <v>1101</v>
      </c>
      <c r="J481" s="21">
        <v>44596</v>
      </c>
      <c r="K481" s="21">
        <v>44596</v>
      </c>
      <c r="L481" s="3">
        <f t="shared" si="15"/>
        <v>6</v>
      </c>
      <c r="M481" s="14" t="s">
        <v>1216</v>
      </c>
      <c r="N481" s="22" t="s">
        <v>1104</v>
      </c>
      <c r="O481" s="8" t="s">
        <v>1133</v>
      </c>
      <c r="P481" s="22" t="s">
        <v>1105</v>
      </c>
      <c r="Q481" s="4" t="str">
        <f t="shared" si="14"/>
        <v>DENTRO DEL TIEMPO</v>
      </c>
    </row>
    <row r="482" spans="1:17" ht="27" x14ac:dyDescent="0.25">
      <c r="A482" s="3">
        <v>475</v>
      </c>
      <c r="B482" s="10" t="s">
        <v>1217</v>
      </c>
      <c r="C482" s="21">
        <v>44588</v>
      </c>
      <c r="D482" s="21">
        <v>44588</v>
      </c>
      <c r="E482" s="22">
        <v>1</v>
      </c>
      <c r="F482" s="23" t="s">
        <v>22</v>
      </c>
      <c r="G482" s="23" t="s">
        <v>1101</v>
      </c>
      <c r="H482" s="23" t="s">
        <v>1102</v>
      </c>
      <c r="I482" s="22" t="s">
        <v>1101</v>
      </c>
      <c r="J482" s="21">
        <v>44596</v>
      </c>
      <c r="K482" s="21">
        <v>44596</v>
      </c>
      <c r="L482" s="3">
        <f t="shared" si="15"/>
        <v>6</v>
      </c>
      <c r="M482" s="14" t="s">
        <v>1218</v>
      </c>
      <c r="N482" s="22" t="s">
        <v>1104</v>
      </c>
      <c r="O482" s="8" t="s">
        <v>1133</v>
      </c>
      <c r="P482" s="22" t="s">
        <v>1105</v>
      </c>
      <c r="Q482" s="4" t="str">
        <f t="shared" si="14"/>
        <v>DENTRO DEL TIEMPO</v>
      </c>
    </row>
    <row r="483" spans="1:17" ht="27" x14ac:dyDescent="0.25">
      <c r="A483" s="3">
        <v>476</v>
      </c>
      <c r="B483" s="10" t="s">
        <v>1219</v>
      </c>
      <c r="C483" s="21">
        <v>44588</v>
      </c>
      <c r="D483" s="21">
        <v>44588</v>
      </c>
      <c r="E483" s="22">
        <v>1</v>
      </c>
      <c r="F483" s="23" t="s">
        <v>22</v>
      </c>
      <c r="G483" s="23" t="s">
        <v>1101</v>
      </c>
      <c r="H483" s="23" t="s">
        <v>1102</v>
      </c>
      <c r="I483" s="22" t="s">
        <v>1101</v>
      </c>
      <c r="J483" s="21">
        <v>44596</v>
      </c>
      <c r="K483" s="21">
        <v>44596</v>
      </c>
      <c r="L483" s="3">
        <f t="shared" si="15"/>
        <v>6</v>
      </c>
      <c r="M483" s="14" t="s">
        <v>1220</v>
      </c>
      <c r="N483" s="22" t="s">
        <v>1104</v>
      </c>
      <c r="O483" s="8" t="s">
        <v>1133</v>
      </c>
      <c r="P483" s="22" t="s">
        <v>1105</v>
      </c>
      <c r="Q483" s="4" t="str">
        <f t="shared" si="14"/>
        <v>DENTRO DEL TIEMPO</v>
      </c>
    </row>
    <row r="484" spans="1:17" ht="27" x14ac:dyDescent="0.25">
      <c r="A484" s="3">
        <v>477</v>
      </c>
      <c r="B484" s="10" t="s">
        <v>1221</v>
      </c>
      <c r="C484" s="21">
        <v>44589</v>
      </c>
      <c r="D484" s="21">
        <v>44589</v>
      </c>
      <c r="E484" s="22">
        <v>1</v>
      </c>
      <c r="F484" s="23" t="s">
        <v>22</v>
      </c>
      <c r="G484" s="23" t="s">
        <v>1101</v>
      </c>
      <c r="H484" s="23" t="s">
        <v>1102</v>
      </c>
      <c r="I484" s="22" t="s">
        <v>1101</v>
      </c>
      <c r="J484" s="21">
        <v>44596</v>
      </c>
      <c r="K484" s="21">
        <v>44596</v>
      </c>
      <c r="L484" s="3">
        <f t="shared" si="15"/>
        <v>5</v>
      </c>
      <c r="M484" s="14" t="s">
        <v>1222</v>
      </c>
      <c r="N484" s="22" t="s">
        <v>1104</v>
      </c>
      <c r="O484" s="8" t="s">
        <v>1133</v>
      </c>
      <c r="P484" s="22" t="s">
        <v>1105</v>
      </c>
      <c r="Q484" s="4" t="str">
        <f t="shared" si="14"/>
        <v>DENTRO DEL TIEMPO</v>
      </c>
    </row>
    <row r="485" spans="1:17" ht="27" x14ac:dyDescent="0.25">
      <c r="A485" s="3">
        <v>478</v>
      </c>
      <c r="B485" s="10" t="s">
        <v>1223</v>
      </c>
      <c r="C485" s="21">
        <v>44592</v>
      </c>
      <c r="D485" s="21">
        <v>44592</v>
      </c>
      <c r="E485" s="22">
        <v>40</v>
      </c>
      <c r="F485" s="23" t="s">
        <v>22</v>
      </c>
      <c r="G485" s="23" t="s">
        <v>1101</v>
      </c>
      <c r="H485" s="23" t="s">
        <v>1102</v>
      </c>
      <c r="I485" s="22" t="s">
        <v>1101</v>
      </c>
      <c r="J485" s="21">
        <v>44599</v>
      </c>
      <c r="K485" s="21">
        <v>44599</v>
      </c>
      <c r="L485" s="3">
        <f t="shared" si="15"/>
        <v>5</v>
      </c>
      <c r="M485" s="14" t="s">
        <v>1224</v>
      </c>
      <c r="N485" s="22" t="s">
        <v>1104</v>
      </c>
      <c r="O485" s="8" t="s">
        <v>1133</v>
      </c>
      <c r="P485" s="22" t="s">
        <v>1105</v>
      </c>
      <c r="Q485" s="4" t="str">
        <f t="shared" si="14"/>
        <v>DENTRO DEL TIEMPO</v>
      </c>
    </row>
    <row r="486" spans="1:17" ht="27" x14ac:dyDescent="0.25">
      <c r="A486" s="3">
        <v>479</v>
      </c>
      <c r="B486" s="10" t="s">
        <v>1225</v>
      </c>
      <c r="C486" s="21">
        <v>44592</v>
      </c>
      <c r="D486" s="21">
        <v>44592</v>
      </c>
      <c r="E486" s="22">
        <v>1</v>
      </c>
      <c r="F486" s="23" t="s">
        <v>22</v>
      </c>
      <c r="G486" s="23" t="s">
        <v>1101</v>
      </c>
      <c r="H486" s="23" t="s">
        <v>1102</v>
      </c>
      <c r="I486" s="22" t="s">
        <v>1101</v>
      </c>
      <c r="J486" s="21">
        <v>44599</v>
      </c>
      <c r="K486" s="21">
        <v>44599</v>
      </c>
      <c r="L486" s="3">
        <f t="shared" si="15"/>
        <v>5</v>
      </c>
      <c r="M486" s="14" t="s">
        <v>1226</v>
      </c>
      <c r="N486" s="22" t="s">
        <v>1104</v>
      </c>
      <c r="O486" s="8" t="s">
        <v>1133</v>
      </c>
      <c r="P486" s="22" t="s">
        <v>1105</v>
      </c>
      <c r="Q486" s="4" t="str">
        <f t="shared" si="14"/>
        <v>DENTRO DEL TIEMPO</v>
      </c>
    </row>
    <row r="487" spans="1:17" ht="27" x14ac:dyDescent="0.25">
      <c r="A487" s="3">
        <v>480</v>
      </c>
      <c r="B487" s="10" t="s">
        <v>1227</v>
      </c>
      <c r="C487" s="21">
        <v>44592</v>
      </c>
      <c r="D487" s="21">
        <v>44592</v>
      </c>
      <c r="E487" s="22">
        <v>1</v>
      </c>
      <c r="F487" s="23" t="s">
        <v>22</v>
      </c>
      <c r="G487" s="23" t="s">
        <v>1101</v>
      </c>
      <c r="H487" s="23" t="s">
        <v>1102</v>
      </c>
      <c r="I487" s="22" t="s">
        <v>1101</v>
      </c>
      <c r="J487" s="21">
        <v>44599</v>
      </c>
      <c r="K487" s="21">
        <v>44599</v>
      </c>
      <c r="L487" s="3">
        <f t="shared" si="15"/>
        <v>5</v>
      </c>
      <c r="M487" s="14" t="s">
        <v>1228</v>
      </c>
      <c r="N487" s="22" t="s">
        <v>1104</v>
      </c>
      <c r="O487" s="8" t="s">
        <v>1133</v>
      </c>
      <c r="P487" s="22" t="s">
        <v>1105</v>
      </c>
      <c r="Q487" s="4" t="str">
        <f t="shared" si="14"/>
        <v>DENTRO DEL TIEMPO</v>
      </c>
    </row>
    <row r="488" spans="1:17" ht="27" x14ac:dyDescent="0.25">
      <c r="A488" s="3">
        <v>481</v>
      </c>
      <c r="B488" s="10" t="s">
        <v>1229</v>
      </c>
      <c r="C488" s="21">
        <v>44592</v>
      </c>
      <c r="D488" s="21">
        <v>44592</v>
      </c>
      <c r="E488" s="22">
        <v>1</v>
      </c>
      <c r="F488" s="23" t="s">
        <v>22</v>
      </c>
      <c r="G488" s="23" t="s">
        <v>1101</v>
      </c>
      <c r="H488" s="23" t="s">
        <v>1102</v>
      </c>
      <c r="I488" s="22" t="s">
        <v>1101</v>
      </c>
      <c r="J488" s="21">
        <v>44599</v>
      </c>
      <c r="K488" s="21">
        <v>44599</v>
      </c>
      <c r="L488" s="3">
        <f t="shared" si="15"/>
        <v>5</v>
      </c>
      <c r="M488" s="14" t="s">
        <v>1230</v>
      </c>
      <c r="N488" s="22" t="s">
        <v>1104</v>
      </c>
      <c r="O488" s="8" t="s">
        <v>1133</v>
      </c>
      <c r="P488" s="22" t="s">
        <v>1105</v>
      </c>
      <c r="Q488" s="4" t="str">
        <f t="shared" si="14"/>
        <v>DENTRO DEL TIEMPO</v>
      </c>
    </row>
    <row r="489" spans="1:17" ht="27" x14ac:dyDescent="0.25">
      <c r="A489" s="3">
        <v>482</v>
      </c>
      <c r="B489" s="10" t="s">
        <v>1231</v>
      </c>
      <c r="C489" s="21">
        <v>44592</v>
      </c>
      <c r="D489" s="21">
        <v>44592</v>
      </c>
      <c r="E489" s="22">
        <v>5</v>
      </c>
      <c r="F489" s="23" t="s">
        <v>22</v>
      </c>
      <c r="G489" s="23" t="s">
        <v>1101</v>
      </c>
      <c r="H489" s="23" t="s">
        <v>1102</v>
      </c>
      <c r="I489" s="22" t="s">
        <v>1101</v>
      </c>
      <c r="J489" s="21">
        <v>44599</v>
      </c>
      <c r="K489" s="21">
        <v>44599</v>
      </c>
      <c r="L489" s="3">
        <f t="shared" si="15"/>
        <v>5</v>
      </c>
      <c r="M489" s="14" t="s">
        <v>1232</v>
      </c>
      <c r="N489" s="22" t="s">
        <v>1104</v>
      </c>
      <c r="O489" s="8" t="s">
        <v>1133</v>
      </c>
      <c r="P489" s="22" t="s">
        <v>1105</v>
      </c>
      <c r="Q489" s="4" t="str">
        <f t="shared" si="14"/>
        <v>DENTRO DEL TIEMPO</v>
      </c>
    </row>
    <row r="490" spans="1:17" ht="27" x14ac:dyDescent="0.25">
      <c r="A490" s="3">
        <v>483</v>
      </c>
      <c r="B490" s="10" t="s">
        <v>1233</v>
      </c>
      <c r="C490" s="21">
        <v>44592</v>
      </c>
      <c r="D490" s="21">
        <v>44592</v>
      </c>
      <c r="E490" s="22">
        <v>1</v>
      </c>
      <c r="F490" s="23" t="s">
        <v>22</v>
      </c>
      <c r="G490" s="23" t="s">
        <v>1101</v>
      </c>
      <c r="H490" s="23" t="s">
        <v>1102</v>
      </c>
      <c r="I490" s="22" t="s">
        <v>1101</v>
      </c>
      <c r="J490" s="21">
        <v>44599</v>
      </c>
      <c r="K490" s="21">
        <v>44599</v>
      </c>
      <c r="L490" s="3">
        <f t="shared" si="15"/>
        <v>5</v>
      </c>
      <c r="M490" s="14" t="s">
        <v>1234</v>
      </c>
      <c r="N490" s="22" t="s">
        <v>1104</v>
      </c>
      <c r="O490" s="8" t="s">
        <v>1133</v>
      </c>
      <c r="P490" s="22" t="s">
        <v>1105</v>
      </c>
      <c r="Q490" s="4" t="str">
        <f t="shared" si="14"/>
        <v>DENTRO DEL TIEMPO</v>
      </c>
    </row>
    <row r="491" spans="1:17" ht="27" x14ac:dyDescent="0.25">
      <c r="A491" s="3">
        <v>484</v>
      </c>
      <c r="B491" s="10" t="s">
        <v>1235</v>
      </c>
      <c r="C491" s="21">
        <v>44592</v>
      </c>
      <c r="D491" s="21">
        <v>44592</v>
      </c>
      <c r="E491" s="22">
        <v>12</v>
      </c>
      <c r="F491" s="23" t="s">
        <v>22</v>
      </c>
      <c r="G491" s="23" t="s">
        <v>1101</v>
      </c>
      <c r="H491" s="23" t="s">
        <v>1102</v>
      </c>
      <c r="I491" s="22" t="s">
        <v>1101</v>
      </c>
      <c r="J491" s="21">
        <v>44599</v>
      </c>
      <c r="K491" s="21">
        <v>44599</v>
      </c>
      <c r="L491" s="3">
        <f t="shared" si="15"/>
        <v>5</v>
      </c>
      <c r="M491" s="14" t="s">
        <v>1236</v>
      </c>
      <c r="N491" s="22" t="s">
        <v>1104</v>
      </c>
      <c r="O491" s="8" t="s">
        <v>1133</v>
      </c>
      <c r="P491" s="22" t="s">
        <v>1105</v>
      </c>
      <c r="Q491" s="4" t="str">
        <f t="shared" ref="Q491:Q496" si="16">IF(L491&gt;15,"FUERA DE TIEMPO","DENTRO DEL TIEMPO")</f>
        <v>DENTRO DEL TIEMPO</v>
      </c>
    </row>
    <row r="492" spans="1:17" ht="27" x14ac:dyDescent="0.25">
      <c r="A492" s="3">
        <v>485</v>
      </c>
      <c r="B492" s="10" t="s">
        <v>261</v>
      </c>
      <c r="C492" s="21">
        <v>44571</v>
      </c>
      <c r="D492" s="21">
        <v>44571</v>
      </c>
      <c r="E492" s="22">
        <v>32</v>
      </c>
      <c r="F492" s="23" t="s">
        <v>22</v>
      </c>
      <c r="G492" s="23" t="s">
        <v>1101</v>
      </c>
      <c r="H492" s="23" t="s">
        <v>1102</v>
      </c>
      <c r="I492" s="22" t="s">
        <v>1101</v>
      </c>
      <c r="J492" s="21">
        <v>44574</v>
      </c>
      <c r="K492" s="21">
        <v>44574</v>
      </c>
      <c r="L492" s="3">
        <f t="shared" si="15"/>
        <v>3</v>
      </c>
      <c r="M492" s="14" t="s">
        <v>262</v>
      </c>
      <c r="N492" s="22" t="s">
        <v>1104</v>
      </c>
      <c r="O492" s="8" t="s">
        <v>1026</v>
      </c>
      <c r="P492" s="22" t="s">
        <v>1105</v>
      </c>
      <c r="Q492" s="4" t="str">
        <f t="shared" si="16"/>
        <v>DENTRO DEL TIEMPO</v>
      </c>
    </row>
    <row r="493" spans="1:17" ht="30.75" x14ac:dyDescent="0.25">
      <c r="A493" s="3">
        <v>486</v>
      </c>
      <c r="B493" s="8" t="s">
        <v>1237</v>
      </c>
      <c r="C493" s="21">
        <v>44567</v>
      </c>
      <c r="D493" s="21">
        <v>44568</v>
      </c>
      <c r="E493" s="22">
        <v>3</v>
      </c>
      <c r="F493" s="24" t="s">
        <v>22</v>
      </c>
      <c r="G493" s="8" t="s">
        <v>1238</v>
      </c>
      <c r="H493" s="8" t="s">
        <v>1239</v>
      </c>
      <c r="I493" s="8" t="s">
        <v>1240</v>
      </c>
      <c r="J493" s="5">
        <v>44571</v>
      </c>
      <c r="K493" s="5">
        <v>44571</v>
      </c>
      <c r="L493" s="25">
        <f>+NETWORKDAYS(D493,K493)-1</f>
        <v>1</v>
      </c>
      <c r="M493" s="8" t="s">
        <v>1241</v>
      </c>
      <c r="N493" s="8" t="s">
        <v>1242</v>
      </c>
      <c r="O493" s="8" t="s">
        <v>1243</v>
      </c>
      <c r="P493" s="4" t="s">
        <v>1244</v>
      </c>
      <c r="Q493" s="4" t="str">
        <f t="shared" si="16"/>
        <v>DENTRO DEL TIEMPO</v>
      </c>
    </row>
    <row r="494" spans="1:17" ht="30.75" hidden="1" x14ac:dyDescent="0.25">
      <c r="A494" s="3">
        <v>487</v>
      </c>
      <c r="B494" s="8" t="s">
        <v>1245</v>
      </c>
      <c r="C494" s="21">
        <v>44566</v>
      </c>
      <c r="D494" s="21">
        <v>44566</v>
      </c>
      <c r="E494" s="22">
        <v>0</v>
      </c>
      <c r="F494" s="24" t="s">
        <v>790</v>
      </c>
      <c r="G494" s="8" t="s">
        <v>1246</v>
      </c>
      <c r="H494" s="8" t="s">
        <v>1239</v>
      </c>
      <c r="I494" s="8" t="s">
        <v>1247</v>
      </c>
      <c r="J494" s="5">
        <v>44600</v>
      </c>
      <c r="K494" s="5">
        <v>44600</v>
      </c>
      <c r="L494" s="25">
        <f>+NETWORKDAYS(D494,K494)-1</f>
        <v>24</v>
      </c>
      <c r="M494" s="8" t="s">
        <v>1248</v>
      </c>
      <c r="N494" s="8" t="s">
        <v>1242</v>
      </c>
      <c r="O494" s="8" t="s">
        <v>1249</v>
      </c>
      <c r="P494" s="4" t="s">
        <v>1244</v>
      </c>
      <c r="Q494" s="4" t="str">
        <f t="shared" si="16"/>
        <v>FUERA DE TIEMPO</v>
      </c>
    </row>
    <row r="495" spans="1:17" ht="30.75" x14ac:dyDescent="0.25">
      <c r="A495" s="3">
        <v>488</v>
      </c>
      <c r="B495" s="8" t="s">
        <v>839</v>
      </c>
      <c r="C495" s="21">
        <v>44592</v>
      </c>
      <c r="D495" s="21">
        <v>44572</v>
      </c>
      <c r="E495" s="22">
        <v>1</v>
      </c>
      <c r="F495" s="24" t="s">
        <v>22</v>
      </c>
      <c r="G495" s="8" t="s">
        <v>1246</v>
      </c>
      <c r="H495" s="8" t="s">
        <v>1239</v>
      </c>
      <c r="I495" s="8" t="s">
        <v>1240</v>
      </c>
      <c r="J495" s="5">
        <v>44576</v>
      </c>
      <c r="K495" s="5">
        <v>44576</v>
      </c>
      <c r="L495" s="25">
        <f>+NETWORKDAYS(D495,K495)-1</f>
        <v>3</v>
      </c>
      <c r="M495" s="8" t="s">
        <v>1250</v>
      </c>
      <c r="N495" s="8" t="s">
        <v>1242</v>
      </c>
      <c r="O495" s="8" t="s">
        <v>1251</v>
      </c>
      <c r="P495" s="4" t="s">
        <v>1244</v>
      </c>
      <c r="Q495" s="4" t="str">
        <f t="shared" si="16"/>
        <v>DENTRO DEL TIEMPO</v>
      </c>
    </row>
    <row r="496" spans="1:17" ht="40.5" x14ac:dyDescent="0.25">
      <c r="A496" s="3">
        <v>489</v>
      </c>
      <c r="B496" s="8" t="s">
        <v>1252</v>
      </c>
      <c r="C496" s="21">
        <v>44582</v>
      </c>
      <c r="D496" s="21">
        <v>44589</v>
      </c>
      <c r="E496" s="22">
        <v>3</v>
      </c>
      <c r="F496" s="24" t="s">
        <v>22</v>
      </c>
      <c r="G496" s="8" t="s">
        <v>1246</v>
      </c>
      <c r="H496" s="8" t="s">
        <v>1239</v>
      </c>
      <c r="I496" s="8" t="s">
        <v>1240</v>
      </c>
      <c r="J496" s="5">
        <v>44589</v>
      </c>
      <c r="K496" s="5">
        <v>44589</v>
      </c>
      <c r="L496" s="25">
        <f>+NETWORKDAYS(D496,K496)-1</f>
        <v>0</v>
      </c>
      <c r="M496" s="8" t="s">
        <v>1253</v>
      </c>
      <c r="N496" s="8" t="s">
        <v>1242</v>
      </c>
      <c r="O496" s="8" t="s">
        <v>1254</v>
      </c>
      <c r="P496" s="4" t="s">
        <v>1244</v>
      </c>
      <c r="Q496" s="4" t="str">
        <f t="shared" si="16"/>
        <v>DENTRO DEL TIEMPO</v>
      </c>
    </row>
  </sheetData>
  <autoFilter ref="B7:R496">
    <filterColumn colId="4">
      <filters>
        <filter val="ATENDIDO"/>
      </filters>
    </filterColumn>
  </autoFilter>
  <mergeCells count="3">
    <mergeCell ref="A2:Q2"/>
    <mergeCell ref="A3:Q3"/>
    <mergeCell ref="A4:Q4"/>
  </mergeCells>
  <conditionalFormatting sqref="Q399:Q425">
    <cfRule type="cellIs" dxfId="27" priority="13" stopIfTrue="1" operator="equal">
      <formula>"VERIFICAR INFORMACION"</formula>
    </cfRule>
    <cfRule type="cellIs" dxfId="26" priority="14" stopIfTrue="1" operator="equal">
      <formula>"EN TRAMITE"</formula>
    </cfRule>
    <cfRule type="cellIs" dxfId="25" priority="15" stopIfTrue="1" operator="equal">
      <formula>"FUERA DE TIEMPO"</formula>
    </cfRule>
    <cfRule type="cellIs" dxfId="24" priority="16" stopIfTrue="1" operator="equal">
      <formula>"DENTRO DE TIEMPO"</formula>
    </cfRule>
  </conditionalFormatting>
  <conditionalFormatting sqref="Q395:Q398">
    <cfRule type="cellIs" dxfId="23" priority="9" stopIfTrue="1" operator="equal">
      <formula>"VERIFICAR INFORMACION"</formula>
    </cfRule>
    <cfRule type="cellIs" dxfId="22" priority="10" stopIfTrue="1" operator="equal">
      <formula>"EN TRAMITE"</formula>
    </cfRule>
    <cfRule type="cellIs" dxfId="21" priority="11" stopIfTrue="1" operator="equal">
      <formula>"FUERA DE TIEMPO"</formula>
    </cfRule>
    <cfRule type="cellIs" dxfId="20" priority="12" stopIfTrue="1" operator="equal">
      <formula>"DENTRO DE TIEMPO"</formula>
    </cfRule>
  </conditionalFormatting>
  <conditionalFormatting sqref="Q426:Q492">
    <cfRule type="cellIs" dxfId="19" priority="5" stopIfTrue="1" operator="equal">
      <formula>"VERIFICAR INFORMACION"</formula>
    </cfRule>
    <cfRule type="cellIs" dxfId="18" priority="6" stopIfTrue="1" operator="equal">
      <formula>"EN TRAMITE"</formula>
    </cfRule>
    <cfRule type="cellIs" dxfId="17" priority="7" stopIfTrue="1" operator="equal">
      <formula>"FUERA DE TIEMPO"</formula>
    </cfRule>
    <cfRule type="cellIs" dxfId="16" priority="8" stopIfTrue="1" operator="equal">
      <formula>"DENTRO DE TIEMPO"</formula>
    </cfRule>
  </conditionalFormatting>
  <conditionalFormatting sqref="Q493:Q496">
    <cfRule type="cellIs" dxfId="15" priority="1" stopIfTrue="1" operator="equal">
      <formula>"VERIFICAR INFORMACION"</formula>
    </cfRule>
    <cfRule type="cellIs" dxfId="14" priority="2" stopIfTrue="1" operator="equal">
      <formula>"EN TRAMITE"</formula>
    </cfRule>
    <cfRule type="cellIs" dxfId="13" priority="3" stopIfTrue="1" operator="equal">
      <formula>"FUERA DE TIEMPO"</formula>
    </cfRule>
    <cfRule type="cellIs" dxfId="12" priority="4" stopIfTrue="1" operator="equal">
      <formula>"DENTRO DE TIEMPO"</formula>
    </cfRule>
  </conditionalFormatting>
  <dataValidations count="1">
    <dataValidation type="list" allowBlank="1" showInputMessage="1" showErrorMessage="1" sqref="F493:F496">
      <formula1>#REF!</formula1>
    </dataValidation>
  </dataValidations>
  <pageMargins left="0.7" right="0.7" top="0.75" bottom="0.75" header="0.3" footer="0.3"/>
  <pageSetup orientation="portrait" horizontalDpi="4294967292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R348"/>
  <sheetViews>
    <sheetView topLeftCell="A341" workbookViewId="0">
      <selection activeCell="D346" sqref="D346"/>
    </sheetView>
  </sheetViews>
  <sheetFormatPr baseColWidth="10" defaultRowHeight="15" x14ac:dyDescent="0.25"/>
  <cols>
    <col min="1" max="1" width="9" customWidth="1"/>
    <col min="8" max="8" width="15.28515625" customWidth="1"/>
  </cols>
  <sheetData>
    <row r="2" spans="1:18" x14ac:dyDescent="0.25">
      <c r="A2" s="102" t="s">
        <v>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</row>
    <row r="3" spans="1:18" x14ac:dyDescent="0.25">
      <c r="A3" s="102" t="s">
        <v>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</row>
    <row r="4" spans="1:18" x14ac:dyDescent="0.25">
      <c r="A4" s="102" t="s">
        <v>2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</row>
    <row r="5" spans="1:1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8" ht="45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</row>
    <row r="7" spans="1:18" ht="43.5" customHeight="1" x14ac:dyDescent="0.25">
      <c r="A7" s="26">
        <v>1</v>
      </c>
      <c r="B7" s="8" t="s">
        <v>1255</v>
      </c>
      <c r="C7" s="27">
        <v>44593</v>
      </c>
      <c r="D7" s="27">
        <v>44593</v>
      </c>
      <c r="E7" s="26">
        <v>2</v>
      </c>
      <c r="F7" s="28" t="s">
        <v>22</v>
      </c>
      <c r="G7" s="8" t="s">
        <v>1256</v>
      </c>
      <c r="H7" s="8" t="s">
        <v>1257</v>
      </c>
      <c r="I7" s="8" t="s">
        <v>1256</v>
      </c>
      <c r="J7" s="29">
        <v>44593</v>
      </c>
      <c r="K7" s="29">
        <v>44593</v>
      </c>
      <c r="L7" s="30">
        <f>+NETWORKDAYS(D7,K7,$R$7:$R$10)-1</f>
        <v>0</v>
      </c>
      <c r="M7" s="8" t="s">
        <v>1258</v>
      </c>
      <c r="N7" s="31" t="s">
        <v>26</v>
      </c>
      <c r="O7" s="4" t="s">
        <v>1259</v>
      </c>
      <c r="P7" s="31" t="s">
        <v>1260</v>
      </c>
      <c r="Q7" s="31" t="str">
        <f>IF(L7&gt;15,"FUERA DE TIEMPO","DENTRO DEL TIEMPO")</f>
        <v>DENTRO DEL TIEMPO</v>
      </c>
      <c r="R7" s="6"/>
    </row>
    <row r="8" spans="1:18" ht="50.25" x14ac:dyDescent="0.25">
      <c r="A8" s="26">
        <v>2</v>
      </c>
      <c r="B8" s="8" t="s">
        <v>1261</v>
      </c>
      <c r="C8" s="27">
        <v>44593</v>
      </c>
      <c r="D8" s="27">
        <v>44593</v>
      </c>
      <c r="E8" s="26">
        <v>42</v>
      </c>
      <c r="F8" s="28" t="s">
        <v>22</v>
      </c>
      <c r="G8" s="8" t="s">
        <v>1256</v>
      </c>
      <c r="H8" s="8" t="s">
        <v>1257</v>
      </c>
      <c r="I8" s="8" t="s">
        <v>1256</v>
      </c>
      <c r="J8" s="29">
        <v>44594</v>
      </c>
      <c r="K8" s="29">
        <v>44594</v>
      </c>
      <c r="L8" s="30">
        <f t="shared" ref="L8:L71" si="0">+NETWORKDAYS(D8,K8,$R$7:$R$10)-1</f>
        <v>1</v>
      </c>
      <c r="M8" s="8" t="s">
        <v>1262</v>
      </c>
      <c r="N8" s="31" t="s">
        <v>26</v>
      </c>
      <c r="O8" s="4" t="s">
        <v>1263</v>
      </c>
      <c r="P8" s="31" t="s">
        <v>1264</v>
      </c>
      <c r="Q8" s="31" t="str">
        <f t="shared" ref="Q8:Q71" si="1">IF(L8&gt;15,"FUERA DE TIEMPO","DENTRO DEL TIEMPO")</f>
        <v>DENTRO DEL TIEMPO</v>
      </c>
      <c r="R8" s="6"/>
    </row>
    <row r="9" spans="1:18" ht="50.25" hidden="1" x14ac:dyDescent="0.25">
      <c r="A9" s="26">
        <v>3</v>
      </c>
      <c r="B9" s="8" t="s">
        <v>1265</v>
      </c>
      <c r="C9" s="27">
        <v>44593</v>
      </c>
      <c r="D9" s="27">
        <v>44593</v>
      </c>
      <c r="E9" s="26">
        <v>2</v>
      </c>
      <c r="F9" s="28" t="s">
        <v>790</v>
      </c>
      <c r="G9" s="8" t="s">
        <v>1266</v>
      </c>
      <c r="H9" s="8" t="s">
        <v>1267</v>
      </c>
      <c r="I9" s="8" t="s">
        <v>1266</v>
      </c>
      <c r="J9" s="29">
        <v>44601</v>
      </c>
      <c r="K9" s="29">
        <v>44601</v>
      </c>
      <c r="L9" s="30">
        <f t="shared" si="0"/>
        <v>6</v>
      </c>
      <c r="M9" s="8" t="s">
        <v>1268</v>
      </c>
      <c r="N9" s="31" t="s">
        <v>26</v>
      </c>
      <c r="O9" s="4" t="s">
        <v>1269</v>
      </c>
      <c r="P9" s="31" t="s">
        <v>1270</v>
      </c>
      <c r="Q9" s="31" t="str">
        <f t="shared" si="1"/>
        <v>DENTRO DEL TIEMPO</v>
      </c>
      <c r="R9" s="6"/>
    </row>
    <row r="10" spans="1:18" ht="50.25" x14ac:dyDescent="0.25">
      <c r="A10" s="26">
        <v>4</v>
      </c>
      <c r="B10" s="8" t="s">
        <v>1271</v>
      </c>
      <c r="C10" s="27">
        <v>44593</v>
      </c>
      <c r="D10" s="27">
        <v>44593</v>
      </c>
      <c r="E10" s="26">
        <v>6</v>
      </c>
      <c r="F10" s="28" t="s">
        <v>22</v>
      </c>
      <c r="G10" s="8" t="s">
        <v>1256</v>
      </c>
      <c r="H10" s="8" t="s">
        <v>1257</v>
      </c>
      <c r="I10" s="8" t="s">
        <v>1256</v>
      </c>
      <c r="J10" s="29">
        <v>44594</v>
      </c>
      <c r="K10" s="29">
        <v>44594</v>
      </c>
      <c r="L10" s="30">
        <f t="shared" si="0"/>
        <v>1</v>
      </c>
      <c r="M10" s="8" t="s">
        <v>1272</v>
      </c>
      <c r="N10" s="31" t="s">
        <v>26</v>
      </c>
      <c r="O10" s="4" t="s">
        <v>1273</v>
      </c>
      <c r="P10" s="31" t="s">
        <v>1274</v>
      </c>
      <c r="Q10" s="31" t="str">
        <f t="shared" si="1"/>
        <v>DENTRO DEL TIEMPO</v>
      </c>
      <c r="R10" s="6"/>
    </row>
    <row r="11" spans="1:18" ht="50.25" x14ac:dyDescent="0.25">
      <c r="A11" s="26">
        <v>5</v>
      </c>
      <c r="B11" s="8" t="s">
        <v>1275</v>
      </c>
      <c r="C11" s="27">
        <v>44593</v>
      </c>
      <c r="D11" s="27">
        <v>44593</v>
      </c>
      <c r="E11" s="26">
        <v>6</v>
      </c>
      <c r="F11" s="28" t="s">
        <v>22</v>
      </c>
      <c r="G11" s="8" t="s">
        <v>1256</v>
      </c>
      <c r="H11" s="8" t="s">
        <v>1257</v>
      </c>
      <c r="I11" s="8" t="s">
        <v>1256</v>
      </c>
      <c r="J11" s="29">
        <v>44594</v>
      </c>
      <c r="K11" s="29">
        <v>44594</v>
      </c>
      <c r="L11" s="30">
        <f t="shared" si="0"/>
        <v>1</v>
      </c>
      <c r="M11" s="8" t="s">
        <v>1276</v>
      </c>
      <c r="N11" s="31" t="s">
        <v>26</v>
      </c>
      <c r="O11" s="4" t="s">
        <v>1277</v>
      </c>
      <c r="P11" s="31" t="s">
        <v>1278</v>
      </c>
      <c r="Q11" s="31" t="str">
        <f t="shared" si="1"/>
        <v>DENTRO DEL TIEMPO</v>
      </c>
      <c r="R11" s="6"/>
    </row>
    <row r="12" spans="1:18" ht="50.25" x14ac:dyDescent="0.25">
      <c r="A12" s="26">
        <v>6</v>
      </c>
      <c r="B12" s="8" t="s">
        <v>1279</v>
      </c>
      <c r="C12" s="27">
        <v>44593</v>
      </c>
      <c r="D12" s="27">
        <v>44593</v>
      </c>
      <c r="E12" s="26">
        <v>6</v>
      </c>
      <c r="F12" s="28" t="s">
        <v>22</v>
      </c>
      <c r="G12" s="8" t="s">
        <v>1256</v>
      </c>
      <c r="H12" s="8" t="s">
        <v>1257</v>
      </c>
      <c r="I12" s="8" t="s">
        <v>1256</v>
      </c>
      <c r="J12" s="29">
        <v>44594</v>
      </c>
      <c r="K12" s="29">
        <v>44594</v>
      </c>
      <c r="L12" s="30">
        <f t="shared" si="0"/>
        <v>1</v>
      </c>
      <c r="M12" s="8" t="s">
        <v>1280</v>
      </c>
      <c r="N12" s="31" t="s">
        <v>26</v>
      </c>
      <c r="O12" s="4" t="s">
        <v>894</v>
      </c>
      <c r="P12" s="31" t="s">
        <v>1281</v>
      </c>
      <c r="Q12" s="31" t="str">
        <f t="shared" si="1"/>
        <v>DENTRO DEL TIEMPO</v>
      </c>
      <c r="R12" s="6"/>
    </row>
    <row r="13" spans="1:18" ht="50.25" x14ac:dyDescent="0.25">
      <c r="A13" s="26">
        <v>7</v>
      </c>
      <c r="B13" s="8" t="s">
        <v>1282</v>
      </c>
      <c r="C13" s="27">
        <v>44593</v>
      </c>
      <c r="D13" s="27">
        <v>44593</v>
      </c>
      <c r="E13" s="26">
        <v>4</v>
      </c>
      <c r="F13" s="28" t="s">
        <v>22</v>
      </c>
      <c r="G13" s="8" t="s">
        <v>1256</v>
      </c>
      <c r="H13" s="8" t="s">
        <v>1257</v>
      </c>
      <c r="I13" s="8" t="s">
        <v>1256</v>
      </c>
      <c r="J13" s="29">
        <v>44594</v>
      </c>
      <c r="K13" s="29">
        <v>44594</v>
      </c>
      <c r="L13" s="30">
        <f t="shared" si="0"/>
        <v>1</v>
      </c>
      <c r="M13" s="8" t="s">
        <v>1283</v>
      </c>
      <c r="N13" s="31" t="s">
        <v>26</v>
      </c>
      <c r="O13" s="4" t="s">
        <v>1284</v>
      </c>
      <c r="P13" s="31" t="s">
        <v>1285</v>
      </c>
      <c r="Q13" s="31" t="str">
        <f t="shared" si="1"/>
        <v>DENTRO DEL TIEMPO</v>
      </c>
      <c r="R13" s="6"/>
    </row>
    <row r="14" spans="1:18" ht="50.25" x14ac:dyDescent="0.25">
      <c r="A14" s="26">
        <v>8</v>
      </c>
      <c r="B14" s="8" t="s">
        <v>1286</v>
      </c>
      <c r="C14" s="27">
        <v>44593</v>
      </c>
      <c r="D14" s="27">
        <v>44593</v>
      </c>
      <c r="E14" s="26">
        <v>3</v>
      </c>
      <c r="F14" s="28" t="s">
        <v>22</v>
      </c>
      <c r="G14" s="8" t="s">
        <v>1256</v>
      </c>
      <c r="H14" s="8" t="s">
        <v>1257</v>
      </c>
      <c r="I14" s="8" t="s">
        <v>1256</v>
      </c>
      <c r="J14" s="29">
        <v>44594</v>
      </c>
      <c r="K14" s="29">
        <v>44594</v>
      </c>
      <c r="L14" s="30">
        <f t="shared" si="0"/>
        <v>1</v>
      </c>
      <c r="M14" s="8" t="s">
        <v>1287</v>
      </c>
      <c r="N14" s="31" t="s">
        <v>26</v>
      </c>
      <c r="O14" s="4" t="s">
        <v>1288</v>
      </c>
      <c r="P14" s="31" t="s">
        <v>1289</v>
      </c>
      <c r="Q14" s="31" t="str">
        <f t="shared" si="1"/>
        <v>DENTRO DEL TIEMPO</v>
      </c>
      <c r="R14" s="6"/>
    </row>
    <row r="15" spans="1:18" ht="50.25" x14ac:dyDescent="0.25">
      <c r="A15" s="26">
        <v>9</v>
      </c>
      <c r="B15" s="8" t="s">
        <v>1290</v>
      </c>
      <c r="C15" s="27">
        <v>44593</v>
      </c>
      <c r="D15" s="27">
        <v>44593</v>
      </c>
      <c r="E15" s="26">
        <v>6</v>
      </c>
      <c r="F15" s="28" t="s">
        <v>22</v>
      </c>
      <c r="G15" s="8" t="s">
        <v>1256</v>
      </c>
      <c r="H15" s="8" t="s">
        <v>1257</v>
      </c>
      <c r="I15" s="8" t="s">
        <v>1256</v>
      </c>
      <c r="J15" s="29">
        <v>44594</v>
      </c>
      <c r="K15" s="29">
        <v>44594</v>
      </c>
      <c r="L15" s="30">
        <f t="shared" si="0"/>
        <v>1</v>
      </c>
      <c r="M15" s="8" t="s">
        <v>1291</v>
      </c>
      <c r="N15" s="31" t="s">
        <v>26</v>
      </c>
      <c r="O15" s="4" t="s">
        <v>1292</v>
      </c>
      <c r="P15" s="31" t="s">
        <v>1293</v>
      </c>
      <c r="Q15" s="31" t="str">
        <f t="shared" si="1"/>
        <v>DENTRO DEL TIEMPO</v>
      </c>
      <c r="R15" s="6"/>
    </row>
    <row r="16" spans="1:18" ht="50.25" x14ac:dyDescent="0.25">
      <c r="A16" s="26">
        <v>10</v>
      </c>
      <c r="B16" s="8" t="s">
        <v>1294</v>
      </c>
      <c r="C16" s="27">
        <v>44593</v>
      </c>
      <c r="D16" s="27">
        <v>44593</v>
      </c>
      <c r="E16" s="26">
        <v>2</v>
      </c>
      <c r="F16" s="28" t="s">
        <v>22</v>
      </c>
      <c r="G16" s="8" t="s">
        <v>1256</v>
      </c>
      <c r="H16" s="8" t="s">
        <v>1257</v>
      </c>
      <c r="I16" s="8" t="s">
        <v>1256</v>
      </c>
      <c r="J16" s="29">
        <v>44594</v>
      </c>
      <c r="K16" s="29">
        <v>44594</v>
      </c>
      <c r="L16" s="30">
        <f t="shared" si="0"/>
        <v>1</v>
      </c>
      <c r="M16" s="8" t="s">
        <v>649</v>
      </c>
      <c r="N16" s="31" t="s">
        <v>26</v>
      </c>
      <c r="O16" s="4" t="s">
        <v>1295</v>
      </c>
      <c r="P16" s="31" t="s">
        <v>1296</v>
      </c>
      <c r="Q16" s="31" t="str">
        <f t="shared" si="1"/>
        <v>DENTRO DEL TIEMPO</v>
      </c>
      <c r="R16" s="6"/>
    </row>
    <row r="17" spans="1:18" ht="50.25" x14ac:dyDescent="0.25">
      <c r="A17" s="26">
        <v>11</v>
      </c>
      <c r="B17" s="8" t="s">
        <v>1297</v>
      </c>
      <c r="C17" s="27">
        <v>44593</v>
      </c>
      <c r="D17" s="27">
        <v>44593</v>
      </c>
      <c r="E17" s="26">
        <v>2</v>
      </c>
      <c r="F17" s="28" t="s">
        <v>22</v>
      </c>
      <c r="G17" s="8" t="s">
        <v>1256</v>
      </c>
      <c r="H17" s="8" t="s">
        <v>1257</v>
      </c>
      <c r="I17" s="8" t="s">
        <v>1256</v>
      </c>
      <c r="J17" s="29">
        <v>44600</v>
      </c>
      <c r="K17" s="29">
        <v>44600</v>
      </c>
      <c r="L17" s="30">
        <f t="shared" si="0"/>
        <v>5</v>
      </c>
      <c r="M17" s="8" t="s">
        <v>1298</v>
      </c>
      <c r="N17" s="31" t="s">
        <v>26</v>
      </c>
      <c r="O17" s="4" t="s">
        <v>1299</v>
      </c>
      <c r="P17" s="31" t="s">
        <v>1300</v>
      </c>
      <c r="Q17" s="31" t="str">
        <f t="shared" si="1"/>
        <v>DENTRO DEL TIEMPO</v>
      </c>
      <c r="R17" s="6"/>
    </row>
    <row r="18" spans="1:18" ht="50.25" x14ac:dyDescent="0.25">
      <c r="A18" s="26">
        <v>12</v>
      </c>
      <c r="B18" s="8" t="s">
        <v>1301</v>
      </c>
      <c r="C18" s="27">
        <v>44593</v>
      </c>
      <c r="D18" s="27">
        <v>44593</v>
      </c>
      <c r="E18" s="26">
        <v>2</v>
      </c>
      <c r="F18" s="28" t="s">
        <v>22</v>
      </c>
      <c r="G18" s="8" t="s">
        <v>1256</v>
      </c>
      <c r="H18" s="8" t="s">
        <v>1257</v>
      </c>
      <c r="I18" s="8" t="s">
        <v>1256</v>
      </c>
      <c r="J18" s="29">
        <v>44594</v>
      </c>
      <c r="K18" s="29">
        <v>44594</v>
      </c>
      <c r="L18" s="30">
        <f t="shared" si="0"/>
        <v>1</v>
      </c>
      <c r="M18" s="8" t="s">
        <v>1302</v>
      </c>
      <c r="N18" s="31" t="s">
        <v>26</v>
      </c>
      <c r="O18" s="4" t="s">
        <v>1303</v>
      </c>
      <c r="P18" s="31" t="s">
        <v>1304</v>
      </c>
      <c r="Q18" s="31" t="str">
        <f t="shared" si="1"/>
        <v>DENTRO DEL TIEMPO</v>
      </c>
      <c r="R18" s="6"/>
    </row>
    <row r="19" spans="1:18" ht="50.25" x14ac:dyDescent="0.25">
      <c r="A19" s="26">
        <v>13</v>
      </c>
      <c r="B19" s="8" t="s">
        <v>1305</v>
      </c>
      <c r="C19" s="27">
        <v>44593</v>
      </c>
      <c r="D19" s="27">
        <v>44593</v>
      </c>
      <c r="E19" s="26">
        <v>2</v>
      </c>
      <c r="F19" s="28" t="s">
        <v>22</v>
      </c>
      <c r="G19" s="8" t="s">
        <v>1256</v>
      </c>
      <c r="H19" s="8" t="s">
        <v>1257</v>
      </c>
      <c r="I19" s="8" t="s">
        <v>1256</v>
      </c>
      <c r="J19" s="29">
        <v>44594</v>
      </c>
      <c r="K19" s="29">
        <v>44594</v>
      </c>
      <c r="L19" s="30">
        <f t="shared" si="0"/>
        <v>1</v>
      </c>
      <c r="M19" s="8" t="s">
        <v>1291</v>
      </c>
      <c r="N19" s="31" t="s">
        <v>26</v>
      </c>
      <c r="O19" s="4" t="s">
        <v>139</v>
      </c>
      <c r="P19" s="31" t="s">
        <v>1296</v>
      </c>
      <c r="Q19" s="31" t="str">
        <f t="shared" si="1"/>
        <v>DENTRO DEL TIEMPO</v>
      </c>
      <c r="R19" s="6"/>
    </row>
    <row r="20" spans="1:18" ht="50.25" x14ac:dyDescent="0.25">
      <c r="A20" s="26">
        <v>14</v>
      </c>
      <c r="B20" s="8" t="s">
        <v>1306</v>
      </c>
      <c r="C20" s="27">
        <v>44594</v>
      </c>
      <c r="D20" s="27">
        <v>44594</v>
      </c>
      <c r="E20" s="26">
        <v>2</v>
      </c>
      <c r="F20" s="28" t="s">
        <v>22</v>
      </c>
      <c r="G20" s="8" t="s">
        <v>1256</v>
      </c>
      <c r="H20" s="8" t="s">
        <v>1257</v>
      </c>
      <c r="I20" s="8" t="s">
        <v>1256</v>
      </c>
      <c r="J20" s="29">
        <v>44595</v>
      </c>
      <c r="K20" s="29">
        <v>44595</v>
      </c>
      <c r="L20" s="30">
        <f t="shared" si="0"/>
        <v>1</v>
      </c>
      <c r="M20" s="8" t="s">
        <v>1307</v>
      </c>
      <c r="N20" s="31" t="s">
        <v>26</v>
      </c>
      <c r="O20" s="4" t="s">
        <v>1308</v>
      </c>
      <c r="P20" s="31" t="s">
        <v>1309</v>
      </c>
      <c r="Q20" s="31" t="str">
        <f t="shared" si="1"/>
        <v>DENTRO DEL TIEMPO</v>
      </c>
      <c r="R20" s="6"/>
    </row>
    <row r="21" spans="1:18" ht="50.25" x14ac:dyDescent="0.25">
      <c r="A21" s="26">
        <v>15</v>
      </c>
      <c r="B21" s="8" t="s">
        <v>1310</v>
      </c>
      <c r="C21" s="27">
        <v>44594</v>
      </c>
      <c r="D21" s="27">
        <v>44594</v>
      </c>
      <c r="E21" s="26">
        <v>2</v>
      </c>
      <c r="F21" s="28" t="s">
        <v>22</v>
      </c>
      <c r="G21" s="8" t="s">
        <v>1256</v>
      </c>
      <c r="H21" s="8" t="s">
        <v>1257</v>
      </c>
      <c r="I21" s="8" t="s">
        <v>1256</v>
      </c>
      <c r="J21" s="29">
        <v>44595</v>
      </c>
      <c r="K21" s="29">
        <v>44595</v>
      </c>
      <c r="L21" s="30">
        <f t="shared" si="0"/>
        <v>1</v>
      </c>
      <c r="M21" s="8" t="s">
        <v>1311</v>
      </c>
      <c r="N21" s="31" t="s">
        <v>26</v>
      </c>
      <c r="O21" s="4" t="s">
        <v>828</v>
      </c>
      <c r="P21" s="31" t="s">
        <v>1312</v>
      </c>
      <c r="Q21" s="31" t="str">
        <f t="shared" si="1"/>
        <v>DENTRO DEL TIEMPO</v>
      </c>
      <c r="R21" s="6"/>
    </row>
    <row r="22" spans="1:18" ht="50.25" x14ac:dyDescent="0.25">
      <c r="A22" s="26">
        <v>16</v>
      </c>
      <c r="B22" s="8" t="s">
        <v>1313</v>
      </c>
      <c r="C22" s="27">
        <v>44594</v>
      </c>
      <c r="D22" s="27">
        <v>44594</v>
      </c>
      <c r="E22" s="26">
        <v>3</v>
      </c>
      <c r="F22" s="28" t="s">
        <v>22</v>
      </c>
      <c r="G22" s="8" t="s">
        <v>1256</v>
      </c>
      <c r="H22" s="8" t="s">
        <v>1257</v>
      </c>
      <c r="I22" s="8" t="s">
        <v>1256</v>
      </c>
      <c r="J22" s="29">
        <v>44595</v>
      </c>
      <c r="K22" s="29">
        <v>44595</v>
      </c>
      <c r="L22" s="30">
        <f t="shared" si="0"/>
        <v>1</v>
      </c>
      <c r="M22" s="8" t="s">
        <v>1314</v>
      </c>
      <c r="N22" s="31" t="s">
        <v>26</v>
      </c>
      <c r="O22" s="4" t="s">
        <v>392</v>
      </c>
      <c r="P22" s="31" t="s">
        <v>1315</v>
      </c>
      <c r="Q22" s="31" t="str">
        <f t="shared" si="1"/>
        <v>DENTRO DEL TIEMPO</v>
      </c>
      <c r="R22" s="6"/>
    </row>
    <row r="23" spans="1:18" ht="50.25" x14ac:dyDescent="0.25">
      <c r="A23" s="26">
        <v>17</v>
      </c>
      <c r="B23" s="8" t="s">
        <v>1316</v>
      </c>
      <c r="C23" s="27">
        <v>44594</v>
      </c>
      <c r="D23" s="27">
        <v>44594</v>
      </c>
      <c r="E23" s="26">
        <v>3</v>
      </c>
      <c r="F23" s="28" t="s">
        <v>22</v>
      </c>
      <c r="G23" s="8" t="s">
        <v>1256</v>
      </c>
      <c r="H23" s="8" t="s">
        <v>1257</v>
      </c>
      <c r="I23" s="8" t="s">
        <v>1256</v>
      </c>
      <c r="J23" s="29">
        <v>44595</v>
      </c>
      <c r="K23" s="29">
        <v>44595</v>
      </c>
      <c r="L23" s="30">
        <f t="shared" si="0"/>
        <v>1</v>
      </c>
      <c r="M23" s="8" t="s">
        <v>1317</v>
      </c>
      <c r="N23" s="31" t="s">
        <v>26</v>
      </c>
      <c r="O23" s="4" t="s">
        <v>392</v>
      </c>
      <c r="P23" s="31" t="s">
        <v>1315</v>
      </c>
      <c r="Q23" s="31" t="str">
        <f t="shared" si="1"/>
        <v>DENTRO DEL TIEMPO</v>
      </c>
      <c r="R23" s="6"/>
    </row>
    <row r="24" spans="1:18" ht="50.25" x14ac:dyDescent="0.25">
      <c r="A24" s="26">
        <v>18</v>
      </c>
      <c r="B24" s="8" t="s">
        <v>1318</v>
      </c>
      <c r="C24" s="27">
        <v>44594</v>
      </c>
      <c r="D24" s="27">
        <v>44594</v>
      </c>
      <c r="E24" s="26">
        <v>3</v>
      </c>
      <c r="F24" s="28" t="s">
        <v>22</v>
      </c>
      <c r="G24" s="8" t="s">
        <v>1256</v>
      </c>
      <c r="H24" s="8" t="s">
        <v>1257</v>
      </c>
      <c r="I24" s="8" t="s">
        <v>1256</v>
      </c>
      <c r="J24" s="29">
        <v>44595</v>
      </c>
      <c r="K24" s="29">
        <v>44595</v>
      </c>
      <c r="L24" s="30">
        <f t="shared" si="0"/>
        <v>1</v>
      </c>
      <c r="M24" s="8" t="s">
        <v>1319</v>
      </c>
      <c r="N24" s="31" t="s">
        <v>26</v>
      </c>
      <c r="O24" s="4" t="s">
        <v>1263</v>
      </c>
      <c r="P24" s="31" t="s">
        <v>1264</v>
      </c>
      <c r="Q24" s="31" t="str">
        <f t="shared" si="1"/>
        <v>DENTRO DEL TIEMPO</v>
      </c>
      <c r="R24" s="6"/>
    </row>
    <row r="25" spans="1:18" ht="50.25" x14ac:dyDescent="0.25">
      <c r="A25" s="26">
        <v>19</v>
      </c>
      <c r="B25" s="8" t="s">
        <v>1320</v>
      </c>
      <c r="C25" s="27">
        <v>44594</v>
      </c>
      <c r="D25" s="27">
        <v>44594</v>
      </c>
      <c r="E25" s="26">
        <v>2</v>
      </c>
      <c r="F25" s="28" t="s">
        <v>22</v>
      </c>
      <c r="G25" s="8" t="s">
        <v>1256</v>
      </c>
      <c r="H25" s="8" t="s">
        <v>1257</v>
      </c>
      <c r="I25" s="8" t="s">
        <v>1256</v>
      </c>
      <c r="J25" s="29">
        <v>44595</v>
      </c>
      <c r="K25" s="29">
        <v>44595</v>
      </c>
      <c r="L25" s="30">
        <f t="shared" si="0"/>
        <v>1</v>
      </c>
      <c r="M25" s="8" t="s">
        <v>1321</v>
      </c>
      <c r="N25" s="31" t="s">
        <v>26</v>
      </c>
      <c r="O25" s="4" t="s">
        <v>1322</v>
      </c>
      <c r="P25" s="31" t="s">
        <v>1323</v>
      </c>
      <c r="Q25" s="31" t="str">
        <f t="shared" si="1"/>
        <v>DENTRO DEL TIEMPO</v>
      </c>
      <c r="R25" s="6"/>
    </row>
    <row r="26" spans="1:18" ht="50.25" x14ac:dyDescent="0.25">
      <c r="A26" s="26">
        <v>20</v>
      </c>
      <c r="B26" s="8" t="s">
        <v>1324</v>
      </c>
      <c r="C26" s="27">
        <v>44594</v>
      </c>
      <c r="D26" s="27">
        <v>44594</v>
      </c>
      <c r="E26" s="26">
        <v>2</v>
      </c>
      <c r="F26" s="28" t="s">
        <v>22</v>
      </c>
      <c r="G26" s="8" t="s">
        <v>1256</v>
      </c>
      <c r="H26" s="8" t="s">
        <v>1257</v>
      </c>
      <c r="I26" s="8" t="s">
        <v>1256</v>
      </c>
      <c r="J26" s="29">
        <v>44595</v>
      </c>
      <c r="K26" s="29">
        <v>44595</v>
      </c>
      <c r="L26" s="30">
        <f t="shared" si="0"/>
        <v>1</v>
      </c>
      <c r="M26" s="8" t="s">
        <v>1325</v>
      </c>
      <c r="N26" s="31" t="s">
        <v>26</v>
      </c>
      <c r="O26" s="4" t="s">
        <v>1326</v>
      </c>
      <c r="P26" s="31" t="s">
        <v>1327</v>
      </c>
      <c r="Q26" s="31" t="str">
        <f t="shared" si="1"/>
        <v>DENTRO DEL TIEMPO</v>
      </c>
      <c r="R26" s="6"/>
    </row>
    <row r="27" spans="1:18" ht="50.25" x14ac:dyDescent="0.25">
      <c r="A27" s="26">
        <v>21</v>
      </c>
      <c r="B27" s="8" t="s">
        <v>1328</v>
      </c>
      <c r="C27" s="27">
        <v>44594</v>
      </c>
      <c r="D27" s="27">
        <v>44594</v>
      </c>
      <c r="E27" s="26">
        <v>2</v>
      </c>
      <c r="F27" s="28" t="s">
        <v>22</v>
      </c>
      <c r="G27" s="8" t="s">
        <v>1256</v>
      </c>
      <c r="H27" s="8" t="s">
        <v>1257</v>
      </c>
      <c r="I27" s="8" t="s">
        <v>1256</v>
      </c>
      <c r="J27" s="29">
        <v>44595</v>
      </c>
      <c r="K27" s="29">
        <v>44595</v>
      </c>
      <c r="L27" s="30">
        <f t="shared" si="0"/>
        <v>1</v>
      </c>
      <c r="M27" s="8" t="s">
        <v>1329</v>
      </c>
      <c r="N27" s="31" t="s">
        <v>26</v>
      </c>
      <c r="O27" s="4" t="s">
        <v>1326</v>
      </c>
      <c r="P27" s="31" t="s">
        <v>1327</v>
      </c>
      <c r="Q27" s="31" t="str">
        <f t="shared" si="1"/>
        <v>DENTRO DEL TIEMPO</v>
      </c>
      <c r="R27" s="6"/>
    </row>
    <row r="28" spans="1:18" ht="50.25" x14ac:dyDescent="0.25">
      <c r="A28" s="26">
        <v>22</v>
      </c>
      <c r="B28" s="8" t="s">
        <v>1330</v>
      </c>
      <c r="C28" s="27">
        <v>44594</v>
      </c>
      <c r="D28" s="27">
        <v>44594</v>
      </c>
      <c r="E28" s="26">
        <v>2</v>
      </c>
      <c r="F28" s="28" t="s">
        <v>22</v>
      </c>
      <c r="G28" s="8" t="s">
        <v>1256</v>
      </c>
      <c r="H28" s="8" t="s">
        <v>1257</v>
      </c>
      <c r="I28" s="8" t="s">
        <v>1256</v>
      </c>
      <c r="J28" s="29">
        <v>44595</v>
      </c>
      <c r="K28" s="29">
        <v>44595</v>
      </c>
      <c r="L28" s="30">
        <f t="shared" si="0"/>
        <v>1</v>
      </c>
      <c r="M28" s="8" t="s">
        <v>1331</v>
      </c>
      <c r="N28" s="31" t="s">
        <v>26</v>
      </c>
      <c r="O28" s="4" t="s">
        <v>1326</v>
      </c>
      <c r="P28" s="31" t="s">
        <v>1327</v>
      </c>
      <c r="Q28" s="31" t="str">
        <f t="shared" si="1"/>
        <v>DENTRO DEL TIEMPO</v>
      </c>
      <c r="R28" s="6"/>
    </row>
    <row r="29" spans="1:18" ht="50.25" x14ac:dyDescent="0.25">
      <c r="A29" s="26">
        <v>23</v>
      </c>
      <c r="B29" s="8" t="s">
        <v>1332</v>
      </c>
      <c r="C29" s="27">
        <v>44594</v>
      </c>
      <c r="D29" s="27">
        <v>44594</v>
      </c>
      <c r="E29" s="26">
        <v>2</v>
      </c>
      <c r="F29" s="28" t="s">
        <v>22</v>
      </c>
      <c r="G29" s="8" t="s">
        <v>1256</v>
      </c>
      <c r="H29" s="8" t="s">
        <v>1257</v>
      </c>
      <c r="I29" s="8" t="s">
        <v>1256</v>
      </c>
      <c r="J29" s="29">
        <v>44595</v>
      </c>
      <c r="K29" s="29">
        <v>44595</v>
      </c>
      <c r="L29" s="30">
        <f t="shared" si="0"/>
        <v>1</v>
      </c>
      <c r="M29" s="8" t="s">
        <v>1333</v>
      </c>
      <c r="N29" s="31" t="s">
        <v>26</v>
      </c>
      <c r="O29" s="4" t="s">
        <v>1326</v>
      </c>
      <c r="P29" s="31" t="s">
        <v>1327</v>
      </c>
      <c r="Q29" s="31" t="str">
        <f t="shared" si="1"/>
        <v>DENTRO DEL TIEMPO</v>
      </c>
      <c r="R29" s="6"/>
    </row>
    <row r="30" spans="1:18" ht="50.25" x14ac:dyDescent="0.25">
      <c r="A30" s="26">
        <v>24</v>
      </c>
      <c r="B30" s="8" t="s">
        <v>1334</v>
      </c>
      <c r="C30" s="27">
        <v>44594</v>
      </c>
      <c r="D30" s="27">
        <v>44594</v>
      </c>
      <c r="E30" s="26">
        <v>2</v>
      </c>
      <c r="F30" s="28" t="s">
        <v>22</v>
      </c>
      <c r="G30" s="8" t="s">
        <v>1256</v>
      </c>
      <c r="H30" s="8" t="s">
        <v>1257</v>
      </c>
      <c r="I30" s="8" t="s">
        <v>1256</v>
      </c>
      <c r="J30" s="29">
        <v>44595</v>
      </c>
      <c r="K30" s="29">
        <v>44595</v>
      </c>
      <c r="L30" s="30">
        <f t="shared" si="0"/>
        <v>1</v>
      </c>
      <c r="M30" s="8" t="s">
        <v>1335</v>
      </c>
      <c r="N30" s="31" t="s">
        <v>26</v>
      </c>
      <c r="O30" s="4" t="s">
        <v>1326</v>
      </c>
      <c r="P30" s="31" t="s">
        <v>1327</v>
      </c>
      <c r="Q30" s="31" t="str">
        <f t="shared" si="1"/>
        <v>DENTRO DEL TIEMPO</v>
      </c>
      <c r="R30" s="6"/>
    </row>
    <row r="31" spans="1:18" ht="50.25" x14ac:dyDescent="0.25">
      <c r="A31" s="26">
        <v>25</v>
      </c>
      <c r="B31" s="8" t="s">
        <v>1336</v>
      </c>
      <c r="C31" s="27">
        <v>44594</v>
      </c>
      <c r="D31" s="27">
        <v>44594</v>
      </c>
      <c r="E31" s="26">
        <v>2</v>
      </c>
      <c r="F31" s="28" t="s">
        <v>22</v>
      </c>
      <c r="G31" s="8" t="s">
        <v>1256</v>
      </c>
      <c r="H31" s="8" t="s">
        <v>1257</v>
      </c>
      <c r="I31" s="8" t="s">
        <v>1256</v>
      </c>
      <c r="J31" s="29">
        <v>44596</v>
      </c>
      <c r="K31" s="29">
        <v>44596</v>
      </c>
      <c r="L31" s="30">
        <f t="shared" si="0"/>
        <v>2</v>
      </c>
      <c r="M31" s="8" t="s">
        <v>1337</v>
      </c>
      <c r="N31" s="31" t="s">
        <v>26</v>
      </c>
      <c r="O31" s="4" t="s">
        <v>1326</v>
      </c>
      <c r="P31" s="31" t="s">
        <v>1327</v>
      </c>
      <c r="Q31" s="31" t="str">
        <f t="shared" si="1"/>
        <v>DENTRO DEL TIEMPO</v>
      </c>
      <c r="R31" s="6"/>
    </row>
    <row r="32" spans="1:18" ht="50.25" x14ac:dyDescent="0.25">
      <c r="A32" s="26">
        <v>26</v>
      </c>
      <c r="B32" s="8" t="s">
        <v>1338</v>
      </c>
      <c r="C32" s="27">
        <v>44594</v>
      </c>
      <c r="D32" s="27">
        <v>44594</v>
      </c>
      <c r="E32" s="26">
        <v>2</v>
      </c>
      <c r="F32" s="28" t="s">
        <v>22</v>
      </c>
      <c r="G32" s="8" t="s">
        <v>1256</v>
      </c>
      <c r="H32" s="8" t="s">
        <v>1257</v>
      </c>
      <c r="I32" s="8" t="s">
        <v>1256</v>
      </c>
      <c r="J32" s="29">
        <v>44595</v>
      </c>
      <c r="K32" s="29">
        <v>44595</v>
      </c>
      <c r="L32" s="30">
        <f t="shared" si="0"/>
        <v>1</v>
      </c>
      <c r="M32" s="8" t="s">
        <v>1339</v>
      </c>
      <c r="N32" s="31" t="s">
        <v>26</v>
      </c>
      <c r="O32" s="4" t="s">
        <v>131</v>
      </c>
      <c r="P32" s="31" t="s">
        <v>1340</v>
      </c>
      <c r="Q32" s="31" t="str">
        <f t="shared" si="1"/>
        <v>DENTRO DEL TIEMPO</v>
      </c>
      <c r="R32" s="6"/>
    </row>
    <row r="33" spans="1:18" ht="50.25" x14ac:dyDescent="0.25">
      <c r="A33" s="26">
        <v>27</v>
      </c>
      <c r="B33" s="8" t="s">
        <v>1341</v>
      </c>
      <c r="C33" s="27">
        <v>44594</v>
      </c>
      <c r="D33" s="27">
        <v>44594</v>
      </c>
      <c r="E33" s="26">
        <v>2</v>
      </c>
      <c r="F33" s="28" t="s">
        <v>22</v>
      </c>
      <c r="G33" s="8" t="s">
        <v>1256</v>
      </c>
      <c r="H33" s="8" t="s">
        <v>1257</v>
      </c>
      <c r="I33" s="8" t="s">
        <v>1256</v>
      </c>
      <c r="J33" s="29">
        <v>44595</v>
      </c>
      <c r="K33" s="29">
        <v>44595</v>
      </c>
      <c r="L33" s="30">
        <f t="shared" si="0"/>
        <v>1</v>
      </c>
      <c r="M33" s="8" t="s">
        <v>1342</v>
      </c>
      <c r="N33" s="31" t="s">
        <v>26</v>
      </c>
      <c r="O33" s="4" t="s">
        <v>833</v>
      </c>
      <c r="P33" s="31" t="s">
        <v>1343</v>
      </c>
      <c r="Q33" s="31" t="str">
        <f t="shared" si="1"/>
        <v>DENTRO DEL TIEMPO</v>
      </c>
      <c r="R33" s="6"/>
    </row>
    <row r="34" spans="1:18" ht="50.25" x14ac:dyDescent="0.25">
      <c r="A34" s="26">
        <v>28</v>
      </c>
      <c r="B34" s="8" t="s">
        <v>1344</v>
      </c>
      <c r="C34" s="27">
        <v>44594</v>
      </c>
      <c r="D34" s="27">
        <v>44594</v>
      </c>
      <c r="E34" s="26">
        <v>2</v>
      </c>
      <c r="F34" s="28" t="s">
        <v>22</v>
      </c>
      <c r="G34" s="8" t="s">
        <v>1256</v>
      </c>
      <c r="H34" s="8" t="s">
        <v>1257</v>
      </c>
      <c r="I34" s="8" t="s">
        <v>1256</v>
      </c>
      <c r="J34" s="28"/>
      <c r="K34" s="28"/>
      <c r="L34" s="30">
        <f t="shared" si="0"/>
        <v>-31854</v>
      </c>
      <c r="M34" s="8" t="s">
        <v>1345</v>
      </c>
      <c r="N34" s="31" t="s">
        <v>26</v>
      </c>
      <c r="O34" s="4" t="s">
        <v>768</v>
      </c>
      <c r="P34" s="31"/>
      <c r="Q34" s="31" t="str">
        <f t="shared" si="1"/>
        <v>DENTRO DEL TIEMPO</v>
      </c>
      <c r="R34" s="6"/>
    </row>
    <row r="35" spans="1:18" ht="50.25" hidden="1" x14ac:dyDescent="0.25">
      <c r="A35" s="26">
        <v>29</v>
      </c>
      <c r="B35" s="8" t="s">
        <v>1346</v>
      </c>
      <c r="C35" s="27">
        <v>44594</v>
      </c>
      <c r="D35" s="27">
        <v>44594</v>
      </c>
      <c r="E35" s="26">
        <v>2</v>
      </c>
      <c r="F35" s="28" t="s">
        <v>790</v>
      </c>
      <c r="G35" s="8" t="s">
        <v>943</v>
      </c>
      <c r="H35" s="8" t="s">
        <v>1347</v>
      </c>
      <c r="I35" s="8" t="s">
        <v>943</v>
      </c>
      <c r="J35" s="29">
        <v>44603</v>
      </c>
      <c r="K35" s="29">
        <v>44603</v>
      </c>
      <c r="L35" s="30">
        <f t="shared" si="0"/>
        <v>7</v>
      </c>
      <c r="M35" s="8" t="s">
        <v>1348</v>
      </c>
      <c r="N35" s="31" t="s">
        <v>26</v>
      </c>
      <c r="O35" s="4" t="s">
        <v>1349</v>
      </c>
      <c r="P35" s="31" t="s">
        <v>1350</v>
      </c>
      <c r="Q35" s="31" t="str">
        <f t="shared" si="1"/>
        <v>DENTRO DEL TIEMPO</v>
      </c>
      <c r="R35" s="6"/>
    </row>
    <row r="36" spans="1:18" ht="50.25" x14ac:dyDescent="0.25">
      <c r="A36" s="26">
        <v>30</v>
      </c>
      <c r="B36" s="8" t="s">
        <v>1351</v>
      </c>
      <c r="C36" s="27">
        <v>44594</v>
      </c>
      <c r="D36" s="27">
        <v>44594</v>
      </c>
      <c r="E36" s="26">
        <v>2</v>
      </c>
      <c r="F36" s="28" t="s">
        <v>22</v>
      </c>
      <c r="G36" s="8" t="s">
        <v>1256</v>
      </c>
      <c r="H36" s="8" t="s">
        <v>1257</v>
      </c>
      <c r="I36" s="8" t="s">
        <v>1256</v>
      </c>
      <c r="J36" s="29">
        <v>44596</v>
      </c>
      <c r="K36" s="29">
        <v>44596</v>
      </c>
      <c r="L36" s="30">
        <f t="shared" si="0"/>
        <v>2</v>
      </c>
      <c r="M36" s="8" t="s">
        <v>1352</v>
      </c>
      <c r="N36" s="31" t="s">
        <v>26</v>
      </c>
      <c r="O36" s="4" t="s">
        <v>1353</v>
      </c>
      <c r="P36" s="31" t="s">
        <v>1354</v>
      </c>
      <c r="Q36" s="31" t="str">
        <f t="shared" si="1"/>
        <v>DENTRO DEL TIEMPO</v>
      </c>
      <c r="R36" s="6"/>
    </row>
    <row r="37" spans="1:18" ht="50.25" x14ac:dyDescent="0.25">
      <c r="A37" s="26">
        <v>31</v>
      </c>
      <c r="B37" s="8" t="s">
        <v>1355</v>
      </c>
      <c r="C37" s="27">
        <v>44594</v>
      </c>
      <c r="D37" s="27">
        <v>44594</v>
      </c>
      <c r="E37" s="26">
        <v>2</v>
      </c>
      <c r="F37" s="28" t="s">
        <v>22</v>
      </c>
      <c r="G37" s="8" t="s">
        <v>1256</v>
      </c>
      <c r="H37" s="8" t="s">
        <v>1257</v>
      </c>
      <c r="I37" s="8" t="s">
        <v>1256</v>
      </c>
      <c r="J37" s="29">
        <v>44595</v>
      </c>
      <c r="K37" s="29">
        <v>44595</v>
      </c>
      <c r="L37" s="30">
        <f t="shared" si="0"/>
        <v>1</v>
      </c>
      <c r="M37" s="8" t="s">
        <v>1356</v>
      </c>
      <c r="N37" s="31" t="s">
        <v>26</v>
      </c>
      <c r="O37" s="4" t="s">
        <v>1357</v>
      </c>
      <c r="P37" s="31" t="s">
        <v>1358</v>
      </c>
      <c r="Q37" s="31" t="str">
        <f t="shared" si="1"/>
        <v>DENTRO DEL TIEMPO</v>
      </c>
      <c r="R37" s="6"/>
    </row>
    <row r="38" spans="1:18" ht="50.25" x14ac:dyDescent="0.25">
      <c r="A38" s="26">
        <v>32</v>
      </c>
      <c r="B38" s="8" t="s">
        <v>1359</v>
      </c>
      <c r="C38" s="27">
        <v>44594</v>
      </c>
      <c r="D38" s="27">
        <v>44594</v>
      </c>
      <c r="E38" s="26">
        <v>2</v>
      </c>
      <c r="F38" s="28" t="s">
        <v>22</v>
      </c>
      <c r="G38" s="8" t="s">
        <v>1256</v>
      </c>
      <c r="H38" s="8" t="s">
        <v>1257</v>
      </c>
      <c r="I38" s="8" t="s">
        <v>1256</v>
      </c>
      <c r="J38" s="29">
        <v>44595</v>
      </c>
      <c r="K38" s="29">
        <v>44595</v>
      </c>
      <c r="L38" s="30">
        <f t="shared" si="0"/>
        <v>1</v>
      </c>
      <c r="M38" s="8" t="s">
        <v>1360</v>
      </c>
      <c r="N38" s="31" t="s">
        <v>26</v>
      </c>
      <c r="O38" s="4" t="s">
        <v>1361</v>
      </c>
      <c r="P38" s="31" t="s">
        <v>1362</v>
      </c>
      <c r="Q38" s="31" t="str">
        <f t="shared" si="1"/>
        <v>DENTRO DEL TIEMPO</v>
      </c>
      <c r="R38" s="6"/>
    </row>
    <row r="39" spans="1:18" ht="50.25" x14ac:dyDescent="0.25">
      <c r="A39" s="26">
        <v>33</v>
      </c>
      <c r="B39" s="8" t="s">
        <v>1363</v>
      </c>
      <c r="C39" s="27">
        <v>44594</v>
      </c>
      <c r="D39" s="27">
        <v>44594</v>
      </c>
      <c r="E39" s="26">
        <v>2</v>
      </c>
      <c r="F39" s="28" t="s">
        <v>22</v>
      </c>
      <c r="G39" s="8" t="s">
        <v>1256</v>
      </c>
      <c r="H39" s="8" t="s">
        <v>1257</v>
      </c>
      <c r="I39" s="8" t="s">
        <v>1256</v>
      </c>
      <c r="J39" s="29">
        <v>44595</v>
      </c>
      <c r="K39" s="29">
        <v>44595</v>
      </c>
      <c r="L39" s="30">
        <f t="shared" si="0"/>
        <v>1</v>
      </c>
      <c r="M39" s="8" t="s">
        <v>1364</v>
      </c>
      <c r="N39" s="31" t="s">
        <v>26</v>
      </c>
      <c r="O39" s="4" t="s">
        <v>1365</v>
      </c>
      <c r="P39" s="31" t="s">
        <v>1366</v>
      </c>
      <c r="Q39" s="31" t="str">
        <f t="shared" si="1"/>
        <v>DENTRO DEL TIEMPO</v>
      </c>
      <c r="R39" s="6"/>
    </row>
    <row r="40" spans="1:18" ht="50.25" x14ac:dyDescent="0.25">
      <c r="A40" s="26">
        <v>34</v>
      </c>
      <c r="B40" s="8" t="s">
        <v>1367</v>
      </c>
      <c r="C40" s="27">
        <v>44594</v>
      </c>
      <c r="D40" s="27">
        <v>44594</v>
      </c>
      <c r="E40" s="26">
        <v>3</v>
      </c>
      <c r="F40" s="28" t="s">
        <v>22</v>
      </c>
      <c r="G40" s="8" t="s">
        <v>1256</v>
      </c>
      <c r="H40" s="8" t="s">
        <v>1257</v>
      </c>
      <c r="I40" s="8" t="s">
        <v>1256</v>
      </c>
      <c r="J40" s="29">
        <v>44596</v>
      </c>
      <c r="K40" s="29">
        <v>44596</v>
      </c>
      <c r="L40" s="30">
        <f t="shared" si="0"/>
        <v>2</v>
      </c>
      <c r="M40" s="8" t="s">
        <v>1368</v>
      </c>
      <c r="N40" s="31" t="s">
        <v>26</v>
      </c>
      <c r="O40" s="4" t="s">
        <v>1369</v>
      </c>
      <c r="P40" s="31" t="s">
        <v>1370</v>
      </c>
      <c r="Q40" s="31" t="str">
        <f t="shared" si="1"/>
        <v>DENTRO DEL TIEMPO</v>
      </c>
      <c r="R40" s="6"/>
    </row>
    <row r="41" spans="1:18" ht="50.25" x14ac:dyDescent="0.25">
      <c r="A41" s="26">
        <v>35</v>
      </c>
      <c r="B41" s="8" t="s">
        <v>1371</v>
      </c>
      <c r="C41" s="27">
        <v>44594</v>
      </c>
      <c r="D41" s="27">
        <v>44594</v>
      </c>
      <c r="E41" s="26">
        <v>68</v>
      </c>
      <c r="F41" s="28" t="s">
        <v>22</v>
      </c>
      <c r="G41" s="8" t="s">
        <v>1256</v>
      </c>
      <c r="H41" s="8" t="s">
        <v>1257</v>
      </c>
      <c r="I41" s="8" t="s">
        <v>1256</v>
      </c>
      <c r="J41" s="29">
        <v>44595</v>
      </c>
      <c r="K41" s="29">
        <v>44595</v>
      </c>
      <c r="L41" s="30">
        <f t="shared" si="0"/>
        <v>1</v>
      </c>
      <c r="M41" s="8" t="s">
        <v>1372</v>
      </c>
      <c r="N41" s="31" t="s">
        <v>26</v>
      </c>
      <c r="O41" s="4" t="s">
        <v>810</v>
      </c>
      <c r="P41" s="31" t="s">
        <v>1373</v>
      </c>
      <c r="Q41" s="31" t="str">
        <f t="shared" si="1"/>
        <v>DENTRO DEL TIEMPO</v>
      </c>
      <c r="R41" s="6"/>
    </row>
    <row r="42" spans="1:18" ht="50.25" x14ac:dyDescent="0.25">
      <c r="A42" s="26">
        <v>36</v>
      </c>
      <c r="B42" s="8" t="s">
        <v>1374</v>
      </c>
      <c r="C42" s="27">
        <v>44595</v>
      </c>
      <c r="D42" s="27">
        <v>44595</v>
      </c>
      <c r="E42" s="26">
        <v>4</v>
      </c>
      <c r="F42" s="28" t="s">
        <v>22</v>
      </c>
      <c r="G42" s="8" t="s">
        <v>1256</v>
      </c>
      <c r="H42" s="8" t="s">
        <v>1257</v>
      </c>
      <c r="I42" s="8" t="s">
        <v>1256</v>
      </c>
      <c r="J42" s="29">
        <v>44596</v>
      </c>
      <c r="K42" s="29">
        <v>44596</v>
      </c>
      <c r="L42" s="30">
        <f t="shared" si="0"/>
        <v>1</v>
      </c>
      <c r="M42" s="8" t="s">
        <v>1375</v>
      </c>
      <c r="N42" s="31" t="s">
        <v>26</v>
      </c>
      <c r="O42" s="4" t="s">
        <v>1376</v>
      </c>
      <c r="P42" s="31" t="s">
        <v>1377</v>
      </c>
      <c r="Q42" s="31" t="str">
        <f t="shared" si="1"/>
        <v>DENTRO DEL TIEMPO</v>
      </c>
      <c r="R42" s="6"/>
    </row>
    <row r="43" spans="1:18" ht="50.25" x14ac:dyDescent="0.25">
      <c r="A43" s="26">
        <v>37</v>
      </c>
      <c r="B43" s="8" t="s">
        <v>1378</v>
      </c>
      <c r="C43" s="27">
        <v>44595</v>
      </c>
      <c r="D43" s="27">
        <v>44595</v>
      </c>
      <c r="E43" s="26">
        <v>2</v>
      </c>
      <c r="F43" s="28" t="s">
        <v>22</v>
      </c>
      <c r="G43" s="8" t="s">
        <v>1256</v>
      </c>
      <c r="H43" s="8" t="s">
        <v>1257</v>
      </c>
      <c r="I43" s="8" t="s">
        <v>1256</v>
      </c>
      <c r="J43" s="29">
        <v>44596</v>
      </c>
      <c r="K43" s="29">
        <v>44596</v>
      </c>
      <c r="L43" s="30">
        <f t="shared" si="0"/>
        <v>1</v>
      </c>
      <c r="M43" s="8" t="s">
        <v>1379</v>
      </c>
      <c r="N43" s="31" t="s">
        <v>26</v>
      </c>
      <c r="O43" s="4" t="s">
        <v>1308</v>
      </c>
      <c r="P43" s="31" t="s">
        <v>1380</v>
      </c>
      <c r="Q43" s="31" t="str">
        <f t="shared" si="1"/>
        <v>DENTRO DEL TIEMPO</v>
      </c>
      <c r="R43" s="6"/>
    </row>
    <row r="44" spans="1:18" ht="50.25" x14ac:dyDescent="0.25">
      <c r="A44" s="26">
        <v>38</v>
      </c>
      <c r="B44" s="8" t="s">
        <v>1381</v>
      </c>
      <c r="C44" s="27">
        <v>44595</v>
      </c>
      <c r="D44" s="27">
        <v>44595</v>
      </c>
      <c r="E44" s="26">
        <v>3</v>
      </c>
      <c r="F44" s="28" t="s">
        <v>22</v>
      </c>
      <c r="G44" s="8" t="s">
        <v>1256</v>
      </c>
      <c r="H44" s="8" t="s">
        <v>1257</v>
      </c>
      <c r="I44" s="8" t="s">
        <v>1256</v>
      </c>
      <c r="J44" s="29">
        <v>44596</v>
      </c>
      <c r="K44" s="29">
        <v>44596</v>
      </c>
      <c r="L44" s="30">
        <f t="shared" si="0"/>
        <v>1</v>
      </c>
      <c r="M44" s="8" t="s">
        <v>1382</v>
      </c>
      <c r="N44" s="31" t="s">
        <v>26</v>
      </c>
      <c r="O44" s="4" t="s">
        <v>1383</v>
      </c>
      <c r="P44" s="31" t="s">
        <v>1384</v>
      </c>
      <c r="Q44" s="31" t="str">
        <f t="shared" si="1"/>
        <v>DENTRO DEL TIEMPO</v>
      </c>
      <c r="R44" s="6"/>
    </row>
    <row r="45" spans="1:18" ht="40.5" hidden="1" x14ac:dyDescent="0.25">
      <c r="A45" s="26">
        <v>39</v>
      </c>
      <c r="B45" s="8" t="s">
        <v>1385</v>
      </c>
      <c r="C45" s="27">
        <v>44595</v>
      </c>
      <c r="D45" s="27">
        <v>44595</v>
      </c>
      <c r="E45" s="26">
        <v>2</v>
      </c>
      <c r="F45" s="28" t="s">
        <v>790</v>
      </c>
      <c r="G45" s="8" t="s">
        <v>1386</v>
      </c>
      <c r="H45" s="8" t="s">
        <v>1387</v>
      </c>
      <c r="I45" s="8" t="s">
        <v>1386</v>
      </c>
      <c r="J45" s="28"/>
      <c r="K45" s="28"/>
      <c r="L45" s="30">
        <f t="shared" si="0"/>
        <v>-31855</v>
      </c>
      <c r="M45" s="8"/>
      <c r="N45" s="31" t="s">
        <v>26</v>
      </c>
      <c r="O45" s="4" t="s">
        <v>1388</v>
      </c>
      <c r="P45" s="31"/>
      <c r="Q45" s="31" t="str">
        <f t="shared" si="1"/>
        <v>DENTRO DEL TIEMPO</v>
      </c>
      <c r="R45" s="6"/>
    </row>
    <row r="46" spans="1:18" ht="50.25" x14ac:dyDescent="0.25">
      <c r="A46" s="26">
        <v>40</v>
      </c>
      <c r="B46" s="8" t="s">
        <v>1389</v>
      </c>
      <c r="C46" s="27">
        <v>44595</v>
      </c>
      <c r="D46" s="27">
        <v>44595</v>
      </c>
      <c r="E46" s="26">
        <v>2</v>
      </c>
      <c r="F46" s="28" t="s">
        <v>22</v>
      </c>
      <c r="G46" s="8" t="s">
        <v>1256</v>
      </c>
      <c r="H46" s="8" t="s">
        <v>1257</v>
      </c>
      <c r="I46" s="8" t="s">
        <v>1256</v>
      </c>
      <c r="J46" s="29">
        <v>44596</v>
      </c>
      <c r="K46" s="29">
        <v>44596</v>
      </c>
      <c r="L46" s="30">
        <f t="shared" si="0"/>
        <v>1</v>
      </c>
      <c r="M46" s="8" t="s">
        <v>1390</v>
      </c>
      <c r="N46" s="31" t="s">
        <v>26</v>
      </c>
      <c r="O46" s="4" t="s">
        <v>1391</v>
      </c>
      <c r="P46" s="31" t="s">
        <v>1392</v>
      </c>
      <c r="Q46" s="31" t="str">
        <f t="shared" si="1"/>
        <v>DENTRO DEL TIEMPO</v>
      </c>
      <c r="R46" s="6"/>
    </row>
    <row r="47" spans="1:18" ht="50.25" x14ac:dyDescent="0.25">
      <c r="A47" s="26">
        <v>41</v>
      </c>
      <c r="B47" s="8" t="s">
        <v>1393</v>
      </c>
      <c r="C47" s="27">
        <v>44595</v>
      </c>
      <c r="D47" s="27">
        <v>44595</v>
      </c>
      <c r="E47" s="26">
        <v>2</v>
      </c>
      <c r="F47" s="28" t="s">
        <v>22</v>
      </c>
      <c r="G47" s="8" t="s">
        <v>1256</v>
      </c>
      <c r="H47" s="8" t="s">
        <v>1257</v>
      </c>
      <c r="I47" s="8" t="s">
        <v>1256</v>
      </c>
      <c r="J47" s="29">
        <v>44596</v>
      </c>
      <c r="K47" s="29">
        <v>44596</v>
      </c>
      <c r="L47" s="30">
        <f t="shared" si="0"/>
        <v>1</v>
      </c>
      <c r="M47" s="8" t="s">
        <v>1394</v>
      </c>
      <c r="N47" s="31" t="s">
        <v>26</v>
      </c>
      <c r="O47" s="4" t="s">
        <v>389</v>
      </c>
      <c r="P47" s="31" t="s">
        <v>1395</v>
      </c>
      <c r="Q47" s="31" t="str">
        <f t="shared" si="1"/>
        <v>DENTRO DEL TIEMPO</v>
      </c>
      <c r="R47" s="6"/>
    </row>
    <row r="48" spans="1:18" ht="50.25" x14ac:dyDescent="0.25">
      <c r="A48" s="26">
        <v>42</v>
      </c>
      <c r="B48" s="8" t="s">
        <v>1396</v>
      </c>
      <c r="C48" s="27">
        <v>44595</v>
      </c>
      <c r="D48" s="27">
        <v>44595</v>
      </c>
      <c r="E48" s="26">
        <v>2</v>
      </c>
      <c r="F48" s="28" t="s">
        <v>22</v>
      </c>
      <c r="G48" s="8" t="s">
        <v>1256</v>
      </c>
      <c r="H48" s="8" t="s">
        <v>1257</v>
      </c>
      <c r="I48" s="8" t="s">
        <v>1256</v>
      </c>
      <c r="J48" s="29">
        <v>44596</v>
      </c>
      <c r="K48" s="29">
        <v>44596</v>
      </c>
      <c r="L48" s="30">
        <f t="shared" si="0"/>
        <v>1</v>
      </c>
      <c r="M48" s="8" t="s">
        <v>1397</v>
      </c>
      <c r="N48" s="31" t="s">
        <v>26</v>
      </c>
      <c r="O48" s="4" t="s">
        <v>154</v>
      </c>
      <c r="P48" s="31" t="s">
        <v>1033</v>
      </c>
      <c r="Q48" s="31" t="str">
        <f t="shared" si="1"/>
        <v>DENTRO DEL TIEMPO</v>
      </c>
      <c r="R48" s="6"/>
    </row>
    <row r="49" spans="1:18" ht="50.25" x14ac:dyDescent="0.25">
      <c r="A49" s="26">
        <v>43</v>
      </c>
      <c r="B49" s="8" t="s">
        <v>1398</v>
      </c>
      <c r="C49" s="27">
        <v>44595</v>
      </c>
      <c r="D49" s="27">
        <v>44595</v>
      </c>
      <c r="E49" s="26">
        <v>42</v>
      </c>
      <c r="F49" s="28" t="s">
        <v>22</v>
      </c>
      <c r="G49" s="8" t="s">
        <v>1256</v>
      </c>
      <c r="H49" s="8" t="s">
        <v>1257</v>
      </c>
      <c r="I49" s="8" t="s">
        <v>1256</v>
      </c>
      <c r="J49" s="29">
        <v>44596</v>
      </c>
      <c r="K49" s="29">
        <v>44596</v>
      </c>
      <c r="L49" s="30">
        <f t="shared" si="0"/>
        <v>1</v>
      </c>
      <c r="M49" s="8" t="s">
        <v>1399</v>
      </c>
      <c r="N49" s="31" t="s">
        <v>26</v>
      </c>
      <c r="O49" s="4" t="s">
        <v>1400</v>
      </c>
      <c r="P49" s="31" t="s">
        <v>1401</v>
      </c>
      <c r="Q49" s="31" t="str">
        <f t="shared" si="1"/>
        <v>DENTRO DEL TIEMPO</v>
      </c>
      <c r="R49" s="6"/>
    </row>
    <row r="50" spans="1:18" ht="50.25" x14ac:dyDescent="0.25">
      <c r="A50" s="26">
        <v>44</v>
      </c>
      <c r="B50" s="8" t="s">
        <v>1402</v>
      </c>
      <c r="C50" s="27">
        <v>44595</v>
      </c>
      <c r="D50" s="27">
        <v>44595</v>
      </c>
      <c r="E50" s="26">
        <v>2</v>
      </c>
      <c r="F50" s="28" t="s">
        <v>22</v>
      </c>
      <c r="G50" s="8" t="s">
        <v>1256</v>
      </c>
      <c r="H50" s="8" t="s">
        <v>1257</v>
      </c>
      <c r="I50" s="8" t="s">
        <v>1256</v>
      </c>
      <c r="J50" s="29">
        <v>44599</v>
      </c>
      <c r="K50" s="29">
        <v>44599</v>
      </c>
      <c r="L50" s="30">
        <f t="shared" si="0"/>
        <v>2</v>
      </c>
      <c r="M50" s="8" t="s">
        <v>1403</v>
      </c>
      <c r="N50" s="31" t="s">
        <v>26</v>
      </c>
      <c r="O50" s="4" t="s">
        <v>257</v>
      </c>
      <c r="P50" s="31" t="s">
        <v>1404</v>
      </c>
      <c r="Q50" s="31" t="str">
        <f t="shared" si="1"/>
        <v>DENTRO DEL TIEMPO</v>
      </c>
      <c r="R50" s="6"/>
    </row>
    <row r="51" spans="1:18" ht="50.25" x14ac:dyDescent="0.25">
      <c r="A51" s="26">
        <v>45</v>
      </c>
      <c r="B51" s="8" t="s">
        <v>1405</v>
      </c>
      <c r="C51" s="27">
        <v>44595</v>
      </c>
      <c r="D51" s="27">
        <v>44595</v>
      </c>
      <c r="E51" s="26">
        <v>2</v>
      </c>
      <c r="F51" s="28" t="s">
        <v>22</v>
      </c>
      <c r="G51" s="8" t="s">
        <v>1256</v>
      </c>
      <c r="H51" s="8" t="s">
        <v>1257</v>
      </c>
      <c r="I51" s="8" t="s">
        <v>1256</v>
      </c>
      <c r="J51" s="29">
        <v>44599</v>
      </c>
      <c r="K51" s="29">
        <v>44599</v>
      </c>
      <c r="L51" s="30">
        <f t="shared" si="0"/>
        <v>2</v>
      </c>
      <c r="M51" s="8" t="s">
        <v>1406</v>
      </c>
      <c r="N51" s="31" t="s">
        <v>26</v>
      </c>
      <c r="O51" s="4" t="s">
        <v>257</v>
      </c>
      <c r="P51" s="31" t="s">
        <v>1404</v>
      </c>
      <c r="Q51" s="31" t="str">
        <f t="shared" si="1"/>
        <v>DENTRO DEL TIEMPO</v>
      </c>
      <c r="R51" s="6"/>
    </row>
    <row r="52" spans="1:18" ht="50.25" x14ac:dyDescent="0.25">
      <c r="A52" s="26">
        <v>46</v>
      </c>
      <c r="B52" s="8" t="s">
        <v>1407</v>
      </c>
      <c r="C52" s="27">
        <v>44595</v>
      </c>
      <c r="D52" s="27">
        <v>44595</v>
      </c>
      <c r="E52" s="26">
        <v>2</v>
      </c>
      <c r="F52" s="28" t="s">
        <v>22</v>
      </c>
      <c r="G52" s="8" t="s">
        <v>1256</v>
      </c>
      <c r="H52" s="8" t="s">
        <v>1257</v>
      </c>
      <c r="I52" s="8" t="s">
        <v>1256</v>
      </c>
      <c r="J52" s="29">
        <v>44599</v>
      </c>
      <c r="K52" s="29">
        <v>44599</v>
      </c>
      <c r="L52" s="30">
        <f t="shared" si="0"/>
        <v>2</v>
      </c>
      <c r="M52" s="8" t="s">
        <v>1408</v>
      </c>
      <c r="N52" s="31" t="s">
        <v>26</v>
      </c>
      <c r="O52" s="4" t="s">
        <v>257</v>
      </c>
      <c r="P52" s="31" t="s">
        <v>1404</v>
      </c>
      <c r="Q52" s="31" t="str">
        <f t="shared" si="1"/>
        <v>DENTRO DEL TIEMPO</v>
      </c>
      <c r="R52" s="6"/>
    </row>
    <row r="53" spans="1:18" ht="50.25" x14ac:dyDescent="0.25">
      <c r="A53" s="26">
        <v>47</v>
      </c>
      <c r="B53" s="8" t="s">
        <v>1409</v>
      </c>
      <c r="C53" s="27">
        <v>44595</v>
      </c>
      <c r="D53" s="27">
        <v>44595</v>
      </c>
      <c r="E53" s="26">
        <v>2</v>
      </c>
      <c r="F53" s="28" t="s">
        <v>22</v>
      </c>
      <c r="G53" s="8" t="s">
        <v>1256</v>
      </c>
      <c r="H53" s="8" t="s">
        <v>1257</v>
      </c>
      <c r="I53" s="8" t="s">
        <v>1256</v>
      </c>
      <c r="J53" s="29">
        <v>44599</v>
      </c>
      <c r="K53" s="29">
        <v>44599</v>
      </c>
      <c r="L53" s="30">
        <f t="shared" si="0"/>
        <v>2</v>
      </c>
      <c r="M53" s="8" t="s">
        <v>1410</v>
      </c>
      <c r="N53" s="31" t="s">
        <v>26</v>
      </c>
      <c r="O53" s="4" t="s">
        <v>1411</v>
      </c>
      <c r="P53" s="31" t="s">
        <v>1404</v>
      </c>
      <c r="Q53" s="31" t="str">
        <f t="shared" si="1"/>
        <v>DENTRO DEL TIEMPO</v>
      </c>
      <c r="R53" s="6"/>
    </row>
    <row r="54" spans="1:18" ht="50.25" x14ac:dyDescent="0.25">
      <c r="A54" s="26">
        <v>48</v>
      </c>
      <c r="B54" s="8" t="s">
        <v>1412</v>
      </c>
      <c r="C54" s="27">
        <v>44595</v>
      </c>
      <c r="D54" s="27">
        <v>44595</v>
      </c>
      <c r="E54" s="26">
        <v>2</v>
      </c>
      <c r="F54" s="28" t="s">
        <v>22</v>
      </c>
      <c r="G54" s="8" t="s">
        <v>1256</v>
      </c>
      <c r="H54" s="8" t="s">
        <v>1257</v>
      </c>
      <c r="I54" s="8" t="s">
        <v>1256</v>
      </c>
      <c r="J54" s="29">
        <v>44599</v>
      </c>
      <c r="K54" s="29">
        <v>44599</v>
      </c>
      <c r="L54" s="30">
        <f t="shared" si="0"/>
        <v>2</v>
      </c>
      <c r="M54" s="8" t="s">
        <v>1413</v>
      </c>
      <c r="N54" s="31" t="s">
        <v>26</v>
      </c>
      <c r="O54" s="4" t="s">
        <v>257</v>
      </c>
      <c r="P54" s="31" t="s">
        <v>1404</v>
      </c>
      <c r="Q54" s="31" t="str">
        <f t="shared" si="1"/>
        <v>DENTRO DEL TIEMPO</v>
      </c>
      <c r="R54" s="6"/>
    </row>
    <row r="55" spans="1:18" ht="50.25" x14ac:dyDescent="0.25">
      <c r="A55" s="26">
        <v>49</v>
      </c>
      <c r="B55" s="8" t="s">
        <v>1414</v>
      </c>
      <c r="C55" s="27">
        <v>44595</v>
      </c>
      <c r="D55" s="27">
        <v>44595</v>
      </c>
      <c r="E55" s="26">
        <v>2</v>
      </c>
      <c r="F55" s="28" t="s">
        <v>22</v>
      </c>
      <c r="G55" s="8" t="s">
        <v>1256</v>
      </c>
      <c r="H55" s="8" t="s">
        <v>1257</v>
      </c>
      <c r="I55" s="8" t="s">
        <v>1256</v>
      </c>
      <c r="J55" s="29">
        <v>44599</v>
      </c>
      <c r="K55" s="29">
        <v>44599</v>
      </c>
      <c r="L55" s="30">
        <f t="shared" si="0"/>
        <v>2</v>
      </c>
      <c r="M55" s="8" t="s">
        <v>1415</v>
      </c>
      <c r="N55" s="31" t="s">
        <v>26</v>
      </c>
      <c r="O55" s="4" t="s">
        <v>257</v>
      </c>
      <c r="P55" s="31" t="s">
        <v>1404</v>
      </c>
      <c r="Q55" s="31" t="str">
        <f t="shared" si="1"/>
        <v>DENTRO DEL TIEMPO</v>
      </c>
      <c r="R55" s="6"/>
    </row>
    <row r="56" spans="1:18" ht="50.25" x14ac:dyDescent="0.25">
      <c r="A56" s="26">
        <v>50</v>
      </c>
      <c r="B56" s="8" t="s">
        <v>1416</v>
      </c>
      <c r="C56" s="27">
        <v>44595</v>
      </c>
      <c r="D56" s="27">
        <v>44595</v>
      </c>
      <c r="E56" s="26">
        <v>2</v>
      </c>
      <c r="F56" s="28" t="s">
        <v>22</v>
      </c>
      <c r="G56" s="8" t="s">
        <v>1256</v>
      </c>
      <c r="H56" s="8" t="s">
        <v>1257</v>
      </c>
      <c r="I56" s="8" t="s">
        <v>1256</v>
      </c>
      <c r="J56" s="29">
        <v>44599</v>
      </c>
      <c r="K56" s="29">
        <v>44599</v>
      </c>
      <c r="L56" s="30">
        <f t="shared" si="0"/>
        <v>2</v>
      </c>
      <c r="M56" s="8" t="s">
        <v>1417</v>
      </c>
      <c r="N56" s="31" t="s">
        <v>26</v>
      </c>
      <c r="O56" s="4" t="s">
        <v>257</v>
      </c>
      <c r="P56" s="31" t="s">
        <v>1404</v>
      </c>
      <c r="Q56" s="31" t="str">
        <f t="shared" si="1"/>
        <v>DENTRO DEL TIEMPO</v>
      </c>
      <c r="R56" s="6"/>
    </row>
    <row r="57" spans="1:18" ht="50.25" x14ac:dyDescent="0.25">
      <c r="A57" s="26">
        <v>51</v>
      </c>
      <c r="B57" s="8" t="s">
        <v>1418</v>
      </c>
      <c r="C57" s="27">
        <v>44595</v>
      </c>
      <c r="D57" s="27">
        <v>44595</v>
      </c>
      <c r="E57" s="26">
        <v>2</v>
      </c>
      <c r="F57" s="28" t="s">
        <v>22</v>
      </c>
      <c r="G57" s="8" t="s">
        <v>1256</v>
      </c>
      <c r="H57" s="8" t="s">
        <v>1257</v>
      </c>
      <c r="I57" s="8" t="s">
        <v>1256</v>
      </c>
      <c r="J57" s="29">
        <v>44596</v>
      </c>
      <c r="K57" s="29">
        <v>44596</v>
      </c>
      <c r="L57" s="30">
        <f t="shared" si="0"/>
        <v>1</v>
      </c>
      <c r="M57" s="8" t="s">
        <v>1419</v>
      </c>
      <c r="N57" s="31" t="s">
        <v>26</v>
      </c>
      <c r="O57" s="4" t="s">
        <v>112</v>
      </c>
      <c r="P57" s="31" t="s">
        <v>1420</v>
      </c>
      <c r="Q57" s="31" t="str">
        <f t="shared" si="1"/>
        <v>DENTRO DEL TIEMPO</v>
      </c>
      <c r="R57" s="6"/>
    </row>
    <row r="58" spans="1:18" ht="50.25" x14ac:dyDescent="0.25">
      <c r="A58" s="26">
        <v>52</v>
      </c>
      <c r="B58" s="8" t="s">
        <v>1421</v>
      </c>
      <c r="C58" s="27">
        <v>44595</v>
      </c>
      <c r="D58" s="27">
        <v>44595</v>
      </c>
      <c r="E58" s="26">
        <v>2</v>
      </c>
      <c r="F58" s="28" t="s">
        <v>22</v>
      </c>
      <c r="G58" s="8" t="s">
        <v>1256</v>
      </c>
      <c r="H58" s="8" t="s">
        <v>1257</v>
      </c>
      <c r="I58" s="8" t="s">
        <v>1256</v>
      </c>
      <c r="J58" s="29">
        <v>44596</v>
      </c>
      <c r="K58" s="29">
        <v>44596</v>
      </c>
      <c r="L58" s="30">
        <f t="shared" si="0"/>
        <v>1</v>
      </c>
      <c r="M58" s="8" t="s">
        <v>1422</v>
      </c>
      <c r="N58" s="31" t="s">
        <v>26</v>
      </c>
      <c r="O58" s="4" t="s">
        <v>729</v>
      </c>
      <c r="P58" s="31" t="s">
        <v>1423</v>
      </c>
      <c r="Q58" s="31" t="str">
        <f t="shared" si="1"/>
        <v>DENTRO DEL TIEMPO</v>
      </c>
      <c r="R58" s="6"/>
    </row>
    <row r="59" spans="1:18" ht="50.25" x14ac:dyDescent="0.25">
      <c r="A59" s="26">
        <v>53</v>
      </c>
      <c r="B59" s="8" t="s">
        <v>1424</v>
      </c>
      <c r="C59" s="27">
        <v>44595</v>
      </c>
      <c r="D59" s="27">
        <v>44595</v>
      </c>
      <c r="E59" s="26">
        <v>2</v>
      </c>
      <c r="F59" s="28" t="s">
        <v>22</v>
      </c>
      <c r="G59" s="8" t="s">
        <v>1256</v>
      </c>
      <c r="H59" s="8" t="s">
        <v>1257</v>
      </c>
      <c r="I59" s="8" t="s">
        <v>1256</v>
      </c>
      <c r="J59" s="29">
        <v>44595</v>
      </c>
      <c r="K59" s="29">
        <v>44595</v>
      </c>
      <c r="L59" s="30">
        <f t="shared" si="0"/>
        <v>0</v>
      </c>
      <c r="M59" s="8" t="s">
        <v>1425</v>
      </c>
      <c r="N59" s="31" t="s">
        <v>26</v>
      </c>
      <c r="O59" s="4" t="s">
        <v>180</v>
      </c>
      <c r="P59" s="31" t="s">
        <v>1354</v>
      </c>
      <c r="Q59" s="31" t="str">
        <f t="shared" si="1"/>
        <v>DENTRO DEL TIEMPO</v>
      </c>
      <c r="R59" s="6"/>
    </row>
    <row r="60" spans="1:18" ht="50.25" x14ac:dyDescent="0.25">
      <c r="A60" s="26">
        <v>54</v>
      </c>
      <c r="B60" s="8" t="s">
        <v>1426</v>
      </c>
      <c r="C60" s="27">
        <v>44595</v>
      </c>
      <c r="D60" s="27">
        <v>44595</v>
      </c>
      <c r="E60" s="26">
        <v>2</v>
      </c>
      <c r="F60" s="28" t="s">
        <v>22</v>
      </c>
      <c r="G60" s="8" t="s">
        <v>1256</v>
      </c>
      <c r="H60" s="8" t="s">
        <v>1257</v>
      </c>
      <c r="I60" s="8" t="s">
        <v>1256</v>
      </c>
      <c r="J60" s="29">
        <v>44599</v>
      </c>
      <c r="K60" s="29">
        <v>44599</v>
      </c>
      <c r="L60" s="30">
        <f t="shared" si="0"/>
        <v>2</v>
      </c>
      <c r="M60" s="8" t="s">
        <v>1427</v>
      </c>
      <c r="N60" s="31" t="s">
        <v>26</v>
      </c>
      <c r="O60" s="4" t="s">
        <v>257</v>
      </c>
      <c r="P60" s="31" t="s">
        <v>1404</v>
      </c>
      <c r="Q60" s="31" t="str">
        <f t="shared" si="1"/>
        <v>DENTRO DEL TIEMPO</v>
      </c>
      <c r="R60" s="6"/>
    </row>
    <row r="61" spans="1:18" ht="50.25" x14ac:dyDescent="0.25">
      <c r="A61" s="26">
        <v>55</v>
      </c>
      <c r="B61" s="8" t="s">
        <v>1428</v>
      </c>
      <c r="C61" s="27">
        <v>44596</v>
      </c>
      <c r="D61" s="27">
        <v>44596</v>
      </c>
      <c r="E61" s="26">
        <v>14</v>
      </c>
      <c r="F61" s="28" t="s">
        <v>22</v>
      </c>
      <c r="G61" s="8" t="s">
        <v>1256</v>
      </c>
      <c r="H61" s="8" t="s">
        <v>1257</v>
      </c>
      <c r="I61" s="8" t="s">
        <v>1256</v>
      </c>
      <c r="J61" s="29">
        <v>44603</v>
      </c>
      <c r="K61" s="29">
        <v>44603</v>
      </c>
      <c r="L61" s="30">
        <f t="shared" si="0"/>
        <v>5</v>
      </c>
      <c r="M61" s="8" t="s">
        <v>1429</v>
      </c>
      <c r="N61" s="31" t="s">
        <v>26</v>
      </c>
      <c r="O61" s="4" t="s">
        <v>1430</v>
      </c>
      <c r="P61" s="31" t="s">
        <v>1431</v>
      </c>
      <c r="Q61" s="31" t="str">
        <f t="shared" si="1"/>
        <v>DENTRO DEL TIEMPO</v>
      </c>
      <c r="R61" s="6"/>
    </row>
    <row r="62" spans="1:18" ht="50.25" x14ac:dyDescent="0.25">
      <c r="A62" s="26">
        <v>56</v>
      </c>
      <c r="B62" s="8" t="s">
        <v>1432</v>
      </c>
      <c r="C62" s="27">
        <v>44596</v>
      </c>
      <c r="D62" s="27">
        <v>44596</v>
      </c>
      <c r="E62" s="26">
        <v>2</v>
      </c>
      <c r="F62" s="28" t="s">
        <v>22</v>
      </c>
      <c r="G62" s="8" t="s">
        <v>1256</v>
      </c>
      <c r="H62" s="8" t="s">
        <v>1257</v>
      </c>
      <c r="I62" s="8" t="s">
        <v>1256</v>
      </c>
      <c r="J62" s="29">
        <v>44599</v>
      </c>
      <c r="K62" s="29">
        <v>44599</v>
      </c>
      <c r="L62" s="30">
        <f t="shared" si="0"/>
        <v>1</v>
      </c>
      <c r="M62" s="8" t="s">
        <v>1433</v>
      </c>
      <c r="N62" s="31" t="s">
        <v>26</v>
      </c>
      <c r="O62" s="4" t="s">
        <v>257</v>
      </c>
      <c r="P62" s="31" t="s">
        <v>1404</v>
      </c>
      <c r="Q62" s="31" t="str">
        <f t="shared" si="1"/>
        <v>DENTRO DEL TIEMPO</v>
      </c>
      <c r="R62" s="6"/>
    </row>
    <row r="63" spans="1:18" ht="50.25" x14ac:dyDescent="0.25">
      <c r="A63" s="26">
        <v>57</v>
      </c>
      <c r="B63" s="8" t="s">
        <v>1434</v>
      </c>
      <c r="C63" s="27">
        <v>44596</v>
      </c>
      <c r="D63" s="27">
        <v>44596</v>
      </c>
      <c r="E63" s="26">
        <v>2</v>
      </c>
      <c r="F63" s="28" t="s">
        <v>22</v>
      </c>
      <c r="G63" s="8" t="s">
        <v>1256</v>
      </c>
      <c r="H63" s="8" t="s">
        <v>1257</v>
      </c>
      <c r="I63" s="8" t="s">
        <v>1256</v>
      </c>
      <c r="J63" s="29">
        <v>44599</v>
      </c>
      <c r="K63" s="29">
        <v>44599</v>
      </c>
      <c r="L63" s="30">
        <f t="shared" si="0"/>
        <v>1</v>
      </c>
      <c r="M63" s="8" t="s">
        <v>1435</v>
      </c>
      <c r="N63" s="31" t="s">
        <v>26</v>
      </c>
      <c r="O63" s="4" t="s">
        <v>257</v>
      </c>
      <c r="P63" s="31" t="s">
        <v>1404</v>
      </c>
      <c r="Q63" s="31" t="str">
        <f t="shared" si="1"/>
        <v>DENTRO DEL TIEMPO</v>
      </c>
      <c r="R63" s="6"/>
    </row>
    <row r="64" spans="1:18" ht="50.25" x14ac:dyDescent="0.25">
      <c r="A64" s="26">
        <v>58</v>
      </c>
      <c r="B64" s="8" t="s">
        <v>1436</v>
      </c>
      <c r="C64" s="27">
        <v>44596</v>
      </c>
      <c r="D64" s="27">
        <v>44596</v>
      </c>
      <c r="E64" s="26">
        <v>2</v>
      </c>
      <c r="F64" s="28" t="s">
        <v>22</v>
      </c>
      <c r="G64" s="8" t="s">
        <v>1256</v>
      </c>
      <c r="H64" s="8" t="s">
        <v>1257</v>
      </c>
      <c r="I64" s="8" t="s">
        <v>1256</v>
      </c>
      <c r="J64" s="29">
        <v>44599</v>
      </c>
      <c r="K64" s="29">
        <v>44599</v>
      </c>
      <c r="L64" s="30">
        <f t="shared" si="0"/>
        <v>1</v>
      </c>
      <c r="M64" s="8" t="s">
        <v>1437</v>
      </c>
      <c r="N64" s="31" t="s">
        <v>26</v>
      </c>
      <c r="O64" s="4" t="s">
        <v>257</v>
      </c>
      <c r="P64" s="31" t="s">
        <v>1404</v>
      </c>
      <c r="Q64" s="31" t="str">
        <f t="shared" si="1"/>
        <v>DENTRO DEL TIEMPO</v>
      </c>
      <c r="R64" s="6"/>
    </row>
    <row r="65" spans="1:18" ht="50.25" x14ac:dyDescent="0.25">
      <c r="A65" s="26">
        <v>59</v>
      </c>
      <c r="B65" s="8" t="s">
        <v>1438</v>
      </c>
      <c r="C65" s="27">
        <v>44596</v>
      </c>
      <c r="D65" s="27">
        <v>44596</v>
      </c>
      <c r="E65" s="26">
        <v>2</v>
      </c>
      <c r="F65" s="28" t="s">
        <v>22</v>
      </c>
      <c r="G65" s="8" t="s">
        <v>1256</v>
      </c>
      <c r="H65" s="8" t="s">
        <v>1257</v>
      </c>
      <c r="I65" s="8" t="s">
        <v>1256</v>
      </c>
      <c r="J65" s="29">
        <v>44599</v>
      </c>
      <c r="K65" s="29">
        <v>44599</v>
      </c>
      <c r="L65" s="30">
        <f t="shared" si="0"/>
        <v>1</v>
      </c>
      <c r="M65" s="8" t="s">
        <v>1439</v>
      </c>
      <c r="N65" s="31" t="s">
        <v>26</v>
      </c>
      <c r="O65" s="4" t="s">
        <v>257</v>
      </c>
      <c r="P65" s="31" t="s">
        <v>1404</v>
      </c>
      <c r="Q65" s="31" t="str">
        <f t="shared" si="1"/>
        <v>DENTRO DEL TIEMPO</v>
      </c>
      <c r="R65" s="6"/>
    </row>
    <row r="66" spans="1:18" ht="50.25" x14ac:dyDescent="0.25">
      <c r="A66" s="26">
        <v>60</v>
      </c>
      <c r="B66" s="8" t="s">
        <v>1440</v>
      </c>
      <c r="C66" s="27">
        <v>44596</v>
      </c>
      <c r="D66" s="27">
        <v>44596</v>
      </c>
      <c r="E66" s="26">
        <v>2</v>
      </c>
      <c r="F66" s="28" t="s">
        <v>22</v>
      </c>
      <c r="G66" s="8" t="s">
        <v>1256</v>
      </c>
      <c r="H66" s="8" t="s">
        <v>1257</v>
      </c>
      <c r="I66" s="8" t="s">
        <v>1256</v>
      </c>
      <c r="J66" s="29">
        <v>44599</v>
      </c>
      <c r="K66" s="29">
        <v>44599</v>
      </c>
      <c r="L66" s="30">
        <f t="shared" si="0"/>
        <v>1</v>
      </c>
      <c r="M66" s="8" t="s">
        <v>1441</v>
      </c>
      <c r="N66" s="31" t="s">
        <v>26</v>
      </c>
      <c r="O66" s="4" t="s">
        <v>257</v>
      </c>
      <c r="P66" s="31" t="s">
        <v>1404</v>
      </c>
      <c r="Q66" s="31" t="str">
        <f t="shared" si="1"/>
        <v>DENTRO DEL TIEMPO</v>
      </c>
      <c r="R66" s="6"/>
    </row>
    <row r="67" spans="1:18" ht="50.25" x14ac:dyDescent="0.25">
      <c r="A67" s="26">
        <v>61</v>
      </c>
      <c r="B67" s="8" t="s">
        <v>1442</v>
      </c>
      <c r="C67" s="27">
        <v>44596</v>
      </c>
      <c r="D67" s="27">
        <v>44596</v>
      </c>
      <c r="E67" s="26">
        <v>2</v>
      </c>
      <c r="F67" s="28" t="s">
        <v>22</v>
      </c>
      <c r="G67" s="8" t="s">
        <v>1256</v>
      </c>
      <c r="H67" s="8" t="s">
        <v>1257</v>
      </c>
      <c r="I67" s="8" t="s">
        <v>1256</v>
      </c>
      <c r="J67" s="29">
        <v>44599</v>
      </c>
      <c r="K67" s="29">
        <v>44599</v>
      </c>
      <c r="L67" s="30">
        <f t="shared" si="0"/>
        <v>1</v>
      </c>
      <c r="M67" s="8" t="s">
        <v>1443</v>
      </c>
      <c r="N67" s="31" t="s">
        <v>26</v>
      </c>
      <c r="O67" s="4" t="s">
        <v>257</v>
      </c>
      <c r="P67" s="31" t="s">
        <v>1404</v>
      </c>
      <c r="Q67" s="31" t="str">
        <f t="shared" si="1"/>
        <v>DENTRO DEL TIEMPO</v>
      </c>
      <c r="R67" s="6"/>
    </row>
    <row r="68" spans="1:18" ht="50.25" x14ac:dyDescent="0.25">
      <c r="A68" s="26">
        <v>62</v>
      </c>
      <c r="B68" s="8" t="s">
        <v>1444</v>
      </c>
      <c r="C68" s="27">
        <v>44596</v>
      </c>
      <c r="D68" s="27">
        <v>44596</v>
      </c>
      <c r="E68" s="26">
        <v>2</v>
      </c>
      <c r="F68" s="28" t="s">
        <v>22</v>
      </c>
      <c r="G68" s="8" t="s">
        <v>1256</v>
      </c>
      <c r="H68" s="8" t="s">
        <v>1257</v>
      </c>
      <c r="I68" s="8" t="s">
        <v>1256</v>
      </c>
      <c r="J68" s="29">
        <v>44599</v>
      </c>
      <c r="K68" s="29">
        <v>44599</v>
      </c>
      <c r="L68" s="30">
        <f t="shared" si="0"/>
        <v>1</v>
      </c>
      <c r="M68" s="8" t="s">
        <v>1445</v>
      </c>
      <c r="N68" s="31" t="s">
        <v>26</v>
      </c>
      <c r="O68" s="4" t="s">
        <v>1446</v>
      </c>
      <c r="P68" s="31" t="s">
        <v>1447</v>
      </c>
      <c r="Q68" s="31" t="str">
        <f t="shared" si="1"/>
        <v>DENTRO DEL TIEMPO</v>
      </c>
      <c r="R68" s="6"/>
    </row>
    <row r="69" spans="1:18" ht="50.25" x14ac:dyDescent="0.25">
      <c r="A69" s="26">
        <v>63</v>
      </c>
      <c r="B69" s="8" t="s">
        <v>1448</v>
      </c>
      <c r="C69" s="27">
        <v>44596</v>
      </c>
      <c r="D69" s="27">
        <v>44596</v>
      </c>
      <c r="E69" s="26">
        <v>2</v>
      </c>
      <c r="F69" s="28" t="s">
        <v>22</v>
      </c>
      <c r="G69" s="8" t="s">
        <v>1256</v>
      </c>
      <c r="H69" s="8" t="s">
        <v>1257</v>
      </c>
      <c r="I69" s="8" t="s">
        <v>1256</v>
      </c>
      <c r="J69" s="29">
        <v>44599</v>
      </c>
      <c r="K69" s="29">
        <v>44599</v>
      </c>
      <c r="L69" s="30">
        <f t="shared" si="0"/>
        <v>1</v>
      </c>
      <c r="M69" s="8" t="s">
        <v>1449</v>
      </c>
      <c r="N69" s="31" t="s">
        <v>26</v>
      </c>
      <c r="O69" s="4" t="s">
        <v>1450</v>
      </c>
      <c r="P69" s="31" t="s">
        <v>1451</v>
      </c>
      <c r="Q69" s="31" t="str">
        <f t="shared" si="1"/>
        <v>DENTRO DEL TIEMPO</v>
      </c>
      <c r="R69" s="6"/>
    </row>
    <row r="70" spans="1:18" ht="50.25" x14ac:dyDescent="0.25">
      <c r="A70" s="26">
        <v>64</v>
      </c>
      <c r="B70" s="8" t="s">
        <v>1452</v>
      </c>
      <c r="C70" s="27">
        <v>44596</v>
      </c>
      <c r="D70" s="27">
        <v>44596</v>
      </c>
      <c r="E70" s="26">
        <v>2</v>
      </c>
      <c r="F70" s="28" t="s">
        <v>22</v>
      </c>
      <c r="G70" s="8" t="s">
        <v>1256</v>
      </c>
      <c r="H70" s="8" t="s">
        <v>1257</v>
      </c>
      <c r="I70" s="8" t="s">
        <v>1256</v>
      </c>
      <c r="J70" s="29">
        <v>44599</v>
      </c>
      <c r="K70" s="29">
        <v>44599</v>
      </c>
      <c r="L70" s="30">
        <f t="shared" si="0"/>
        <v>1</v>
      </c>
      <c r="M70" s="8" t="s">
        <v>1453</v>
      </c>
      <c r="N70" s="31" t="s">
        <v>26</v>
      </c>
      <c r="O70" s="4" t="s">
        <v>1454</v>
      </c>
      <c r="P70" s="31" t="s">
        <v>1455</v>
      </c>
      <c r="Q70" s="31" t="str">
        <f t="shared" si="1"/>
        <v>DENTRO DEL TIEMPO</v>
      </c>
      <c r="R70" s="6"/>
    </row>
    <row r="71" spans="1:18" ht="50.25" x14ac:dyDescent="0.25">
      <c r="A71" s="26">
        <v>65</v>
      </c>
      <c r="B71" s="8" t="s">
        <v>1456</v>
      </c>
      <c r="C71" s="27">
        <v>44596</v>
      </c>
      <c r="D71" s="27">
        <v>44596</v>
      </c>
      <c r="E71" s="26">
        <v>2</v>
      </c>
      <c r="F71" s="28" t="s">
        <v>22</v>
      </c>
      <c r="G71" s="8" t="s">
        <v>1256</v>
      </c>
      <c r="H71" s="8" t="s">
        <v>1257</v>
      </c>
      <c r="I71" s="8" t="s">
        <v>1256</v>
      </c>
      <c r="J71" s="29">
        <v>44599</v>
      </c>
      <c r="K71" s="29">
        <v>44599</v>
      </c>
      <c r="L71" s="30">
        <f t="shared" si="0"/>
        <v>1</v>
      </c>
      <c r="M71" s="8" t="s">
        <v>1457</v>
      </c>
      <c r="N71" s="31" t="s">
        <v>26</v>
      </c>
      <c r="O71" s="4" t="s">
        <v>1458</v>
      </c>
      <c r="P71" s="31" t="s">
        <v>1459</v>
      </c>
      <c r="Q71" s="31" t="str">
        <f t="shared" si="1"/>
        <v>DENTRO DEL TIEMPO</v>
      </c>
      <c r="R71" s="6"/>
    </row>
    <row r="72" spans="1:18" ht="50.25" x14ac:dyDescent="0.25">
      <c r="A72" s="26">
        <v>66</v>
      </c>
      <c r="B72" s="8" t="s">
        <v>1460</v>
      </c>
      <c r="C72" s="27">
        <v>44596</v>
      </c>
      <c r="D72" s="27">
        <v>44596</v>
      </c>
      <c r="E72" s="26">
        <v>2</v>
      </c>
      <c r="F72" s="28" t="s">
        <v>22</v>
      </c>
      <c r="G72" s="8" t="s">
        <v>1256</v>
      </c>
      <c r="H72" s="8" t="s">
        <v>1257</v>
      </c>
      <c r="I72" s="8" t="s">
        <v>1256</v>
      </c>
      <c r="J72" s="29">
        <v>44599</v>
      </c>
      <c r="K72" s="29">
        <v>44599</v>
      </c>
      <c r="L72" s="30">
        <f t="shared" ref="L72:L135" si="2">+NETWORKDAYS(D72,K72,$R$7:$R$10)-1</f>
        <v>1</v>
      </c>
      <c r="M72" s="8" t="s">
        <v>1461</v>
      </c>
      <c r="N72" s="31" t="s">
        <v>26</v>
      </c>
      <c r="O72" s="4" t="s">
        <v>1462</v>
      </c>
      <c r="P72" s="31" t="s">
        <v>1463</v>
      </c>
      <c r="Q72" s="31" t="str">
        <f t="shared" ref="Q72:Q135" si="3">IF(L72&gt;15,"FUERA DE TIEMPO","DENTRO DEL TIEMPO")</f>
        <v>DENTRO DEL TIEMPO</v>
      </c>
      <c r="R72" s="6"/>
    </row>
    <row r="73" spans="1:18" ht="50.25" x14ac:dyDescent="0.25">
      <c r="A73" s="26">
        <v>67</v>
      </c>
      <c r="B73" s="8" t="s">
        <v>1464</v>
      </c>
      <c r="C73" s="27">
        <v>44596</v>
      </c>
      <c r="D73" s="27">
        <v>44596</v>
      </c>
      <c r="E73" s="26">
        <v>2</v>
      </c>
      <c r="F73" s="28" t="s">
        <v>22</v>
      </c>
      <c r="G73" s="8" t="s">
        <v>1256</v>
      </c>
      <c r="H73" s="8" t="s">
        <v>1257</v>
      </c>
      <c r="I73" s="8" t="s">
        <v>1256</v>
      </c>
      <c r="J73" s="29">
        <v>44599</v>
      </c>
      <c r="K73" s="29">
        <v>44599</v>
      </c>
      <c r="L73" s="30">
        <f t="shared" si="2"/>
        <v>1</v>
      </c>
      <c r="M73" s="8" t="s">
        <v>1465</v>
      </c>
      <c r="N73" s="31" t="s">
        <v>26</v>
      </c>
      <c r="O73" s="4" t="s">
        <v>1466</v>
      </c>
      <c r="P73" s="31" t="s">
        <v>1467</v>
      </c>
      <c r="Q73" s="31" t="str">
        <f t="shared" si="3"/>
        <v>DENTRO DEL TIEMPO</v>
      </c>
      <c r="R73" s="6"/>
    </row>
    <row r="74" spans="1:18" ht="50.25" x14ac:dyDescent="0.25">
      <c r="A74" s="26">
        <v>68</v>
      </c>
      <c r="B74" s="8" t="s">
        <v>1468</v>
      </c>
      <c r="C74" s="27">
        <v>44596</v>
      </c>
      <c r="D74" s="27">
        <v>44596</v>
      </c>
      <c r="E74" s="26">
        <v>2</v>
      </c>
      <c r="F74" s="28" t="s">
        <v>22</v>
      </c>
      <c r="G74" s="8" t="s">
        <v>1256</v>
      </c>
      <c r="H74" s="8" t="s">
        <v>1257</v>
      </c>
      <c r="I74" s="8" t="s">
        <v>1256</v>
      </c>
      <c r="J74" s="29">
        <v>44599</v>
      </c>
      <c r="K74" s="29">
        <v>44599</v>
      </c>
      <c r="L74" s="30">
        <f t="shared" si="2"/>
        <v>1</v>
      </c>
      <c r="M74" s="8" t="s">
        <v>1469</v>
      </c>
      <c r="N74" s="31" t="s">
        <v>26</v>
      </c>
      <c r="O74" s="4" t="s">
        <v>729</v>
      </c>
      <c r="P74" s="31" t="s">
        <v>1423</v>
      </c>
      <c r="Q74" s="31" t="str">
        <f t="shared" si="3"/>
        <v>DENTRO DEL TIEMPO</v>
      </c>
      <c r="R74" s="6"/>
    </row>
    <row r="75" spans="1:18" ht="50.25" x14ac:dyDescent="0.25">
      <c r="A75" s="26">
        <v>69</v>
      </c>
      <c r="B75" s="8" t="s">
        <v>1470</v>
      </c>
      <c r="C75" s="27">
        <v>44596</v>
      </c>
      <c r="D75" s="27">
        <v>44596</v>
      </c>
      <c r="E75" s="26">
        <v>2</v>
      </c>
      <c r="F75" s="28" t="s">
        <v>22</v>
      </c>
      <c r="G75" s="8" t="s">
        <v>1256</v>
      </c>
      <c r="H75" s="8" t="s">
        <v>1257</v>
      </c>
      <c r="I75" s="8" t="s">
        <v>1256</v>
      </c>
      <c r="J75" s="29">
        <v>44599</v>
      </c>
      <c r="K75" s="29">
        <v>44599</v>
      </c>
      <c r="L75" s="30">
        <f t="shared" si="2"/>
        <v>1</v>
      </c>
      <c r="M75" s="8" t="s">
        <v>1471</v>
      </c>
      <c r="N75" s="31" t="s">
        <v>26</v>
      </c>
      <c r="O75" s="4" t="s">
        <v>1472</v>
      </c>
      <c r="P75" s="31" t="s">
        <v>1473</v>
      </c>
      <c r="Q75" s="31" t="str">
        <f t="shared" si="3"/>
        <v>DENTRO DEL TIEMPO</v>
      </c>
      <c r="R75" s="6"/>
    </row>
    <row r="76" spans="1:18" ht="50.25" x14ac:dyDescent="0.25">
      <c r="A76" s="26">
        <v>70</v>
      </c>
      <c r="B76" s="8" t="s">
        <v>1474</v>
      </c>
      <c r="C76" s="27">
        <v>44596</v>
      </c>
      <c r="D76" s="27">
        <v>44596</v>
      </c>
      <c r="E76" s="26">
        <v>2</v>
      </c>
      <c r="F76" s="28" t="s">
        <v>22</v>
      </c>
      <c r="G76" s="8" t="s">
        <v>1256</v>
      </c>
      <c r="H76" s="8" t="s">
        <v>1257</v>
      </c>
      <c r="I76" s="8" t="s">
        <v>1256</v>
      </c>
      <c r="J76" s="29">
        <v>44600</v>
      </c>
      <c r="K76" s="29">
        <v>44600</v>
      </c>
      <c r="L76" s="30">
        <f t="shared" si="2"/>
        <v>2</v>
      </c>
      <c r="M76" s="8" t="s">
        <v>1475</v>
      </c>
      <c r="N76" s="31" t="s">
        <v>26</v>
      </c>
      <c r="O76" s="4" t="s">
        <v>1476</v>
      </c>
      <c r="P76" s="31" t="s">
        <v>1354</v>
      </c>
      <c r="Q76" s="31" t="str">
        <f t="shared" si="3"/>
        <v>DENTRO DEL TIEMPO</v>
      </c>
      <c r="R76" s="6"/>
    </row>
    <row r="77" spans="1:18" ht="50.25" x14ac:dyDescent="0.25">
      <c r="A77" s="26">
        <v>71</v>
      </c>
      <c r="B77" s="8" t="s">
        <v>1477</v>
      </c>
      <c r="C77" s="27">
        <v>44599</v>
      </c>
      <c r="D77" s="27">
        <v>44599</v>
      </c>
      <c r="E77" s="26">
        <v>2</v>
      </c>
      <c r="F77" s="28" t="s">
        <v>22</v>
      </c>
      <c r="G77" s="8" t="s">
        <v>721</v>
      </c>
      <c r="H77" s="8" t="s">
        <v>1257</v>
      </c>
      <c r="I77" s="8" t="s">
        <v>721</v>
      </c>
      <c r="J77" s="29">
        <v>44600</v>
      </c>
      <c r="K77" s="29">
        <v>44600</v>
      </c>
      <c r="L77" s="30">
        <f t="shared" si="2"/>
        <v>1</v>
      </c>
      <c r="M77" s="8" t="s">
        <v>1478</v>
      </c>
      <c r="N77" s="31" t="s">
        <v>26</v>
      </c>
      <c r="O77" s="4" t="s">
        <v>1479</v>
      </c>
      <c r="P77" s="32" t="s">
        <v>1480</v>
      </c>
      <c r="Q77" s="31" t="str">
        <f t="shared" si="3"/>
        <v>DENTRO DEL TIEMPO</v>
      </c>
      <c r="R77" s="6"/>
    </row>
    <row r="78" spans="1:18" ht="50.25" x14ac:dyDescent="0.25">
      <c r="A78" s="26">
        <v>72</v>
      </c>
      <c r="B78" s="8" t="s">
        <v>1481</v>
      </c>
      <c r="C78" s="27">
        <v>44599</v>
      </c>
      <c r="D78" s="27">
        <v>44599</v>
      </c>
      <c r="E78" s="26">
        <v>2</v>
      </c>
      <c r="F78" s="28" t="s">
        <v>22</v>
      </c>
      <c r="G78" s="8" t="s">
        <v>721</v>
      </c>
      <c r="H78" s="8" t="s">
        <v>1257</v>
      </c>
      <c r="I78" s="8" t="s">
        <v>721</v>
      </c>
      <c r="J78" s="29">
        <v>44600</v>
      </c>
      <c r="K78" s="29">
        <v>44600</v>
      </c>
      <c r="L78" s="30">
        <f t="shared" si="2"/>
        <v>1</v>
      </c>
      <c r="M78" s="8" t="s">
        <v>1482</v>
      </c>
      <c r="N78" s="31" t="s">
        <v>26</v>
      </c>
      <c r="O78" s="4" t="s">
        <v>1483</v>
      </c>
      <c r="P78" s="32" t="s">
        <v>1480</v>
      </c>
      <c r="Q78" s="31" t="str">
        <f t="shared" si="3"/>
        <v>DENTRO DEL TIEMPO</v>
      </c>
      <c r="R78" s="6"/>
    </row>
    <row r="79" spans="1:18" ht="50.25" x14ac:dyDescent="0.25">
      <c r="A79" s="26">
        <v>73</v>
      </c>
      <c r="B79" s="8" t="s">
        <v>1484</v>
      </c>
      <c r="C79" s="27">
        <v>44599</v>
      </c>
      <c r="D79" s="27">
        <v>44599</v>
      </c>
      <c r="E79" s="26">
        <v>2</v>
      </c>
      <c r="F79" s="28" t="s">
        <v>22</v>
      </c>
      <c r="G79" s="8" t="s">
        <v>721</v>
      </c>
      <c r="H79" s="8" t="s">
        <v>1257</v>
      </c>
      <c r="I79" s="8" t="s">
        <v>721</v>
      </c>
      <c r="J79" s="29">
        <v>44600</v>
      </c>
      <c r="K79" s="29">
        <v>44600</v>
      </c>
      <c r="L79" s="30">
        <f t="shared" si="2"/>
        <v>1</v>
      </c>
      <c r="M79" s="8" t="s">
        <v>1485</v>
      </c>
      <c r="N79" s="31" t="s">
        <v>26</v>
      </c>
      <c r="O79" s="4" t="s">
        <v>1486</v>
      </c>
      <c r="P79" s="31" t="s">
        <v>1487</v>
      </c>
      <c r="Q79" s="31" t="str">
        <f t="shared" si="3"/>
        <v>DENTRO DEL TIEMPO</v>
      </c>
      <c r="R79" s="6"/>
    </row>
    <row r="80" spans="1:18" ht="50.25" x14ac:dyDescent="0.25">
      <c r="A80" s="26">
        <v>74</v>
      </c>
      <c r="B80" s="8" t="s">
        <v>1488</v>
      </c>
      <c r="C80" s="27">
        <v>44599</v>
      </c>
      <c r="D80" s="27">
        <v>44599</v>
      </c>
      <c r="E80" s="26">
        <v>2</v>
      </c>
      <c r="F80" s="28" t="s">
        <v>22</v>
      </c>
      <c r="G80" s="8" t="s">
        <v>721</v>
      </c>
      <c r="H80" s="8" t="s">
        <v>1257</v>
      </c>
      <c r="I80" s="8" t="s">
        <v>721</v>
      </c>
      <c r="J80" s="29">
        <v>44600</v>
      </c>
      <c r="K80" s="29">
        <v>44600</v>
      </c>
      <c r="L80" s="30">
        <f t="shared" si="2"/>
        <v>1</v>
      </c>
      <c r="M80" s="8" t="s">
        <v>1489</v>
      </c>
      <c r="N80" s="31" t="s">
        <v>26</v>
      </c>
      <c r="O80" s="4" t="s">
        <v>1490</v>
      </c>
      <c r="P80" s="31" t="s">
        <v>1491</v>
      </c>
      <c r="Q80" s="31" t="str">
        <f t="shared" si="3"/>
        <v>DENTRO DEL TIEMPO</v>
      </c>
      <c r="R80" s="6"/>
    </row>
    <row r="81" spans="1:18" ht="50.25" x14ac:dyDescent="0.25">
      <c r="A81" s="26">
        <v>75</v>
      </c>
      <c r="B81" s="8" t="s">
        <v>1492</v>
      </c>
      <c r="C81" s="27">
        <v>44599</v>
      </c>
      <c r="D81" s="27">
        <v>44599</v>
      </c>
      <c r="E81" s="26">
        <v>2</v>
      </c>
      <c r="F81" s="28" t="s">
        <v>22</v>
      </c>
      <c r="G81" s="8" t="s">
        <v>721</v>
      </c>
      <c r="H81" s="8" t="s">
        <v>1257</v>
      </c>
      <c r="I81" s="8" t="s">
        <v>721</v>
      </c>
      <c r="J81" s="29">
        <v>44600</v>
      </c>
      <c r="K81" s="29">
        <v>44600</v>
      </c>
      <c r="L81" s="30">
        <f t="shared" si="2"/>
        <v>1</v>
      </c>
      <c r="M81" s="8" t="s">
        <v>1493</v>
      </c>
      <c r="N81" s="31" t="s">
        <v>26</v>
      </c>
      <c r="O81" s="4" t="s">
        <v>1494</v>
      </c>
      <c r="P81" s="31" t="s">
        <v>1495</v>
      </c>
      <c r="Q81" s="31" t="str">
        <f t="shared" si="3"/>
        <v>DENTRO DEL TIEMPO</v>
      </c>
      <c r="R81" s="6"/>
    </row>
    <row r="82" spans="1:18" ht="50.25" x14ac:dyDescent="0.25">
      <c r="A82" s="26">
        <v>76</v>
      </c>
      <c r="B82" s="8" t="s">
        <v>1496</v>
      </c>
      <c r="C82" s="27">
        <v>44599</v>
      </c>
      <c r="D82" s="27">
        <v>44599</v>
      </c>
      <c r="E82" s="26">
        <v>2</v>
      </c>
      <c r="F82" s="28" t="s">
        <v>22</v>
      </c>
      <c r="G82" s="8" t="s">
        <v>721</v>
      </c>
      <c r="H82" s="8" t="s">
        <v>1257</v>
      </c>
      <c r="I82" s="8" t="s">
        <v>721</v>
      </c>
      <c r="J82" s="29">
        <v>44600</v>
      </c>
      <c r="K82" s="29">
        <v>44600</v>
      </c>
      <c r="L82" s="30">
        <f t="shared" si="2"/>
        <v>1</v>
      </c>
      <c r="M82" s="8" t="s">
        <v>1497</v>
      </c>
      <c r="N82" s="31" t="s">
        <v>26</v>
      </c>
      <c r="O82" s="4" t="s">
        <v>1498</v>
      </c>
      <c r="P82" s="31" t="s">
        <v>1499</v>
      </c>
      <c r="Q82" s="31" t="str">
        <f t="shared" si="3"/>
        <v>DENTRO DEL TIEMPO</v>
      </c>
      <c r="R82" s="6"/>
    </row>
    <row r="83" spans="1:18" ht="50.25" x14ac:dyDescent="0.25">
      <c r="A83" s="26">
        <v>77</v>
      </c>
      <c r="B83" s="8" t="s">
        <v>1500</v>
      </c>
      <c r="C83" s="27">
        <v>44599</v>
      </c>
      <c r="D83" s="27">
        <v>44599</v>
      </c>
      <c r="E83" s="26">
        <v>2</v>
      </c>
      <c r="F83" s="28" t="s">
        <v>22</v>
      </c>
      <c r="G83" s="8" t="s">
        <v>721</v>
      </c>
      <c r="H83" s="8" t="s">
        <v>1257</v>
      </c>
      <c r="I83" s="8" t="s">
        <v>721</v>
      </c>
      <c r="J83" s="29">
        <v>44600</v>
      </c>
      <c r="K83" s="29">
        <v>44600</v>
      </c>
      <c r="L83" s="30">
        <f t="shared" si="2"/>
        <v>1</v>
      </c>
      <c r="M83" s="8" t="s">
        <v>1501</v>
      </c>
      <c r="N83" s="31" t="s">
        <v>26</v>
      </c>
      <c r="O83" s="4" t="s">
        <v>616</v>
      </c>
      <c r="P83" s="31" t="s">
        <v>1502</v>
      </c>
      <c r="Q83" s="31" t="str">
        <f t="shared" si="3"/>
        <v>DENTRO DEL TIEMPO</v>
      </c>
      <c r="R83" s="6"/>
    </row>
    <row r="84" spans="1:18" ht="50.25" x14ac:dyDescent="0.25">
      <c r="A84" s="26">
        <v>78</v>
      </c>
      <c r="B84" s="8" t="s">
        <v>1503</v>
      </c>
      <c r="C84" s="27">
        <v>44599</v>
      </c>
      <c r="D84" s="27">
        <v>44599</v>
      </c>
      <c r="E84" s="26">
        <v>2</v>
      </c>
      <c r="F84" s="28" t="s">
        <v>22</v>
      </c>
      <c r="G84" s="8" t="s">
        <v>1256</v>
      </c>
      <c r="H84" s="8" t="s">
        <v>1257</v>
      </c>
      <c r="I84" s="8" t="s">
        <v>1256</v>
      </c>
      <c r="J84" s="29">
        <v>44600</v>
      </c>
      <c r="K84" s="29">
        <v>44600</v>
      </c>
      <c r="L84" s="30">
        <f t="shared" si="2"/>
        <v>1</v>
      </c>
      <c r="M84" s="8" t="s">
        <v>1504</v>
      </c>
      <c r="N84" s="31" t="s">
        <v>26</v>
      </c>
      <c r="O84" s="4" t="s">
        <v>1505</v>
      </c>
      <c r="P84" s="31" t="s">
        <v>1506</v>
      </c>
      <c r="Q84" s="31" t="str">
        <f t="shared" si="3"/>
        <v>DENTRO DEL TIEMPO</v>
      </c>
      <c r="R84" s="6"/>
    </row>
    <row r="85" spans="1:18" ht="50.25" x14ac:dyDescent="0.25">
      <c r="A85" s="26">
        <v>79</v>
      </c>
      <c r="B85" s="8" t="s">
        <v>1507</v>
      </c>
      <c r="C85" s="27">
        <v>44599</v>
      </c>
      <c r="D85" s="27">
        <v>44599</v>
      </c>
      <c r="E85" s="26">
        <v>2</v>
      </c>
      <c r="F85" s="28" t="s">
        <v>22</v>
      </c>
      <c r="G85" s="8" t="s">
        <v>721</v>
      </c>
      <c r="H85" s="8" t="s">
        <v>1257</v>
      </c>
      <c r="I85" s="8" t="s">
        <v>721</v>
      </c>
      <c r="J85" s="29">
        <v>44600</v>
      </c>
      <c r="K85" s="29">
        <v>44600</v>
      </c>
      <c r="L85" s="30">
        <f t="shared" si="2"/>
        <v>1</v>
      </c>
      <c r="M85" s="8" t="s">
        <v>1508</v>
      </c>
      <c r="N85" s="31" t="s">
        <v>26</v>
      </c>
      <c r="O85" s="4" t="s">
        <v>1509</v>
      </c>
      <c r="P85" s="31" t="s">
        <v>1510</v>
      </c>
      <c r="Q85" s="31" t="str">
        <f t="shared" si="3"/>
        <v>DENTRO DEL TIEMPO</v>
      </c>
      <c r="R85" s="6"/>
    </row>
    <row r="86" spans="1:18" ht="50.25" x14ac:dyDescent="0.25">
      <c r="A86" s="26">
        <v>80</v>
      </c>
      <c r="B86" s="8" t="s">
        <v>1511</v>
      </c>
      <c r="C86" s="27">
        <v>44599</v>
      </c>
      <c r="D86" s="27">
        <v>44599</v>
      </c>
      <c r="E86" s="26">
        <v>2</v>
      </c>
      <c r="F86" s="28" t="s">
        <v>22</v>
      </c>
      <c r="G86" s="8" t="s">
        <v>721</v>
      </c>
      <c r="H86" s="8" t="s">
        <v>1257</v>
      </c>
      <c r="I86" s="8" t="s">
        <v>721</v>
      </c>
      <c r="J86" s="29">
        <v>44600</v>
      </c>
      <c r="K86" s="29">
        <v>44600</v>
      </c>
      <c r="L86" s="30">
        <f t="shared" si="2"/>
        <v>1</v>
      </c>
      <c r="M86" s="8" t="s">
        <v>1512</v>
      </c>
      <c r="N86" s="31" t="s">
        <v>26</v>
      </c>
      <c r="O86" s="4" t="s">
        <v>1513</v>
      </c>
      <c r="P86" s="31" t="s">
        <v>1514</v>
      </c>
      <c r="Q86" s="31" t="str">
        <f t="shared" si="3"/>
        <v>DENTRO DEL TIEMPO</v>
      </c>
      <c r="R86" s="6"/>
    </row>
    <row r="87" spans="1:18" ht="50.25" x14ac:dyDescent="0.25">
      <c r="A87" s="26">
        <v>81</v>
      </c>
      <c r="B87" s="8" t="s">
        <v>1515</v>
      </c>
      <c r="C87" s="27">
        <v>44599</v>
      </c>
      <c r="D87" s="27">
        <v>44599</v>
      </c>
      <c r="E87" s="26">
        <v>2</v>
      </c>
      <c r="F87" s="28" t="s">
        <v>22</v>
      </c>
      <c r="G87" s="8" t="s">
        <v>721</v>
      </c>
      <c r="H87" s="8" t="s">
        <v>1257</v>
      </c>
      <c r="I87" s="8" t="s">
        <v>721</v>
      </c>
      <c r="J87" s="29">
        <v>44600</v>
      </c>
      <c r="K87" s="29">
        <v>44600</v>
      </c>
      <c r="L87" s="30">
        <f t="shared" si="2"/>
        <v>1</v>
      </c>
      <c r="M87" s="8" t="s">
        <v>1516</v>
      </c>
      <c r="N87" s="31" t="s">
        <v>26</v>
      </c>
      <c r="O87" s="4" t="s">
        <v>1517</v>
      </c>
      <c r="P87" s="31" t="s">
        <v>1518</v>
      </c>
      <c r="Q87" s="31" t="str">
        <f t="shared" si="3"/>
        <v>DENTRO DEL TIEMPO</v>
      </c>
      <c r="R87" s="6"/>
    </row>
    <row r="88" spans="1:18" ht="50.25" x14ac:dyDescent="0.25">
      <c r="A88" s="26">
        <v>82</v>
      </c>
      <c r="B88" s="8" t="s">
        <v>1519</v>
      </c>
      <c r="C88" s="27">
        <v>44600</v>
      </c>
      <c r="D88" s="27">
        <v>44600</v>
      </c>
      <c r="E88" s="26">
        <v>2</v>
      </c>
      <c r="F88" s="28" t="s">
        <v>22</v>
      </c>
      <c r="G88" s="8" t="s">
        <v>721</v>
      </c>
      <c r="H88" s="8" t="s">
        <v>1257</v>
      </c>
      <c r="I88" s="8" t="s">
        <v>721</v>
      </c>
      <c r="J88" s="29">
        <v>44601</v>
      </c>
      <c r="K88" s="29">
        <v>44601</v>
      </c>
      <c r="L88" s="30">
        <f t="shared" si="2"/>
        <v>1</v>
      </c>
      <c r="M88" s="8" t="s">
        <v>1520</v>
      </c>
      <c r="N88" s="31" t="s">
        <v>26</v>
      </c>
      <c r="O88" s="4" t="s">
        <v>1521</v>
      </c>
      <c r="P88" s="31" t="s">
        <v>1522</v>
      </c>
      <c r="Q88" s="31" t="str">
        <f t="shared" si="3"/>
        <v>DENTRO DEL TIEMPO</v>
      </c>
      <c r="R88" s="6"/>
    </row>
    <row r="89" spans="1:18" ht="50.25" x14ac:dyDescent="0.25">
      <c r="A89" s="26">
        <v>83</v>
      </c>
      <c r="B89" s="28" t="s">
        <v>1523</v>
      </c>
      <c r="C89" s="27">
        <v>44600</v>
      </c>
      <c r="D89" s="27">
        <v>44600</v>
      </c>
      <c r="E89" s="26">
        <v>36</v>
      </c>
      <c r="F89" s="28" t="s">
        <v>22</v>
      </c>
      <c r="G89" s="8" t="s">
        <v>1256</v>
      </c>
      <c r="H89" s="8" t="s">
        <v>1257</v>
      </c>
      <c r="I89" s="8" t="s">
        <v>1256</v>
      </c>
      <c r="J89" s="29">
        <v>44601</v>
      </c>
      <c r="K89" s="29">
        <v>44601</v>
      </c>
      <c r="L89" s="30">
        <f t="shared" si="2"/>
        <v>1</v>
      </c>
      <c r="M89" s="8" t="s">
        <v>1524</v>
      </c>
      <c r="N89" s="31" t="s">
        <v>26</v>
      </c>
      <c r="O89" s="4" t="s">
        <v>1525</v>
      </c>
      <c r="P89" s="31" t="s">
        <v>1526</v>
      </c>
      <c r="Q89" s="31" t="str">
        <f t="shared" si="3"/>
        <v>DENTRO DEL TIEMPO</v>
      </c>
      <c r="R89" s="6"/>
    </row>
    <row r="90" spans="1:18" ht="50.25" x14ac:dyDescent="0.25">
      <c r="A90" s="26">
        <v>84</v>
      </c>
      <c r="B90" s="8" t="s">
        <v>1527</v>
      </c>
      <c r="C90" s="27">
        <v>44600</v>
      </c>
      <c r="D90" s="27">
        <v>44600</v>
      </c>
      <c r="E90" s="26">
        <v>2</v>
      </c>
      <c r="F90" s="28" t="s">
        <v>22</v>
      </c>
      <c r="G90" s="8" t="s">
        <v>721</v>
      </c>
      <c r="H90" s="8" t="s">
        <v>1257</v>
      </c>
      <c r="I90" s="8" t="s">
        <v>721</v>
      </c>
      <c r="J90" s="29">
        <v>44603</v>
      </c>
      <c r="K90" s="29">
        <v>44603</v>
      </c>
      <c r="L90" s="30">
        <f t="shared" si="2"/>
        <v>3</v>
      </c>
      <c r="M90" s="8" t="s">
        <v>1528</v>
      </c>
      <c r="N90" s="31" t="s">
        <v>26</v>
      </c>
      <c r="O90" s="4" t="s">
        <v>1529</v>
      </c>
      <c r="P90" s="31" t="s">
        <v>1530</v>
      </c>
      <c r="Q90" s="31" t="str">
        <f t="shared" si="3"/>
        <v>DENTRO DEL TIEMPO</v>
      </c>
      <c r="R90" s="6"/>
    </row>
    <row r="91" spans="1:18" ht="50.25" x14ac:dyDescent="0.25">
      <c r="A91" s="26">
        <v>85</v>
      </c>
      <c r="B91" s="8" t="s">
        <v>1531</v>
      </c>
      <c r="C91" s="27">
        <v>44600</v>
      </c>
      <c r="D91" s="27">
        <v>44600</v>
      </c>
      <c r="E91" s="26">
        <v>2</v>
      </c>
      <c r="F91" s="28" t="s">
        <v>22</v>
      </c>
      <c r="G91" s="8" t="s">
        <v>721</v>
      </c>
      <c r="H91" s="8" t="s">
        <v>1257</v>
      </c>
      <c r="I91" s="8" t="s">
        <v>721</v>
      </c>
      <c r="J91" s="29">
        <v>44601</v>
      </c>
      <c r="K91" s="29">
        <v>44601</v>
      </c>
      <c r="L91" s="30">
        <f t="shared" si="2"/>
        <v>1</v>
      </c>
      <c r="M91" s="8" t="s">
        <v>1532</v>
      </c>
      <c r="N91" s="31" t="s">
        <v>26</v>
      </c>
      <c r="O91" s="4" t="s">
        <v>1533</v>
      </c>
      <c r="P91" s="31" t="s">
        <v>1534</v>
      </c>
      <c r="Q91" s="31" t="str">
        <f t="shared" si="3"/>
        <v>DENTRO DEL TIEMPO</v>
      </c>
      <c r="R91" s="6"/>
    </row>
    <row r="92" spans="1:18" ht="50.25" x14ac:dyDescent="0.25">
      <c r="A92" s="26">
        <v>86</v>
      </c>
      <c r="B92" s="8" t="s">
        <v>1535</v>
      </c>
      <c r="C92" s="27">
        <v>44600</v>
      </c>
      <c r="D92" s="27">
        <v>44600</v>
      </c>
      <c r="E92" s="26">
        <v>2</v>
      </c>
      <c r="F92" s="28" t="s">
        <v>22</v>
      </c>
      <c r="G92" s="8" t="s">
        <v>721</v>
      </c>
      <c r="H92" s="8" t="s">
        <v>1257</v>
      </c>
      <c r="I92" s="8" t="s">
        <v>721</v>
      </c>
      <c r="J92" s="29">
        <v>44602</v>
      </c>
      <c r="K92" s="29">
        <v>44602</v>
      </c>
      <c r="L92" s="30">
        <f t="shared" si="2"/>
        <v>2</v>
      </c>
      <c r="M92" s="8" t="s">
        <v>1536</v>
      </c>
      <c r="N92" s="31" t="s">
        <v>26</v>
      </c>
      <c r="O92" s="4" t="s">
        <v>1537</v>
      </c>
      <c r="P92" s="31" t="s">
        <v>1538</v>
      </c>
      <c r="Q92" s="31" t="str">
        <f t="shared" si="3"/>
        <v>DENTRO DEL TIEMPO</v>
      </c>
      <c r="R92" s="6"/>
    </row>
    <row r="93" spans="1:18" ht="50.25" x14ac:dyDescent="0.25">
      <c r="A93" s="26">
        <v>87</v>
      </c>
      <c r="B93" s="8" t="s">
        <v>1539</v>
      </c>
      <c r="C93" s="27">
        <v>44600</v>
      </c>
      <c r="D93" s="27">
        <v>44600</v>
      </c>
      <c r="E93" s="26">
        <v>2</v>
      </c>
      <c r="F93" s="28" t="s">
        <v>22</v>
      </c>
      <c r="G93" s="8" t="s">
        <v>721</v>
      </c>
      <c r="H93" s="8" t="s">
        <v>1257</v>
      </c>
      <c r="I93" s="8" t="s">
        <v>721</v>
      </c>
      <c r="J93" s="29">
        <v>44601</v>
      </c>
      <c r="K93" s="29">
        <v>44601</v>
      </c>
      <c r="L93" s="30">
        <f t="shared" si="2"/>
        <v>1</v>
      </c>
      <c r="M93" s="8" t="s">
        <v>1540</v>
      </c>
      <c r="N93" s="31" t="s">
        <v>26</v>
      </c>
      <c r="O93" s="4" t="s">
        <v>139</v>
      </c>
      <c r="P93" s="31" t="s">
        <v>1541</v>
      </c>
      <c r="Q93" s="31" t="str">
        <f t="shared" si="3"/>
        <v>DENTRO DEL TIEMPO</v>
      </c>
      <c r="R93" s="6"/>
    </row>
    <row r="94" spans="1:18" ht="50.25" x14ac:dyDescent="0.25">
      <c r="A94" s="26">
        <v>88</v>
      </c>
      <c r="B94" s="8" t="s">
        <v>1542</v>
      </c>
      <c r="C94" s="27">
        <v>44600</v>
      </c>
      <c r="D94" s="27">
        <v>44600</v>
      </c>
      <c r="E94" s="26">
        <v>2</v>
      </c>
      <c r="F94" s="28" t="s">
        <v>22</v>
      </c>
      <c r="G94" s="8" t="s">
        <v>1256</v>
      </c>
      <c r="H94" s="8" t="s">
        <v>1257</v>
      </c>
      <c r="I94" s="8" t="s">
        <v>1256</v>
      </c>
      <c r="J94" s="29">
        <v>44615</v>
      </c>
      <c r="K94" s="29">
        <v>44615</v>
      </c>
      <c r="L94" s="30">
        <f t="shared" si="2"/>
        <v>11</v>
      </c>
      <c r="M94" s="8" t="s">
        <v>1543</v>
      </c>
      <c r="N94" s="31" t="s">
        <v>26</v>
      </c>
      <c r="O94" s="4" t="s">
        <v>1544</v>
      </c>
      <c r="P94" s="31" t="s">
        <v>1392</v>
      </c>
      <c r="Q94" s="31" t="str">
        <f t="shared" si="3"/>
        <v>DENTRO DEL TIEMPO</v>
      </c>
      <c r="R94" s="6"/>
    </row>
    <row r="95" spans="1:18" ht="50.25" x14ac:dyDescent="0.25">
      <c r="A95" s="26">
        <v>89</v>
      </c>
      <c r="B95" s="8" t="s">
        <v>1545</v>
      </c>
      <c r="C95" s="27">
        <v>44600</v>
      </c>
      <c r="D95" s="27">
        <v>44600</v>
      </c>
      <c r="E95" s="26">
        <v>2</v>
      </c>
      <c r="F95" s="28" t="s">
        <v>22</v>
      </c>
      <c r="G95" s="8" t="s">
        <v>721</v>
      </c>
      <c r="H95" s="8" t="s">
        <v>1257</v>
      </c>
      <c r="I95" s="8" t="s">
        <v>721</v>
      </c>
      <c r="J95" s="29">
        <v>44614</v>
      </c>
      <c r="K95" s="29">
        <v>44614</v>
      </c>
      <c r="L95" s="30">
        <f t="shared" si="2"/>
        <v>10</v>
      </c>
      <c r="M95" s="8" t="s">
        <v>1546</v>
      </c>
      <c r="N95" s="31" t="s">
        <v>26</v>
      </c>
      <c r="O95" s="4" t="s">
        <v>1547</v>
      </c>
      <c r="P95" s="31" t="s">
        <v>1548</v>
      </c>
      <c r="Q95" s="31" t="str">
        <f t="shared" si="3"/>
        <v>DENTRO DEL TIEMPO</v>
      </c>
      <c r="R95" s="6"/>
    </row>
    <row r="96" spans="1:18" ht="50.25" x14ac:dyDescent="0.25">
      <c r="A96" s="26">
        <v>90</v>
      </c>
      <c r="B96" s="8" t="s">
        <v>1549</v>
      </c>
      <c r="C96" s="27">
        <v>44601</v>
      </c>
      <c r="D96" s="27">
        <v>44601</v>
      </c>
      <c r="E96" s="26">
        <v>2</v>
      </c>
      <c r="F96" s="28" t="s">
        <v>22</v>
      </c>
      <c r="G96" s="8" t="s">
        <v>721</v>
      </c>
      <c r="H96" s="8" t="s">
        <v>1257</v>
      </c>
      <c r="I96" s="8" t="s">
        <v>721</v>
      </c>
      <c r="J96" s="29">
        <v>44601</v>
      </c>
      <c r="K96" s="29">
        <v>44601</v>
      </c>
      <c r="L96" s="30">
        <f t="shared" si="2"/>
        <v>0</v>
      </c>
      <c r="M96" s="8" t="s">
        <v>1550</v>
      </c>
      <c r="N96" s="31" t="s">
        <v>26</v>
      </c>
      <c r="O96" s="4" t="s">
        <v>457</v>
      </c>
      <c r="P96" s="31" t="s">
        <v>1551</v>
      </c>
      <c r="Q96" s="31" t="str">
        <f t="shared" si="3"/>
        <v>DENTRO DEL TIEMPO</v>
      </c>
      <c r="R96" s="6"/>
    </row>
    <row r="97" spans="1:18" ht="50.25" x14ac:dyDescent="0.25">
      <c r="A97" s="26">
        <v>91</v>
      </c>
      <c r="B97" s="8" t="s">
        <v>1552</v>
      </c>
      <c r="C97" s="27">
        <v>44601</v>
      </c>
      <c r="D97" s="27">
        <v>44601</v>
      </c>
      <c r="E97" s="26">
        <v>2</v>
      </c>
      <c r="F97" s="28" t="s">
        <v>22</v>
      </c>
      <c r="G97" s="8" t="s">
        <v>721</v>
      </c>
      <c r="H97" s="8" t="s">
        <v>1257</v>
      </c>
      <c r="I97" s="8" t="s">
        <v>721</v>
      </c>
      <c r="J97" s="29">
        <v>44602</v>
      </c>
      <c r="K97" s="29">
        <v>44602</v>
      </c>
      <c r="L97" s="30">
        <f t="shared" si="2"/>
        <v>1</v>
      </c>
      <c r="M97" s="8" t="s">
        <v>1553</v>
      </c>
      <c r="N97" s="31" t="s">
        <v>26</v>
      </c>
      <c r="O97" s="4" t="s">
        <v>903</v>
      </c>
      <c r="P97" s="31" t="s">
        <v>1554</v>
      </c>
      <c r="Q97" s="31" t="str">
        <f t="shared" si="3"/>
        <v>DENTRO DEL TIEMPO</v>
      </c>
      <c r="R97" s="6"/>
    </row>
    <row r="98" spans="1:18" ht="50.25" x14ac:dyDescent="0.25">
      <c r="A98" s="26">
        <v>92</v>
      </c>
      <c r="B98" s="8" t="s">
        <v>1555</v>
      </c>
      <c r="C98" s="27">
        <v>44601</v>
      </c>
      <c r="D98" s="27">
        <v>44601</v>
      </c>
      <c r="E98" s="26">
        <v>2</v>
      </c>
      <c r="F98" s="28" t="s">
        <v>22</v>
      </c>
      <c r="G98" s="8" t="s">
        <v>721</v>
      </c>
      <c r="H98" s="8" t="s">
        <v>1257</v>
      </c>
      <c r="I98" s="8" t="s">
        <v>721</v>
      </c>
      <c r="J98" s="29">
        <v>44602</v>
      </c>
      <c r="K98" s="29">
        <v>44602</v>
      </c>
      <c r="L98" s="30">
        <f t="shared" si="2"/>
        <v>1</v>
      </c>
      <c r="M98" s="8" t="s">
        <v>1556</v>
      </c>
      <c r="N98" s="31" t="s">
        <v>26</v>
      </c>
      <c r="O98" s="4" t="s">
        <v>392</v>
      </c>
      <c r="P98" s="31" t="s">
        <v>1315</v>
      </c>
      <c r="Q98" s="31" t="str">
        <f t="shared" si="3"/>
        <v>DENTRO DEL TIEMPO</v>
      </c>
      <c r="R98" s="6"/>
    </row>
    <row r="99" spans="1:18" ht="50.25" x14ac:dyDescent="0.25">
      <c r="A99" s="26">
        <v>93</v>
      </c>
      <c r="B99" s="8" t="s">
        <v>1557</v>
      </c>
      <c r="C99" s="27">
        <v>44601</v>
      </c>
      <c r="D99" s="27">
        <v>44601</v>
      </c>
      <c r="E99" s="26">
        <v>2</v>
      </c>
      <c r="F99" s="28" t="s">
        <v>22</v>
      </c>
      <c r="G99" s="8" t="s">
        <v>721</v>
      </c>
      <c r="H99" s="8" t="s">
        <v>1257</v>
      </c>
      <c r="I99" s="8" t="s">
        <v>721</v>
      </c>
      <c r="J99" s="29">
        <v>44602</v>
      </c>
      <c r="K99" s="29">
        <v>44602</v>
      </c>
      <c r="L99" s="30">
        <f t="shared" si="2"/>
        <v>1</v>
      </c>
      <c r="M99" s="8" t="s">
        <v>1558</v>
      </c>
      <c r="N99" s="31" t="s">
        <v>26</v>
      </c>
      <c r="O99" s="4" t="s">
        <v>1559</v>
      </c>
      <c r="P99" s="31" t="s">
        <v>1560</v>
      </c>
      <c r="Q99" s="31" t="str">
        <f t="shared" si="3"/>
        <v>DENTRO DEL TIEMPO</v>
      </c>
      <c r="R99" s="6"/>
    </row>
    <row r="100" spans="1:18" ht="50.25" x14ac:dyDescent="0.25">
      <c r="A100" s="26">
        <v>94</v>
      </c>
      <c r="B100" s="8" t="s">
        <v>1561</v>
      </c>
      <c r="C100" s="27">
        <v>44601</v>
      </c>
      <c r="D100" s="27">
        <v>44601</v>
      </c>
      <c r="E100" s="26">
        <v>1308</v>
      </c>
      <c r="F100" s="28" t="s">
        <v>22</v>
      </c>
      <c r="G100" s="8" t="s">
        <v>1256</v>
      </c>
      <c r="H100" s="8" t="s">
        <v>1257</v>
      </c>
      <c r="I100" s="8" t="s">
        <v>1256</v>
      </c>
      <c r="J100" s="29">
        <v>44601</v>
      </c>
      <c r="K100" s="29">
        <v>44601</v>
      </c>
      <c r="L100" s="30">
        <f t="shared" si="2"/>
        <v>0</v>
      </c>
      <c r="M100" s="8" t="s">
        <v>1562</v>
      </c>
      <c r="N100" s="31" t="s">
        <v>26</v>
      </c>
      <c r="O100" s="4" t="s">
        <v>525</v>
      </c>
      <c r="P100" s="31" t="s">
        <v>1563</v>
      </c>
      <c r="Q100" s="31" t="str">
        <f t="shared" si="3"/>
        <v>DENTRO DEL TIEMPO</v>
      </c>
      <c r="R100" s="6"/>
    </row>
    <row r="101" spans="1:18" ht="50.25" x14ac:dyDescent="0.25">
      <c r="A101" s="26">
        <v>95</v>
      </c>
      <c r="B101" s="8" t="s">
        <v>1564</v>
      </c>
      <c r="C101" s="27">
        <v>44601</v>
      </c>
      <c r="D101" s="27">
        <v>44601</v>
      </c>
      <c r="E101" s="26">
        <v>2</v>
      </c>
      <c r="F101" s="28" t="s">
        <v>22</v>
      </c>
      <c r="G101" s="8" t="s">
        <v>721</v>
      </c>
      <c r="H101" s="8" t="s">
        <v>1257</v>
      </c>
      <c r="I101" s="8" t="s">
        <v>721</v>
      </c>
      <c r="J101" s="29">
        <v>44602</v>
      </c>
      <c r="K101" s="29">
        <v>44602</v>
      </c>
      <c r="L101" s="30">
        <f t="shared" si="2"/>
        <v>1</v>
      </c>
      <c r="M101" s="8" t="s">
        <v>1565</v>
      </c>
      <c r="N101" s="31" t="s">
        <v>26</v>
      </c>
      <c r="O101" s="4" t="s">
        <v>1566</v>
      </c>
      <c r="P101" s="31" t="s">
        <v>1567</v>
      </c>
      <c r="Q101" s="31" t="str">
        <f t="shared" si="3"/>
        <v>DENTRO DEL TIEMPO</v>
      </c>
      <c r="R101" s="6"/>
    </row>
    <row r="102" spans="1:18" ht="50.25" x14ac:dyDescent="0.25">
      <c r="A102" s="26">
        <v>96</v>
      </c>
      <c r="B102" s="8" t="s">
        <v>1568</v>
      </c>
      <c r="C102" s="27">
        <v>44601</v>
      </c>
      <c r="D102" s="27">
        <v>44601</v>
      </c>
      <c r="E102" s="26">
        <v>2</v>
      </c>
      <c r="F102" s="28" t="s">
        <v>22</v>
      </c>
      <c r="G102" s="8" t="s">
        <v>721</v>
      </c>
      <c r="H102" s="8" t="s">
        <v>1257</v>
      </c>
      <c r="I102" s="8" t="s">
        <v>721</v>
      </c>
      <c r="J102" s="29">
        <v>44602</v>
      </c>
      <c r="K102" s="29">
        <v>44602</v>
      </c>
      <c r="L102" s="30">
        <f t="shared" si="2"/>
        <v>1</v>
      </c>
      <c r="M102" s="8" t="s">
        <v>1569</v>
      </c>
      <c r="N102" s="31" t="s">
        <v>26</v>
      </c>
      <c r="O102" s="4" t="s">
        <v>1570</v>
      </c>
      <c r="P102" s="31" t="s">
        <v>1571</v>
      </c>
      <c r="Q102" s="31" t="str">
        <f t="shared" si="3"/>
        <v>DENTRO DEL TIEMPO</v>
      </c>
      <c r="R102" s="6"/>
    </row>
    <row r="103" spans="1:18" ht="50.25" x14ac:dyDescent="0.25">
      <c r="A103" s="26">
        <v>97</v>
      </c>
      <c r="B103" s="8" t="s">
        <v>1572</v>
      </c>
      <c r="C103" s="27">
        <v>44601</v>
      </c>
      <c r="D103" s="27">
        <v>44601</v>
      </c>
      <c r="E103" s="26">
        <v>2</v>
      </c>
      <c r="F103" s="28" t="s">
        <v>22</v>
      </c>
      <c r="G103" s="8" t="s">
        <v>721</v>
      </c>
      <c r="H103" s="8" t="s">
        <v>1257</v>
      </c>
      <c r="I103" s="8" t="s">
        <v>721</v>
      </c>
      <c r="J103" s="29">
        <v>44602</v>
      </c>
      <c r="K103" s="29">
        <v>44602</v>
      </c>
      <c r="L103" s="30">
        <f t="shared" si="2"/>
        <v>1</v>
      </c>
      <c r="M103" s="8" t="s">
        <v>1573</v>
      </c>
      <c r="N103" s="31" t="s">
        <v>26</v>
      </c>
      <c r="O103" s="4" t="s">
        <v>1574</v>
      </c>
      <c r="P103" s="31" t="s">
        <v>1575</v>
      </c>
      <c r="Q103" s="31" t="str">
        <f t="shared" si="3"/>
        <v>DENTRO DEL TIEMPO</v>
      </c>
      <c r="R103" s="6"/>
    </row>
    <row r="104" spans="1:18" ht="50.25" x14ac:dyDescent="0.25">
      <c r="A104" s="26">
        <v>98</v>
      </c>
      <c r="B104" s="8" t="s">
        <v>1576</v>
      </c>
      <c r="C104" s="27">
        <v>44601</v>
      </c>
      <c r="D104" s="27">
        <v>44601</v>
      </c>
      <c r="E104" s="26">
        <v>2</v>
      </c>
      <c r="F104" s="28" t="s">
        <v>22</v>
      </c>
      <c r="G104" s="8" t="s">
        <v>721</v>
      </c>
      <c r="H104" s="8" t="s">
        <v>1257</v>
      </c>
      <c r="I104" s="8" t="s">
        <v>721</v>
      </c>
      <c r="J104" s="29">
        <v>44602</v>
      </c>
      <c r="K104" s="29">
        <v>44602</v>
      </c>
      <c r="L104" s="30">
        <f t="shared" si="2"/>
        <v>1</v>
      </c>
      <c r="M104" s="8" t="s">
        <v>1577</v>
      </c>
      <c r="N104" s="31" t="s">
        <v>26</v>
      </c>
      <c r="O104" s="4" t="s">
        <v>1578</v>
      </c>
      <c r="P104" s="31" t="s">
        <v>1579</v>
      </c>
      <c r="Q104" s="31" t="str">
        <f t="shared" si="3"/>
        <v>DENTRO DEL TIEMPO</v>
      </c>
      <c r="R104" s="6"/>
    </row>
    <row r="105" spans="1:18" ht="50.25" x14ac:dyDescent="0.25">
      <c r="A105" s="26">
        <v>99</v>
      </c>
      <c r="B105" s="8" t="s">
        <v>1580</v>
      </c>
      <c r="C105" s="27">
        <v>44602</v>
      </c>
      <c r="D105" s="27">
        <v>44602</v>
      </c>
      <c r="E105" s="26">
        <v>2</v>
      </c>
      <c r="F105" s="28" t="s">
        <v>22</v>
      </c>
      <c r="G105" s="8" t="s">
        <v>721</v>
      </c>
      <c r="H105" s="8" t="s">
        <v>1257</v>
      </c>
      <c r="I105" s="8" t="s">
        <v>721</v>
      </c>
      <c r="J105" s="29">
        <v>44606</v>
      </c>
      <c r="K105" s="29">
        <v>44606</v>
      </c>
      <c r="L105" s="30">
        <f t="shared" si="2"/>
        <v>2</v>
      </c>
      <c r="M105" s="8" t="s">
        <v>1581</v>
      </c>
      <c r="N105" s="31" t="s">
        <v>26</v>
      </c>
      <c r="O105" s="4" t="s">
        <v>106</v>
      </c>
      <c r="P105" s="31" t="s">
        <v>1582</v>
      </c>
      <c r="Q105" s="31" t="str">
        <f t="shared" si="3"/>
        <v>DENTRO DEL TIEMPO</v>
      </c>
      <c r="R105" s="6"/>
    </row>
    <row r="106" spans="1:18" ht="50.25" x14ac:dyDescent="0.25">
      <c r="A106" s="26">
        <v>100</v>
      </c>
      <c r="B106" s="8" t="s">
        <v>1583</v>
      </c>
      <c r="C106" s="27">
        <v>44602</v>
      </c>
      <c r="D106" s="27">
        <v>44602</v>
      </c>
      <c r="E106" s="26">
        <v>2</v>
      </c>
      <c r="F106" s="28" t="s">
        <v>22</v>
      </c>
      <c r="G106" s="8" t="s">
        <v>721</v>
      </c>
      <c r="H106" s="8" t="s">
        <v>1257</v>
      </c>
      <c r="I106" s="8" t="s">
        <v>721</v>
      </c>
      <c r="J106" s="29">
        <v>44606</v>
      </c>
      <c r="K106" s="29">
        <v>44606</v>
      </c>
      <c r="L106" s="30">
        <f t="shared" si="2"/>
        <v>2</v>
      </c>
      <c r="M106" s="8" t="s">
        <v>1584</v>
      </c>
      <c r="N106" s="31" t="s">
        <v>26</v>
      </c>
      <c r="O106" s="4" t="s">
        <v>1295</v>
      </c>
      <c r="P106" s="31" t="s">
        <v>1585</v>
      </c>
      <c r="Q106" s="31" t="str">
        <f t="shared" si="3"/>
        <v>DENTRO DEL TIEMPO</v>
      </c>
      <c r="R106" s="6"/>
    </row>
    <row r="107" spans="1:18" ht="50.25" x14ac:dyDescent="0.25">
      <c r="A107" s="26">
        <v>101</v>
      </c>
      <c r="B107" s="8" t="s">
        <v>1586</v>
      </c>
      <c r="C107" s="27">
        <v>44602</v>
      </c>
      <c r="D107" s="27">
        <v>44602</v>
      </c>
      <c r="E107" s="26">
        <v>2</v>
      </c>
      <c r="F107" s="28" t="s">
        <v>22</v>
      </c>
      <c r="G107" s="8" t="s">
        <v>721</v>
      </c>
      <c r="H107" s="8" t="s">
        <v>1257</v>
      </c>
      <c r="I107" s="8" t="s">
        <v>721</v>
      </c>
      <c r="J107" s="29">
        <v>44606</v>
      </c>
      <c r="K107" s="29">
        <v>44606</v>
      </c>
      <c r="L107" s="30">
        <f t="shared" si="2"/>
        <v>2</v>
      </c>
      <c r="M107" s="8" t="s">
        <v>1587</v>
      </c>
      <c r="N107" s="31" t="s">
        <v>26</v>
      </c>
      <c r="O107" s="4" t="s">
        <v>128</v>
      </c>
      <c r="P107" s="31" t="s">
        <v>1588</v>
      </c>
      <c r="Q107" s="31" t="str">
        <f t="shared" si="3"/>
        <v>DENTRO DEL TIEMPO</v>
      </c>
      <c r="R107" s="6"/>
    </row>
    <row r="108" spans="1:18" ht="50.25" x14ac:dyDescent="0.25">
      <c r="A108" s="26">
        <v>102</v>
      </c>
      <c r="B108" s="8" t="s">
        <v>1589</v>
      </c>
      <c r="C108" s="27">
        <v>44602</v>
      </c>
      <c r="D108" s="27">
        <v>44602</v>
      </c>
      <c r="E108" s="26">
        <v>2</v>
      </c>
      <c r="F108" s="28" t="s">
        <v>22</v>
      </c>
      <c r="G108" s="8" t="s">
        <v>721</v>
      </c>
      <c r="H108" s="8" t="s">
        <v>1257</v>
      </c>
      <c r="I108" s="8" t="s">
        <v>721</v>
      </c>
      <c r="J108" s="29">
        <v>44606</v>
      </c>
      <c r="K108" s="29">
        <v>44606</v>
      </c>
      <c r="L108" s="30">
        <f t="shared" si="2"/>
        <v>2</v>
      </c>
      <c r="M108" s="8" t="s">
        <v>1590</v>
      </c>
      <c r="N108" s="31" t="s">
        <v>26</v>
      </c>
      <c r="O108" s="4" t="s">
        <v>1591</v>
      </c>
      <c r="P108" s="31" t="s">
        <v>1592</v>
      </c>
      <c r="Q108" s="31" t="str">
        <f t="shared" si="3"/>
        <v>DENTRO DEL TIEMPO</v>
      </c>
      <c r="R108" s="6"/>
    </row>
    <row r="109" spans="1:18" ht="40.5" hidden="1" x14ac:dyDescent="0.25">
      <c r="A109" s="26">
        <v>103</v>
      </c>
      <c r="B109" s="8" t="s">
        <v>1593</v>
      </c>
      <c r="C109" s="27">
        <v>44602</v>
      </c>
      <c r="D109" s="27">
        <v>44602</v>
      </c>
      <c r="E109" s="26">
        <v>2</v>
      </c>
      <c r="F109" s="28" t="s">
        <v>790</v>
      </c>
      <c r="G109" s="8" t="s">
        <v>1594</v>
      </c>
      <c r="H109" s="8" t="s">
        <v>1387</v>
      </c>
      <c r="I109" s="8" t="s">
        <v>1594</v>
      </c>
      <c r="J109" s="28"/>
      <c r="K109" s="28"/>
      <c r="L109" s="30">
        <f t="shared" si="2"/>
        <v>-31860</v>
      </c>
      <c r="M109" s="8"/>
      <c r="N109" s="31" t="s">
        <v>26</v>
      </c>
      <c r="O109" s="4" t="s">
        <v>1595</v>
      </c>
      <c r="P109" s="31"/>
      <c r="Q109" s="31" t="str">
        <f t="shared" si="3"/>
        <v>DENTRO DEL TIEMPO</v>
      </c>
      <c r="R109" s="6"/>
    </row>
    <row r="110" spans="1:18" ht="50.25" x14ac:dyDescent="0.25">
      <c r="A110" s="26">
        <v>104</v>
      </c>
      <c r="B110" s="8" t="s">
        <v>1596</v>
      </c>
      <c r="C110" s="27">
        <v>44602</v>
      </c>
      <c r="D110" s="27">
        <v>44602</v>
      </c>
      <c r="E110" s="26">
        <v>2</v>
      </c>
      <c r="F110" s="28" t="s">
        <v>22</v>
      </c>
      <c r="G110" s="8" t="s">
        <v>721</v>
      </c>
      <c r="H110" s="8" t="s">
        <v>1257</v>
      </c>
      <c r="I110" s="8" t="s">
        <v>721</v>
      </c>
      <c r="J110" s="29">
        <v>44606</v>
      </c>
      <c r="K110" s="29">
        <v>44606</v>
      </c>
      <c r="L110" s="30">
        <f t="shared" si="2"/>
        <v>2</v>
      </c>
      <c r="M110" s="8" t="s">
        <v>1597</v>
      </c>
      <c r="N110" s="31" t="s">
        <v>26</v>
      </c>
      <c r="O110" s="4" t="s">
        <v>121</v>
      </c>
      <c r="P110" s="31" t="s">
        <v>1598</v>
      </c>
      <c r="Q110" s="31" t="str">
        <f t="shared" si="3"/>
        <v>DENTRO DEL TIEMPO</v>
      </c>
      <c r="R110" s="6"/>
    </row>
    <row r="111" spans="1:18" ht="50.25" x14ac:dyDescent="0.25">
      <c r="A111" s="26">
        <v>105</v>
      </c>
      <c r="B111" s="8" t="s">
        <v>1599</v>
      </c>
      <c r="C111" s="27">
        <v>44602</v>
      </c>
      <c r="D111" s="27">
        <v>44602</v>
      </c>
      <c r="E111" s="26">
        <v>2</v>
      </c>
      <c r="F111" s="28" t="s">
        <v>22</v>
      </c>
      <c r="G111" s="8" t="s">
        <v>721</v>
      </c>
      <c r="H111" s="8" t="s">
        <v>1257</v>
      </c>
      <c r="I111" s="8" t="s">
        <v>721</v>
      </c>
      <c r="J111" s="29">
        <v>44606</v>
      </c>
      <c r="K111" s="29">
        <v>44606</v>
      </c>
      <c r="L111" s="30">
        <f t="shared" si="2"/>
        <v>2</v>
      </c>
      <c r="M111" s="8" t="s">
        <v>1600</v>
      </c>
      <c r="N111" s="31" t="s">
        <v>26</v>
      </c>
      <c r="O111" s="4" t="s">
        <v>642</v>
      </c>
      <c r="P111" s="31" t="s">
        <v>1601</v>
      </c>
      <c r="Q111" s="31" t="str">
        <f t="shared" si="3"/>
        <v>DENTRO DEL TIEMPO</v>
      </c>
      <c r="R111" s="6"/>
    </row>
    <row r="112" spans="1:18" ht="50.25" x14ac:dyDescent="0.25">
      <c r="A112" s="26">
        <v>106</v>
      </c>
      <c r="B112" s="8" t="s">
        <v>1602</v>
      </c>
      <c r="C112" s="27">
        <v>44602</v>
      </c>
      <c r="D112" s="27">
        <v>44602</v>
      </c>
      <c r="E112" s="26">
        <v>2</v>
      </c>
      <c r="F112" s="28" t="s">
        <v>22</v>
      </c>
      <c r="G112" s="8" t="s">
        <v>721</v>
      </c>
      <c r="H112" s="8" t="s">
        <v>1257</v>
      </c>
      <c r="I112" s="8" t="s">
        <v>721</v>
      </c>
      <c r="J112" s="29">
        <v>44606</v>
      </c>
      <c r="K112" s="29">
        <v>44606</v>
      </c>
      <c r="L112" s="30">
        <f t="shared" si="2"/>
        <v>2</v>
      </c>
      <c r="M112" s="8" t="s">
        <v>1603</v>
      </c>
      <c r="N112" s="31" t="s">
        <v>26</v>
      </c>
      <c r="O112" s="4" t="s">
        <v>1604</v>
      </c>
      <c r="P112" s="31" t="s">
        <v>1605</v>
      </c>
      <c r="Q112" s="31" t="str">
        <f t="shared" si="3"/>
        <v>DENTRO DEL TIEMPO</v>
      </c>
      <c r="R112" s="6"/>
    </row>
    <row r="113" spans="1:18" ht="50.25" x14ac:dyDescent="0.25">
      <c r="A113" s="26">
        <v>107</v>
      </c>
      <c r="B113" s="8" t="s">
        <v>1606</v>
      </c>
      <c r="C113" s="27">
        <v>44602</v>
      </c>
      <c r="D113" s="27">
        <v>44602</v>
      </c>
      <c r="E113" s="26">
        <v>2</v>
      </c>
      <c r="F113" s="28" t="s">
        <v>22</v>
      </c>
      <c r="G113" s="8" t="s">
        <v>1256</v>
      </c>
      <c r="H113" s="8" t="s">
        <v>1257</v>
      </c>
      <c r="I113" s="8" t="s">
        <v>1256</v>
      </c>
      <c r="J113" s="29">
        <v>44602</v>
      </c>
      <c r="K113" s="29">
        <v>44602</v>
      </c>
      <c r="L113" s="30">
        <f t="shared" si="2"/>
        <v>0</v>
      </c>
      <c r="M113" s="8" t="s">
        <v>1607</v>
      </c>
      <c r="N113" s="31" t="s">
        <v>26</v>
      </c>
      <c r="O113" s="4" t="s">
        <v>1608</v>
      </c>
      <c r="P113" s="31" t="s">
        <v>1609</v>
      </c>
      <c r="Q113" s="31" t="str">
        <f t="shared" si="3"/>
        <v>DENTRO DEL TIEMPO</v>
      </c>
      <c r="R113" s="6"/>
    </row>
    <row r="114" spans="1:18" ht="50.25" x14ac:dyDescent="0.25">
      <c r="A114" s="26">
        <v>108</v>
      </c>
      <c r="B114" s="8" t="s">
        <v>1610</v>
      </c>
      <c r="C114" s="27">
        <v>44603</v>
      </c>
      <c r="D114" s="27">
        <v>44603</v>
      </c>
      <c r="E114" s="26">
        <v>2</v>
      </c>
      <c r="F114" s="28" t="s">
        <v>22</v>
      </c>
      <c r="G114" s="8" t="s">
        <v>721</v>
      </c>
      <c r="H114" s="8" t="s">
        <v>1257</v>
      </c>
      <c r="I114" s="8" t="s">
        <v>721</v>
      </c>
      <c r="J114" s="29">
        <v>44607</v>
      </c>
      <c r="K114" s="29">
        <v>44607</v>
      </c>
      <c r="L114" s="30">
        <f t="shared" si="2"/>
        <v>2</v>
      </c>
      <c r="M114" s="8" t="s">
        <v>1611</v>
      </c>
      <c r="N114" s="31" t="s">
        <v>26</v>
      </c>
      <c r="O114" s="4" t="s">
        <v>1612</v>
      </c>
      <c r="P114" s="31" t="s">
        <v>1582</v>
      </c>
      <c r="Q114" s="31" t="str">
        <f t="shared" si="3"/>
        <v>DENTRO DEL TIEMPO</v>
      </c>
      <c r="R114" s="6"/>
    </row>
    <row r="115" spans="1:18" ht="50.25" x14ac:dyDescent="0.25">
      <c r="A115" s="26">
        <v>109</v>
      </c>
      <c r="B115" s="8" t="s">
        <v>1613</v>
      </c>
      <c r="C115" s="27">
        <v>44603</v>
      </c>
      <c r="D115" s="27">
        <v>44603</v>
      </c>
      <c r="E115" s="26">
        <v>2</v>
      </c>
      <c r="F115" s="28" t="s">
        <v>22</v>
      </c>
      <c r="G115" s="8" t="s">
        <v>721</v>
      </c>
      <c r="H115" s="8" t="s">
        <v>1257</v>
      </c>
      <c r="I115" s="8" t="s">
        <v>721</v>
      </c>
      <c r="J115" s="29">
        <v>44608</v>
      </c>
      <c r="K115" s="29">
        <v>44608</v>
      </c>
      <c r="L115" s="30">
        <f t="shared" si="2"/>
        <v>3</v>
      </c>
      <c r="M115" s="8" t="s">
        <v>1614</v>
      </c>
      <c r="N115" s="31" t="s">
        <v>26</v>
      </c>
      <c r="O115" s="4" t="s">
        <v>1615</v>
      </c>
      <c r="P115" s="31" t="s">
        <v>1616</v>
      </c>
      <c r="Q115" s="31" t="str">
        <f t="shared" si="3"/>
        <v>DENTRO DEL TIEMPO</v>
      </c>
      <c r="R115" s="6"/>
    </row>
    <row r="116" spans="1:18" ht="50.25" x14ac:dyDescent="0.25">
      <c r="A116" s="26">
        <v>110</v>
      </c>
      <c r="B116" s="8" t="s">
        <v>1617</v>
      </c>
      <c r="C116" s="27">
        <v>44603</v>
      </c>
      <c r="D116" s="27">
        <v>44603</v>
      </c>
      <c r="E116" s="26">
        <v>2</v>
      </c>
      <c r="F116" s="28" t="s">
        <v>22</v>
      </c>
      <c r="G116" s="8" t="s">
        <v>721</v>
      </c>
      <c r="H116" s="8" t="s">
        <v>1257</v>
      </c>
      <c r="I116" s="8" t="s">
        <v>721</v>
      </c>
      <c r="J116" s="29">
        <v>44608</v>
      </c>
      <c r="K116" s="29">
        <v>44608</v>
      </c>
      <c r="L116" s="30">
        <f t="shared" si="2"/>
        <v>3</v>
      </c>
      <c r="M116" s="8" t="s">
        <v>1618</v>
      </c>
      <c r="N116" s="31" t="s">
        <v>26</v>
      </c>
      <c r="O116" s="4" t="s">
        <v>1295</v>
      </c>
      <c r="P116" s="31" t="s">
        <v>1619</v>
      </c>
      <c r="Q116" s="31" t="str">
        <f t="shared" si="3"/>
        <v>DENTRO DEL TIEMPO</v>
      </c>
      <c r="R116" s="6"/>
    </row>
    <row r="117" spans="1:18" ht="50.25" x14ac:dyDescent="0.25">
      <c r="A117" s="26">
        <v>111</v>
      </c>
      <c r="B117" s="8" t="s">
        <v>1620</v>
      </c>
      <c r="C117" s="27">
        <v>44603</v>
      </c>
      <c r="D117" s="27">
        <v>44603</v>
      </c>
      <c r="E117" s="26">
        <v>2</v>
      </c>
      <c r="F117" s="28" t="s">
        <v>22</v>
      </c>
      <c r="G117" s="8" t="s">
        <v>721</v>
      </c>
      <c r="H117" s="8" t="s">
        <v>1257</v>
      </c>
      <c r="I117" s="8" t="s">
        <v>721</v>
      </c>
      <c r="J117" s="29">
        <v>44608</v>
      </c>
      <c r="K117" s="29">
        <v>44608</v>
      </c>
      <c r="L117" s="30">
        <f t="shared" si="2"/>
        <v>3</v>
      </c>
      <c r="M117" s="8" t="s">
        <v>1621</v>
      </c>
      <c r="N117" s="31" t="s">
        <v>26</v>
      </c>
      <c r="O117" s="4" t="s">
        <v>1622</v>
      </c>
      <c r="P117" s="31" t="s">
        <v>1623</v>
      </c>
      <c r="Q117" s="31" t="str">
        <f t="shared" si="3"/>
        <v>DENTRO DEL TIEMPO</v>
      </c>
      <c r="R117" s="6"/>
    </row>
    <row r="118" spans="1:18" ht="50.25" x14ac:dyDescent="0.25">
      <c r="A118" s="26">
        <v>112</v>
      </c>
      <c r="B118" s="8" t="s">
        <v>1624</v>
      </c>
      <c r="C118" s="27">
        <v>44603</v>
      </c>
      <c r="D118" s="27">
        <v>44603</v>
      </c>
      <c r="E118" s="26">
        <v>2</v>
      </c>
      <c r="F118" s="28" t="s">
        <v>22</v>
      </c>
      <c r="G118" s="8" t="s">
        <v>721</v>
      </c>
      <c r="H118" s="8" t="s">
        <v>1257</v>
      </c>
      <c r="I118" s="8" t="s">
        <v>721</v>
      </c>
      <c r="J118" s="29">
        <v>44608</v>
      </c>
      <c r="K118" s="29">
        <v>44608</v>
      </c>
      <c r="L118" s="30">
        <f t="shared" si="2"/>
        <v>3</v>
      </c>
      <c r="M118" s="8" t="s">
        <v>1625</v>
      </c>
      <c r="N118" s="31" t="s">
        <v>26</v>
      </c>
      <c r="O118" s="4" t="s">
        <v>1622</v>
      </c>
      <c r="P118" s="31" t="s">
        <v>1623</v>
      </c>
      <c r="Q118" s="31" t="str">
        <f t="shared" si="3"/>
        <v>DENTRO DEL TIEMPO</v>
      </c>
      <c r="R118" s="6"/>
    </row>
    <row r="119" spans="1:18" ht="50.25" x14ac:dyDescent="0.25">
      <c r="A119" s="26">
        <v>113</v>
      </c>
      <c r="B119" s="8" t="s">
        <v>1626</v>
      </c>
      <c r="C119" s="27">
        <v>44603</v>
      </c>
      <c r="D119" s="27">
        <v>44603</v>
      </c>
      <c r="E119" s="26">
        <v>2</v>
      </c>
      <c r="F119" s="28" t="s">
        <v>22</v>
      </c>
      <c r="G119" s="8" t="s">
        <v>721</v>
      </c>
      <c r="H119" s="8" t="s">
        <v>1257</v>
      </c>
      <c r="I119" s="8" t="s">
        <v>721</v>
      </c>
      <c r="J119" s="29">
        <v>44608</v>
      </c>
      <c r="K119" s="29">
        <v>44608</v>
      </c>
      <c r="L119" s="30">
        <f t="shared" si="2"/>
        <v>3</v>
      </c>
      <c r="M119" s="8" t="s">
        <v>1627</v>
      </c>
      <c r="N119" s="31" t="s">
        <v>26</v>
      </c>
      <c r="O119" s="4" t="s">
        <v>1628</v>
      </c>
      <c r="P119" s="31" t="s">
        <v>1629</v>
      </c>
      <c r="Q119" s="31" t="str">
        <f t="shared" si="3"/>
        <v>DENTRO DEL TIEMPO</v>
      </c>
      <c r="R119" s="6"/>
    </row>
    <row r="120" spans="1:18" ht="50.25" x14ac:dyDescent="0.25">
      <c r="A120" s="26">
        <v>114</v>
      </c>
      <c r="B120" s="8" t="s">
        <v>1630</v>
      </c>
      <c r="C120" s="27">
        <v>44603</v>
      </c>
      <c r="D120" s="27">
        <v>44603</v>
      </c>
      <c r="E120" s="26">
        <v>2</v>
      </c>
      <c r="F120" s="28" t="s">
        <v>22</v>
      </c>
      <c r="G120" s="8" t="s">
        <v>721</v>
      </c>
      <c r="H120" s="8" t="s">
        <v>1257</v>
      </c>
      <c r="I120" s="8" t="s">
        <v>721</v>
      </c>
      <c r="J120" s="29">
        <v>44608</v>
      </c>
      <c r="K120" s="29">
        <v>44608</v>
      </c>
      <c r="L120" s="30">
        <f t="shared" si="2"/>
        <v>3</v>
      </c>
      <c r="M120" s="8" t="s">
        <v>1631</v>
      </c>
      <c r="N120" s="31" t="s">
        <v>26</v>
      </c>
      <c r="O120" s="4" t="s">
        <v>392</v>
      </c>
      <c r="P120" s="31" t="s">
        <v>1315</v>
      </c>
      <c r="Q120" s="31" t="str">
        <f t="shared" si="3"/>
        <v>DENTRO DEL TIEMPO</v>
      </c>
      <c r="R120" s="6"/>
    </row>
    <row r="121" spans="1:18" ht="50.25" x14ac:dyDescent="0.25">
      <c r="A121" s="26">
        <v>115</v>
      </c>
      <c r="B121" s="8" t="s">
        <v>1632</v>
      </c>
      <c r="C121" s="27">
        <v>44603</v>
      </c>
      <c r="D121" s="27">
        <v>44603</v>
      </c>
      <c r="E121" s="26">
        <v>116</v>
      </c>
      <c r="F121" s="28" t="s">
        <v>22</v>
      </c>
      <c r="G121" s="8" t="s">
        <v>721</v>
      </c>
      <c r="H121" s="8" t="s">
        <v>1257</v>
      </c>
      <c r="I121" s="8" t="s">
        <v>721</v>
      </c>
      <c r="J121" s="29">
        <v>44609</v>
      </c>
      <c r="K121" s="29">
        <v>44609</v>
      </c>
      <c r="L121" s="30">
        <f t="shared" si="2"/>
        <v>4</v>
      </c>
      <c r="M121" s="8" t="s">
        <v>1633</v>
      </c>
      <c r="N121" s="31" t="s">
        <v>26</v>
      </c>
      <c r="O121" s="4" t="s">
        <v>1634</v>
      </c>
      <c r="P121" s="31" t="s">
        <v>1635</v>
      </c>
      <c r="Q121" s="31" t="str">
        <f t="shared" si="3"/>
        <v>DENTRO DEL TIEMPO</v>
      </c>
      <c r="R121" s="6"/>
    </row>
    <row r="122" spans="1:18" ht="50.25" x14ac:dyDescent="0.25">
      <c r="A122" s="26">
        <v>116</v>
      </c>
      <c r="B122" s="8" t="s">
        <v>1636</v>
      </c>
      <c r="C122" s="27">
        <v>44603</v>
      </c>
      <c r="D122" s="27">
        <v>44603</v>
      </c>
      <c r="E122" s="26">
        <v>2</v>
      </c>
      <c r="F122" s="28" t="s">
        <v>22</v>
      </c>
      <c r="G122" s="8" t="s">
        <v>721</v>
      </c>
      <c r="H122" s="8" t="s">
        <v>1257</v>
      </c>
      <c r="I122" s="8" t="s">
        <v>721</v>
      </c>
      <c r="J122" s="29">
        <v>44609</v>
      </c>
      <c r="K122" s="29">
        <v>44609</v>
      </c>
      <c r="L122" s="30">
        <f t="shared" si="2"/>
        <v>4</v>
      </c>
      <c r="M122" s="8" t="s">
        <v>1637</v>
      </c>
      <c r="N122" s="31" t="s">
        <v>26</v>
      </c>
      <c r="O122" s="4" t="s">
        <v>525</v>
      </c>
      <c r="P122" s="31" t="s">
        <v>1638</v>
      </c>
      <c r="Q122" s="31" t="str">
        <f t="shared" si="3"/>
        <v>DENTRO DEL TIEMPO</v>
      </c>
      <c r="R122" s="6"/>
    </row>
    <row r="123" spans="1:18" ht="50.25" x14ac:dyDescent="0.25">
      <c r="A123" s="26">
        <v>117</v>
      </c>
      <c r="B123" s="8" t="s">
        <v>1639</v>
      </c>
      <c r="C123" s="27">
        <v>44603</v>
      </c>
      <c r="D123" s="27">
        <v>44603</v>
      </c>
      <c r="E123" s="26">
        <v>2</v>
      </c>
      <c r="F123" s="28" t="s">
        <v>22</v>
      </c>
      <c r="G123" s="8" t="s">
        <v>721</v>
      </c>
      <c r="H123" s="8" t="s">
        <v>1257</v>
      </c>
      <c r="I123" s="8" t="s">
        <v>721</v>
      </c>
      <c r="J123" s="29">
        <v>44609</v>
      </c>
      <c r="K123" s="29">
        <v>44609</v>
      </c>
      <c r="L123" s="30">
        <f t="shared" si="2"/>
        <v>4</v>
      </c>
      <c r="M123" s="8" t="s">
        <v>1640</v>
      </c>
      <c r="N123" s="31" t="s">
        <v>26</v>
      </c>
      <c r="O123" s="4" t="s">
        <v>1615</v>
      </c>
      <c r="P123" s="31" t="s">
        <v>1641</v>
      </c>
      <c r="Q123" s="31" t="str">
        <f t="shared" si="3"/>
        <v>DENTRO DEL TIEMPO</v>
      </c>
      <c r="R123" s="6"/>
    </row>
    <row r="124" spans="1:18" ht="50.25" x14ac:dyDescent="0.25">
      <c r="A124" s="26">
        <v>118</v>
      </c>
      <c r="B124" s="8" t="s">
        <v>1642</v>
      </c>
      <c r="C124" s="27">
        <v>44603</v>
      </c>
      <c r="D124" s="27">
        <v>44603</v>
      </c>
      <c r="E124" s="26">
        <v>2</v>
      </c>
      <c r="F124" s="28" t="s">
        <v>22</v>
      </c>
      <c r="G124" s="8" t="s">
        <v>721</v>
      </c>
      <c r="H124" s="8" t="s">
        <v>1257</v>
      </c>
      <c r="I124" s="8" t="s">
        <v>721</v>
      </c>
      <c r="J124" s="29">
        <v>44609</v>
      </c>
      <c r="K124" s="29">
        <v>44609</v>
      </c>
      <c r="L124" s="30">
        <f t="shared" si="2"/>
        <v>4</v>
      </c>
      <c r="M124" s="8" t="s">
        <v>1643</v>
      </c>
      <c r="N124" s="31" t="s">
        <v>26</v>
      </c>
      <c r="O124" s="4" t="s">
        <v>121</v>
      </c>
      <c r="P124" s="31" t="s">
        <v>1644</v>
      </c>
      <c r="Q124" s="31" t="str">
        <f t="shared" si="3"/>
        <v>DENTRO DEL TIEMPO</v>
      </c>
      <c r="R124" s="6"/>
    </row>
    <row r="125" spans="1:18" ht="50.25" x14ac:dyDescent="0.25">
      <c r="A125" s="26">
        <v>119</v>
      </c>
      <c r="B125" s="8" t="s">
        <v>1645</v>
      </c>
      <c r="C125" s="27">
        <v>44603</v>
      </c>
      <c r="D125" s="27">
        <v>44603</v>
      </c>
      <c r="E125" s="26">
        <v>2</v>
      </c>
      <c r="F125" s="28" t="s">
        <v>22</v>
      </c>
      <c r="G125" s="8" t="s">
        <v>721</v>
      </c>
      <c r="H125" s="8" t="s">
        <v>1257</v>
      </c>
      <c r="I125" s="8" t="s">
        <v>721</v>
      </c>
      <c r="J125" s="29">
        <v>44609</v>
      </c>
      <c r="K125" s="29">
        <v>44609</v>
      </c>
      <c r="L125" s="30">
        <f t="shared" si="2"/>
        <v>4</v>
      </c>
      <c r="M125" s="8" t="s">
        <v>1646</v>
      </c>
      <c r="N125" s="31" t="s">
        <v>26</v>
      </c>
      <c r="O125" s="4" t="s">
        <v>118</v>
      </c>
      <c r="P125" s="31" t="s">
        <v>1541</v>
      </c>
      <c r="Q125" s="31" t="str">
        <f t="shared" si="3"/>
        <v>DENTRO DEL TIEMPO</v>
      </c>
      <c r="R125" s="6"/>
    </row>
    <row r="126" spans="1:18" ht="50.25" x14ac:dyDescent="0.25">
      <c r="A126" s="26">
        <v>120</v>
      </c>
      <c r="B126" s="8" t="s">
        <v>1647</v>
      </c>
      <c r="C126" s="27">
        <v>44603</v>
      </c>
      <c r="D126" s="27">
        <v>44603</v>
      </c>
      <c r="E126" s="26">
        <v>2</v>
      </c>
      <c r="F126" s="28" t="s">
        <v>22</v>
      </c>
      <c r="G126" s="8" t="s">
        <v>721</v>
      </c>
      <c r="H126" s="8" t="s">
        <v>1257</v>
      </c>
      <c r="I126" s="8" t="s">
        <v>721</v>
      </c>
      <c r="J126" s="29">
        <v>44609</v>
      </c>
      <c r="K126" s="29">
        <v>44609</v>
      </c>
      <c r="L126" s="30">
        <f t="shared" si="2"/>
        <v>4</v>
      </c>
      <c r="M126" s="8" t="s">
        <v>1648</v>
      </c>
      <c r="N126" s="31" t="s">
        <v>26</v>
      </c>
      <c r="O126" s="4" t="s">
        <v>836</v>
      </c>
      <c r="P126" s="31" t="s">
        <v>1649</v>
      </c>
      <c r="Q126" s="31" t="str">
        <f t="shared" si="3"/>
        <v>DENTRO DEL TIEMPO</v>
      </c>
      <c r="R126" s="6"/>
    </row>
    <row r="127" spans="1:18" ht="50.25" x14ac:dyDescent="0.25">
      <c r="A127" s="26">
        <v>121</v>
      </c>
      <c r="B127" s="8" t="s">
        <v>1650</v>
      </c>
      <c r="C127" s="27">
        <v>44606</v>
      </c>
      <c r="D127" s="27">
        <v>44606</v>
      </c>
      <c r="E127" s="26">
        <v>115</v>
      </c>
      <c r="F127" s="28" t="s">
        <v>22</v>
      </c>
      <c r="G127" s="8" t="s">
        <v>721</v>
      </c>
      <c r="H127" s="8" t="s">
        <v>1257</v>
      </c>
      <c r="I127" s="8" t="s">
        <v>721</v>
      </c>
      <c r="J127" s="29">
        <v>44614</v>
      </c>
      <c r="K127" s="29">
        <v>44614</v>
      </c>
      <c r="L127" s="30">
        <f t="shared" si="2"/>
        <v>6</v>
      </c>
      <c r="M127" s="8" t="s">
        <v>1651</v>
      </c>
      <c r="N127" s="31" t="s">
        <v>26</v>
      </c>
      <c r="O127" s="4" t="s">
        <v>1263</v>
      </c>
      <c r="P127" s="31" t="s">
        <v>1264</v>
      </c>
      <c r="Q127" s="31" t="str">
        <f t="shared" si="3"/>
        <v>DENTRO DEL TIEMPO</v>
      </c>
      <c r="R127" s="6"/>
    </row>
    <row r="128" spans="1:18" ht="50.25" hidden="1" x14ac:dyDescent="0.25">
      <c r="A128" s="26">
        <v>122</v>
      </c>
      <c r="B128" s="8" t="s">
        <v>1652</v>
      </c>
      <c r="C128" s="27">
        <v>44606</v>
      </c>
      <c r="D128" s="27">
        <v>44606</v>
      </c>
      <c r="E128" s="26">
        <v>2</v>
      </c>
      <c r="F128" s="28" t="s">
        <v>790</v>
      </c>
      <c r="G128" s="8" t="s">
        <v>1653</v>
      </c>
      <c r="H128" s="8" t="s">
        <v>1654</v>
      </c>
      <c r="I128" s="8" t="s">
        <v>1653</v>
      </c>
      <c r="J128" s="29">
        <v>44609</v>
      </c>
      <c r="K128" s="29">
        <v>44609</v>
      </c>
      <c r="L128" s="30">
        <f t="shared" si="2"/>
        <v>3</v>
      </c>
      <c r="M128" s="8" t="s">
        <v>1655</v>
      </c>
      <c r="N128" s="31" t="s">
        <v>26</v>
      </c>
      <c r="O128" s="4" t="s">
        <v>1656</v>
      </c>
      <c r="P128" s="31" t="s">
        <v>1657</v>
      </c>
      <c r="Q128" s="31" t="str">
        <f t="shared" si="3"/>
        <v>DENTRO DEL TIEMPO</v>
      </c>
      <c r="R128" s="6"/>
    </row>
    <row r="129" spans="1:18" ht="50.25" x14ac:dyDescent="0.25">
      <c r="A129" s="26">
        <v>123</v>
      </c>
      <c r="B129" s="8" t="s">
        <v>1658</v>
      </c>
      <c r="C129" s="27">
        <v>44607</v>
      </c>
      <c r="D129" s="27">
        <v>44607</v>
      </c>
      <c r="E129" s="26">
        <v>2</v>
      </c>
      <c r="F129" s="28" t="s">
        <v>22</v>
      </c>
      <c r="G129" s="8" t="s">
        <v>721</v>
      </c>
      <c r="H129" s="8" t="s">
        <v>1257</v>
      </c>
      <c r="I129" s="8" t="s">
        <v>721</v>
      </c>
      <c r="J129" s="29">
        <v>44609</v>
      </c>
      <c r="K129" s="29">
        <v>44609</v>
      </c>
      <c r="L129" s="30">
        <f t="shared" si="2"/>
        <v>2</v>
      </c>
      <c r="M129" s="8" t="s">
        <v>1659</v>
      </c>
      <c r="N129" s="31" t="s">
        <v>26</v>
      </c>
      <c r="O129" s="4" t="s">
        <v>1660</v>
      </c>
      <c r="P129" s="31" t="s">
        <v>1661</v>
      </c>
      <c r="Q129" s="31" t="str">
        <f t="shared" si="3"/>
        <v>DENTRO DEL TIEMPO</v>
      </c>
      <c r="R129" s="6"/>
    </row>
    <row r="130" spans="1:18" ht="50.25" x14ac:dyDescent="0.25">
      <c r="A130" s="26">
        <v>124</v>
      </c>
      <c r="B130" s="8" t="s">
        <v>1662</v>
      </c>
      <c r="C130" s="27">
        <v>44607</v>
      </c>
      <c r="D130" s="27">
        <v>44607</v>
      </c>
      <c r="E130" s="26">
        <v>2</v>
      </c>
      <c r="F130" s="28" t="s">
        <v>22</v>
      </c>
      <c r="G130" s="8" t="s">
        <v>721</v>
      </c>
      <c r="H130" s="8" t="s">
        <v>1257</v>
      </c>
      <c r="I130" s="8" t="s">
        <v>721</v>
      </c>
      <c r="J130" s="29">
        <v>44609</v>
      </c>
      <c r="K130" s="29">
        <v>44609</v>
      </c>
      <c r="L130" s="30">
        <f t="shared" si="2"/>
        <v>2</v>
      </c>
      <c r="M130" s="8" t="s">
        <v>1663</v>
      </c>
      <c r="N130" s="31" t="s">
        <v>26</v>
      </c>
      <c r="O130" s="4" t="s">
        <v>1430</v>
      </c>
      <c r="P130" s="31" t="s">
        <v>1431</v>
      </c>
      <c r="Q130" s="31" t="str">
        <f t="shared" si="3"/>
        <v>DENTRO DEL TIEMPO</v>
      </c>
      <c r="R130" s="6"/>
    </row>
    <row r="131" spans="1:18" ht="50.25" x14ac:dyDescent="0.25">
      <c r="A131" s="26">
        <v>125</v>
      </c>
      <c r="B131" s="8" t="s">
        <v>1664</v>
      </c>
      <c r="C131" s="27">
        <v>44607</v>
      </c>
      <c r="D131" s="27">
        <v>44607</v>
      </c>
      <c r="E131" s="26">
        <v>2</v>
      </c>
      <c r="F131" s="28" t="s">
        <v>22</v>
      </c>
      <c r="G131" s="8" t="s">
        <v>721</v>
      </c>
      <c r="H131" s="8" t="s">
        <v>1257</v>
      </c>
      <c r="I131" s="8" t="s">
        <v>721</v>
      </c>
      <c r="J131" s="29">
        <v>44609</v>
      </c>
      <c r="K131" s="29">
        <v>44609</v>
      </c>
      <c r="L131" s="30">
        <f t="shared" si="2"/>
        <v>2</v>
      </c>
      <c r="M131" s="8" t="s">
        <v>1665</v>
      </c>
      <c r="N131" s="31" t="s">
        <v>26</v>
      </c>
      <c r="O131" s="4" t="s">
        <v>1666</v>
      </c>
      <c r="P131" s="31" t="s">
        <v>1667</v>
      </c>
      <c r="Q131" s="31" t="str">
        <f t="shared" si="3"/>
        <v>DENTRO DEL TIEMPO</v>
      </c>
      <c r="R131" s="6"/>
    </row>
    <row r="132" spans="1:18" ht="50.25" x14ac:dyDescent="0.25">
      <c r="A132" s="26">
        <v>126</v>
      </c>
      <c r="B132" s="8" t="s">
        <v>1668</v>
      </c>
      <c r="C132" s="27">
        <v>44607</v>
      </c>
      <c r="D132" s="27">
        <v>44607</v>
      </c>
      <c r="E132" s="26">
        <v>2</v>
      </c>
      <c r="F132" s="28" t="s">
        <v>22</v>
      </c>
      <c r="G132" s="8" t="s">
        <v>721</v>
      </c>
      <c r="H132" s="8" t="s">
        <v>1257</v>
      </c>
      <c r="I132" s="8" t="s">
        <v>721</v>
      </c>
      <c r="J132" s="29">
        <v>44609</v>
      </c>
      <c r="K132" s="29">
        <v>44609</v>
      </c>
      <c r="L132" s="30">
        <f t="shared" si="2"/>
        <v>2</v>
      </c>
      <c r="M132" s="8" t="s">
        <v>1669</v>
      </c>
      <c r="N132" s="31" t="s">
        <v>26</v>
      </c>
      <c r="O132" s="4" t="s">
        <v>613</v>
      </c>
      <c r="P132" s="31" t="s">
        <v>1670</v>
      </c>
      <c r="Q132" s="31" t="str">
        <f t="shared" si="3"/>
        <v>DENTRO DEL TIEMPO</v>
      </c>
      <c r="R132" s="6"/>
    </row>
    <row r="133" spans="1:18" ht="50.25" x14ac:dyDescent="0.25">
      <c r="A133" s="26">
        <v>127</v>
      </c>
      <c r="B133" s="8" t="s">
        <v>1671</v>
      </c>
      <c r="C133" s="27">
        <v>44608</v>
      </c>
      <c r="D133" s="27">
        <v>44608</v>
      </c>
      <c r="E133" s="26">
        <v>2</v>
      </c>
      <c r="F133" s="28" t="s">
        <v>22</v>
      </c>
      <c r="G133" s="8" t="s">
        <v>721</v>
      </c>
      <c r="H133" s="8" t="s">
        <v>1257</v>
      </c>
      <c r="I133" s="8" t="s">
        <v>721</v>
      </c>
      <c r="J133" s="29">
        <v>44609</v>
      </c>
      <c r="K133" s="29">
        <v>44609</v>
      </c>
      <c r="L133" s="30">
        <f t="shared" si="2"/>
        <v>1</v>
      </c>
      <c r="M133" s="8" t="s">
        <v>1672</v>
      </c>
      <c r="N133" s="31" t="s">
        <v>26</v>
      </c>
      <c r="O133" s="4" t="s">
        <v>121</v>
      </c>
      <c r="P133" s="31" t="s">
        <v>1673</v>
      </c>
      <c r="Q133" s="31" t="str">
        <f t="shared" si="3"/>
        <v>DENTRO DEL TIEMPO</v>
      </c>
      <c r="R133" s="6"/>
    </row>
    <row r="134" spans="1:18" ht="50.25" x14ac:dyDescent="0.25">
      <c r="A134" s="26">
        <v>128</v>
      </c>
      <c r="B134" s="8" t="s">
        <v>1674</v>
      </c>
      <c r="C134" s="27">
        <v>44608</v>
      </c>
      <c r="D134" s="27">
        <v>44608</v>
      </c>
      <c r="E134" s="26">
        <v>2</v>
      </c>
      <c r="F134" s="28" t="s">
        <v>22</v>
      </c>
      <c r="G134" s="8" t="s">
        <v>721</v>
      </c>
      <c r="H134" s="8" t="s">
        <v>1257</v>
      </c>
      <c r="I134" s="8" t="s">
        <v>721</v>
      </c>
      <c r="J134" s="29">
        <v>44609</v>
      </c>
      <c r="K134" s="29">
        <v>44609</v>
      </c>
      <c r="L134" s="30">
        <f t="shared" si="2"/>
        <v>1</v>
      </c>
      <c r="M134" s="8" t="s">
        <v>1675</v>
      </c>
      <c r="N134" s="31" t="s">
        <v>26</v>
      </c>
      <c r="O134" s="4" t="s">
        <v>392</v>
      </c>
      <c r="P134" s="31" t="s">
        <v>1315</v>
      </c>
      <c r="Q134" s="31" t="str">
        <f t="shared" si="3"/>
        <v>DENTRO DEL TIEMPO</v>
      </c>
      <c r="R134" s="6"/>
    </row>
    <row r="135" spans="1:18" ht="50.25" x14ac:dyDescent="0.25">
      <c r="A135" s="26">
        <v>129</v>
      </c>
      <c r="B135" s="8" t="s">
        <v>1676</v>
      </c>
      <c r="C135" s="27">
        <v>44608</v>
      </c>
      <c r="D135" s="27">
        <v>44608</v>
      </c>
      <c r="E135" s="26">
        <v>2</v>
      </c>
      <c r="F135" s="28" t="s">
        <v>22</v>
      </c>
      <c r="G135" s="8" t="s">
        <v>721</v>
      </c>
      <c r="H135" s="8" t="s">
        <v>1257</v>
      </c>
      <c r="I135" s="8" t="s">
        <v>721</v>
      </c>
      <c r="J135" s="29">
        <v>44609</v>
      </c>
      <c r="K135" s="29">
        <v>44609</v>
      </c>
      <c r="L135" s="30">
        <f t="shared" si="2"/>
        <v>1</v>
      </c>
      <c r="M135" s="8" t="s">
        <v>1677</v>
      </c>
      <c r="N135" s="31" t="s">
        <v>26</v>
      </c>
      <c r="O135" s="4" t="s">
        <v>392</v>
      </c>
      <c r="P135" s="31" t="s">
        <v>1315</v>
      </c>
      <c r="Q135" s="31" t="str">
        <f t="shared" si="3"/>
        <v>DENTRO DEL TIEMPO</v>
      </c>
      <c r="R135" s="6"/>
    </row>
    <row r="136" spans="1:18" ht="50.25" x14ac:dyDescent="0.25">
      <c r="A136" s="26">
        <v>130</v>
      </c>
      <c r="B136" s="8" t="s">
        <v>1678</v>
      </c>
      <c r="C136" s="27">
        <v>44608</v>
      </c>
      <c r="D136" s="27">
        <v>44608</v>
      </c>
      <c r="E136" s="26">
        <v>2</v>
      </c>
      <c r="F136" s="28" t="s">
        <v>22</v>
      </c>
      <c r="G136" s="8" t="s">
        <v>721</v>
      </c>
      <c r="H136" s="8" t="s">
        <v>1257</v>
      </c>
      <c r="I136" s="8" t="s">
        <v>721</v>
      </c>
      <c r="J136" s="29">
        <v>44610</v>
      </c>
      <c r="K136" s="29">
        <v>44610</v>
      </c>
      <c r="L136" s="30">
        <f t="shared" ref="L136:L199" si="4">+NETWORKDAYS(D136,K136,$R$7:$R$10)-1</f>
        <v>2</v>
      </c>
      <c r="M136" s="8" t="s">
        <v>1679</v>
      </c>
      <c r="N136" s="31" t="s">
        <v>26</v>
      </c>
      <c r="O136" s="4" t="s">
        <v>392</v>
      </c>
      <c r="P136" s="31" t="s">
        <v>1315</v>
      </c>
      <c r="Q136" s="31" t="str">
        <f t="shared" ref="Q136:Q199" si="5">IF(L136&gt;15,"FUERA DE TIEMPO","DENTRO DEL TIEMPO")</f>
        <v>DENTRO DEL TIEMPO</v>
      </c>
      <c r="R136" s="6"/>
    </row>
    <row r="137" spans="1:18" ht="50.25" x14ac:dyDescent="0.25">
      <c r="A137" s="26">
        <v>131</v>
      </c>
      <c r="B137" s="8" t="s">
        <v>1680</v>
      </c>
      <c r="C137" s="27">
        <v>44608</v>
      </c>
      <c r="D137" s="27">
        <v>44608</v>
      </c>
      <c r="E137" s="26">
        <v>2</v>
      </c>
      <c r="F137" s="28" t="s">
        <v>22</v>
      </c>
      <c r="G137" s="8" t="s">
        <v>721</v>
      </c>
      <c r="H137" s="8" t="s">
        <v>1257</v>
      </c>
      <c r="I137" s="8" t="s">
        <v>721</v>
      </c>
      <c r="J137" s="29">
        <v>44610</v>
      </c>
      <c r="K137" s="29">
        <v>44610</v>
      </c>
      <c r="L137" s="30">
        <f t="shared" si="4"/>
        <v>2</v>
      </c>
      <c r="M137" s="8" t="s">
        <v>1681</v>
      </c>
      <c r="N137" s="31" t="s">
        <v>26</v>
      </c>
      <c r="O137" s="4" t="s">
        <v>392</v>
      </c>
      <c r="P137" s="31" t="s">
        <v>1315</v>
      </c>
      <c r="Q137" s="31" t="str">
        <f t="shared" si="5"/>
        <v>DENTRO DEL TIEMPO</v>
      </c>
      <c r="R137" s="6"/>
    </row>
    <row r="138" spans="1:18" ht="50.25" x14ac:dyDescent="0.25">
      <c r="A138" s="26">
        <v>132</v>
      </c>
      <c r="B138" s="8" t="s">
        <v>1682</v>
      </c>
      <c r="C138" s="27">
        <v>44608</v>
      </c>
      <c r="D138" s="27">
        <v>44608</v>
      </c>
      <c r="E138" s="26">
        <v>2</v>
      </c>
      <c r="F138" s="28" t="s">
        <v>22</v>
      </c>
      <c r="G138" s="8" t="s">
        <v>721</v>
      </c>
      <c r="H138" s="8" t="s">
        <v>1257</v>
      </c>
      <c r="I138" s="8" t="s">
        <v>721</v>
      </c>
      <c r="J138" s="29">
        <v>44610</v>
      </c>
      <c r="K138" s="29">
        <v>44610</v>
      </c>
      <c r="L138" s="30">
        <f t="shared" si="4"/>
        <v>2</v>
      </c>
      <c r="M138" s="8" t="s">
        <v>1683</v>
      </c>
      <c r="N138" s="31" t="s">
        <v>26</v>
      </c>
      <c r="O138" s="4" t="s">
        <v>392</v>
      </c>
      <c r="P138" s="31" t="s">
        <v>1315</v>
      </c>
      <c r="Q138" s="31" t="str">
        <f t="shared" si="5"/>
        <v>DENTRO DEL TIEMPO</v>
      </c>
      <c r="R138" s="6"/>
    </row>
    <row r="139" spans="1:18" ht="50.25" x14ac:dyDescent="0.25">
      <c r="A139" s="26">
        <v>133</v>
      </c>
      <c r="B139" s="8" t="s">
        <v>1684</v>
      </c>
      <c r="C139" s="27">
        <v>44608</v>
      </c>
      <c r="D139" s="27">
        <v>44608</v>
      </c>
      <c r="E139" s="26">
        <v>2</v>
      </c>
      <c r="F139" s="28" t="s">
        <v>22</v>
      </c>
      <c r="G139" s="8" t="s">
        <v>721</v>
      </c>
      <c r="H139" s="8" t="s">
        <v>1257</v>
      </c>
      <c r="I139" s="8" t="s">
        <v>721</v>
      </c>
      <c r="J139" s="29">
        <v>44610</v>
      </c>
      <c r="K139" s="29">
        <v>44610</v>
      </c>
      <c r="L139" s="30">
        <f t="shared" si="4"/>
        <v>2</v>
      </c>
      <c r="M139" s="8" t="s">
        <v>1685</v>
      </c>
      <c r="N139" s="31" t="s">
        <v>26</v>
      </c>
      <c r="O139" s="4" t="s">
        <v>392</v>
      </c>
      <c r="P139" s="31" t="s">
        <v>1315</v>
      </c>
      <c r="Q139" s="31" t="str">
        <f t="shared" si="5"/>
        <v>DENTRO DEL TIEMPO</v>
      </c>
      <c r="R139" s="6"/>
    </row>
    <row r="140" spans="1:18" ht="50.25" x14ac:dyDescent="0.25">
      <c r="A140" s="26">
        <v>134</v>
      </c>
      <c r="B140" s="8" t="s">
        <v>1686</v>
      </c>
      <c r="C140" s="27">
        <v>44608</v>
      </c>
      <c r="D140" s="27">
        <v>44608</v>
      </c>
      <c r="E140" s="26">
        <v>2</v>
      </c>
      <c r="F140" s="28" t="s">
        <v>22</v>
      </c>
      <c r="G140" s="8" t="s">
        <v>721</v>
      </c>
      <c r="H140" s="8" t="s">
        <v>1257</v>
      </c>
      <c r="I140" s="8" t="s">
        <v>721</v>
      </c>
      <c r="J140" s="29">
        <v>44610</v>
      </c>
      <c r="K140" s="29">
        <v>44610</v>
      </c>
      <c r="L140" s="30">
        <f t="shared" si="4"/>
        <v>2</v>
      </c>
      <c r="M140" s="8" t="s">
        <v>1687</v>
      </c>
      <c r="N140" s="31" t="s">
        <v>26</v>
      </c>
      <c r="O140" s="4" t="s">
        <v>392</v>
      </c>
      <c r="P140" s="31" t="s">
        <v>1315</v>
      </c>
      <c r="Q140" s="31" t="str">
        <f t="shared" si="5"/>
        <v>DENTRO DEL TIEMPO</v>
      </c>
      <c r="R140" s="6"/>
    </row>
    <row r="141" spans="1:18" ht="50.25" x14ac:dyDescent="0.25">
      <c r="A141" s="26">
        <v>135</v>
      </c>
      <c r="B141" s="8" t="s">
        <v>1688</v>
      </c>
      <c r="C141" s="27">
        <v>44608</v>
      </c>
      <c r="D141" s="27">
        <v>44608</v>
      </c>
      <c r="E141" s="26">
        <v>2</v>
      </c>
      <c r="F141" s="28" t="s">
        <v>22</v>
      </c>
      <c r="G141" s="8" t="s">
        <v>721</v>
      </c>
      <c r="H141" s="8" t="s">
        <v>1257</v>
      </c>
      <c r="I141" s="8" t="s">
        <v>721</v>
      </c>
      <c r="J141" s="29">
        <v>44610</v>
      </c>
      <c r="K141" s="29">
        <v>44610</v>
      </c>
      <c r="L141" s="30">
        <f t="shared" si="4"/>
        <v>2</v>
      </c>
      <c r="M141" s="8" t="s">
        <v>1689</v>
      </c>
      <c r="N141" s="31" t="s">
        <v>26</v>
      </c>
      <c r="O141" s="4" t="s">
        <v>1326</v>
      </c>
      <c r="P141" s="31" t="s">
        <v>1690</v>
      </c>
      <c r="Q141" s="31" t="str">
        <f t="shared" si="5"/>
        <v>DENTRO DEL TIEMPO</v>
      </c>
      <c r="R141" s="6"/>
    </row>
    <row r="142" spans="1:18" ht="50.25" x14ac:dyDescent="0.25">
      <c r="A142" s="26">
        <v>136</v>
      </c>
      <c r="B142" s="8" t="s">
        <v>1691</v>
      </c>
      <c r="C142" s="27">
        <v>44608</v>
      </c>
      <c r="D142" s="27">
        <v>44608</v>
      </c>
      <c r="E142" s="26">
        <v>2</v>
      </c>
      <c r="F142" s="28" t="s">
        <v>22</v>
      </c>
      <c r="G142" s="8" t="s">
        <v>721</v>
      </c>
      <c r="H142" s="8" t="s">
        <v>1257</v>
      </c>
      <c r="I142" s="8" t="s">
        <v>721</v>
      </c>
      <c r="J142" s="29">
        <v>44610</v>
      </c>
      <c r="K142" s="29">
        <v>44610</v>
      </c>
      <c r="L142" s="30">
        <f t="shared" si="4"/>
        <v>2</v>
      </c>
      <c r="M142" s="8" t="s">
        <v>1692</v>
      </c>
      <c r="N142" s="31" t="s">
        <v>26</v>
      </c>
      <c r="O142" s="4" t="s">
        <v>1693</v>
      </c>
      <c r="P142" s="31" t="s">
        <v>1694</v>
      </c>
      <c r="Q142" s="31" t="str">
        <f t="shared" si="5"/>
        <v>DENTRO DEL TIEMPO</v>
      </c>
      <c r="R142" s="6"/>
    </row>
    <row r="143" spans="1:18" ht="50.25" x14ac:dyDescent="0.25">
      <c r="A143" s="26">
        <v>137</v>
      </c>
      <c r="B143" s="8" t="s">
        <v>1695</v>
      </c>
      <c r="C143" s="27">
        <v>44608</v>
      </c>
      <c r="D143" s="27">
        <v>44608</v>
      </c>
      <c r="E143" s="26">
        <v>2</v>
      </c>
      <c r="F143" s="28" t="s">
        <v>22</v>
      </c>
      <c r="G143" s="8" t="s">
        <v>721</v>
      </c>
      <c r="H143" s="8" t="s">
        <v>1257</v>
      </c>
      <c r="I143" s="8" t="s">
        <v>721</v>
      </c>
      <c r="J143" s="29">
        <v>44608</v>
      </c>
      <c r="K143" s="29">
        <v>44608</v>
      </c>
      <c r="L143" s="30">
        <f t="shared" si="4"/>
        <v>0</v>
      </c>
      <c r="M143" s="8" t="s">
        <v>1696</v>
      </c>
      <c r="N143" s="31" t="s">
        <v>26</v>
      </c>
      <c r="O143" s="4" t="s">
        <v>1604</v>
      </c>
      <c r="P143" s="31" t="s">
        <v>1605</v>
      </c>
      <c r="Q143" s="31" t="str">
        <f t="shared" si="5"/>
        <v>DENTRO DEL TIEMPO</v>
      </c>
      <c r="R143" s="6"/>
    </row>
    <row r="144" spans="1:18" ht="50.25" x14ac:dyDescent="0.25">
      <c r="A144" s="26">
        <v>138</v>
      </c>
      <c r="B144" s="8" t="s">
        <v>1697</v>
      </c>
      <c r="C144" s="27">
        <v>44608</v>
      </c>
      <c r="D144" s="27">
        <v>44608</v>
      </c>
      <c r="E144" s="26">
        <v>2</v>
      </c>
      <c r="F144" s="28" t="s">
        <v>22</v>
      </c>
      <c r="G144" s="8" t="s">
        <v>721</v>
      </c>
      <c r="H144" s="8" t="s">
        <v>1257</v>
      </c>
      <c r="I144" s="8" t="s">
        <v>721</v>
      </c>
      <c r="J144" s="29">
        <v>44610</v>
      </c>
      <c r="K144" s="29">
        <v>44610</v>
      </c>
      <c r="L144" s="30">
        <f t="shared" si="4"/>
        <v>2</v>
      </c>
      <c r="M144" s="8" t="s">
        <v>1698</v>
      </c>
      <c r="N144" s="31" t="s">
        <v>26</v>
      </c>
      <c r="O144" s="4" t="s">
        <v>225</v>
      </c>
      <c r="P144" s="31" t="s">
        <v>1619</v>
      </c>
      <c r="Q144" s="31" t="str">
        <f t="shared" si="5"/>
        <v>DENTRO DEL TIEMPO</v>
      </c>
      <c r="R144" s="6"/>
    </row>
    <row r="145" spans="1:18" ht="50.25" x14ac:dyDescent="0.25">
      <c r="A145" s="26">
        <v>139</v>
      </c>
      <c r="B145" s="8" t="s">
        <v>1699</v>
      </c>
      <c r="C145" s="27">
        <v>44608</v>
      </c>
      <c r="D145" s="27">
        <v>44608</v>
      </c>
      <c r="E145" s="26">
        <v>2</v>
      </c>
      <c r="F145" s="28" t="s">
        <v>22</v>
      </c>
      <c r="G145" s="8" t="s">
        <v>721</v>
      </c>
      <c r="H145" s="8" t="s">
        <v>1257</v>
      </c>
      <c r="I145" s="8" t="s">
        <v>721</v>
      </c>
      <c r="J145" s="29">
        <v>44608</v>
      </c>
      <c r="K145" s="29">
        <v>44608</v>
      </c>
      <c r="L145" s="30">
        <f t="shared" si="4"/>
        <v>0</v>
      </c>
      <c r="M145" s="8" t="s">
        <v>1700</v>
      </c>
      <c r="N145" s="31" t="s">
        <v>26</v>
      </c>
      <c r="O145" s="4" t="s">
        <v>106</v>
      </c>
      <c r="P145" s="31" t="s">
        <v>1673</v>
      </c>
      <c r="Q145" s="31" t="str">
        <f t="shared" si="5"/>
        <v>DENTRO DEL TIEMPO</v>
      </c>
      <c r="R145" s="6"/>
    </row>
    <row r="146" spans="1:18" ht="50.25" x14ac:dyDescent="0.25">
      <c r="A146" s="26">
        <v>140</v>
      </c>
      <c r="B146" s="8" t="s">
        <v>1701</v>
      </c>
      <c r="C146" s="27">
        <v>44608</v>
      </c>
      <c r="D146" s="27">
        <v>44608</v>
      </c>
      <c r="E146" s="26">
        <v>2</v>
      </c>
      <c r="F146" s="28" t="s">
        <v>22</v>
      </c>
      <c r="G146" s="8" t="s">
        <v>721</v>
      </c>
      <c r="H146" s="8" t="s">
        <v>1257</v>
      </c>
      <c r="I146" s="8" t="s">
        <v>721</v>
      </c>
      <c r="J146" s="29">
        <v>44610</v>
      </c>
      <c r="K146" s="29">
        <v>44610</v>
      </c>
      <c r="L146" s="30">
        <f t="shared" si="4"/>
        <v>2</v>
      </c>
      <c r="M146" s="8" t="s">
        <v>1702</v>
      </c>
      <c r="N146" s="31" t="s">
        <v>26</v>
      </c>
      <c r="O146" s="4" t="s">
        <v>121</v>
      </c>
      <c r="P146" s="31" t="s">
        <v>1487</v>
      </c>
      <c r="Q146" s="31" t="str">
        <f t="shared" si="5"/>
        <v>DENTRO DEL TIEMPO</v>
      </c>
      <c r="R146" s="6"/>
    </row>
    <row r="147" spans="1:18" ht="50.25" x14ac:dyDescent="0.25">
      <c r="A147" s="26">
        <v>141</v>
      </c>
      <c r="B147" s="8" t="s">
        <v>1703</v>
      </c>
      <c r="C147" s="27">
        <v>44608</v>
      </c>
      <c r="D147" s="27">
        <v>44608</v>
      </c>
      <c r="E147" s="26">
        <v>2</v>
      </c>
      <c r="F147" s="28" t="s">
        <v>22</v>
      </c>
      <c r="G147" s="8" t="s">
        <v>721</v>
      </c>
      <c r="H147" s="8" t="s">
        <v>1257</v>
      </c>
      <c r="I147" s="8" t="s">
        <v>721</v>
      </c>
      <c r="J147" s="29">
        <v>44616</v>
      </c>
      <c r="K147" s="29">
        <v>44616</v>
      </c>
      <c r="L147" s="30">
        <f t="shared" si="4"/>
        <v>6</v>
      </c>
      <c r="M147" s="8" t="s">
        <v>1704</v>
      </c>
      <c r="N147" s="31" t="s">
        <v>26</v>
      </c>
      <c r="O147" s="4" t="s">
        <v>1705</v>
      </c>
      <c r="P147" s="31" t="s">
        <v>1706</v>
      </c>
      <c r="Q147" s="31" t="str">
        <f t="shared" si="5"/>
        <v>DENTRO DEL TIEMPO</v>
      </c>
      <c r="R147" s="6"/>
    </row>
    <row r="148" spans="1:18" ht="50.25" x14ac:dyDescent="0.25">
      <c r="A148" s="26">
        <v>142</v>
      </c>
      <c r="B148" s="8" t="s">
        <v>1707</v>
      </c>
      <c r="C148" s="27">
        <v>44608</v>
      </c>
      <c r="D148" s="27">
        <v>44608</v>
      </c>
      <c r="E148" s="26">
        <v>2</v>
      </c>
      <c r="F148" s="28" t="s">
        <v>22</v>
      </c>
      <c r="G148" s="8" t="s">
        <v>721</v>
      </c>
      <c r="H148" s="8" t="s">
        <v>1257</v>
      </c>
      <c r="I148" s="8" t="s">
        <v>721</v>
      </c>
      <c r="J148" s="29">
        <v>44610</v>
      </c>
      <c r="K148" s="29">
        <v>44610</v>
      </c>
      <c r="L148" s="30">
        <f t="shared" si="4"/>
        <v>2</v>
      </c>
      <c r="M148" s="8" t="s">
        <v>1708</v>
      </c>
      <c r="N148" s="31" t="s">
        <v>26</v>
      </c>
      <c r="O148" s="4" t="s">
        <v>1454</v>
      </c>
      <c r="P148" s="31" t="s">
        <v>1467</v>
      </c>
      <c r="Q148" s="31" t="str">
        <f t="shared" si="5"/>
        <v>DENTRO DEL TIEMPO</v>
      </c>
      <c r="R148" s="6"/>
    </row>
    <row r="149" spans="1:18" ht="50.25" x14ac:dyDescent="0.25">
      <c r="A149" s="26">
        <v>143</v>
      </c>
      <c r="B149" s="8" t="s">
        <v>1709</v>
      </c>
      <c r="C149" s="27">
        <v>44608</v>
      </c>
      <c r="D149" s="27">
        <v>44608</v>
      </c>
      <c r="E149" s="26">
        <v>2</v>
      </c>
      <c r="F149" s="28" t="s">
        <v>22</v>
      </c>
      <c r="G149" s="8" t="s">
        <v>721</v>
      </c>
      <c r="H149" s="8" t="s">
        <v>1257</v>
      </c>
      <c r="I149" s="8" t="s">
        <v>721</v>
      </c>
      <c r="J149" s="29">
        <v>44610</v>
      </c>
      <c r="K149" s="29">
        <v>44610</v>
      </c>
      <c r="L149" s="30">
        <f t="shared" si="4"/>
        <v>2</v>
      </c>
      <c r="M149" s="8" t="s">
        <v>1710</v>
      </c>
      <c r="N149" s="31" t="s">
        <v>26</v>
      </c>
      <c r="O149" s="4" t="s">
        <v>1711</v>
      </c>
      <c r="P149" s="31" t="s">
        <v>1712</v>
      </c>
      <c r="Q149" s="31" t="str">
        <f t="shared" si="5"/>
        <v>DENTRO DEL TIEMPO</v>
      </c>
      <c r="R149" s="6"/>
    </row>
    <row r="150" spans="1:18" ht="50.25" x14ac:dyDescent="0.25">
      <c r="A150" s="26">
        <v>144</v>
      </c>
      <c r="B150" s="8" t="s">
        <v>1713</v>
      </c>
      <c r="C150" s="27">
        <v>44608</v>
      </c>
      <c r="D150" s="27">
        <v>44608</v>
      </c>
      <c r="E150" s="26">
        <v>2</v>
      </c>
      <c r="F150" s="28" t="s">
        <v>22</v>
      </c>
      <c r="G150" s="8" t="s">
        <v>721</v>
      </c>
      <c r="H150" s="8" t="s">
        <v>1257</v>
      </c>
      <c r="I150" s="8" t="s">
        <v>721</v>
      </c>
      <c r="J150" s="29">
        <v>44610</v>
      </c>
      <c r="K150" s="29">
        <v>44610</v>
      </c>
      <c r="L150" s="30">
        <f t="shared" si="4"/>
        <v>2</v>
      </c>
      <c r="M150" s="8" t="s">
        <v>1714</v>
      </c>
      <c r="N150" s="31" t="s">
        <v>26</v>
      </c>
      <c r="O150" s="4" t="s">
        <v>1715</v>
      </c>
      <c r="P150" s="31" t="s">
        <v>1716</v>
      </c>
      <c r="Q150" s="31" t="str">
        <f t="shared" si="5"/>
        <v>DENTRO DEL TIEMPO</v>
      </c>
      <c r="R150" s="6"/>
    </row>
    <row r="151" spans="1:18" ht="50.25" x14ac:dyDescent="0.25">
      <c r="A151" s="26">
        <v>145</v>
      </c>
      <c r="B151" s="8" t="s">
        <v>1717</v>
      </c>
      <c r="C151" s="27">
        <v>44608</v>
      </c>
      <c r="D151" s="27">
        <v>44608</v>
      </c>
      <c r="E151" s="26">
        <v>2</v>
      </c>
      <c r="F151" s="28" t="s">
        <v>22</v>
      </c>
      <c r="G151" s="8" t="s">
        <v>721</v>
      </c>
      <c r="H151" s="8" t="s">
        <v>1257</v>
      </c>
      <c r="I151" s="8" t="s">
        <v>721</v>
      </c>
      <c r="J151" s="29">
        <v>44613</v>
      </c>
      <c r="K151" s="29">
        <v>44613</v>
      </c>
      <c r="L151" s="30">
        <f t="shared" si="4"/>
        <v>3</v>
      </c>
      <c r="M151" s="8" t="s">
        <v>1718</v>
      </c>
      <c r="N151" s="31" t="s">
        <v>26</v>
      </c>
      <c r="O151" s="4" t="s">
        <v>1719</v>
      </c>
      <c r="P151" s="31" t="s">
        <v>1720</v>
      </c>
      <c r="Q151" s="31" t="str">
        <f t="shared" si="5"/>
        <v>DENTRO DEL TIEMPO</v>
      </c>
      <c r="R151" s="6"/>
    </row>
    <row r="152" spans="1:18" ht="50.25" x14ac:dyDescent="0.25">
      <c r="A152" s="26">
        <v>146</v>
      </c>
      <c r="B152" s="8" t="s">
        <v>1721</v>
      </c>
      <c r="C152" s="27">
        <v>44608</v>
      </c>
      <c r="D152" s="27">
        <v>44608</v>
      </c>
      <c r="E152" s="26">
        <v>2</v>
      </c>
      <c r="F152" s="28" t="s">
        <v>22</v>
      </c>
      <c r="G152" s="8" t="s">
        <v>721</v>
      </c>
      <c r="H152" s="8" t="s">
        <v>1257</v>
      </c>
      <c r="I152" s="8" t="s">
        <v>721</v>
      </c>
      <c r="J152" s="29">
        <v>44610</v>
      </c>
      <c r="K152" s="29">
        <v>44610</v>
      </c>
      <c r="L152" s="30">
        <f t="shared" si="4"/>
        <v>2</v>
      </c>
      <c r="M152" s="8" t="s">
        <v>1722</v>
      </c>
      <c r="N152" s="31" t="s">
        <v>26</v>
      </c>
      <c r="O152" s="4" t="s">
        <v>1723</v>
      </c>
      <c r="P152" s="31" t="s">
        <v>1724</v>
      </c>
      <c r="Q152" s="31" t="str">
        <f t="shared" si="5"/>
        <v>DENTRO DEL TIEMPO</v>
      </c>
      <c r="R152" s="6"/>
    </row>
    <row r="153" spans="1:18" ht="50.25" x14ac:dyDescent="0.25">
      <c r="A153" s="26">
        <v>147</v>
      </c>
      <c r="B153" s="8" t="s">
        <v>1725</v>
      </c>
      <c r="C153" s="27">
        <v>44608</v>
      </c>
      <c r="D153" s="27">
        <v>44608</v>
      </c>
      <c r="E153" s="26">
        <v>2</v>
      </c>
      <c r="F153" s="28" t="s">
        <v>22</v>
      </c>
      <c r="G153" s="8" t="s">
        <v>721</v>
      </c>
      <c r="H153" s="8" t="s">
        <v>1257</v>
      </c>
      <c r="I153" s="8" t="s">
        <v>721</v>
      </c>
      <c r="J153" s="29">
        <v>44610</v>
      </c>
      <c r="K153" s="29">
        <v>44610</v>
      </c>
      <c r="L153" s="30">
        <f t="shared" si="4"/>
        <v>2</v>
      </c>
      <c r="M153" s="8" t="s">
        <v>1726</v>
      </c>
      <c r="N153" s="31" t="s">
        <v>26</v>
      </c>
      <c r="O153" s="4" t="s">
        <v>1727</v>
      </c>
      <c r="P153" s="31" t="s">
        <v>1728</v>
      </c>
      <c r="Q153" s="31" t="str">
        <f t="shared" si="5"/>
        <v>DENTRO DEL TIEMPO</v>
      </c>
      <c r="R153" s="6"/>
    </row>
    <row r="154" spans="1:18" ht="50.25" x14ac:dyDescent="0.25">
      <c r="A154" s="26">
        <v>148</v>
      </c>
      <c r="B154" s="8" t="s">
        <v>1729</v>
      </c>
      <c r="C154" s="27">
        <v>44608</v>
      </c>
      <c r="D154" s="27">
        <v>44608</v>
      </c>
      <c r="E154" s="26">
        <v>2</v>
      </c>
      <c r="F154" s="28" t="s">
        <v>22</v>
      </c>
      <c r="G154" s="8" t="s">
        <v>721</v>
      </c>
      <c r="H154" s="8" t="s">
        <v>1257</v>
      </c>
      <c r="I154" s="8" t="s">
        <v>721</v>
      </c>
      <c r="J154" s="29">
        <v>44610</v>
      </c>
      <c r="K154" s="29">
        <v>44610</v>
      </c>
      <c r="L154" s="30">
        <f t="shared" si="4"/>
        <v>2</v>
      </c>
      <c r="M154" s="8" t="s">
        <v>1730</v>
      </c>
      <c r="N154" s="31" t="s">
        <v>26</v>
      </c>
      <c r="O154" s="4" t="s">
        <v>131</v>
      </c>
      <c r="P154" s="31" t="s">
        <v>1731</v>
      </c>
      <c r="Q154" s="31" t="str">
        <f t="shared" si="5"/>
        <v>DENTRO DEL TIEMPO</v>
      </c>
      <c r="R154" s="6"/>
    </row>
    <row r="155" spans="1:18" ht="50.25" x14ac:dyDescent="0.25">
      <c r="A155" s="26">
        <v>149</v>
      </c>
      <c r="B155" s="8" t="s">
        <v>1732</v>
      </c>
      <c r="C155" s="27">
        <v>44609</v>
      </c>
      <c r="D155" s="27">
        <v>44609</v>
      </c>
      <c r="E155" s="26">
        <v>2</v>
      </c>
      <c r="F155" s="28" t="s">
        <v>22</v>
      </c>
      <c r="G155" s="8" t="s">
        <v>721</v>
      </c>
      <c r="H155" s="8" t="s">
        <v>1257</v>
      </c>
      <c r="I155" s="8" t="s">
        <v>721</v>
      </c>
      <c r="J155" s="29">
        <v>44610</v>
      </c>
      <c r="K155" s="29">
        <v>44610</v>
      </c>
      <c r="L155" s="30">
        <f t="shared" si="4"/>
        <v>1</v>
      </c>
      <c r="M155" s="8" t="s">
        <v>1733</v>
      </c>
      <c r="N155" s="31" t="s">
        <v>26</v>
      </c>
      <c r="O155" s="4" t="s">
        <v>1734</v>
      </c>
      <c r="P155" s="31" t="s">
        <v>1735</v>
      </c>
      <c r="Q155" s="31" t="str">
        <f t="shared" si="5"/>
        <v>DENTRO DEL TIEMPO</v>
      </c>
      <c r="R155" s="6"/>
    </row>
    <row r="156" spans="1:18" ht="50.25" x14ac:dyDescent="0.25">
      <c r="A156" s="26">
        <v>150</v>
      </c>
      <c r="B156" s="8" t="s">
        <v>1736</v>
      </c>
      <c r="C156" s="27">
        <v>44609</v>
      </c>
      <c r="D156" s="27">
        <v>44609</v>
      </c>
      <c r="E156" s="26">
        <v>2</v>
      </c>
      <c r="F156" s="28" t="s">
        <v>22</v>
      </c>
      <c r="G156" s="8" t="s">
        <v>721</v>
      </c>
      <c r="H156" s="8" t="s">
        <v>1257</v>
      </c>
      <c r="I156" s="8" t="s">
        <v>721</v>
      </c>
      <c r="J156" s="29">
        <v>44610</v>
      </c>
      <c r="K156" s="29">
        <v>44610</v>
      </c>
      <c r="L156" s="30">
        <f t="shared" si="4"/>
        <v>1</v>
      </c>
      <c r="M156" s="8" t="s">
        <v>1737</v>
      </c>
      <c r="N156" s="31" t="s">
        <v>26</v>
      </c>
      <c r="O156" s="4" t="s">
        <v>729</v>
      </c>
      <c r="P156" s="31" t="s">
        <v>1423</v>
      </c>
      <c r="Q156" s="31" t="str">
        <f t="shared" si="5"/>
        <v>DENTRO DEL TIEMPO</v>
      </c>
      <c r="R156" s="6"/>
    </row>
    <row r="157" spans="1:18" ht="50.25" x14ac:dyDescent="0.25">
      <c r="A157" s="26">
        <v>151</v>
      </c>
      <c r="B157" s="8" t="s">
        <v>1738</v>
      </c>
      <c r="C157" s="27">
        <v>44609</v>
      </c>
      <c r="D157" s="27">
        <v>44609</v>
      </c>
      <c r="E157" s="26">
        <v>2</v>
      </c>
      <c r="F157" s="28" t="s">
        <v>22</v>
      </c>
      <c r="G157" s="8" t="s">
        <v>721</v>
      </c>
      <c r="H157" s="8" t="s">
        <v>1257</v>
      </c>
      <c r="I157" s="8" t="s">
        <v>721</v>
      </c>
      <c r="J157" s="29">
        <v>44610</v>
      </c>
      <c r="K157" s="29">
        <v>44610</v>
      </c>
      <c r="L157" s="30">
        <f t="shared" si="4"/>
        <v>1</v>
      </c>
      <c r="M157" s="8" t="s">
        <v>1739</v>
      </c>
      <c r="N157" s="31" t="s">
        <v>26</v>
      </c>
      <c r="O157" s="4" t="s">
        <v>729</v>
      </c>
      <c r="P157" s="31" t="s">
        <v>1423</v>
      </c>
      <c r="Q157" s="31" t="str">
        <f t="shared" si="5"/>
        <v>DENTRO DEL TIEMPO</v>
      </c>
      <c r="R157" s="6"/>
    </row>
    <row r="158" spans="1:18" ht="50.25" x14ac:dyDescent="0.25">
      <c r="A158" s="26">
        <v>152</v>
      </c>
      <c r="B158" s="8" t="s">
        <v>1740</v>
      </c>
      <c r="C158" s="27">
        <v>44609</v>
      </c>
      <c r="D158" s="27">
        <v>44609</v>
      </c>
      <c r="E158" s="26">
        <v>2</v>
      </c>
      <c r="F158" s="28" t="s">
        <v>22</v>
      </c>
      <c r="G158" s="8" t="s">
        <v>721</v>
      </c>
      <c r="H158" s="8" t="s">
        <v>1257</v>
      </c>
      <c r="I158" s="8" t="s">
        <v>721</v>
      </c>
      <c r="J158" s="29">
        <v>44610</v>
      </c>
      <c r="K158" s="29">
        <v>44610</v>
      </c>
      <c r="L158" s="30">
        <f t="shared" si="4"/>
        <v>1</v>
      </c>
      <c r="M158" s="8" t="s">
        <v>1741</v>
      </c>
      <c r="N158" s="31" t="s">
        <v>26</v>
      </c>
      <c r="O158" s="4" t="s">
        <v>225</v>
      </c>
      <c r="P158" s="31" t="s">
        <v>1619</v>
      </c>
      <c r="Q158" s="31" t="str">
        <f t="shared" si="5"/>
        <v>DENTRO DEL TIEMPO</v>
      </c>
      <c r="R158" s="6"/>
    </row>
    <row r="159" spans="1:18" ht="50.25" x14ac:dyDescent="0.25">
      <c r="A159" s="26">
        <v>153</v>
      </c>
      <c r="B159" s="8" t="s">
        <v>1742</v>
      </c>
      <c r="C159" s="27">
        <v>44609</v>
      </c>
      <c r="D159" s="27">
        <v>44609</v>
      </c>
      <c r="E159" s="26">
        <v>2</v>
      </c>
      <c r="F159" s="28" t="s">
        <v>22</v>
      </c>
      <c r="G159" s="8" t="s">
        <v>721</v>
      </c>
      <c r="H159" s="8" t="s">
        <v>1257</v>
      </c>
      <c r="I159" s="8" t="s">
        <v>721</v>
      </c>
      <c r="J159" s="29">
        <v>44610</v>
      </c>
      <c r="K159" s="29">
        <v>44610</v>
      </c>
      <c r="L159" s="30">
        <f t="shared" si="4"/>
        <v>1</v>
      </c>
      <c r="M159" s="8" t="s">
        <v>1743</v>
      </c>
      <c r="N159" s="31" t="s">
        <v>26</v>
      </c>
      <c r="O159" s="4" t="s">
        <v>225</v>
      </c>
      <c r="P159" s="31" t="s">
        <v>1619</v>
      </c>
      <c r="Q159" s="31" t="str">
        <f t="shared" si="5"/>
        <v>DENTRO DEL TIEMPO</v>
      </c>
      <c r="R159" s="6"/>
    </row>
    <row r="160" spans="1:18" ht="50.25" x14ac:dyDescent="0.25">
      <c r="A160" s="26">
        <v>154</v>
      </c>
      <c r="B160" s="8" t="s">
        <v>1744</v>
      </c>
      <c r="C160" s="27">
        <v>44609</v>
      </c>
      <c r="D160" s="27">
        <v>44609</v>
      </c>
      <c r="E160" s="26">
        <v>2</v>
      </c>
      <c r="F160" s="28" t="s">
        <v>22</v>
      </c>
      <c r="G160" s="8" t="s">
        <v>721</v>
      </c>
      <c r="H160" s="8" t="s">
        <v>1257</v>
      </c>
      <c r="I160" s="8" t="s">
        <v>721</v>
      </c>
      <c r="J160" s="29">
        <v>44610</v>
      </c>
      <c r="K160" s="29">
        <v>44610</v>
      </c>
      <c r="L160" s="30">
        <f t="shared" si="4"/>
        <v>1</v>
      </c>
      <c r="M160" s="8" t="s">
        <v>1745</v>
      </c>
      <c r="N160" s="31" t="s">
        <v>26</v>
      </c>
      <c r="O160" s="4" t="s">
        <v>225</v>
      </c>
      <c r="P160" s="31" t="s">
        <v>1619</v>
      </c>
      <c r="Q160" s="31" t="str">
        <f t="shared" si="5"/>
        <v>DENTRO DEL TIEMPO</v>
      </c>
      <c r="R160" s="6"/>
    </row>
    <row r="161" spans="1:18" ht="50.25" x14ac:dyDescent="0.25">
      <c r="A161" s="26">
        <v>155</v>
      </c>
      <c r="B161" s="8" t="s">
        <v>1746</v>
      </c>
      <c r="C161" s="27">
        <v>44609</v>
      </c>
      <c r="D161" s="27">
        <v>44609</v>
      </c>
      <c r="E161" s="26">
        <v>2</v>
      </c>
      <c r="F161" s="28" t="s">
        <v>22</v>
      </c>
      <c r="G161" s="8" t="s">
        <v>721</v>
      </c>
      <c r="H161" s="8" t="s">
        <v>1257</v>
      </c>
      <c r="I161" s="8" t="s">
        <v>721</v>
      </c>
      <c r="J161" s="29">
        <v>44610</v>
      </c>
      <c r="K161" s="29">
        <v>44610</v>
      </c>
      <c r="L161" s="30">
        <f t="shared" si="4"/>
        <v>1</v>
      </c>
      <c r="M161" s="8" t="s">
        <v>1747</v>
      </c>
      <c r="N161" s="31" t="s">
        <v>26</v>
      </c>
      <c r="O161" s="4" t="s">
        <v>225</v>
      </c>
      <c r="P161" s="31" t="s">
        <v>1619</v>
      </c>
      <c r="Q161" s="31" t="str">
        <f t="shared" si="5"/>
        <v>DENTRO DEL TIEMPO</v>
      </c>
      <c r="R161" s="6"/>
    </row>
    <row r="162" spans="1:18" ht="50.25" x14ac:dyDescent="0.25">
      <c r="A162" s="26">
        <v>156</v>
      </c>
      <c r="B162" s="8" t="s">
        <v>1748</v>
      </c>
      <c r="C162" s="27">
        <v>44609</v>
      </c>
      <c r="D162" s="27">
        <v>44609</v>
      </c>
      <c r="E162" s="26">
        <v>2</v>
      </c>
      <c r="F162" s="28" t="s">
        <v>22</v>
      </c>
      <c r="G162" s="8" t="s">
        <v>721</v>
      </c>
      <c r="H162" s="8" t="s">
        <v>1257</v>
      </c>
      <c r="I162" s="8" t="s">
        <v>721</v>
      </c>
      <c r="J162" s="29">
        <v>44610</v>
      </c>
      <c r="K162" s="29">
        <v>44610</v>
      </c>
      <c r="L162" s="30">
        <f t="shared" si="4"/>
        <v>1</v>
      </c>
      <c r="M162" s="8" t="s">
        <v>1749</v>
      </c>
      <c r="N162" s="31" t="s">
        <v>26</v>
      </c>
      <c r="O162" s="4" t="s">
        <v>128</v>
      </c>
      <c r="P162" s="31" t="s">
        <v>1033</v>
      </c>
      <c r="Q162" s="31" t="str">
        <f t="shared" si="5"/>
        <v>DENTRO DEL TIEMPO</v>
      </c>
      <c r="R162" s="6"/>
    </row>
    <row r="163" spans="1:18" ht="50.25" x14ac:dyDescent="0.25">
      <c r="A163" s="26">
        <v>157</v>
      </c>
      <c r="B163" s="8" t="s">
        <v>1750</v>
      </c>
      <c r="C163" s="27">
        <v>44609</v>
      </c>
      <c r="D163" s="27">
        <v>44609</v>
      </c>
      <c r="E163" s="26">
        <v>2</v>
      </c>
      <c r="F163" s="28" t="s">
        <v>22</v>
      </c>
      <c r="G163" s="8" t="s">
        <v>721</v>
      </c>
      <c r="H163" s="8" t="s">
        <v>1257</v>
      </c>
      <c r="I163" s="8" t="s">
        <v>721</v>
      </c>
      <c r="J163" s="29">
        <v>44613</v>
      </c>
      <c r="K163" s="29">
        <v>44613</v>
      </c>
      <c r="L163" s="30">
        <f t="shared" si="4"/>
        <v>2</v>
      </c>
      <c r="M163" s="8" t="s">
        <v>1751</v>
      </c>
      <c r="N163" s="31" t="s">
        <v>26</v>
      </c>
      <c r="O163" s="4" t="s">
        <v>386</v>
      </c>
      <c r="P163" s="31" t="s">
        <v>1752</v>
      </c>
      <c r="Q163" s="31" t="str">
        <f t="shared" si="5"/>
        <v>DENTRO DEL TIEMPO</v>
      </c>
      <c r="R163" s="6"/>
    </row>
    <row r="164" spans="1:18" ht="50.25" x14ac:dyDescent="0.25">
      <c r="A164" s="26">
        <v>158</v>
      </c>
      <c r="B164" s="8" t="s">
        <v>1753</v>
      </c>
      <c r="C164" s="27">
        <v>44609</v>
      </c>
      <c r="D164" s="27">
        <v>44609</v>
      </c>
      <c r="E164" s="26">
        <v>2</v>
      </c>
      <c r="F164" s="28" t="s">
        <v>22</v>
      </c>
      <c r="G164" s="8" t="s">
        <v>721</v>
      </c>
      <c r="H164" s="8" t="s">
        <v>1257</v>
      </c>
      <c r="I164" s="8" t="s">
        <v>721</v>
      </c>
      <c r="J164" s="29">
        <v>44613</v>
      </c>
      <c r="K164" s="29">
        <v>44613</v>
      </c>
      <c r="L164" s="30">
        <f t="shared" si="4"/>
        <v>2</v>
      </c>
      <c r="M164" s="8" t="s">
        <v>1754</v>
      </c>
      <c r="N164" s="31" t="s">
        <v>26</v>
      </c>
      <c r="O164" s="4" t="s">
        <v>1755</v>
      </c>
      <c r="P164" s="31" t="s">
        <v>1605</v>
      </c>
      <c r="Q164" s="31" t="str">
        <f t="shared" si="5"/>
        <v>DENTRO DEL TIEMPO</v>
      </c>
      <c r="R164" s="6"/>
    </row>
    <row r="165" spans="1:18" ht="30.75" hidden="1" x14ac:dyDescent="0.25">
      <c r="A165" s="26">
        <v>159</v>
      </c>
      <c r="B165" s="8" t="s">
        <v>1756</v>
      </c>
      <c r="C165" s="27">
        <v>44609</v>
      </c>
      <c r="D165" s="27">
        <v>44609</v>
      </c>
      <c r="E165" s="26">
        <v>2</v>
      </c>
      <c r="F165" s="28" t="s">
        <v>790</v>
      </c>
      <c r="G165" s="8" t="s">
        <v>1757</v>
      </c>
      <c r="H165" s="8" t="s">
        <v>1758</v>
      </c>
      <c r="I165" s="8" t="s">
        <v>1757</v>
      </c>
      <c r="J165" s="29">
        <v>44631</v>
      </c>
      <c r="K165" s="29">
        <v>44631</v>
      </c>
      <c r="L165" s="30">
        <f t="shared" si="4"/>
        <v>16</v>
      </c>
      <c r="M165" s="8" t="s">
        <v>1759</v>
      </c>
      <c r="N165" s="31" t="s">
        <v>26</v>
      </c>
      <c r="O165" s="4" t="s">
        <v>1760</v>
      </c>
      <c r="P165" s="31" t="s">
        <v>1761</v>
      </c>
      <c r="Q165" s="31" t="str">
        <f t="shared" si="5"/>
        <v>FUERA DE TIEMPO</v>
      </c>
      <c r="R165" s="6"/>
    </row>
    <row r="166" spans="1:18" ht="50.25" x14ac:dyDescent="0.25">
      <c r="A166" s="26">
        <v>160</v>
      </c>
      <c r="B166" s="8" t="s">
        <v>1762</v>
      </c>
      <c r="C166" s="27">
        <v>44609</v>
      </c>
      <c r="D166" s="27">
        <v>44609</v>
      </c>
      <c r="E166" s="26">
        <v>2</v>
      </c>
      <c r="F166" s="28" t="s">
        <v>22</v>
      </c>
      <c r="G166" s="8" t="s">
        <v>721</v>
      </c>
      <c r="H166" s="8" t="s">
        <v>1257</v>
      </c>
      <c r="I166" s="8" t="s">
        <v>721</v>
      </c>
      <c r="J166" s="29">
        <v>44609</v>
      </c>
      <c r="K166" s="29">
        <v>44609</v>
      </c>
      <c r="L166" s="30">
        <f t="shared" si="4"/>
        <v>0</v>
      </c>
      <c r="M166" s="8" t="s">
        <v>1763</v>
      </c>
      <c r="N166" s="31" t="s">
        <v>26</v>
      </c>
      <c r="O166" s="4" t="s">
        <v>1764</v>
      </c>
      <c r="P166" s="31" t="s">
        <v>1765</v>
      </c>
      <c r="Q166" s="31" t="str">
        <f t="shared" si="5"/>
        <v>DENTRO DEL TIEMPO</v>
      </c>
      <c r="R166" s="6"/>
    </row>
    <row r="167" spans="1:18" ht="50.25" x14ac:dyDescent="0.25">
      <c r="A167" s="26">
        <v>161</v>
      </c>
      <c r="B167" s="8" t="s">
        <v>1766</v>
      </c>
      <c r="C167" s="27">
        <v>44609</v>
      </c>
      <c r="D167" s="27">
        <v>44609</v>
      </c>
      <c r="E167" s="26">
        <v>2</v>
      </c>
      <c r="F167" s="28" t="s">
        <v>22</v>
      </c>
      <c r="G167" s="8" t="s">
        <v>721</v>
      </c>
      <c r="H167" s="8" t="s">
        <v>1257</v>
      </c>
      <c r="I167" s="8" t="s">
        <v>721</v>
      </c>
      <c r="J167" s="29">
        <v>44613</v>
      </c>
      <c r="K167" s="29">
        <v>44613</v>
      </c>
      <c r="L167" s="30">
        <f t="shared" si="4"/>
        <v>2</v>
      </c>
      <c r="M167" s="8" t="s">
        <v>1767</v>
      </c>
      <c r="N167" s="31" t="s">
        <v>26</v>
      </c>
      <c r="O167" s="4" t="s">
        <v>701</v>
      </c>
      <c r="P167" s="31" t="s">
        <v>1768</v>
      </c>
      <c r="Q167" s="31" t="str">
        <f t="shared" si="5"/>
        <v>DENTRO DEL TIEMPO</v>
      </c>
      <c r="R167" s="6"/>
    </row>
    <row r="168" spans="1:18" ht="50.25" x14ac:dyDescent="0.25">
      <c r="A168" s="26">
        <v>162</v>
      </c>
      <c r="B168" s="8" t="s">
        <v>1769</v>
      </c>
      <c r="C168" s="27">
        <v>44609</v>
      </c>
      <c r="D168" s="27">
        <v>44609</v>
      </c>
      <c r="E168" s="26">
        <v>2</v>
      </c>
      <c r="F168" s="28" t="s">
        <v>22</v>
      </c>
      <c r="G168" s="8" t="s">
        <v>721</v>
      </c>
      <c r="H168" s="8" t="s">
        <v>1257</v>
      </c>
      <c r="I168" s="8" t="s">
        <v>721</v>
      </c>
      <c r="J168" s="29">
        <v>44613</v>
      </c>
      <c r="K168" s="29">
        <v>44613</v>
      </c>
      <c r="L168" s="30">
        <f t="shared" si="4"/>
        <v>2</v>
      </c>
      <c r="M168" s="8" t="s">
        <v>1770</v>
      </c>
      <c r="N168" s="31" t="s">
        <v>26</v>
      </c>
      <c r="O168" s="4" t="s">
        <v>701</v>
      </c>
      <c r="P168" s="31" t="s">
        <v>1768</v>
      </c>
      <c r="Q168" s="31" t="str">
        <f t="shared" si="5"/>
        <v>DENTRO DEL TIEMPO</v>
      </c>
      <c r="R168" s="6"/>
    </row>
    <row r="169" spans="1:18" ht="50.25" x14ac:dyDescent="0.25">
      <c r="A169" s="26">
        <v>163</v>
      </c>
      <c r="B169" s="8" t="s">
        <v>1771</v>
      </c>
      <c r="C169" s="27">
        <v>44609</v>
      </c>
      <c r="D169" s="27">
        <v>44609</v>
      </c>
      <c r="E169" s="26">
        <v>2</v>
      </c>
      <c r="F169" s="28" t="s">
        <v>22</v>
      </c>
      <c r="G169" s="8" t="s">
        <v>721</v>
      </c>
      <c r="H169" s="8" t="s">
        <v>1257</v>
      </c>
      <c r="I169" s="8" t="s">
        <v>721</v>
      </c>
      <c r="J169" s="29">
        <v>44613</v>
      </c>
      <c r="K169" s="29">
        <v>44613</v>
      </c>
      <c r="L169" s="30">
        <f t="shared" si="4"/>
        <v>2</v>
      </c>
      <c r="M169" s="8" t="s">
        <v>1772</v>
      </c>
      <c r="N169" s="31" t="s">
        <v>26</v>
      </c>
      <c r="O169" s="4" t="s">
        <v>701</v>
      </c>
      <c r="P169" s="31" t="s">
        <v>1768</v>
      </c>
      <c r="Q169" s="31" t="str">
        <f t="shared" si="5"/>
        <v>DENTRO DEL TIEMPO</v>
      </c>
      <c r="R169" s="6"/>
    </row>
    <row r="170" spans="1:18" ht="50.25" x14ac:dyDescent="0.25">
      <c r="A170" s="26">
        <v>164</v>
      </c>
      <c r="B170" s="8" t="s">
        <v>1773</v>
      </c>
      <c r="C170" s="27">
        <v>44609</v>
      </c>
      <c r="D170" s="27">
        <v>44609</v>
      </c>
      <c r="E170" s="26">
        <v>2</v>
      </c>
      <c r="F170" s="28" t="s">
        <v>22</v>
      </c>
      <c r="G170" s="8" t="s">
        <v>721</v>
      </c>
      <c r="H170" s="8" t="s">
        <v>1257</v>
      </c>
      <c r="I170" s="8" t="s">
        <v>721</v>
      </c>
      <c r="J170" s="29">
        <v>44613</v>
      </c>
      <c r="K170" s="29">
        <v>44613</v>
      </c>
      <c r="L170" s="30">
        <f t="shared" si="4"/>
        <v>2</v>
      </c>
      <c r="M170" s="8" t="s">
        <v>1774</v>
      </c>
      <c r="N170" s="31" t="s">
        <v>26</v>
      </c>
      <c r="O170" s="4" t="s">
        <v>1775</v>
      </c>
      <c r="P170" s="31" t="s">
        <v>1776</v>
      </c>
      <c r="Q170" s="31" t="str">
        <f t="shared" si="5"/>
        <v>DENTRO DEL TIEMPO</v>
      </c>
      <c r="R170" s="6"/>
    </row>
    <row r="171" spans="1:18" ht="50.25" x14ac:dyDescent="0.25">
      <c r="A171" s="26">
        <v>165</v>
      </c>
      <c r="B171" s="8" t="s">
        <v>1777</v>
      </c>
      <c r="C171" s="27">
        <v>44609</v>
      </c>
      <c r="D171" s="27">
        <v>44609</v>
      </c>
      <c r="E171" s="26">
        <v>2</v>
      </c>
      <c r="F171" s="28" t="s">
        <v>22</v>
      </c>
      <c r="G171" s="8" t="s">
        <v>721</v>
      </c>
      <c r="H171" s="8" t="s">
        <v>1257</v>
      </c>
      <c r="I171" s="8" t="s">
        <v>721</v>
      </c>
      <c r="J171" s="29">
        <v>44610</v>
      </c>
      <c r="K171" s="29">
        <v>44610</v>
      </c>
      <c r="L171" s="30">
        <f t="shared" si="4"/>
        <v>1</v>
      </c>
      <c r="M171" s="8" t="s">
        <v>1778</v>
      </c>
      <c r="N171" s="31" t="s">
        <v>26</v>
      </c>
      <c r="O171" s="4" t="s">
        <v>1779</v>
      </c>
      <c r="P171" s="31" t="s">
        <v>1780</v>
      </c>
      <c r="Q171" s="31" t="str">
        <f t="shared" si="5"/>
        <v>DENTRO DEL TIEMPO</v>
      </c>
      <c r="R171" s="6"/>
    </row>
    <row r="172" spans="1:18" ht="50.25" x14ac:dyDescent="0.25">
      <c r="A172" s="26">
        <v>166</v>
      </c>
      <c r="B172" s="8" t="s">
        <v>1781</v>
      </c>
      <c r="C172" s="27">
        <v>44609</v>
      </c>
      <c r="D172" s="27">
        <v>44609</v>
      </c>
      <c r="E172" s="26">
        <v>2</v>
      </c>
      <c r="F172" s="28" t="s">
        <v>22</v>
      </c>
      <c r="G172" s="8" t="s">
        <v>721</v>
      </c>
      <c r="H172" s="8" t="s">
        <v>1257</v>
      </c>
      <c r="I172" s="8" t="s">
        <v>721</v>
      </c>
      <c r="J172" s="29">
        <v>44613</v>
      </c>
      <c r="K172" s="29">
        <v>44613</v>
      </c>
      <c r="L172" s="30">
        <f t="shared" si="4"/>
        <v>2</v>
      </c>
      <c r="M172" s="8" t="s">
        <v>1782</v>
      </c>
      <c r="N172" s="31" t="s">
        <v>26</v>
      </c>
      <c r="O172" s="4" t="s">
        <v>1783</v>
      </c>
      <c r="P172" s="31" t="s">
        <v>1784</v>
      </c>
      <c r="Q172" s="31" t="str">
        <f t="shared" si="5"/>
        <v>DENTRO DEL TIEMPO</v>
      </c>
      <c r="R172" s="6"/>
    </row>
    <row r="173" spans="1:18" ht="50.25" x14ac:dyDescent="0.25">
      <c r="A173" s="26">
        <v>167</v>
      </c>
      <c r="B173" s="8" t="s">
        <v>1785</v>
      </c>
      <c r="C173" s="27">
        <v>44609</v>
      </c>
      <c r="D173" s="27">
        <v>44609</v>
      </c>
      <c r="E173" s="26">
        <v>2</v>
      </c>
      <c r="F173" s="28" t="s">
        <v>22</v>
      </c>
      <c r="G173" s="8" t="s">
        <v>721</v>
      </c>
      <c r="H173" s="8" t="s">
        <v>1257</v>
      </c>
      <c r="I173" s="8" t="s">
        <v>721</v>
      </c>
      <c r="J173" s="29">
        <v>44613</v>
      </c>
      <c r="K173" s="29">
        <v>44613</v>
      </c>
      <c r="L173" s="30">
        <f t="shared" si="4"/>
        <v>2</v>
      </c>
      <c r="M173" s="8" t="s">
        <v>1786</v>
      </c>
      <c r="N173" s="31" t="s">
        <v>26</v>
      </c>
      <c r="O173" s="4" t="s">
        <v>131</v>
      </c>
      <c r="P173" s="31" t="s">
        <v>1033</v>
      </c>
      <c r="Q173" s="31" t="str">
        <f t="shared" si="5"/>
        <v>DENTRO DEL TIEMPO</v>
      </c>
      <c r="R173" s="6"/>
    </row>
    <row r="174" spans="1:18" ht="50.25" x14ac:dyDescent="0.25">
      <c r="A174" s="26">
        <v>168</v>
      </c>
      <c r="B174" s="8" t="s">
        <v>1787</v>
      </c>
      <c r="C174" s="27">
        <v>44609</v>
      </c>
      <c r="D174" s="27">
        <v>44609</v>
      </c>
      <c r="E174" s="26">
        <v>2</v>
      </c>
      <c r="F174" s="28" t="s">
        <v>22</v>
      </c>
      <c r="G174" s="8" t="s">
        <v>721</v>
      </c>
      <c r="H174" s="8" t="s">
        <v>1257</v>
      </c>
      <c r="I174" s="8" t="s">
        <v>721</v>
      </c>
      <c r="J174" s="29">
        <v>44613</v>
      </c>
      <c r="K174" s="29">
        <v>44613</v>
      </c>
      <c r="L174" s="30">
        <f t="shared" si="4"/>
        <v>2</v>
      </c>
      <c r="M174" s="8" t="s">
        <v>1788</v>
      </c>
      <c r="N174" s="31" t="s">
        <v>26</v>
      </c>
      <c r="O174" s="4" t="s">
        <v>1789</v>
      </c>
      <c r="P174" s="31" t="s">
        <v>1370</v>
      </c>
      <c r="Q174" s="31" t="str">
        <f t="shared" si="5"/>
        <v>DENTRO DEL TIEMPO</v>
      </c>
      <c r="R174" s="6"/>
    </row>
    <row r="175" spans="1:18" ht="50.25" x14ac:dyDescent="0.25">
      <c r="A175" s="26">
        <v>169</v>
      </c>
      <c r="B175" s="8" t="s">
        <v>1790</v>
      </c>
      <c r="C175" s="27">
        <v>44609</v>
      </c>
      <c r="D175" s="27">
        <v>44609</v>
      </c>
      <c r="E175" s="26">
        <v>2</v>
      </c>
      <c r="F175" s="28" t="s">
        <v>22</v>
      </c>
      <c r="G175" s="8" t="s">
        <v>721</v>
      </c>
      <c r="H175" s="8" t="s">
        <v>1257</v>
      </c>
      <c r="I175" s="8" t="s">
        <v>721</v>
      </c>
      <c r="J175" s="29">
        <v>44613</v>
      </c>
      <c r="K175" s="29">
        <v>44613</v>
      </c>
      <c r="L175" s="30">
        <f t="shared" si="4"/>
        <v>2</v>
      </c>
      <c r="M175" s="8" t="s">
        <v>1791</v>
      </c>
      <c r="N175" s="31" t="s">
        <v>26</v>
      </c>
      <c r="O175" s="4" t="s">
        <v>1792</v>
      </c>
      <c r="P175" s="31" t="s">
        <v>1793</v>
      </c>
      <c r="Q175" s="31" t="str">
        <f t="shared" si="5"/>
        <v>DENTRO DEL TIEMPO</v>
      </c>
      <c r="R175" s="6"/>
    </row>
    <row r="176" spans="1:18" ht="50.25" x14ac:dyDescent="0.25">
      <c r="A176" s="26">
        <v>170</v>
      </c>
      <c r="B176" s="8" t="s">
        <v>1794</v>
      </c>
      <c r="C176" s="27">
        <v>44609</v>
      </c>
      <c r="D176" s="27">
        <v>44609</v>
      </c>
      <c r="E176" s="26">
        <v>2</v>
      </c>
      <c r="F176" s="28" t="s">
        <v>22</v>
      </c>
      <c r="G176" s="8" t="s">
        <v>721</v>
      </c>
      <c r="H176" s="8" t="s">
        <v>1257</v>
      </c>
      <c r="I176" s="8" t="s">
        <v>721</v>
      </c>
      <c r="J176" s="29">
        <v>44613</v>
      </c>
      <c r="K176" s="29">
        <v>44613</v>
      </c>
      <c r="L176" s="30">
        <f t="shared" si="4"/>
        <v>2</v>
      </c>
      <c r="M176" s="8" t="s">
        <v>1795</v>
      </c>
      <c r="N176" s="31" t="s">
        <v>26</v>
      </c>
      <c r="O176" s="4" t="s">
        <v>1796</v>
      </c>
      <c r="P176" s="31" t="s">
        <v>1797</v>
      </c>
      <c r="Q176" s="31" t="str">
        <f t="shared" si="5"/>
        <v>DENTRO DEL TIEMPO</v>
      </c>
      <c r="R176" s="6"/>
    </row>
    <row r="177" spans="1:18" ht="50.25" x14ac:dyDescent="0.25">
      <c r="A177" s="26">
        <v>171</v>
      </c>
      <c r="B177" s="8" t="s">
        <v>1798</v>
      </c>
      <c r="C177" s="27">
        <v>44610</v>
      </c>
      <c r="D177" s="27">
        <v>44610</v>
      </c>
      <c r="E177" s="26">
        <v>2</v>
      </c>
      <c r="F177" s="28" t="s">
        <v>22</v>
      </c>
      <c r="G177" s="8" t="s">
        <v>721</v>
      </c>
      <c r="H177" s="8" t="s">
        <v>1257</v>
      </c>
      <c r="I177" s="8" t="s">
        <v>721</v>
      </c>
      <c r="J177" s="29">
        <v>44613</v>
      </c>
      <c r="K177" s="29">
        <v>44613</v>
      </c>
      <c r="L177" s="30">
        <f t="shared" si="4"/>
        <v>1</v>
      </c>
      <c r="M177" s="8" t="s">
        <v>1799</v>
      </c>
      <c r="N177" s="31" t="s">
        <v>26</v>
      </c>
      <c r="O177" s="4" t="s">
        <v>903</v>
      </c>
      <c r="P177" s="31" t="s">
        <v>1551</v>
      </c>
      <c r="Q177" s="31" t="str">
        <f t="shared" si="5"/>
        <v>DENTRO DEL TIEMPO</v>
      </c>
      <c r="R177" s="6"/>
    </row>
    <row r="178" spans="1:18" ht="50.25" x14ac:dyDescent="0.25">
      <c r="A178" s="26">
        <v>172</v>
      </c>
      <c r="B178" s="8" t="s">
        <v>1800</v>
      </c>
      <c r="C178" s="27">
        <v>44610</v>
      </c>
      <c r="D178" s="27">
        <v>44610</v>
      </c>
      <c r="E178" s="26">
        <v>2</v>
      </c>
      <c r="F178" s="28" t="s">
        <v>22</v>
      </c>
      <c r="G178" s="8" t="s">
        <v>721</v>
      </c>
      <c r="H178" s="8" t="s">
        <v>1257</v>
      </c>
      <c r="I178" s="8" t="s">
        <v>721</v>
      </c>
      <c r="J178" s="29">
        <v>44613</v>
      </c>
      <c r="K178" s="29">
        <v>44613</v>
      </c>
      <c r="L178" s="30">
        <f t="shared" si="4"/>
        <v>1</v>
      </c>
      <c r="M178" s="8" t="s">
        <v>1801</v>
      </c>
      <c r="N178" s="31" t="s">
        <v>26</v>
      </c>
      <c r="O178" s="4" t="s">
        <v>106</v>
      </c>
      <c r="P178" s="31" t="s">
        <v>1588</v>
      </c>
      <c r="Q178" s="31" t="str">
        <f t="shared" si="5"/>
        <v>DENTRO DEL TIEMPO</v>
      </c>
      <c r="R178" s="6"/>
    </row>
    <row r="179" spans="1:18" ht="50.25" x14ac:dyDescent="0.25">
      <c r="A179" s="26">
        <v>173</v>
      </c>
      <c r="B179" s="8" t="s">
        <v>1802</v>
      </c>
      <c r="C179" s="27">
        <v>44610</v>
      </c>
      <c r="D179" s="27">
        <v>44610</v>
      </c>
      <c r="E179" s="26">
        <v>25</v>
      </c>
      <c r="F179" s="28" t="s">
        <v>22</v>
      </c>
      <c r="G179" s="8" t="s">
        <v>721</v>
      </c>
      <c r="H179" s="8" t="s">
        <v>1257</v>
      </c>
      <c r="I179" s="8" t="s">
        <v>721</v>
      </c>
      <c r="J179" s="29">
        <v>44616</v>
      </c>
      <c r="K179" s="29">
        <v>44616</v>
      </c>
      <c r="L179" s="30">
        <f t="shared" si="4"/>
        <v>4</v>
      </c>
      <c r="M179" s="8" t="s">
        <v>1803</v>
      </c>
      <c r="N179" s="31" t="s">
        <v>26</v>
      </c>
      <c r="O179" s="4" t="s">
        <v>1804</v>
      </c>
      <c r="P179" s="31" t="s">
        <v>1805</v>
      </c>
      <c r="Q179" s="31" t="str">
        <f t="shared" si="5"/>
        <v>DENTRO DEL TIEMPO</v>
      </c>
      <c r="R179" s="6"/>
    </row>
    <row r="180" spans="1:18" ht="50.25" x14ac:dyDescent="0.25">
      <c r="A180" s="26">
        <v>174</v>
      </c>
      <c r="B180" s="8" t="s">
        <v>1806</v>
      </c>
      <c r="C180" s="27">
        <v>44610</v>
      </c>
      <c r="D180" s="27">
        <v>44610</v>
      </c>
      <c r="E180" s="26">
        <v>2</v>
      </c>
      <c r="F180" s="28" t="s">
        <v>22</v>
      </c>
      <c r="G180" s="8" t="s">
        <v>721</v>
      </c>
      <c r="H180" s="8" t="s">
        <v>1257</v>
      </c>
      <c r="I180" s="8" t="s">
        <v>721</v>
      </c>
      <c r="J180" s="29">
        <v>44613</v>
      </c>
      <c r="K180" s="29">
        <v>44613</v>
      </c>
      <c r="L180" s="30">
        <f t="shared" si="4"/>
        <v>1</v>
      </c>
      <c r="M180" s="8" t="s">
        <v>1807</v>
      </c>
      <c r="N180" s="31" t="s">
        <v>26</v>
      </c>
      <c r="O180" s="4" t="s">
        <v>709</v>
      </c>
      <c r="P180" s="31" t="s">
        <v>1808</v>
      </c>
      <c r="Q180" s="31" t="str">
        <f t="shared" si="5"/>
        <v>DENTRO DEL TIEMPO</v>
      </c>
      <c r="R180" s="6"/>
    </row>
    <row r="181" spans="1:18" ht="50.25" x14ac:dyDescent="0.25">
      <c r="A181" s="26">
        <v>175</v>
      </c>
      <c r="B181" s="8" t="s">
        <v>1809</v>
      </c>
      <c r="C181" s="27">
        <v>44610</v>
      </c>
      <c r="D181" s="27">
        <v>44610</v>
      </c>
      <c r="E181" s="26">
        <v>2</v>
      </c>
      <c r="F181" s="28" t="s">
        <v>22</v>
      </c>
      <c r="G181" s="8" t="s">
        <v>721</v>
      </c>
      <c r="H181" s="8" t="s">
        <v>1257</v>
      </c>
      <c r="I181" s="8" t="s">
        <v>721</v>
      </c>
      <c r="J181" s="29">
        <v>44613</v>
      </c>
      <c r="K181" s="29">
        <v>44613</v>
      </c>
      <c r="L181" s="30">
        <f t="shared" si="4"/>
        <v>1</v>
      </c>
      <c r="M181" s="8" t="s">
        <v>1810</v>
      </c>
      <c r="N181" s="31" t="s">
        <v>26</v>
      </c>
      <c r="O181" s="4" t="s">
        <v>669</v>
      </c>
      <c r="P181" s="31" t="s">
        <v>1811</v>
      </c>
      <c r="Q181" s="31" t="str">
        <f t="shared" si="5"/>
        <v>DENTRO DEL TIEMPO</v>
      </c>
      <c r="R181" s="6"/>
    </row>
    <row r="182" spans="1:18" ht="50.25" x14ac:dyDescent="0.25">
      <c r="A182" s="26">
        <v>176</v>
      </c>
      <c r="B182" s="8" t="s">
        <v>1812</v>
      </c>
      <c r="C182" s="27">
        <v>44610</v>
      </c>
      <c r="D182" s="27">
        <v>44610</v>
      </c>
      <c r="E182" s="26">
        <v>35</v>
      </c>
      <c r="F182" s="28" t="s">
        <v>22</v>
      </c>
      <c r="G182" s="8" t="s">
        <v>721</v>
      </c>
      <c r="H182" s="8" t="s">
        <v>1257</v>
      </c>
      <c r="I182" s="8" t="s">
        <v>721</v>
      </c>
      <c r="J182" s="29">
        <v>44613</v>
      </c>
      <c r="K182" s="29">
        <v>44613</v>
      </c>
      <c r="L182" s="30">
        <f t="shared" si="4"/>
        <v>1</v>
      </c>
      <c r="M182" s="8" t="s">
        <v>1813</v>
      </c>
      <c r="N182" s="31" t="s">
        <v>26</v>
      </c>
      <c r="O182" s="4" t="s">
        <v>1814</v>
      </c>
      <c r="P182" s="31" t="s">
        <v>1815</v>
      </c>
      <c r="Q182" s="31" t="str">
        <f t="shared" si="5"/>
        <v>DENTRO DEL TIEMPO</v>
      </c>
      <c r="R182" s="6"/>
    </row>
    <row r="183" spans="1:18" ht="50.25" x14ac:dyDescent="0.25">
      <c r="A183" s="26">
        <v>177</v>
      </c>
      <c r="B183" s="8" t="s">
        <v>1816</v>
      </c>
      <c r="C183" s="27">
        <v>44610</v>
      </c>
      <c r="D183" s="27">
        <v>44610</v>
      </c>
      <c r="E183" s="26">
        <v>37</v>
      </c>
      <c r="F183" s="28" t="s">
        <v>22</v>
      </c>
      <c r="G183" s="8" t="s">
        <v>721</v>
      </c>
      <c r="H183" s="8" t="s">
        <v>1257</v>
      </c>
      <c r="I183" s="8" t="s">
        <v>721</v>
      </c>
      <c r="J183" s="29">
        <v>44614</v>
      </c>
      <c r="K183" s="29">
        <v>44614</v>
      </c>
      <c r="L183" s="30">
        <f t="shared" si="4"/>
        <v>2</v>
      </c>
      <c r="M183" s="8" t="s">
        <v>1817</v>
      </c>
      <c r="N183" s="31" t="s">
        <v>26</v>
      </c>
      <c r="O183" s="4" t="s">
        <v>1789</v>
      </c>
      <c r="P183" s="31" t="s">
        <v>1370</v>
      </c>
      <c r="Q183" s="31" t="str">
        <f t="shared" si="5"/>
        <v>DENTRO DEL TIEMPO</v>
      </c>
      <c r="R183" s="6"/>
    </row>
    <row r="184" spans="1:18" ht="50.25" x14ac:dyDescent="0.25">
      <c r="A184" s="26">
        <v>178</v>
      </c>
      <c r="B184" s="8" t="s">
        <v>1818</v>
      </c>
      <c r="C184" s="27">
        <v>44610</v>
      </c>
      <c r="D184" s="27">
        <v>44610</v>
      </c>
      <c r="E184" s="26">
        <v>2</v>
      </c>
      <c r="F184" s="28" t="s">
        <v>22</v>
      </c>
      <c r="G184" s="8" t="s">
        <v>721</v>
      </c>
      <c r="H184" s="8" t="s">
        <v>1257</v>
      </c>
      <c r="I184" s="8" t="s">
        <v>721</v>
      </c>
      <c r="J184" s="29">
        <v>44614</v>
      </c>
      <c r="K184" s="29">
        <v>44614</v>
      </c>
      <c r="L184" s="30">
        <f t="shared" si="4"/>
        <v>2</v>
      </c>
      <c r="M184" s="8" t="s">
        <v>1819</v>
      </c>
      <c r="N184" s="31" t="s">
        <v>26</v>
      </c>
      <c r="O184" s="4" t="s">
        <v>1820</v>
      </c>
      <c r="P184" s="31" t="s">
        <v>1541</v>
      </c>
      <c r="Q184" s="31" t="str">
        <f t="shared" si="5"/>
        <v>DENTRO DEL TIEMPO</v>
      </c>
      <c r="R184" s="6"/>
    </row>
    <row r="185" spans="1:18" ht="50.25" x14ac:dyDescent="0.25">
      <c r="A185" s="26">
        <v>179</v>
      </c>
      <c r="B185" s="8" t="s">
        <v>1821</v>
      </c>
      <c r="C185" s="27">
        <v>44610</v>
      </c>
      <c r="D185" s="27">
        <v>44610</v>
      </c>
      <c r="E185" s="26">
        <v>2</v>
      </c>
      <c r="F185" s="28" t="s">
        <v>22</v>
      </c>
      <c r="G185" s="8" t="s">
        <v>721</v>
      </c>
      <c r="H185" s="8" t="s">
        <v>1257</v>
      </c>
      <c r="I185" s="8" t="s">
        <v>721</v>
      </c>
      <c r="J185" s="29">
        <v>44614</v>
      </c>
      <c r="K185" s="29">
        <v>44614</v>
      </c>
      <c r="L185" s="30">
        <f t="shared" si="4"/>
        <v>2</v>
      </c>
      <c r="M185" s="8" t="s">
        <v>1822</v>
      </c>
      <c r="N185" s="31" t="s">
        <v>26</v>
      </c>
      <c r="O185" s="4" t="s">
        <v>1634</v>
      </c>
      <c r="P185" s="31" t="s">
        <v>1635</v>
      </c>
      <c r="Q185" s="31" t="str">
        <f t="shared" si="5"/>
        <v>DENTRO DEL TIEMPO</v>
      </c>
      <c r="R185" s="6"/>
    </row>
    <row r="186" spans="1:18" ht="30.75" hidden="1" x14ac:dyDescent="0.25">
      <c r="A186" s="26">
        <v>180</v>
      </c>
      <c r="B186" s="8" t="s">
        <v>1823</v>
      </c>
      <c r="C186" s="27">
        <v>44610</v>
      </c>
      <c r="D186" s="27">
        <v>44610</v>
      </c>
      <c r="E186" s="26">
        <v>2</v>
      </c>
      <c r="F186" s="28" t="s">
        <v>790</v>
      </c>
      <c r="G186" s="8" t="s">
        <v>943</v>
      </c>
      <c r="H186" s="8" t="s">
        <v>1347</v>
      </c>
      <c r="I186" s="8" t="s">
        <v>1824</v>
      </c>
      <c r="J186" s="29">
        <v>44642</v>
      </c>
      <c r="K186" s="29">
        <v>44642</v>
      </c>
      <c r="L186" s="30">
        <f t="shared" si="4"/>
        <v>22</v>
      </c>
      <c r="M186" s="8" t="s">
        <v>1825</v>
      </c>
      <c r="N186" s="31" t="s">
        <v>26</v>
      </c>
      <c r="O186" s="4" t="s">
        <v>1826</v>
      </c>
      <c r="P186" s="31"/>
      <c r="Q186" s="31" t="str">
        <f t="shared" si="5"/>
        <v>FUERA DE TIEMPO</v>
      </c>
      <c r="R186" s="6"/>
    </row>
    <row r="187" spans="1:18" ht="50.25" x14ac:dyDescent="0.25">
      <c r="A187" s="26">
        <v>181</v>
      </c>
      <c r="B187" s="8" t="s">
        <v>1827</v>
      </c>
      <c r="C187" s="27">
        <v>44613</v>
      </c>
      <c r="D187" s="27">
        <v>44613</v>
      </c>
      <c r="E187" s="26">
        <v>2</v>
      </c>
      <c r="F187" s="28" t="s">
        <v>22</v>
      </c>
      <c r="G187" s="8" t="s">
        <v>721</v>
      </c>
      <c r="H187" s="8" t="s">
        <v>1257</v>
      </c>
      <c r="I187" s="8" t="s">
        <v>721</v>
      </c>
      <c r="J187" s="29">
        <v>44614</v>
      </c>
      <c r="K187" s="29">
        <v>44617</v>
      </c>
      <c r="L187" s="30">
        <f t="shared" si="4"/>
        <v>4</v>
      </c>
      <c r="M187" s="8" t="s">
        <v>1828</v>
      </c>
      <c r="N187" s="31" t="s">
        <v>26</v>
      </c>
      <c r="O187" s="4" t="s">
        <v>257</v>
      </c>
      <c r="P187" s="31" t="s">
        <v>1404</v>
      </c>
      <c r="Q187" s="31" t="str">
        <f t="shared" si="5"/>
        <v>DENTRO DEL TIEMPO</v>
      </c>
      <c r="R187" s="6"/>
    </row>
    <row r="188" spans="1:18" ht="50.25" x14ac:dyDescent="0.25">
      <c r="A188" s="26">
        <v>182</v>
      </c>
      <c r="B188" s="8" t="s">
        <v>1829</v>
      </c>
      <c r="C188" s="27">
        <v>44613</v>
      </c>
      <c r="D188" s="27">
        <v>44613</v>
      </c>
      <c r="E188" s="26">
        <v>2</v>
      </c>
      <c r="F188" s="28" t="s">
        <v>22</v>
      </c>
      <c r="G188" s="8" t="s">
        <v>721</v>
      </c>
      <c r="H188" s="8" t="s">
        <v>1257</v>
      </c>
      <c r="I188" s="8" t="s">
        <v>721</v>
      </c>
      <c r="J188" s="29">
        <v>44614</v>
      </c>
      <c r="K188" s="29">
        <v>44614</v>
      </c>
      <c r="L188" s="30">
        <f t="shared" si="4"/>
        <v>1</v>
      </c>
      <c r="M188" s="8" t="s">
        <v>1830</v>
      </c>
      <c r="N188" s="31" t="s">
        <v>26</v>
      </c>
      <c r="O188" s="4" t="s">
        <v>257</v>
      </c>
      <c r="P188" s="31" t="s">
        <v>1404</v>
      </c>
      <c r="Q188" s="31" t="str">
        <f t="shared" si="5"/>
        <v>DENTRO DEL TIEMPO</v>
      </c>
      <c r="R188" s="6"/>
    </row>
    <row r="189" spans="1:18" ht="50.25" x14ac:dyDescent="0.25">
      <c r="A189" s="26">
        <v>183</v>
      </c>
      <c r="B189" s="8" t="s">
        <v>1831</v>
      </c>
      <c r="C189" s="27">
        <v>44613</v>
      </c>
      <c r="D189" s="27">
        <v>44613</v>
      </c>
      <c r="E189" s="26">
        <v>2</v>
      </c>
      <c r="F189" s="28" t="s">
        <v>22</v>
      </c>
      <c r="G189" s="8" t="s">
        <v>721</v>
      </c>
      <c r="H189" s="8" t="s">
        <v>1257</v>
      </c>
      <c r="I189" s="8" t="s">
        <v>721</v>
      </c>
      <c r="J189" s="29">
        <v>44614</v>
      </c>
      <c r="K189" s="29">
        <v>44614</v>
      </c>
      <c r="L189" s="30">
        <f t="shared" si="4"/>
        <v>1</v>
      </c>
      <c r="M189" s="8" t="s">
        <v>1832</v>
      </c>
      <c r="N189" s="31" t="s">
        <v>26</v>
      </c>
      <c r="O189" s="4" t="s">
        <v>240</v>
      </c>
      <c r="P189" s="31" t="s">
        <v>1833</v>
      </c>
      <c r="Q189" s="31" t="str">
        <f t="shared" si="5"/>
        <v>DENTRO DEL TIEMPO</v>
      </c>
      <c r="R189" s="6"/>
    </row>
    <row r="190" spans="1:18" ht="50.25" x14ac:dyDescent="0.25">
      <c r="A190" s="26">
        <v>184</v>
      </c>
      <c r="B190" s="8" t="s">
        <v>1834</v>
      </c>
      <c r="C190" s="27">
        <v>44613</v>
      </c>
      <c r="D190" s="27">
        <v>44613</v>
      </c>
      <c r="E190" s="26">
        <v>2</v>
      </c>
      <c r="F190" s="28" t="s">
        <v>22</v>
      </c>
      <c r="G190" s="8" t="s">
        <v>721</v>
      </c>
      <c r="H190" s="8" t="s">
        <v>1257</v>
      </c>
      <c r="I190" s="8" t="s">
        <v>721</v>
      </c>
      <c r="J190" s="29">
        <v>44614</v>
      </c>
      <c r="K190" s="29">
        <v>44614</v>
      </c>
      <c r="L190" s="30">
        <f t="shared" si="4"/>
        <v>1</v>
      </c>
      <c r="M190" s="8" t="s">
        <v>1835</v>
      </c>
      <c r="N190" s="31" t="s">
        <v>26</v>
      </c>
      <c r="O190" s="4" t="s">
        <v>1836</v>
      </c>
      <c r="P190" s="31" t="s">
        <v>1837</v>
      </c>
      <c r="Q190" s="31" t="str">
        <f t="shared" si="5"/>
        <v>DENTRO DEL TIEMPO</v>
      </c>
      <c r="R190" s="6"/>
    </row>
    <row r="191" spans="1:18" ht="50.25" x14ac:dyDescent="0.25">
      <c r="A191" s="26">
        <v>185</v>
      </c>
      <c r="B191" s="8" t="s">
        <v>1838</v>
      </c>
      <c r="C191" s="27">
        <v>44613</v>
      </c>
      <c r="D191" s="27">
        <v>44613</v>
      </c>
      <c r="E191" s="26">
        <v>2</v>
      </c>
      <c r="F191" s="28" t="s">
        <v>22</v>
      </c>
      <c r="G191" s="8" t="s">
        <v>721</v>
      </c>
      <c r="H191" s="8" t="s">
        <v>1257</v>
      </c>
      <c r="I191" s="8" t="s">
        <v>721</v>
      </c>
      <c r="J191" s="29">
        <v>44614</v>
      </c>
      <c r="K191" s="29">
        <v>44614</v>
      </c>
      <c r="L191" s="30">
        <f t="shared" si="4"/>
        <v>1</v>
      </c>
      <c r="M191" s="8" t="s">
        <v>1839</v>
      </c>
      <c r="N191" s="31" t="s">
        <v>26</v>
      </c>
      <c r="O191" s="4" t="s">
        <v>257</v>
      </c>
      <c r="P191" s="31" t="s">
        <v>1404</v>
      </c>
      <c r="Q191" s="31" t="str">
        <f t="shared" si="5"/>
        <v>DENTRO DEL TIEMPO</v>
      </c>
      <c r="R191" s="6"/>
    </row>
    <row r="192" spans="1:18" ht="50.25" x14ac:dyDescent="0.25">
      <c r="A192" s="26">
        <v>186</v>
      </c>
      <c r="B192" s="8" t="s">
        <v>1840</v>
      </c>
      <c r="C192" s="27">
        <v>44613</v>
      </c>
      <c r="D192" s="27">
        <v>44613</v>
      </c>
      <c r="E192" s="26">
        <v>2</v>
      </c>
      <c r="F192" s="28" t="s">
        <v>22</v>
      </c>
      <c r="G192" s="8" t="s">
        <v>721</v>
      </c>
      <c r="H192" s="8" t="s">
        <v>1257</v>
      </c>
      <c r="I192" s="8" t="s">
        <v>721</v>
      </c>
      <c r="J192" s="29">
        <v>44614</v>
      </c>
      <c r="K192" s="29">
        <v>44614</v>
      </c>
      <c r="L192" s="30">
        <f t="shared" si="4"/>
        <v>1</v>
      </c>
      <c r="M192" s="8" t="s">
        <v>1841</v>
      </c>
      <c r="N192" s="31" t="s">
        <v>26</v>
      </c>
      <c r="O192" s="4" t="s">
        <v>257</v>
      </c>
      <c r="P192" s="31" t="s">
        <v>1404</v>
      </c>
      <c r="Q192" s="31" t="str">
        <f t="shared" si="5"/>
        <v>DENTRO DEL TIEMPO</v>
      </c>
      <c r="R192" s="6"/>
    </row>
    <row r="193" spans="1:18" ht="50.25" x14ac:dyDescent="0.25">
      <c r="A193" s="26">
        <v>187</v>
      </c>
      <c r="B193" s="8" t="s">
        <v>1842</v>
      </c>
      <c r="C193" s="27">
        <v>44613</v>
      </c>
      <c r="D193" s="27">
        <v>44613</v>
      </c>
      <c r="E193" s="26">
        <v>2</v>
      </c>
      <c r="F193" s="28" t="s">
        <v>22</v>
      </c>
      <c r="G193" s="8" t="s">
        <v>721</v>
      </c>
      <c r="H193" s="8" t="s">
        <v>1257</v>
      </c>
      <c r="I193" s="8" t="s">
        <v>721</v>
      </c>
      <c r="J193" s="29">
        <v>44614</v>
      </c>
      <c r="K193" s="29">
        <v>44614</v>
      </c>
      <c r="L193" s="30">
        <f t="shared" si="4"/>
        <v>1</v>
      </c>
      <c r="M193" s="8" t="s">
        <v>1843</v>
      </c>
      <c r="N193" s="31" t="s">
        <v>26</v>
      </c>
      <c r="O193" s="4" t="s">
        <v>257</v>
      </c>
      <c r="P193" s="31" t="s">
        <v>1404</v>
      </c>
      <c r="Q193" s="31" t="str">
        <f t="shared" si="5"/>
        <v>DENTRO DEL TIEMPO</v>
      </c>
      <c r="R193" s="6"/>
    </row>
    <row r="194" spans="1:18" ht="50.25" x14ac:dyDescent="0.25">
      <c r="A194" s="26">
        <v>188</v>
      </c>
      <c r="B194" s="8" t="s">
        <v>1844</v>
      </c>
      <c r="C194" s="27">
        <v>44613</v>
      </c>
      <c r="D194" s="27">
        <v>44613</v>
      </c>
      <c r="E194" s="26">
        <v>2</v>
      </c>
      <c r="F194" s="28" t="s">
        <v>22</v>
      </c>
      <c r="G194" s="8" t="s">
        <v>721</v>
      </c>
      <c r="H194" s="8" t="s">
        <v>1257</v>
      </c>
      <c r="I194" s="8" t="s">
        <v>721</v>
      </c>
      <c r="J194" s="29">
        <v>44614</v>
      </c>
      <c r="K194" s="29">
        <v>44614</v>
      </c>
      <c r="L194" s="30">
        <f t="shared" si="4"/>
        <v>1</v>
      </c>
      <c r="M194" s="8" t="s">
        <v>1845</v>
      </c>
      <c r="N194" s="31" t="s">
        <v>26</v>
      </c>
      <c r="O194" s="4" t="s">
        <v>257</v>
      </c>
      <c r="P194" s="31" t="s">
        <v>1404</v>
      </c>
      <c r="Q194" s="31" t="str">
        <f t="shared" si="5"/>
        <v>DENTRO DEL TIEMPO</v>
      </c>
      <c r="R194" s="6"/>
    </row>
    <row r="195" spans="1:18" ht="50.25" x14ac:dyDescent="0.25">
      <c r="A195" s="26">
        <v>189</v>
      </c>
      <c r="B195" s="8" t="s">
        <v>1846</v>
      </c>
      <c r="C195" s="27">
        <v>44613</v>
      </c>
      <c r="D195" s="27">
        <v>44613</v>
      </c>
      <c r="E195" s="26">
        <v>2</v>
      </c>
      <c r="F195" s="28" t="s">
        <v>22</v>
      </c>
      <c r="G195" s="8" t="s">
        <v>721</v>
      </c>
      <c r="H195" s="8" t="s">
        <v>1257</v>
      </c>
      <c r="I195" s="8" t="s">
        <v>721</v>
      </c>
      <c r="J195" s="29">
        <v>44614</v>
      </c>
      <c r="K195" s="29">
        <v>44614</v>
      </c>
      <c r="L195" s="30">
        <f t="shared" si="4"/>
        <v>1</v>
      </c>
      <c r="M195" s="8" t="s">
        <v>1847</v>
      </c>
      <c r="N195" s="31" t="s">
        <v>26</v>
      </c>
      <c r="O195" s="4" t="s">
        <v>257</v>
      </c>
      <c r="P195" s="31" t="s">
        <v>1404</v>
      </c>
      <c r="Q195" s="31" t="str">
        <f t="shared" si="5"/>
        <v>DENTRO DEL TIEMPO</v>
      </c>
      <c r="R195" s="6"/>
    </row>
    <row r="196" spans="1:18" ht="50.25" x14ac:dyDescent="0.25">
      <c r="A196" s="26">
        <v>190</v>
      </c>
      <c r="B196" s="8" t="s">
        <v>1848</v>
      </c>
      <c r="C196" s="27">
        <v>44613</v>
      </c>
      <c r="D196" s="27">
        <v>44613</v>
      </c>
      <c r="E196" s="26">
        <v>2</v>
      </c>
      <c r="F196" s="28" t="s">
        <v>22</v>
      </c>
      <c r="G196" s="8" t="s">
        <v>721</v>
      </c>
      <c r="H196" s="8" t="s">
        <v>1257</v>
      </c>
      <c r="I196" s="8" t="s">
        <v>721</v>
      </c>
      <c r="J196" s="29">
        <v>44614</v>
      </c>
      <c r="K196" s="29">
        <v>44614</v>
      </c>
      <c r="L196" s="30">
        <f t="shared" si="4"/>
        <v>1</v>
      </c>
      <c r="M196" s="8" t="s">
        <v>1849</v>
      </c>
      <c r="N196" s="31" t="s">
        <v>26</v>
      </c>
      <c r="O196" s="4" t="s">
        <v>257</v>
      </c>
      <c r="P196" s="31" t="s">
        <v>1404</v>
      </c>
      <c r="Q196" s="31" t="str">
        <f t="shared" si="5"/>
        <v>DENTRO DEL TIEMPO</v>
      </c>
      <c r="R196" s="6"/>
    </row>
    <row r="197" spans="1:18" ht="50.25" x14ac:dyDescent="0.25">
      <c r="A197" s="26">
        <v>191</v>
      </c>
      <c r="B197" s="8" t="s">
        <v>1850</v>
      </c>
      <c r="C197" s="27">
        <v>44613</v>
      </c>
      <c r="D197" s="27">
        <v>44613</v>
      </c>
      <c r="E197" s="26">
        <v>2</v>
      </c>
      <c r="F197" s="28" t="s">
        <v>22</v>
      </c>
      <c r="G197" s="8" t="s">
        <v>721</v>
      </c>
      <c r="H197" s="8" t="s">
        <v>1257</v>
      </c>
      <c r="I197" s="8" t="s">
        <v>721</v>
      </c>
      <c r="J197" s="29">
        <v>44614</v>
      </c>
      <c r="K197" s="29">
        <v>44614</v>
      </c>
      <c r="L197" s="30">
        <f t="shared" si="4"/>
        <v>1</v>
      </c>
      <c r="M197" s="8" t="s">
        <v>1851</v>
      </c>
      <c r="N197" s="31" t="s">
        <v>26</v>
      </c>
      <c r="O197" s="4" t="s">
        <v>257</v>
      </c>
      <c r="P197" s="31" t="s">
        <v>1404</v>
      </c>
      <c r="Q197" s="31" t="str">
        <f t="shared" si="5"/>
        <v>DENTRO DEL TIEMPO</v>
      </c>
      <c r="R197" s="6"/>
    </row>
    <row r="198" spans="1:18" ht="50.25" x14ac:dyDescent="0.25">
      <c r="A198" s="26">
        <v>192</v>
      </c>
      <c r="B198" s="8" t="s">
        <v>1852</v>
      </c>
      <c r="C198" s="27">
        <v>44613</v>
      </c>
      <c r="D198" s="27">
        <v>44613</v>
      </c>
      <c r="E198" s="26">
        <v>2</v>
      </c>
      <c r="F198" s="28" t="s">
        <v>22</v>
      </c>
      <c r="G198" s="8" t="s">
        <v>721</v>
      </c>
      <c r="H198" s="8" t="s">
        <v>1257</v>
      </c>
      <c r="I198" s="8" t="s">
        <v>721</v>
      </c>
      <c r="J198" s="29">
        <v>44614</v>
      </c>
      <c r="K198" s="29">
        <v>44614</v>
      </c>
      <c r="L198" s="30">
        <f t="shared" si="4"/>
        <v>1</v>
      </c>
      <c r="M198" s="8" t="s">
        <v>1853</v>
      </c>
      <c r="N198" s="31" t="s">
        <v>26</v>
      </c>
      <c r="O198" s="4" t="s">
        <v>257</v>
      </c>
      <c r="P198" s="31" t="s">
        <v>1404</v>
      </c>
      <c r="Q198" s="31" t="str">
        <f t="shared" si="5"/>
        <v>DENTRO DEL TIEMPO</v>
      </c>
      <c r="R198" s="6"/>
    </row>
    <row r="199" spans="1:18" ht="50.25" x14ac:dyDescent="0.25">
      <c r="A199" s="26">
        <v>193</v>
      </c>
      <c r="B199" s="8" t="s">
        <v>1854</v>
      </c>
      <c r="C199" s="27">
        <v>44613</v>
      </c>
      <c r="D199" s="27">
        <v>44613</v>
      </c>
      <c r="E199" s="26">
        <v>2</v>
      </c>
      <c r="F199" s="28" t="s">
        <v>22</v>
      </c>
      <c r="G199" s="8" t="s">
        <v>721</v>
      </c>
      <c r="H199" s="8" t="s">
        <v>1257</v>
      </c>
      <c r="I199" s="8" t="s">
        <v>721</v>
      </c>
      <c r="J199" s="29">
        <v>44614</v>
      </c>
      <c r="K199" s="29">
        <v>44614</v>
      </c>
      <c r="L199" s="30">
        <f t="shared" si="4"/>
        <v>1</v>
      </c>
      <c r="M199" s="8" t="s">
        <v>1855</v>
      </c>
      <c r="N199" s="31" t="s">
        <v>26</v>
      </c>
      <c r="O199" s="4" t="s">
        <v>257</v>
      </c>
      <c r="P199" s="31" t="s">
        <v>1404</v>
      </c>
      <c r="Q199" s="31" t="str">
        <f t="shared" si="5"/>
        <v>DENTRO DEL TIEMPO</v>
      </c>
      <c r="R199" s="6"/>
    </row>
    <row r="200" spans="1:18" ht="50.25" x14ac:dyDescent="0.25">
      <c r="A200" s="26">
        <v>194</v>
      </c>
      <c r="B200" s="8" t="s">
        <v>1856</v>
      </c>
      <c r="C200" s="27">
        <v>44613</v>
      </c>
      <c r="D200" s="27">
        <v>44613</v>
      </c>
      <c r="E200" s="26">
        <v>2</v>
      </c>
      <c r="F200" s="28" t="s">
        <v>22</v>
      </c>
      <c r="G200" s="8" t="s">
        <v>721</v>
      </c>
      <c r="H200" s="8" t="s">
        <v>1257</v>
      </c>
      <c r="I200" s="8" t="s">
        <v>721</v>
      </c>
      <c r="J200" s="29">
        <v>44614</v>
      </c>
      <c r="K200" s="29">
        <v>44614</v>
      </c>
      <c r="L200" s="30">
        <f t="shared" ref="L200:L263" si="6">+NETWORKDAYS(D200,K200,$R$7:$R$10)-1</f>
        <v>1</v>
      </c>
      <c r="M200" s="8" t="s">
        <v>1857</v>
      </c>
      <c r="N200" s="31" t="s">
        <v>26</v>
      </c>
      <c r="O200" s="4" t="s">
        <v>257</v>
      </c>
      <c r="P200" s="31" t="s">
        <v>1404</v>
      </c>
      <c r="Q200" s="31" t="str">
        <f t="shared" ref="Q200:Q263" si="7">IF(L200&gt;15,"FUERA DE TIEMPO","DENTRO DEL TIEMPO")</f>
        <v>DENTRO DEL TIEMPO</v>
      </c>
      <c r="R200" s="6"/>
    </row>
    <row r="201" spans="1:18" ht="50.25" x14ac:dyDescent="0.25">
      <c r="A201" s="26">
        <v>195</v>
      </c>
      <c r="B201" s="8" t="s">
        <v>1858</v>
      </c>
      <c r="C201" s="27">
        <v>44613</v>
      </c>
      <c r="D201" s="27">
        <v>44613</v>
      </c>
      <c r="E201" s="26">
        <v>2</v>
      </c>
      <c r="F201" s="28" t="s">
        <v>22</v>
      </c>
      <c r="G201" s="8" t="s">
        <v>721</v>
      </c>
      <c r="H201" s="8" t="s">
        <v>1257</v>
      </c>
      <c r="I201" s="8" t="s">
        <v>721</v>
      </c>
      <c r="J201" s="29">
        <v>44614</v>
      </c>
      <c r="K201" s="29">
        <v>44614</v>
      </c>
      <c r="L201" s="30">
        <f t="shared" si="6"/>
        <v>1</v>
      </c>
      <c r="M201" s="8" t="s">
        <v>1859</v>
      </c>
      <c r="N201" s="31" t="s">
        <v>26</v>
      </c>
      <c r="O201" s="4" t="s">
        <v>257</v>
      </c>
      <c r="P201" s="31" t="s">
        <v>1404</v>
      </c>
      <c r="Q201" s="31" t="str">
        <f t="shared" si="7"/>
        <v>DENTRO DEL TIEMPO</v>
      </c>
      <c r="R201" s="6"/>
    </row>
    <row r="202" spans="1:18" ht="50.25" x14ac:dyDescent="0.25">
      <c r="A202" s="26">
        <v>196</v>
      </c>
      <c r="B202" s="8" t="s">
        <v>1860</v>
      </c>
      <c r="C202" s="27">
        <v>44613</v>
      </c>
      <c r="D202" s="27">
        <v>44613</v>
      </c>
      <c r="E202" s="26">
        <v>2</v>
      </c>
      <c r="F202" s="28" t="s">
        <v>22</v>
      </c>
      <c r="G202" s="8" t="s">
        <v>721</v>
      </c>
      <c r="H202" s="8" t="s">
        <v>1257</v>
      </c>
      <c r="I202" s="8" t="s">
        <v>721</v>
      </c>
      <c r="J202" s="29">
        <v>44615</v>
      </c>
      <c r="K202" s="29">
        <v>44615</v>
      </c>
      <c r="L202" s="30">
        <f t="shared" si="6"/>
        <v>2</v>
      </c>
      <c r="M202" s="8" t="s">
        <v>1861</v>
      </c>
      <c r="N202" s="31" t="s">
        <v>26</v>
      </c>
      <c r="O202" s="4" t="s">
        <v>1862</v>
      </c>
      <c r="P202" s="31" t="s">
        <v>1863</v>
      </c>
      <c r="Q202" s="31" t="str">
        <f t="shared" si="7"/>
        <v>DENTRO DEL TIEMPO</v>
      </c>
      <c r="R202" s="6"/>
    </row>
    <row r="203" spans="1:18" ht="50.25" x14ac:dyDescent="0.25">
      <c r="A203" s="26">
        <v>197</v>
      </c>
      <c r="B203" s="8" t="s">
        <v>1864</v>
      </c>
      <c r="C203" s="27">
        <v>44613</v>
      </c>
      <c r="D203" s="27">
        <v>44613</v>
      </c>
      <c r="E203" s="26">
        <v>2</v>
      </c>
      <c r="F203" s="28" t="s">
        <v>22</v>
      </c>
      <c r="G203" s="8" t="s">
        <v>721</v>
      </c>
      <c r="H203" s="8" t="s">
        <v>1257</v>
      </c>
      <c r="I203" s="8" t="s">
        <v>721</v>
      </c>
      <c r="J203" s="29">
        <v>44615</v>
      </c>
      <c r="K203" s="29">
        <v>44615</v>
      </c>
      <c r="L203" s="30">
        <f t="shared" si="6"/>
        <v>2</v>
      </c>
      <c r="M203" s="8" t="s">
        <v>1865</v>
      </c>
      <c r="N203" s="31" t="s">
        <v>26</v>
      </c>
      <c r="O203" s="4" t="s">
        <v>257</v>
      </c>
      <c r="P203" s="31" t="s">
        <v>1404</v>
      </c>
      <c r="Q203" s="31" t="str">
        <f t="shared" si="7"/>
        <v>DENTRO DEL TIEMPO</v>
      </c>
      <c r="R203" s="6"/>
    </row>
    <row r="204" spans="1:18" ht="50.25" x14ac:dyDescent="0.25">
      <c r="A204" s="26">
        <v>198</v>
      </c>
      <c r="B204" s="8" t="s">
        <v>1866</v>
      </c>
      <c r="C204" s="27">
        <v>44613</v>
      </c>
      <c r="D204" s="27">
        <v>44613</v>
      </c>
      <c r="E204" s="26">
        <v>2</v>
      </c>
      <c r="F204" s="28" t="s">
        <v>22</v>
      </c>
      <c r="G204" s="8" t="s">
        <v>721</v>
      </c>
      <c r="H204" s="8" t="s">
        <v>1257</v>
      </c>
      <c r="I204" s="8" t="s">
        <v>721</v>
      </c>
      <c r="J204" s="29">
        <v>44615</v>
      </c>
      <c r="K204" s="29">
        <v>44615</v>
      </c>
      <c r="L204" s="30">
        <f t="shared" si="6"/>
        <v>2</v>
      </c>
      <c r="M204" s="8" t="s">
        <v>1867</v>
      </c>
      <c r="N204" s="31" t="s">
        <v>26</v>
      </c>
      <c r="O204" s="4" t="s">
        <v>1868</v>
      </c>
      <c r="P204" s="31" t="s">
        <v>1869</v>
      </c>
      <c r="Q204" s="31" t="str">
        <f t="shared" si="7"/>
        <v>DENTRO DEL TIEMPO</v>
      </c>
      <c r="R204" s="6"/>
    </row>
    <row r="205" spans="1:18" ht="50.25" x14ac:dyDescent="0.25">
      <c r="A205" s="26">
        <v>199</v>
      </c>
      <c r="B205" s="8" t="s">
        <v>1870</v>
      </c>
      <c r="C205" s="27">
        <v>44613</v>
      </c>
      <c r="D205" s="27">
        <v>44613</v>
      </c>
      <c r="E205" s="26">
        <v>2</v>
      </c>
      <c r="F205" s="28" t="s">
        <v>22</v>
      </c>
      <c r="G205" s="8" t="s">
        <v>721</v>
      </c>
      <c r="H205" s="8" t="s">
        <v>1257</v>
      </c>
      <c r="I205" s="8" t="s">
        <v>721</v>
      </c>
      <c r="J205" s="29">
        <v>44615</v>
      </c>
      <c r="K205" s="29">
        <v>44615</v>
      </c>
      <c r="L205" s="30">
        <f t="shared" si="6"/>
        <v>2</v>
      </c>
      <c r="M205" s="8" t="s">
        <v>1871</v>
      </c>
      <c r="N205" s="31" t="s">
        <v>26</v>
      </c>
      <c r="O205" s="4" t="s">
        <v>1872</v>
      </c>
      <c r="P205" s="31" t="s">
        <v>1869</v>
      </c>
      <c r="Q205" s="31" t="str">
        <f t="shared" si="7"/>
        <v>DENTRO DEL TIEMPO</v>
      </c>
      <c r="R205" s="6"/>
    </row>
    <row r="206" spans="1:18" ht="50.25" x14ac:dyDescent="0.25">
      <c r="A206" s="26">
        <v>200</v>
      </c>
      <c r="B206" s="8" t="s">
        <v>1873</v>
      </c>
      <c r="C206" s="27">
        <v>44613</v>
      </c>
      <c r="D206" s="27">
        <v>44613</v>
      </c>
      <c r="E206" s="26">
        <v>2</v>
      </c>
      <c r="F206" s="28" t="s">
        <v>22</v>
      </c>
      <c r="G206" s="8" t="s">
        <v>721</v>
      </c>
      <c r="H206" s="8" t="s">
        <v>1257</v>
      </c>
      <c r="I206" s="8" t="s">
        <v>721</v>
      </c>
      <c r="J206" s="29">
        <v>44615</v>
      </c>
      <c r="K206" s="29">
        <v>44615</v>
      </c>
      <c r="L206" s="30">
        <f t="shared" si="6"/>
        <v>2</v>
      </c>
      <c r="M206" s="8" t="s">
        <v>1874</v>
      </c>
      <c r="N206" s="31" t="s">
        <v>26</v>
      </c>
      <c r="O206" s="4" t="s">
        <v>112</v>
      </c>
      <c r="P206" s="31" t="s">
        <v>1033</v>
      </c>
      <c r="Q206" s="31" t="str">
        <f t="shared" si="7"/>
        <v>DENTRO DEL TIEMPO</v>
      </c>
      <c r="R206" s="6"/>
    </row>
    <row r="207" spans="1:18" ht="50.25" x14ac:dyDescent="0.25">
      <c r="A207" s="26">
        <v>201</v>
      </c>
      <c r="B207" s="8" t="s">
        <v>1875</v>
      </c>
      <c r="C207" s="27">
        <v>44613</v>
      </c>
      <c r="D207" s="27">
        <v>44613</v>
      </c>
      <c r="E207" s="26">
        <v>2</v>
      </c>
      <c r="F207" s="28" t="s">
        <v>22</v>
      </c>
      <c r="G207" s="8" t="s">
        <v>721</v>
      </c>
      <c r="H207" s="8" t="s">
        <v>1257</v>
      </c>
      <c r="I207" s="8" t="s">
        <v>721</v>
      </c>
      <c r="J207" s="29">
        <v>44615</v>
      </c>
      <c r="K207" s="29">
        <v>44615</v>
      </c>
      <c r="L207" s="30">
        <f t="shared" si="6"/>
        <v>2</v>
      </c>
      <c r="M207" s="8" t="s">
        <v>1876</v>
      </c>
      <c r="N207" s="31" t="s">
        <v>26</v>
      </c>
      <c r="O207" s="4" t="s">
        <v>1877</v>
      </c>
      <c r="P207" s="31" t="s">
        <v>1878</v>
      </c>
      <c r="Q207" s="31" t="str">
        <f t="shared" si="7"/>
        <v>DENTRO DEL TIEMPO</v>
      </c>
      <c r="R207" s="6"/>
    </row>
    <row r="208" spans="1:18" ht="50.25" x14ac:dyDescent="0.25">
      <c r="A208" s="26">
        <v>202</v>
      </c>
      <c r="B208" s="8" t="s">
        <v>1879</v>
      </c>
      <c r="C208" s="27">
        <v>44613</v>
      </c>
      <c r="D208" s="27">
        <v>44613</v>
      </c>
      <c r="E208" s="26">
        <v>2</v>
      </c>
      <c r="F208" s="28" t="s">
        <v>22</v>
      </c>
      <c r="G208" s="8" t="s">
        <v>721</v>
      </c>
      <c r="H208" s="8" t="s">
        <v>1257</v>
      </c>
      <c r="I208" s="8" t="s">
        <v>721</v>
      </c>
      <c r="J208" s="29">
        <v>44613</v>
      </c>
      <c r="K208" s="29">
        <v>44613</v>
      </c>
      <c r="L208" s="30">
        <f t="shared" si="6"/>
        <v>0</v>
      </c>
      <c r="M208" s="8" t="s">
        <v>1880</v>
      </c>
      <c r="N208" s="31" t="s">
        <v>26</v>
      </c>
      <c r="O208" s="4" t="s">
        <v>1566</v>
      </c>
      <c r="P208" s="31" t="s">
        <v>1881</v>
      </c>
      <c r="Q208" s="31" t="str">
        <f t="shared" si="7"/>
        <v>DENTRO DEL TIEMPO</v>
      </c>
      <c r="R208" s="6"/>
    </row>
    <row r="209" spans="1:18" ht="50.25" x14ac:dyDescent="0.25">
      <c r="A209" s="26">
        <v>203</v>
      </c>
      <c r="B209" s="8" t="s">
        <v>1882</v>
      </c>
      <c r="C209" s="27">
        <v>44613</v>
      </c>
      <c r="D209" s="27">
        <v>44613</v>
      </c>
      <c r="E209" s="26">
        <v>2</v>
      </c>
      <c r="F209" s="28" t="s">
        <v>22</v>
      </c>
      <c r="G209" s="8" t="s">
        <v>721</v>
      </c>
      <c r="H209" s="8" t="s">
        <v>1257</v>
      </c>
      <c r="I209" s="8" t="s">
        <v>721</v>
      </c>
      <c r="J209" s="29">
        <v>44615</v>
      </c>
      <c r="K209" s="29">
        <v>44615</v>
      </c>
      <c r="L209" s="30">
        <f t="shared" si="6"/>
        <v>2</v>
      </c>
      <c r="M209" s="8" t="s">
        <v>1883</v>
      </c>
      <c r="N209" s="31" t="s">
        <v>26</v>
      </c>
      <c r="O209" s="4" t="s">
        <v>1622</v>
      </c>
      <c r="P209" s="31" t="s">
        <v>1623</v>
      </c>
      <c r="Q209" s="31" t="str">
        <f t="shared" si="7"/>
        <v>DENTRO DEL TIEMPO</v>
      </c>
      <c r="R209" s="6"/>
    </row>
    <row r="210" spans="1:18" ht="50.25" x14ac:dyDescent="0.25">
      <c r="A210" s="26">
        <v>204</v>
      </c>
      <c r="B210" s="8" t="s">
        <v>1884</v>
      </c>
      <c r="C210" s="27">
        <v>44613</v>
      </c>
      <c r="D210" s="27">
        <v>44613</v>
      </c>
      <c r="E210" s="26">
        <v>2</v>
      </c>
      <c r="F210" s="28" t="s">
        <v>22</v>
      </c>
      <c r="G210" s="8" t="s">
        <v>721</v>
      </c>
      <c r="H210" s="8" t="s">
        <v>1257</v>
      </c>
      <c r="I210" s="8" t="s">
        <v>721</v>
      </c>
      <c r="J210" s="28"/>
      <c r="K210" s="28"/>
      <c r="L210" s="30">
        <f t="shared" si="6"/>
        <v>-31867</v>
      </c>
      <c r="M210" s="8"/>
      <c r="N210" s="31" t="s">
        <v>26</v>
      </c>
      <c r="O210" s="4" t="s">
        <v>1885</v>
      </c>
      <c r="P210" s="8" t="s">
        <v>1886</v>
      </c>
      <c r="Q210" s="31" t="str">
        <f t="shared" si="7"/>
        <v>DENTRO DEL TIEMPO</v>
      </c>
      <c r="R210" s="6"/>
    </row>
    <row r="211" spans="1:18" ht="30.75" hidden="1" x14ac:dyDescent="0.25">
      <c r="A211" s="26">
        <v>205</v>
      </c>
      <c r="B211" s="8" t="s">
        <v>1887</v>
      </c>
      <c r="C211" s="27">
        <v>44614</v>
      </c>
      <c r="D211" s="27">
        <v>44614</v>
      </c>
      <c r="E211" s="26">
        <v>2</v>
      </c>
      <c r="F211" s="28" t="s">
        <v>790</v>
      </c>
      <c r="G211" s="8" t="s">
        <v>943</v>
      </c>
      <c r="H211" s="8" t="s">
        <v>1347</v>
      </c>
      <c r="I211" s="8" t="s">
        <v>1824</v>
      </c>
      <c r="J211" s="29">
        <v>44648</v>
      </c>
      <c r="K211" s="29">
        <v>44648</v>
      </c>
      <c r="L211" s="30">
        <f t="shared" si="6"/>
        <v>24</v>
      </c>
      <c r="M211" s="8" t="s">
        <v>1888</v>
      </c>
      <c r="N211" s="31" t="s">
        <v>26</v>
      </c>
      <c r="O211" s="4" t="s">
        <v>1885</v>
      </c>
      <c r="P211" s="31"/>
      <c r="Q211" s="31" t="str">
        <f t="shared" si="7"/>
        <v>FUERA DE TIEMPO</v>
      </c>
      <c r="R211" s="6"/>
    </row>
    <row r="212" spans="1:18" ht="50.25" x14ac:dyDescent="0.25">
      <c r="A212" s="26">
        <v>206</v>
      </c>
      <c r="B212" s="8" t="s">
        <v>1889</v>
      </c>
      <c r="C212" s="27">
        <v>44614</v>
      </c>
      <c r="D212" s="27">
        <v>44614</v>
      </c>
      <c r="E212" s="26">
        <v>2</v>
      </c>
      <c r="F212" s="28" t="s">
        <v>22</v>
      </c>
      <c r="G212" s="8" t="s">
        <v>721</v>
      </c>
      <c r="H212" s="8" t="s">
        <v>1257</v>
      </c>
      <c r="I212" s="8" t="s">
        <v>721</v>
      </c>
      <c r="J212" s="29">
        <v>44615</v>
      </c>
      <c r="K212" s="29">
        <v>44615</v>
      </c>
      <c r="L212" s="30">
        <f t="shared" si="6"/>
        <v>1</v>
      </c>
      <c r="M212" s="8" t="s">
        <v>1890</v>
      </c>
      <c r="N212" s="31" t="s">
        <v>26</v>
      </c>
      <c r="O212" s="4" t="s">
        <v>642</v>
      </c>
      <c r="P212" s="31" t="s">
        <v>1601</v>
      </c>
      <c r="Q212" s="31" t="str">
        <f t="shared" si="7"/>
        <v>DENTRO DEL TIEMPO</v>
      </c>
      <c r="R212" s="6"/>
    </row>
    <row r="213" spans="1:18" ht="50.25" x14ac:dyDescent="0.25">
      <c r="A213" s="26">
        <v>207</v>
      </c>
      <c r="B213" s="8" t="s">
        <v>1891</v>
      </c>
      <c r="C213" s="27">
        <v>44614</v>
      </c>
      <c r="D213" s="27">
        <v>44614</v>
      </c>
      <c r="E213" s="26">
        <v>2</v>
      </c>
      <c r="F213" s="28" t="s">
        <v>22</v>
      </c>
      <c r="G213" s="8" t="s">
        <v>721</v>
      </c>
      <c r="H213" s="8" t="s">
        <v>1257</v>
      </c>
      <c r="I213" s="8" t="s">
        <v>721</v>
      </c>
      <c r="J213" s="29">
        <v>44615</v>
      </c>
      <c r="K213" s="29">
        <v>44615</v>
      </c>
      <c r="L213" s="30">
        <f t="shared" si="6"/>
        <v>1</v>
      </c>
      <c r="M213" s="8" t="s">
        <v>1892</v>
      </c>
      <c r="N213" s="31" t="s">
        <v>26</v>
      </c>
      <c r="O213" s="4" t="s">
        <v>1893</v>
      </c>
      <c r="P213" s="31" t="s">
        <v>1894</v>
      </c>
      <c r="Q213" s="31" t="str">
        <f t="shared" si="7"/>
        <v>DENTRO DEL TIEMPO</v>
      </c>
      <c r="R213" s="6"/>
    </row>
    <row r="214" spans="1:18" ht="50.25" x14ac:dyDescent="0.25">
      <c r="A214" s="26">
        <v>208</v>
      </c>
      <c r="B214" s="8" t="s">
        <v>1895</v>
      </c>
      <c r="C214" s="27">
        <v>44614</v>
      </c>
      <c r="D214" s="27">
        <v>44614</v>
      </c>
      <c r="E214" s="26">
        <v>2</v>
      </c>
      <c r="F214" s="28" t="s">
        <v>22</v>
      </c>
      <c r="G214" s="8" t="s">
        <v>721</v>
      </c>
      <c r="H214" s="8" t="s">
        <v>1257</v>
      </c>
      <c r="I214" s="8" t="s">
        <v>721</v>
      </c>
      <c r="J214" s="29">
        <v>44616</v>
      </c>
      <c r="K214" s="29">
        <v>44616</v>
      </c>
      <c r="L214" s="30">
        <f t="shared" si="6"/>
        <v>2</v>
      </c>
      <c r="M214" s="8" t="s">
        <v>1896</v>
      </c>
      <c r="N214" s="31" t="s">
        <v>26</v>
      </c>
      <c r="O214" s="4" t="s">
        <v>1897</v>
      </c>
      <c r="P214" s="31" t="s">
        <v>1898</v>
      </c>
      <c r="Q214" s="31" t="str">
        <f t="shared" si="7"/>
        <v>DENTRO DEL TIEMPO</v>
      </c>
      <c r="R214" s="6"/>
    </row>
    <row r="215" spans="1:18" ht="50.25" x14ac:dyDescent="0.25">
      <c r="A215" s="26">
        <v>209</v>
      </c>
      <c r="B215" s="8" t="s">
        <v>1899</v>
      </c>
      <c r="C215" s="27">
        <v>44614</v>
      </c>
      <c r="D215" s="27">
        <v>44614</v>
      </c>
      <c r="E215" s="26">
        <v>2</v>
      </c>
      <c r="F215" s="28" t="s">
        <v>22</v>
      </c>
      <c r="G215" s="8" t="s">
        <v>721</v>
      </c>
      <c r="H215" s="8" t="s">
        <v>1257</v>
      </c>
      <c r="I215" s="8" t="s">
        <v>721</v>
      </c>
      <c r="J215" s="29">
        <v>44616</v>
      </c>
      <c r="K215" s="29">
        <v>44616</v>
      </c>
      <c r="L215" s="30">
        <f t="shared" si="6"/>
        <v>2</v>
      </c>
      <c r="M215" s="8" t="s">
        <v>1900</v>
      </c>
      <c r="N215" s="31" t="s">
        <v>26</v>
      </c>
      <c r="O215" s="4" t="s">
        <v>1901</v>
      </c>
      <c r="P215" s="31" t="s">
        <v>1902</v>
      </c>
      <c r="Q215" s="31" t="str">
        <f t="shared" si="7"/>
        <v>DENTRO DEL TIEMPO</v>
      </c>
      <c r="R215" s="6"/>
    </row>
    <row r="216" spans="1:18" ht="50.25" x14ac:dyDescent="0.25">
      <c r="A216" s="26">
        <v>210</v>
      </c>
      <c r="B216" s="8" t="s">
        <v>1903</v>
      </c>
      <c r="C216" s="27">
        <v>44614</v>
      </c>
      <c r="D216" s="27">
        <v>44614</v>
      </c>
      <c r="E216" s="26">
        <v>2</v>
      </c>
      <c r="F216" s="28" t="s">
        <v>22</v>
      </c>
      <c r="G216" s="8" t="s">
        <v>721</v>
      </c>
      <c r="H216" s="8" t="s">
        <v>1257</v>
      </c>
      <c r="I216" s="8" t="s">
        <v>721</v>
      </c>
      <c r="J216" s="29">
        <v>44616</v>
      </c>
      <c r="K216" s="29">
        <v>44616</v>
      </c>
      <c r="L216" s="30">
        <f t="shared" si="6"/>
        <v>2</v>
      </c>
      <c r="M216" s="8" t="s">
        <v>1904</v>
      </c>
      <c r="N216" s="31" t="s">
        <v>26</v>
      </c>
      <c r="O216" s="4" t="s">
        <v>392</v>
      </c>
      <c r="P216" s="31" t="s">
        <v>1315</v>
      </c>
      <c r="Q216" s="31" t="str">
        <f t="shared" si="7"/>
        <v>DENTRO DEL TIEMPO</v>
      </c>
      <c r="R216" s="6"/>
    </row>
    <row r="217" spans="1:18" ht="50.25" x14ac:dyDescent="0.25">
      <c r="A217" s="26">
        <v>211</v>
      </c>
      <c r="B217" s="8" t="s">
        <v>1905</v>
      </c>
      <c r="C217" s="27">
        <v>44614</v>
      </c>
      <c r="D217" s="27">
        <v>44614</v>
      </c>
      <c r="E217" s="26">
        <v>2</v>
      </c>
      <c r="F217" s="28" t="s">
        <v>22</v>
      </c>
      <c r="G217" s="8" t="s">
        <v>721</v>
      </c>
      <c r="H217" s="8" t="s">
        <v>1257</v>
      </c>
      <c r="I217" s="8" t="s">
        <v>721</v>
      </c>
      <c r="J217" s="29">
        <v>44616</v>
      </c>
      <c r="K217" s="29">
        <v>44616</v>
      </c>
      <c r="L217" s="30">
        <f t="shared" si="6"/>
        <v>2</v>
      </c>
      <c r="M217" s="8" t="s">
        <v>1906</v>
      </c>
      <c r="N217" s="31" t="s">
        <v>26</v>
      </c>
      <c r="O217" s="4" t="s">
        <v>1907</v>
      </c>
      <c r="P217" s="31" t="s">
        <v>1908</v>
      </c>
      <c r="Q217" s="31" t="str">
        <f t="shared" si="7"/>
        <v>DENTRO DEL TIEMPO</v>
      </c>
      <c r="R217" s="6"/>
    </row>
    <row r="218" spans="1:18" ht="50.25" x14ac:dyDescent="0.25">
      <c r="A218" s="26">
        <v>212</v>
      </c>
      <c r="B218" s="8" t="s">
        <v>1909</v>
      </c>
      <c r="C218" s="27">
        <v>44614</v>
      </c>
      <c r="D218" s="27">
        <v>44614</v>
      </c>
      <c r="E218" s="26">
        <v>2</v>
      </c>
      <c r="F218" s="28" t="s">
        <v>22</v>
      </c>
      <c r="G218" s="8" t="s">
        <v>721</v>
      </c>
      <c r="H218" s="8" t="s">
        <v>1257</v>
      </c>
      <c r="I218" s="8" t="s">
        <v>721</v>
      </c>
      <c r="J218" s="29">
        <v>44616</v>
      </c>
      <c r="K218" s="29">
        <v>44616</v>
      </c>
      <c r="L218" s="30">
        <f t="shared" si="6"/>
        <v>2</v>
      </c>
      <c r="M218" s="8" t="s">
        <v>1910</v>
      </c>
      <c r="N218" s="31" t="s">
        <v>26</v>
      </c>
      <c r="O218" s="4" t="s">
        <v>1308</v>
      </c>
      <c r="P218" s="31" t="s">
        <v>1911</v>
      </c>
      <c r="Q218" s="31" t="str">
        <f t="shared" si="7"/>
        <v>DENTRO DEL TIEMPO</v>
      </c>
      <c r="R218" s="6"/>
    </row>
    <row r="219" spans="1:18" ht="50.25" x14ac:dyDescent="0.25">
      <c r="A219" s="26">
        <v>213</v>
      </c>
      <c r="B219" s="8" t="s">
        <v>1912</v>
      </c>
      <c r="C219" s="27">
        <v>44614</v>
      </c>
      <c r="D219" s="27">
        <v>44614</v>
      </c>
      <c r="E219" s="26">
        <v>2</v>
      </c>
      <c r="F219" s="28" t="s">
        <v>22</v>
      </c>
      <c r="G219" s="8" t="s">
        <v>721</v>
      </c>
      <c r="H219" s="8" t="s">
        <v>1257</v>
      </c>
      <c r="I219" s="8" t="s">
        <v>721</v>
      </c>
      <c r="J219" s="29">
        <v>44616</v>
      </c>
      <c r="K219" s="29">
        <v>44616</v>
      </c>
      <c r="L219" s="30">
        <f t="shared" si="6"/>
        <v>2</v>
      </c>
      <c r="M219" s="8" t="s">
        <v>1913</v>
      </c>
      <c r="N219" s="31" t="s">
        <v>26</v>
      </c>
      <c r="O219" s="4" t="s">
        <v>1914</v>
      </c>
      <c r="P219" s="31" t="s">
        <v>1915</v>
      </c>
      <c r="Q219" s="31" t="str">
        <f t="shared" si="7"/>
        <v>DENTRO DEL TIEMPO</v>
      </c>
      <c r="R219" s="6"/>
    </row>
    <row r="220" spans="1:18" ht="50.25" x14ac:dyDescent="0.25">
      <c r="A220" s="26">
        <v>214</v>
      </c>
      <c r="B220" s="8" t="s">
        <v>1916</v>
      </c>
      <c r="C220" s="27">
        <v>44614</v>
      </c>
      <c r="D220" s="27">
        <v>44614</v>
      </c>
      <c r="E220" s="26">
        <v>2</v>
      </c>
      <c r="F220" s="28" t="s">
        <v>22</v>
      </c>
      <c r="G220" s="8" t="s">
        <v>721</v>
      </c>
      <c r="H220" s="8" t="s">
        <v>1257</v>
      </c>
      <c r="I220" s="8" t="s">
        <v>721</v>
      </c>
      <c r="J220" s="29">
        <v>44616</v>
      </c>
      <c r="K220" s="29">
        <v>44616</v>
      </c>
      <c r="L220" s="30">
        <f t="shared" si="6"/>
        <v>2</v>
      </c>
      <c r="M220" s="8" t="s">
        <v>1917</v>
      </c>
      <c r="N220" s="31" t="s">
        <v>26</v>
      </c>
      <c r="O220" s="4" t="s">
        <v>1918</v>
      </c>
      <c r="P220" s="31" t="s">
        <v>1919</v>
      </c>
      <c r="Q220" s="31" t="str">
        <f t="shared" si="7"/>
        <v>DENTRO DEL TIEMPO</v>
      </c>
      <c r="R220" s="6"/>
    </row>
    <row r="221" spans="1:18" ht="50.25" x14ac:dyDescent="0.25">
      <c r="A221" s="26">
        <v>215</v>
      </c>
      <c r="B221" s="8" t="s">
        <v>1920</v>
      </c>
      <c r="C221" s="27">
        <v>44614</v>
      </c>
      <c r="D221" s="27">
        <v>44614</v>
      </c>
      <c r="E221" s="26">
        <v>2</v>
      </c>
      <c r="F221" s="28" t="s">
        <v>22</v>
      </c>
      <c r="G221" s="8" t="s">
        <v>721</v>
      </c>
      <c r="H221" s="8" t="s">
        <v>1257</v>
      </c>
      <c r="I221" s="8" t="s">
        <v>721</v>
      </c>
      <c r="J221" s="29">
        <v>44616</v>
      </c>
      <c r="K221" s="29">
        <v>44616</v>
      </c>
      <c r="L221" s="30">
        <f t="shared" si="6"/>
        <v>2</v>
      </c>
      <c r="M221" s="8" t="s">
        <v>1921</v>
      </c>
      <c r="N221" s="31" t="s">
        <v>26</v>
      </c>
      <c r="O221" s="4" t="s">
        <v>1922</v>
      </c>
      <c r="P221" s="31" t="s">
        <v>1923</v>
      </c>
      <c r="Q221" s="31" t="str">
        <f t="shared" si="7"/>
        <v>DENTRO DEL TIEMPO</v>
      </c>
      <c r="R221" s="6"/>
    </row>
    <row r="222" spans="1:18" ht="50.25" x14ac:dyDescent="0.25">
      <c r="A222" s="26">
        <v>216</v>
      </c>
      <c r="B222" s="8" t="s">
        <v>1924</v>
      </c>
      <c r="C222" s="27">
        <v>44615</v>
      </c>
      <c r="D222" s="27">
        <v>44615</v>
      </c>
      <c r="E222" s="26">
        <v>2</v>
      </c>
      <c r="F222" s="28" t="s">
        <v>22</v>
      </c>
      <c r="G222" s="8" t="s">
        <v>721</v>
      </c>
      <c r="H222" s="8" t="s">
        <v>1257</v>
      </c>
      <c r="I222" s="8" t="s">
        <v>721</v>
      </c>
      <c r="J222" s="29">
        <v>44616</v>
      </c>
      <c r="K222" s="29">
        <v>44616</v>
      </c>
      <c r="L222" s="30">
        <f t="shared" si="6"/>
        <v>1</v>
      </c>
      <c r="M222" s="8" t="s">
        <v>1925</v>
      </c>
      <c r="N222" s="31" t="s">
        <v>26</v>
      </c>
      <c r="O222" s="4" t="s">
        <v>1926</v>
      </c>
      <c r="P222" s="31" t="s">
        <v>1927</v>
      </c>
      <c r="Q222" s="31" t="str">
        <f t="shared" si="7"/>
        <v>DENTRO DEL TIEMPO</v>
      </c>
      <c r="R222" s="6"/>
    </row>
    <row r="223" spans="1:18" ht="50.25" x14ac:dyDescent="0.25">
      <c r="A223" s="26">
        <v>217</v>
      </c>
      <c r="B223" s="8" t="s">
        <v>1928</v>
      </c>
      <c r="C223" s="27">
        <v>44615</v>
      </c>
      <c r="D223" s="27">
        <v>44615</v>
      </c>
      <c r="E223" s="26">
        <v>2</v>
      </c>
      <c r="F223" s="28" t="s">
        <v>22</v>
      </c>
      <c r="G223" s="8" t="s">
        <v>721</v>
      </c>
      <c r="H223" s="8" t="s">
        <v>1257</v>
      </c>
      <c r="I223" s="8" t="s">
        <v>721</v>
      </c>
      <c r="J223" s="29">
        <v>44616</v>
      </c>
      <c r="K223" s="29">
        <v>44616</v>
      </c>
      <c r="L223" s="30">
        <f t="shared" si="6"/>
        <v>1</v>
      </c>
      <c r="M223" s="8" t="s">
        <v>1929</v>
      </c>
      <c r="N223" s="31" t="s">
        <v>26</v>
      </c>
      <c r="O223" s="4" t="s">
        <v>1930</v>
      </c>
      <c r="P223" s="31" t="s">
        <v>1931</v>
      </c>
      <c r="Q223" s="31" t="str">
        <f t="shared" si="7"/>
        <v>DENTRO DEL TIEMPO</v>
      </c>
      <c r="R223" s="6"/>
    </row>
    <row r="224" spans="1:18" ht="50.25" x14ac:dyDescent="0.25">
      <c r="A224" s="26">
        <v>218</v>
      </c>
      <c r="B224" s="8" t="s">
        <v>1932</v>
      </c>
      <c r="C224" s="27">
        <v>44615</v>
      </c>
      <c r="D224" s="27">
        <v>44615</v>
      </c>
      <c r="E224" s="26">
        <v>2</v>
      </c>
      <c r="F224" s="28" t="s">
        <v>22</v>
      </c>
      <c r="G224" s="8" t="s">
        <v>721</v>
      </c>
      <c r="H224" s="8" t="s">
        <v>1257</v>
      </c>
      <c r="I224" s="8" t="s">
        <v>721</v>
      </c>
      <c r="J224" s="29">
        <v>44616</v>
      </c>
      <c r="K224" s="29">
        <v>44616</v>
      </c>
      <c r="L224" s="30">
        <f t="shared" si="6"/>
        <v>1</v>
      </c>
      <c r="M224" s="8" t="s">
        <v>1933</v>
      </c>
      <c r="N224" s="31" t="s">
        <v>26</v>
      </c>
      <c r="O224" s="4" t="s">
        <v>1622</v>
      </c>
      <c r="P224" s="31" t="s">
        <v>1623</v>
      </c>
      <c r="Q224" s="31" t="str">
        <f t="shared" si="7"/>
        <v>DENTRO DEL TIEMPO</v>
      </c>
      <c r="R224" s="6"/>
    </row>
    <row r="225" spans="1:18" ht="50.25" x14ac:dyDescent="0.25">
      <c r="A225" s="26">
        <v>219</v>
      </c>
      <c r="B225" s="8" t="s">
        <v>1934</v>
      </c>
      <c r="C225" s="27">
        <v>44615</v>
      </c>
      <c r="D225" s="27">
        <v>44615</v>
      </c>
      <c r="E225" s="26">
        <v>2</v>
      </c>
      <c r="F225" s="28" t="s">
        <v>22</v>
      </c>
      <c r="G225" s="8" t="s">
        <v>721</v>
      </c>
      <c r="H225" s="8" t="s">
        <v>1257</v>
      </c>
      <c r="I225" s="8" t="s">
        <v>721</v>
      </c>
      <c r="J225" s="29">
        <v>44617</v>
      </c>
      <c r="K225" s="29">
        <v>44617</v>
      </c>
      <c r="L225" s="30">
        <f t="shared" si="6"/>
        <v>2</v>
      </c>
      <c r="M225" s="8" t="s">
        <v>1935</v>
      </c>
      <c r="N225" s="31" t="s">
        <v>26</v>
      </c>
      <c r="O225" s="4" t="s">
        <v>1622</v>
      </c>
      <c r="P225" s="31" t="s">
        <v>1623</v>
      </c>
      <c r="Q225" s="31" t="str">
        <f t="shared" si="7"/>
        <v>DENTRO DEL TIEMPO</v>
      </c>
      <c r="R225" s="6"/>
    </row>
    <row r="226" spans="1:18" ht="50.25" x14ac:dyDescent="0.25">
      <c r="A226" s="26">
        <v>220</v>
      </c>
      <c r="B226" s="8" t="s">
        <v>1936</v>
      </c>
      <c r="C226" s="27">
        <v>44615</v>
      </c>
      <c r="D226" s="27">
        <v>44615</v>
      </c>
      <c r="E226" s="26">
        <v>2</v>
      </c>
      <c r="F226" s="28" t="s">
        <v>22</v>
      </c>
      <c r="G226" s="8" t="s">
        <v>721</v>
      </c>
      <c r="H226" s="8" t="s">
        <v>1257</v>
      </c>
      <c r="I226" s="8" t="s">
        <v>721</v>
      </c>
      <c r="J226" s="29">
        <v>44623</v>
      </c>
      <c r="K226" s="29">
        <v>44623</v>
      </c>
      <c r="L226" s="30">
        <f t="shared" si="6"/>
        <v>6</v>
      </c>
      <c r="M226" s="8" t="s">
        <v>1937</v>
      </c>
      <c r="N226" s="31" t="s">
        <v>26</v>
      </c>
      <c r="O226" s="4" t="s">
        <v>1938</v>
      </c>
      <c r="P226" s="31" t="s">
        <v>1939</v>
      </c>
      <c r="Q226" s="31" t="str">
        <f t="shared" si="7"/>
        <v>DENTRO DEL TIEMPO</v>
      </c>
      <c r="R226" s="6"/>
    </row>
    <row r="227" spans="1:18" ht="50.25" x14ac:dyDescent="0.25">
      <c r="A227" s="26">
        <v>221</v>
      </c>
      <c r="B227" s="8" t="s">
        <v>1940</v>
      </c>
      <c r="C227" s="27">
        <v>44615</v>
      </c>
      <c r="D227" s="27">
        <v>44615</v>
      </c>
      <c r="E227" s="26">
        <v>2</v>
      </c>
      <c r="F227" s="28" t="s">
        <v>22</v>
      </c>
      <c r="G227" s="8" t="s">
        <v>721</v>
      </c>
      <c r="H227" s="8" t="s">
        <v>1257</v>
      </c>
      <c r="I227" s="8" t="s">
        <v>721</v>
      </c>
      <c r="J227" s="29">
        <v>44617</v>
      </c>
      <c r="K227" s="29">
        <v>44617</v>
      </c>
      <c r="L227" s="30">
        <f t="shared" si="6"/>
        <v>2</v>
      </c>
      <c r="M227" s="8" t="s">
        <v>1941</v>
      </c>
      <c r="N227" s="31" t="s">
        <v>26</v>
      </c>
      <c r="O227" s="4" t="s">
        <v>1942</v>
      </c>
      <c r="P227" s="31" t="s">
        <v>1304</v>
      </c>
      <c r="Q227" s="31" t="str">
        <f t="shared" si="7"/>
        <v>DENTRO DEL TIEMPO</v>
      </c>
      <c r="R227" s="6"/>
    </row>
    <row r="228" spans="1:18" ht="50.25" x14ac:dyDescent="0.25">
      <c r="A228" s="26">
        <v>222</v>
      </c>
      <c r="B228" s="8" t="s">
        <v>1943</v>
      </c>
      <c r="C228" s="27">
        <v>44615</v>
      </c>
      <c r="D228" s="27">
        <v>44615</v>
      </c>
      <c r="E228" s="26">
        <v>2</v>
      </c>
      <c r="F228" s="28" t="s">
        <v>22</v>
      </c>
      <c r="G228" s="8" t="s">
        <v>721</v>
      </c>
      <c r="H228" s="8" t="s">
        <v>1257</v>
      </c>
      <c r="I228" s="8" t="s">
        <v>721</v>
      </c>
      <c r="J228" s="29">
        <v>44617</v>
      </c>
      <c r="K228" s="29">
        <v>44617</v>
      </c>
      <c r="L228" s="30">
        <f t="shared" si="6"/>
        <v>2</v>
      </c>
      <c r="M228" s="8" t="s">
        <v>1944</v>
      </c>
      <c r="N228" s="31" t="s">
        <v>26</v>
      </c>
      <c r="O228" s="4" t="s">
        <v>1945</v>
      </c>
      <c r="P228" s="31" t="s">
        <v>1946</v>
      </c>
      <c r="Q228" s="31" t="str">
        <f t="shared" si="7"/>
        <v>DENTRO DEL TIEMPO</v>
      </c>
      <c r="R228" s="6"/>
    </row>
    <row r="229" spans="1:18" ht="50.25" x14ac:dyDescent="0.25">
      <c r="A229" s="26">
        <v>223</v>
      </c>
      <c r="B229" s="8" t="s">
        <v>1947</v>
      </c>
      <c r="C229" s="27">
        <v>44615</v>
      </c>
      <c r="D229" s="27">
        <v>44615</v>
      </c>
      <c r="E229" s="26">
        <v>2</v>
      </c>
      <c r="F229" s="28" t="s">
        <v>22</v>
      </c>
      <c r="G229" s="8" t="s">
        <v>721</v>
      </c>
      <c r="H229" s="8" t="s">
        <v>1257</v>
      </c>
      <c r="I229" s="8" t="s">
        <v>721</v>
      </c>
      <c r="J229" s="29">
        <v>44617</v>
      </c>
      <c r="K229" s="29">
        <v>44617</v>
      </c>
      <c r="L229" s="30">
        <f t="shared" si="6"/>
        <v>2</v>
      </c>
      <c r="M229" s="8" t="s">
        <v>1948</v>
      </c>
      <c r="N229" s="31" t="s">
        <v>26</v>
      </c>
      <c r="O229" s="4" t="s">
        <v>1949</v>
      </c>
      <c r="P229" s="31" t="s">
        <v>1950</v>
      </c>
      <c r="Q229" s="31" t="str">
        <f t="shared" si="7"/>
        <v>DENTRO DEL TIEMPO</v>
      </c>
      <c r="R229" s="6"/>
    </row>
    <row r="230" spans="1:18" ht="50.25" x14ac:dyDescent="0.25">
      <c r="A230" s="26">
        <v>224</v>
      </c>
      <c r="B230" s="8" t="s">
        <v>1951</v>
      </c>
      <c r="C230" s="27">
        <v>44615</v>
      </c>
      <c r="D230" s="27">
        <v>44615</v>
      </c>
      <c r="E230" s="26">
        <v>2</v>
      </c>
      <c r="F230" s="28" t="s">
        <v>22</v>
      </c>
      <c r="G230" s="8" t="s">
        <v>721</v>
      </c>
      <c r="H230" s="8" t="s">
        <v>1257</v>
      </c>
      <c r="I230" s="8" t="s">
        <v>721</v>
      </c>
      <c r="J230" s="29">
        <v>44617</v>
      </c>
      <c r="K230" s="29">
        <v>44617</v>
      </c>
      <c r="L230" s="30">
        <f t="shared" si="6"/>
        <v>2</v>
      </c>
      <c r="M230" s="8" t="s">
        <v>1952</v>
      </c>
      <c r="N230" s="31" t="s">
        <v>26</v>
      </c>
      <c r="O230" s="4" t="s">
        <v>1953</v>
      </c>
      <c r="P230" s="31" t="s">
        <v>1954</v>
      </c>
      <c r="Q230" s="31" t="str">
        <f t="shared" si="7"/>
        <v>DENTRO DEL TIEMPO</v>
      </c>
      <c r="R230" s="6"/>
    </row>
    <row r="231" spans="1:18" ht="50.25" x14ac:dyDescent="0.25">
      <c r="A231" s="26">
        <v>225</v>
      </c>
      <c r="B231" s="8" t="s">
        <v>1955</v>
      </c>
      <c r="C231" s="27">
        <v>44615</v>
      </c>
      <c r="D231" s="27">
        <v>44615</v>
      </c>
      <c r="E231" s="26">
        <v>2</v>
      </c>
      <c r="F231" s="28" t="s">
        <v>22</v>
      </c>
      <c r="G231" s="8" t="s">
        <v>721</v>
      </c>
      <c r="H231" s="8" t="s">
        <v>1257</v>
      </c>
      <c r="I231" s="8" t="s">
        <v>721</v>
      </c>
      <c r="J231" s="29">
        <v>44617</v>
      </c>
      <c r="K231" s="29">
        <v>44617</v>
      </c>
      <c r="L231" s="30">
        <f t="shared" si="6"/>
        <v>2</v>
      </c>
      <c r="M231" s="8" t="s">
        <v>1956</v>
      </c>
      <c r="N231" s="31" t="s">
        <v>26</v>
      </c>
      <c r="O231" s="4" t="s">
        <v>106</v>
      </c>
      <c r="P231" s="31" t="s">
        <v>1716</v>
      </c>
      <c r="Q231" s="31" t="str">
        <f t="shared" si="7"/>
        <v>DENTRO DEL TIEMPO</v>
      </c>
      <c r="R231" s="6"/>
    </row>
    <row r="232" spans="1:18" ht="50.25" hidden="1" x14ac:dyDescent="0.25">
      <c r="A232" s="26">
        <v>226</v>
      </c>
      <c r="B232" s="8" t="s">
        <v>1957</v>
      </c>
      <c r="C232" s="27">
        <v>44615</v>
      </c>
      <c r="D232" s="27">
        <v>44615</v>
      </c>
      <c r="E232" s="26">
        <v>2</v>
      </c>
      <c r="F232" s="28" t="s">
        <v>790</v>
      </c>
      <c r="G232" s="8" t="s">
        <v>1958</v>
      </c>
      <c r="H232" s="8" t="s">
        <v>1257</v>
      </c>
      <c r="I232" s="8" t="s">
        <v>1958</v>
      </c>
      <c r="J232" s="29">
        <v>44623</v>
      </c>
      <c r="K232" s="29">
        <v>44623</v>
      </c>
      <c r="L232" s="30">
        <f t="shared" si="6"/>
        <v>6</v>
      </c>
      <c r="M232" s="8" t="s">
        <v>1959</v>
      </c>
      <c r="N232" s="31" t="s">
        <v>26</v>
      </c>
      <c r="O232" s="4" t="s">
        <v>1960</v>
      </c>
      <c r="P232" s="31" t="s">
        <v>1480</v>
      </c>
      <c r="Q232" s="31" t="str">
        <f t="shared" si="7"/>
        <v>DENTRO DEL TIEMPO</v>
      </c>
      <c r="R232" s="6"/>
    </row>
    <row r="233" spans="1:18" ht="50.25" x14ac:dyDescent="0.25">
      <c r="A233" s="26">
        <v>227</v>
      </c>
      <c r="B233" s="8" t="s">
        <v>1961</v>
      </c>
      <c r="C233" s="27">
        <v>44615</v>
      </c>
      <c r="D233" s="27">
        <v>44615</v>
      </c>
      <c r="E233" s="26">
        <v>2</v>
      </c>
      <c r="F233" s="28" t="s">
        <v>22</v>
      </c>
      <c r="G233" s="8" t="s">
        <v>721</v>
      </c>
      <c r="H233" s="8" t="s">
        <v>1257</v>
      </c>
      <c r="I233" s="8" t="s">
        <v>721</v>
      </c>
      <c r="J233" s="29">
        <v>44617</v>
      </c>
      <c r="K233" s="29">
        <v>44617</v>
      </c>
      <c r="L233" s="30">
        <f t="shared" si="6"/>
        <v>2</v>
      </c>
      <c r="M233" s="8" t="s">
        <v>1962</v>
      </c>
      <c r="N233" s="31" t="s">
        <v>26</v>
      </c>
      <c r="O233" s="4" t="s">
        <v>1963</v>
      </c>
      <c r="P233" s="31" t="s">
        <v>1964</v>
      </c>
      <c r="Q233" s="31" t="str">
        <f t="shared" si="7"/>
        <v>DENTRO DEL TIEMPO</v>
      </c>
      <c r="R233" s="6"/>
    </row>
    <row r="234" spans="1:18" ht="50.25" x14ac:dyDescent="0.25">
      <c r="A234" s="26">
        <v>228</v>
      </c>
      <c r="B234" s="8" t="s">
        <v>1965</v>
      </c>
      <c r="C234" s="27">
        <v>44615</v>
      </c>
      <c r="D234" s="27">
        <v>44615</v>
      </c>
      <c r="E234" s="26">
        <v>2</v>
      </c>
      <c r="F234" s="28" t="s">
        <v>22</v>
      </c>
      <c r="G234" s="8" t="s">
        <v>721</v>
      </c>
      <c r="H234" s="8" t="s">
        <v>1257</v>
      </c>
      <c r="I234" s="8" t="s">
        <v>721</v>
      </c>
      <c r="J234" s="29">
        <v>44617</v>
      </c>
      <c r="K234" s="29">
        <v>44617</v>
      </c>
      <c r="L234" s="30">
        <f t="shared" si="6"/>
        <v>2</v>
      </c>
      <c r="M234" s="8" t="s">
        <v>1966</v>
      </c>
      <c r="N234" s="31" t="s">
        <v>26</v>
      </c>
      <c r="O234" s="4" t="s">
        <v>257</v>
      </c>
      <c r="P234" s="31" t="s">
        <v>1404</v>
      </c>
      <c r="Q234" s="31" t="str">
        <f t="shared" si="7"/>
        <v>DENTRO DEL TIEMPO</v>
      </c>
      <c r="R234" s="6"/>
    </row>
    <row r="235" spans="1:18" ht="50.25" x14ac:dyDescent="0.25">
      <c r="A235" s="26">
        <v>229</v>
      </c>
      <c r="B235" s="8" t="s">
        <v>1967</v>
      </c>
      <c r="C235" s="27">
        <v>44615</v>
      </c>
      <c r="D235" s="27">
        <v>44615</v>
      </c>
      <c r="E235" s="26">
        <v>2</v>
      </c>
      <c r="F235" s="28" t="s">
        <v>22</v>
      </c>
      <c r="G235" s="8" t="s">
        <v>721</v>
      </c>
      <c r="H235" s="8" t="s">
        <v>1257</v>
      </c>
      <c r="I235" s="8" t="s">
        <v>721</v>
      </c>
      <c r="J235" s="29">
        <v>44617</v>
      </c>
      <c r="K235" s="29">
        <v>44617</v>
      </c>
      <c r="L235" s="30">
        <f t="shared" si="6"/>
        <v>2</v>
      </c>
      <c r="M235" s="8" t="s">
        <v>1968</v>
      </c>
      <c r="N235" s="31" t="s">
        <v>26</v>
      </c>
      <c r="O235" s="4" t="s">
        <v>257</v>
      </c>
      <c r="P235" s="31" t="s">
        <v>1404</v>
      </c>
      <c r="Q235" s="31" t="str">
        <f t="shared" si="7"/>
        <v>DENTRO DEL TIEMPO</v>
      </c>
      <c r="R235" s="6"/>
    </row>
    <row r="236" spans="1:18" ht="50.25" x14ac:dyDescent="0.25">
      <c r="A236" s="26">
        <v>230</v>
      </c>
      <c r="B236" s="8" t="s">
        <v>1969</v>
      </c>
      <c r="C236" s="27">
        <v>44615</v>
      </c>
      <c r="D236" s="27">
        <v>44615</v>
      </c>
      <c r="E236" s="26">
        <v>2</v>
      </c>
      <c r="F236" s="28" t="s">
        <v>22</v>
      </c>
      <c r="G236" s="8" t="s">
        <v>721</v>
      </c>
      <c r="H236" s="8" t="s">
        <v>1257</v>
      </c>
      <c r="I236" s="8" t="s">
        <v>721</v>
      </c>
      <c r="J236" s="29">
        <v>44617</v>
      </c>
      <c r="K236" s="29">
        <v>44617</v>
      </c>
      <c r="L236" s="30">
        <f t="shared" si="6"/>
        <v>2</v>
      </c>
      <c r="M236" s="8" t="s">
        <v>1970</v>
      </c>
      <c r="N236" s="31" t="s">
        <v>26</v>
      </c>
      <c r="O236" s="4" t="s">
        <v>257</v>
      </c>
      <c r="P236" s="31" t="s">
        <v>1404</v>
      </c>
      <c r="Q236" s="31" t="str">
        <f t="shared" si="7"/>
        <v>DENTRO DEL TIEMPO</v>
      </c>
      <c r="R236" s="6"/>
    </row>
    <row r="237" spans="1:18" ht="50.25" x14ac:dyDescent="0.25">
      <c r="A237" s="26">
        <v>231</v>
      </c>
      <c r="B237" s="8" t="s">
        <v>1971</v>
      </c>
      <c r="C237" s="27">
        <v>44615</v>
      </c>
      <c r="D237" s="27">
        <v>44615</v>
      </c>
      <c r="E237" s="26">
        <v>2</v>
      </c>
      <c r="F237" s="28" t="s">
        <v>22</v>
      </c>
      <c r="G237" s="8" t="s">
        <v>721</v>
      </c>
      <c r="H237" s="8" t="s">
        <v>1257</v>
      </c>
      <c r="I237" s="8" t="s">
        <v>721</v>
      </c>
      <c r="J237" s="29">
        <v>44617</v>
      </c>
      <c r="K237" s="29">
        <v>44617</v>
      </c>
      <c r="L237" s="30">
        <f t="shared" si="6"/>
        <v>2</v>
      </c>
      <c r="M237" s="8" t="s">
        <v>1972</v>
      </c>
      <c r="N237" s="31" t="s">
        <v>26</v>
      </c>
      <c r="O237" s="4" t="s">
        <v>257</v>
      </c>
      <c r="P237" s="31" t="s">
        <v>1404</v>
      </c>
      <c r="Q237" s="31" t="str">
        <f t="shared" si="7"/>
        <v>DENTRO DEL TIEMPO</v>
      </c>
      <c r="R237" s="6"/>
    </row>
    <row r="238" spans="1:18" ht="50.25" x14ac:dyDescent="0.25">
      <c r="A238" s="26">
        <v>232</v>
      </c>
      <c r="B238" s="8" t="s">
        <v>1973</v>
      </c>
      <c r="C238" s="27">
        <v>44615</v>
      </c>
      <c r="D238" s="27">
        <v>44615</v>
      </c>
      <c r="E238" s="26">
        <v>2</v>
      </c>
      <c r="F238" s="28" t="s">
        <v>22</v>
      </c>
      <c r="G238" s="8" t="s">
        <v>721</v>
      </c>
      <c r="H238" s="8" t="s">
        <v>1257</v>
      </c>
      <c r="I238" s="8" t="s">
        <v>721</v>
      </c>
      <c r="J238" s="29">
        <v>44617</v>
      </c>
      <c r="K238" s="29">
        <v>44617</v>
      </c>
      <c r="L238" s="30">
        <f t="shared" si="6"/>
        <v>2</v>
      </c>
      <c r="M238" s="8" t="s">
        <v>1974</v>
      </c>
      <c r="N238" s="31" t="s">
        <v>26</v>
      </c>
      <c r="O238" s="4" t="s">
        <v>633</v>
      </c>
      <c r="P238" s="31" t="s">
        <v>1975</v>
      </c>
      <c r="Q238" s="31" t="str">
        <f t="shared" si="7"/>
        <v>DENTRO DEL TIEMPO</v>
      </c>
      <c r="R238" s="6"/>
    </row>
    <row r="239" spans="1:18" ht="50.25" x14ac:dyDescent="0.25">
      <c r="A239" s="26">
        <v>233</v>
      </c>
      <c r="B239" s="8" t="s">
        <v>1976</v>
      </c>
      <c r="C239" s="27">
        <v>44615</v>
      </c>
      <c r="D239" s="27">
        <v>44615</v>
      </c>
      <c r="E239" s="26">
        <v>2</v>
      </c>
      <c r="F239" s="28" t="s">
        <v>22</v>
      </c>
      <c r="G239" s="8" t="s">
        <v>721</v>
      </c>
      <c r="H239" s="8" t="s">
        <v>1257</v>
      </c>
      <c r="I239" s="8" t="s">
        <v>721</v>
      </c>
      <c r="J239" s="29">
        <v>44617</v>
      </c>
      <c r="K239" s="29">
        <v>44617</v>
      </c>
      <c r="L239" s="30">
        <f t="shared" si="6"/>
        <v>2</v>
      </c>
      <c r="M239" s="8" t="s">
        <v>1977</v>
      </c>
      <c r="N239" s="31" t="s">
        <v>26</v>
      </c>
      <c r="O239" s="4" t="s">
        <v>633</v>
      </c>
      <c r="P239" s="31" t="s">
        <v>1975</v>
      </c>
      <c r="Q239" s="31" t="str">
        <f t="shared" si="7"/>
        <v>DENTRO DEL TIEMPO</v>
      </c>
      <c r="R239" s="6"/>
    </row>
    <row r="240" spans="1:18" ht="50.25" x14ac:dyDescent="0.25">
      <c r="A240" s="26">
        <v>234</v>
      </c>
      <c r="B240" s="8" t="s">
        <v>1978</v>
      </c>
      <c r="C240" s="27">
        <v>44615</v>
      </c>
      <c r="D240" s="27">
        <v>44615</v>
      </c>
      <c r="E240" s="26">
        <v>2</v>
      </c>
      <c r="F240" s="28" t="s">
        <v>22</v>
      </c>
      <c r="G240" s="8" t="s">
        <v>721</v>
      </c>
      <c r="H240" s="8" t="s">
        <v>1257</v>
      </c>
      <c r="I240" s="8" t="s">
        <v>721</v>
      </c>
      <c r="J240" s="29">
        <v>44617</v>
      </c>
      <c r="K240" s="29">
        <v>44617</v>
      </c>
      <c r="L240" s="30">
        <f t="shared" si="6"/>
        <v>2</v>
      </c>
      <c r="M240" s="8" t="s">
        <v>1979</v>
      </c>
      <c r="N240" s="31" t="s">
        <v>26</v>
      </c>
      <c r="O240" s="4" t="s">
        <v>633</v>
      </c>
      <c r="P240" s="31" t="s">
        <v>1975</v>
      </c>
      <c r="Q240" s="31" t="str">
        <f t="shared" si="7"/>
        <v>DENTRO DEL TIEMPO</v>
      </c>
      <c r="R240" s="6"/>
    </row>
    <row r="241" spans="1:18" ht="50.25" x14ac:dyDescent="0.25">
      <c r="A241" s="26">
        <v>235</v>
      </c>
      <c r="B241" s="8" t="s">
        <v>1980</v>
      </c>
      <c r="C241" s="27">
        <v>44615</v>
      </c>
      <c r="D241" s="27">
        <v>44615</v>
      </c>
      <c r="E241" s="26">
        <v>2</v>
      </c>
      <c r="F241" s="28" t="s">
        <v>22</v>
      </c>
      <c r="G241" s="8" t="s">
        <v>721</v>
      </c>
      <c r="H241" s="8" t="s">
        <v>1257</v>
      </c>
      <c r="I241" s="8" t="s">
        <v>721</v>
      </c>
      <c r="J241" s="29">
        <v>44617</v>
      </c>
      <c r="K241" s="29">
        <v>44617</v>
      </c>
      <c r="L241" s="30">
        <f t="shared" si="6"/>
        <v>2</v>
      </c>
      <c r="M241" s="8" t="s">
        <v>1981</v>
      </c>
      <c r="N241" s="31" t="s">
        <v>26</v>
      </c>
      <c r="O241" s="4" t="s">
        <v>1622</v>
      </c>
      <c r="P241" s="31" t="s">
        <v>1623</v>
      </c>
      <c r="Q241" s="31" t="str">
        <f t="shared" si="7"/>
        <v>DENTRO DEL TIEMPO</v>
      </c>
      <c r="R241" s="6"/>
    </row>
    <row r="242" spans="1:18" ht="50.25" x14ac:dyDescent="0.25">
      <c r="A242" s="26">
        <v>236</v>
      </c>
      <c r="B242" s="8" t="s">
        <v>1982</v>
      </c>
      <c r="C242" s="27">
        <v>44615</v>
      </c>
      <c r="D242" s="27">
        <v>44615</v>
      </c>
      <c r="E242" s="26">
        <v>2</v>
      </c>
      <c r="F242" s="28" t="s">
        <v>22</v>
      </c>
      <c r="G242" s="8" t="s">
        <v>721</v>
      </c>
      <c r="H242" s="8" t="s">
        <v>1257</v>
      </c>
      <c r="I242" s="8" t="s">
        <v>721</v>
      </c>
      <c r="J242" s="29">
        <v>44617</v>
      </c>
      <c r="K242" s="29">
        <v>44617</v>
      </c>
      <c r="L242" s="30">
        <f t="shared" si="6"/>
        <v>2</v>
      </c>
      <c r="M242" s="8" t="s">
        <v>1983</v>
      </c>
      <c r="N242" s="31" t="s">
        <v>26</v>
      </c>
      <c r="O242" s="4" t="s">
        <v>257</v>
      </c>
      <c r="P242" s="31" t="s">
        <v>1404</v>
      </c>
      <c r="Q242" s="31" t="str">
        <f t="shared" si="7"/>
        <v>DENTRO DEL TIEMPO</v>
      </c>
      <c r="R242" s="6"/>
    </row>
    <row r="243" spans="1:18" ht="50.25" x14ac:dyDescent="0.25">
      <c r="A243" s="26">
        <v>237</v>
      </c>
      <c r="B243" s="8" t="s">
        <v>1984</v>
      </c>
      <c r="C243" s="27">
        <v>44615</v>
      </c>
      <c r="D243" s="27">
        <v>44615</v>
      </c>
      <c r="E243" s="26">
        <v>2</v>
      </c>
      <c r="F243" s="28" t="s">
        <v>22</v>
      </c>
      <c r="G243" s="8" t="s">
        <v>721</v>
      </c>
      <c r="H243" s="8" t="s">
        <v>1257</v>
      </c>
      <c r="I243" s="8" t="s">
        <v>721</v>
      </c>
      <c r="J243" s="29">
        <v>44617</v>
      </c>
      <c r="K243" s="29">
        <v>44617</v>
      </c>
      <c r="L243" s="30">
        <f t="shared" si="6"/>
        <v>2</v>
      </c>
      <c r="M243" s="8" t="s">
        <v>1985</v>
      </c>
      <c r="N243" s="31" t="s">
        <v>26</v>
      </c>
      <c r="O243" s="4" t="s">
        <v>257</v>
      </c>
      <c r="P243" s="31" t="s">
        <v>1404</v>
      </c>
      <c r="Q243" s="31" t="str">
        <f t="shared" si="7"/>
        <v>DENTRO DEL TIEMPO</v>
      </c>
      <c r="R243" s="6"/>
    </row>
    <row r="244" spans="1:18" ht="50.25" x14ac:dyDescent="0.25">
      <c r="A244" s="26">
        <v>238</v>
      </c>
      <c r="B244" s="8" t="s">
        <v>1986</v>
      </c>
      <c r="C244" s="27">
        <v>44616</v>
      </c>
      <c r="D244" s="27">
        <v>44616</v>
      </c>
      <c r="E244" s="26">
        <v>2</v>
      </c>
      <c r="F244" s="28" t="s">
        <v>22</v>
      </c>
      <c r="G244" s="8" t="s">
        <v>721</v>
      </c>
      <c r="H244" s="8" t="s">
        <v>1257</v>
      </c>
      <c r="I244" s="8" t="s">
        <v>721</v>
      </c>
      <c r="J244" s="29">
        <v>44617</v>
      </c>
      <c r="K244" s="29">
        <v>44617</v>
      </c>
      <c r="L244" s="30">
        <f t="shared" si="6"/>
        <v>1</v>
      </c>
      <c r="M244" s="8" t="s">
        <v>1987</v>
      </c>
      <c r="N244" s="31" t="s">
        <v>26</v>
      </c>
      <c r="O244" s="4" t="s">
        <v>257</v>
      </c>
      <c r="P244" s="31" t="s">
        <v>1404</v>
      </c>
      <c r="Q244" s="31" t="str">
        <f t="shared" si="7"/>
        <v>DENTRO DEL TIEMPO</v>
      </c>
      <c r="R244" s="6"/>
    </row>
    <row r="245" spans="1:18" ht="50.25" x14ac:dyDescent="0.25">
      <c r="A245" s="26">
        <v>239</v>
      </c>
      <c r="B245" s="8" t="s">
        <v>1988</v>
      </c>
      <c r="C245" s="27">
        <v>44616</v>
      </c>
      <c r="D245" s="27">
        <v>44616</v>
      </c>
      <c r="E245" s="26">
        <v>2</v>
      </c>
      <c r="F245" s="28" t="s">
        <v>22</v>
      </c>
      <c r="G245" s="8" t="s">
        <v>721</v>
      </c>
      <c r="H245" s="8" t="s">
        <v>1257</v>
      </c>
      <c r="I245" s="8" t="s">
        <v>721</v>
      </c>
      <c r="J245" s="29">
        <v>44617</v>
      </c>
      <c r="K245" s="29">
        <v>44617</v>
      </c>
      <c r="L245" s="30">
        <f t="shared" si="6"/>
        <v>1</v>
      </c>
      <c r="M245" s="8" t="s">
        <v>1989</v>
      </c>
      <c r="N245" s="31" t="s">
        <v>26</v>
      </c>
      <c r="O245" s="4" t="s">
        <v>257</v>
      </c>
      <c r="P245" s="31" t="s">
        <v>1404</v>
      </c>
      <c r="Q245" s="31" t="str">
        <f t="shared" si="7"/>
        <v>DENTRO DEL TIEMPO</v>
      </c>
      <c r="R245" s="6"/>
    </row>
    <row r="246" spans="1:18" ht="50.25" x14ac:dyDescent="0.25">
      <c r="A246" s="26">
        <v>240</v>
      </c>
      <c r="B246" s="8" t="s">
        <v>1990</v>
      </c>
      <c r="C246" s="27">
        <v>44616</v>
      </c>
      <c r="D246" s="27">
        <v>44616</v>
      </c>
      <c r="E246" s="26">
        <v>2</v>
      </c>
      <c r="F246" s="28" t="s">
        <v>22</v>
      </c>
      <c r="G246" s="8" t="s">
        <v>721</v>
      </c>
      <c r="H246" s="8" t="s">
        <v>1257</v>
      </c>
      <c r="I246" s="8" t="s">
        <v>721</v>
      </c>
      <c r="J246" s="29">
        <v>44617</v>
      </c>
      <c r="K246" s="29">
        <v>44617</v>
      </c>
      <c r="L246" s="30">
        <f t="shared" si="6"/>
        <v>1</v>
      </c>
      <c r="M246" s="8" t="s">
        <v>1991</v>
      </c>
      <c r="N246" s="31" t="s">
        <v>26</v>
      </c>
      <c r="O246" s="4" t="s">
        <v>257</v>
      </c>
      <c r="P246" s="31" t="s">
        <v>1404</v>
      </c>
      <c r="Q246" s="31" t="str">
        <f t="shared" si="7"/>
        <v>DENTRO DEL TIEMPO</v>
      </c>
      <c r="R246" s="6"/>
    </row>
    <row r="247" spans="1:18" ht="50.25" x14ac:dyDescent="0.25">
      <c r="A247" s="26">
        <v>241</v>
      </c>
      <c r="B247" s="8" t="s">
        <v>1992</v>
      </c>
      <c r="C247" s="27">
        <v>44616</v>
      </c>
      <c r="D247" s="27">
        <v>44616</v>
      </c>
      <c r="E247" s="26">
        <v>2</v>
      </c>
      <c r="F247" s="28" t="s">
        <v>22</v>
      </c>
      <c r="G247" s="8" t="s">
        <v>721</v>
      </c>
      <c r="H247" s="8" t="s">
        <v>1257</v>
      </c>
      <c r="I247" s="8" t="s">
        <v>721</v>
      </c>
      <c r="J247" s="29">
        <v>44617</v>
      </c>
      <c r="K247" s="29">
        <v>44617</v>
      </c>
      <c r="L247" s="30">
        <f t="shared" si="6"/>
        <v>1</v>
      </c>
      <c r="M247" s="8" t="s">
        <v>1993</v>
      </c>
      <c r="N247" s="31" t="s">
        <v>26</v>
      </c>
      <c r="O247" s="4" t="s">
        <v>257</v>
      </c>
      <c r="P247" s="31" t="s">
        <v>1404</v>
      </c>
      <c r="Q247" s="31" t="str">
        <f t="shared" si="7"/>
        <v>DENTRO DEL TIEMPO</v>
      </c>
      <c r="R247" s="6"/>
    </row>
    <row r="248" spans="1:18" ht="50.25" x14ac:dyDescent="0.25">
      <c r="A248" s="26">
        <v>242</v>
      </c>
      <c r="B248" s="8" t="s">
        <v>1994</v>
      </c>
      <c r="C248" s="27">
        <v>44616</v>
      </c>
      <c r="D248" s="27">
        <v>44616</v>
      </c>
      <c r="E248" s="26">
        <v>2</v>
      </c>
      <c r="F248" s="28" t="s">
        <v>22</v>
      </c>
      <c r="G248" s="8" t="s">
        <v>721</v>
      </c>
      <c r="H248" s="8" t="s">
        <v>1257</v>
      </c>
      <c r="I248" s="8" t="s">
        <v>721</v>
      </c>
      <c r="J248" s="29">
        <v>44616</v>
      </c>
      <c r="K248" s="29">
        <v>44616</v>
      </c>
      <c r="L248" s="30">
        <f t="shared" si="6"/>
        <v>0</v>
      </c>
      <c r="M248" s="8" t="s">
        <v>1995</v>
      </c>
      <c r="N248" s="31" t="s">
        <v>26</v>
      </c>
      <c r="O248" s="4" t="s">
        <v>1454</v>
      </c>
      <c r="P248" s="31" t="s">
        <v>1996</v>
      </c>
      <c r="Q248" s="31" t="str">
        <f t="shared" si="7"/>
        <v>DENTRO DEL TIEMPO</v>
      </c>
      <c r="R248" s="6"/>
    </row>
    <row r="249" spans="1:18" ht="50.25" x14ac:dyDescent="0.25">
      <c r="A249" s="26">
        <v>243</v>
      </c>
      <c r="B249" s="8" t="s">
        <v>1997</v>
      </c>
      <c r="C249" s="27">
        <v>44616</v>
      </c>
      <c r="D249" s="27">
        <v>44616</v>
      </c>
      <c r="E249" s="26">
        <v>2</v>
      </c>
      <c r="F249" s="28" t="s">
        <v>22</v>
      </c>
      <c r="G249" s="8" t="s">
        <v>721</v>
      </c>
      <c r="H249" s="8" t="s">
        <v>1257</v>
      </c>
      <c r="I249" s="8" t="s">
        <v>721</v>
      </c>
      <c r="J249" s="29">
        <v>44623</v>
      </c>
      <c r="K249" s="29">
        <v>44623</v>
      </c>
      <c r="L249" s="30">
        <f t="shared" si="6"/>
        <v>5</v>
      </c>
      <c r="M249" s="8" t="s">
        <v>1998</v>
      </c>
      <c r="N249" s="31" t="s">
        <v>26</v>
      </c>
      <c r="O249" s="4" t="s">
        <v>131</v>
      </c>
      <c r="P249" s="31" t="s">
        <v>1999</v>
      </c>
      <c r="Q249" s="31" t="str">
        <f t="shared" si="7"/>
        <v>DENTRO DEL TIEMPO</v>
      </c>
      <c r="R249" s="6"/>
    </row>
    <row r="250" spans="1:18" ht="50.25" x14ac:dyDescent="0.25">
      <c r="A250" s="26">
        <v>244</v>
      </c>
      <c r="B250" s="8" t="s">
        <v>2000</v>
      </c>
      <c r="C250" s="27">
        <v>44616</v>
      </c>
      <c r="D250" s="27">
        <v>44616</v>
      </c>
      <c r="E250" s="26">
        <v>2</v>
      </c>
      <c r="F250" s="28" t="s">
        <v>22</v>
      </c>
      <c r="G250" s="8" t="s">
        <v>721</v>
      </c>
      <c r="H250" s="8" t="s">
        <v>1257</v>
      </c>
      <c r="I250" s="8" t="s">
        <v>721</v>
      </c>
      <c r="J250" s="29">
        <v>44624</v>
      </c>
      <c r="K250" s="29">
        <v>44624</v>
      </c>
      <c r="L250" s="30">
        <f t="shared" si="6"/>
        <v>6</v>
      </c>
      <c r="M250" s="8" t="s">
        <v>2001</v>
      </c>
      <c r="N250" s="31" t="s">
        <v>26</v>
      </c>
      <c r="O250" s="4" t="s">
        <v>121</v>
      </c>
      <c r="P250" s="31" t="s">
        <v>1354</v>
      </c>
      <c r="Q250" s="31" t="str">
        <f t="shared" si="7"/>
        <v>DENTRO DEL TIEMPO</v>
      </c>
      <c r="R250" s="6"/>
    </row>
    <row r="251" spans="1:18" ht="50.25" x14ac:dyDescent="0.25">
      <c r="A251" s="26">
        <v>245</v>
      </c>
      <c r="B251" s="8" t="s">
        <v>2002</v>
      </c>
      <c r="C251" s="27">
        <v>44616</v>
      </c>
      <c r="D251" s="27">
        <v>44616</v>
      </c>
      <c r="E251" s="26">
        <v>2</v>
      </c>
      <c r="F251" s="28" t="s">
        <v>22</v>
      </c>
      <c r="G251" s="8" t="s">
        <v>721</v>
      </c>
      <c r="H251" s="8" t="s">
        <v>1257</v>
      </c>
      <c r="I251" s="8" t="s">
        <v>721</v>
      </c>
      <c r="J251" s="29">
        <v>44623</v>
      </c>
      <c r="K251" s="29">
        <v>44623</v>
      </c>
      <c r="L251" s="30">
        <f t="shared" si="6"/>
        <v>5</v>
      </c>
      <c r="M251" s="8" t="s">
        <v>2003</v>
      </c>
      <c r="N251" s="31" t="s">
        <v>26</v>
      </c>
      <c r="O251" s="4" t="s">
        <v>2004</v>
      </c>
      <c r="P251" s="31" t="s">
        <v>2005</v>
      </c>
      <c r="Q251" s="31" t="str">
        <f t="shared" si="7"/>
        <v>DENTRO DEL TIEMPO</v>
      </c>
      <c r="R251" s="6"/>
    </row>
    <row r="252" spans="1:18" ht="50.25" x14ac:dyDescent="0.25">
      <c r="A252" s="26">
        <v>246</v>
      </c>
      <c r="B252" s="8" t="s">
        <v>2006</v>
      </c>
      <c r="C252" s="27">
        <v>44616</v>
      </c>
      <c r="D252" s="27">
        <v>44616</v>
      </c>
      <c r="E252" s="26">
        <v>2</v>
      </c>
      <c r="F252" s="28" t="s">
        <v>22</v>
      </c>
      <c r="G252" s="8" t="s">
        <v>721</v>
      </c>
      <c r="H252" s="8" t="s">
        <v>1257</v>
      </c>
      <c r="I252" s="8" t="s">
        <v>721</v>
      </c>
      <c r="J252" s="29">
        <v>44623</v>
      </c>
      <c r="K252" s="29">
        <v>44623</v>
      </c>
      <c r="L252" s="30">
        <f t="shared" si="6"/>
        <v>5</v>
      </c>
      <c r="M252" s="8" t="s">
        <v>2007</v>
      </c>
      <c r="N252" s="31" t="s">
        <v>26</v>
      </c>
      <c r="O252" s="4" t="s">
        <v>2008</v>
      </c>
      <c r="P252" s="31" t="s">
        <v>1541</v>
      </c>
      <c r="Q252" s="31" t="str">
        <f t="shared" si="7"/>
        <v>DENTRO DEL TIEMPO</v>
      </c>
      <c r="R252" s="6"/>
    </row>
    <row r="253" spans="1:18" ht="50.25" x14ac:dyDescent="0.25">
      <c r="A253" s="26">
        <v>247</v>
      </c>
      <c r="B253" s="8" t="s">
        <v>2009</v>
      </c>
      <c r="C253" s="27">
        <v>44616</v>
      </c>
      <c r="D253" s="27">
        <v>44616</v>
      </c>
      <c r="E253" s="26">
        <v>2</v>
      </c>
      <c r="F253" s="28" t="s">
        <v>22</v>
      </c>
      <c r="G253" s="8" t="s">
        <v>721</v>
      </c>
      <c r="H253" s="8" t="s">
        <v>1257</v>
      </c>
      <c r="I253" s="8" t="s">
        <v>721</v>
      </c>
      <c r="J253" s="29">
        <v>44623</v>
      </c>
      <c r="K253" s="29">
        <v>44623</v>
      </c>
      <c r="L253" s="30">
        <f t="shared" si="6"/>
        <v>5</v>
      </c>
      <c r="M253" s="8" t="s">
        <v>2010</v>
      </c>
      <c r="N253" s="31" t="s">
        <v>26</v>
      </c>
      <c r="O253" s="4" t="s">
        <v>2011</v>
      </c>
      <c r="P253" s="31" t="s">
        <v>1927</v>
      </c>
      <c r="Q253" s="31" t="str">
        <f t="shared" si="7"/>
        <v>DENTRO DEL TIEMPO</v>
      </c>
      <c r="R253" s="6"/>
    </row>
    <row r="254" spans="1:18" ht="50.25" x14ac:dyDescent="0.25">
      <c r="A254" s="26">
        <v>248</v>
      </c>
      <c r="B254" s="8" t="s">
        <v>2012</v>
      </c>
      <c r="C254" s="27">
        <v>44616</v>
      </c>
      <c r="D254" s="27">
        <v>44616</v>
      </c>
      <c r="E254" s="26">
        <v>2</v>
      </c>
      <c r="F254" s="28" t="s">
        <v>22</v>
      </c>
      <c r="G254" s="8" t="s">
        <v>721</v>
      </c>
      <c r="H254" s="8" t="s">
        <v>1257</v>
      </c>
      <c r="I254" s="8" t="s">
        <v>721</v>
      </c>
      <c r="J254" s="29">
        <v>44623</v>
      </c>
      <c r="K254" s="29">
        <v>44623</v>
      </c>
      <c r="L254" s="30">
        <f t="shared" si="6"/>
        <v>5</v>
      </c>
      <c r="M254" s="8" t="s">
        <v>2013</v>
      </c>
      <c r="N254" s="31" t="s">
        <v>26</v>
      </c>
      <c r="O254" s="4" t="s">
        <v>2014</v>
      </c>
      <c r="P254" s="31" t="s">
        <v>2015</v>
      </c>
      <c r="Q254" s="31" t="str">
        <f t="shared" si="7"/>
        <v>DENTRO DEL TIEMPO</v>
      </c>
      <c r="R254" s="6"/>
    </row>
    <row r="255" spans="1:18" ht="50.25" x14ac:dyDescent="0.25">
      <c r="A255" s="26">
        <v>249</v>
      </c>
      <c r="B255" s="8" t="s">
        <v>2016</v>
      </c>
      <c r="C255" s="27">
        <v>44616</v>
      </c>
      <c r="D255" s="27">
        <v>44616</v>
      </c>
      <c r="E255" s="26">
        <v>2</v>
      </c>
      <c r="F255" s="28" t="s">
        <v>22</v>
      </c>
      <c r="G255" s="8" t="s">
        <v>721</v>
      </c>
      <c r="H255" s="8" t="s">
        <v>1257</v>
      </c>
      <c r="I255" s="8" t="s">
        <v>721</v>
      </c>
      <c r="J255" s="29">
        <v>44623</v>
      </c>
      <c r="K255" s="29">
        <v>44623</v>
      </c>
      <c r="L255" s="30">
        <f t="shared" si="6"/>
        <v>5</v>
      </c>
      <c r="M255" s="8" t="s">
        <v>2017</v>
      </c>
      <c r="N255" s="31" t="s">
        <v>26</v>
      </c>
      <c r="O255" s="4" t="s">
        <v>2018</v>
      </c>
      <c r="P255" s="31" t="s">
        <v>2019</v>
      </c>
      <c r="Q255" s="31" t="str">
        <f t="shared" si="7"/>
        <v>DENTRO DEL TIEMPO</v>
      </c>
      <c r="R255" s="6"/>
    </row>
    <row r="256" spans="1:18" ht="50.25" x14ac:dyDescent="0.25">
      <c r="A256" s="26">
        <v>250</v>
      </c>
      <c r="B256" s="8" t="s">
        <v>2020</v>
      </c>
      <c r="C256" s="27">
        <v>44616</v>
      </c>
      <c r="D256" s="27">
        <v>44616</v>
      </c>
      <c r="E256" s="26">
        <v>2</v>
      </c>
      <c r="F256" s="28" t="s">
        <v>22</v>
      </c>
      <c r="G256" s="8" t="s">
        <v>721</v>
      </c>
      <c r="H256" s="8" t="s">
        <v>1257</v>
      </c>
      <c r="I256" s="8" t="s">
        <v>721</v>
      </c>
      <c r="J256" s="29">
        <v>44623</v>
      </c>
      <c r="K256" s="29">
        <v>44623</v>
      </c>
      <c r="L256" s="30">
        <f t="shared" si="6"/>
        <v>5</v>
      </c>
      <c r="M256" s="8" t="s">
        <v>2021</v>
      </c>
      <c r="N256" s="31" t="s">
        <v>26</v>
      </c>
      <c r="O256" s="4" t="s">
        <v>774</v>
      </c>
      <c r="P256" s="31" t="s">
        <v>1585</v>
      </c>
      <c r="Q256" s="31" t="str">
        <f t="shared" si="7"/>
        <v>DENTRO DEL TIEMPO</v>
      </c>
      <c r="R256" s="6"/>
    </row>
    <row r="257" spans="1:18" ht="50.25" x14ac:dyDescent="0.25">
      <c r="A257" s="26">
        <v>251</v>
      </c>
      <c r="B257" s="8" t="s">
        <v>2022</v>
      </c>
      <c r="C257" s="27">
        <v>44616</v>
      </c>
      <c r="D257" s="27">
        <v>44616</v>
      </c>
      <c r="E257" s="26">
        <v>2</v>
      </c>
      <c r="F257" s="28" t="s">
        <v>22</v>
      </c>
      <c r="G257" s="8" t="s">
        <v>721</v>
      </c>
      <c r="H257" s="8" t="s">
        <v>1257</v>
      </c>
      <c r="I257" s="8" t="s">
        <v>721</v>
      </c>
      <c r="J257" s="29">
        <v>44623</v>
      </c>
      <c r="K257" s="29">
        <v>44623</v>
      </c>
      <c r="L257" s="30">
        <f t="shared" si="6"/>
        <v>5</v>
      </c>
      <c r="M257" s="8" t="s">
        <v>2023</v>
      </c>
      <c r="N257" s="31" t="s">
        <v>26</v>
      </c>
      <c r="O257" s="4" t="s">
        <v>118</v>
      </c>
      <c r="P257" s="31" t="s">
        <v>1585</v>
      </c>
      <c r="Q257" s="31" t="str">
        <f t="shared" si="7"/>
        <v>DENTRO DEL TIEMPO</v>
      </c>
      <c r="R257" s="6"/>
    </row>
    <row r="258" spans="1:18" ht="50.25" x14ac:dyDescent="0.25">
      <c r="A258" s="26">
        <v>252</v>
      </c>
      <c r="B258" s="8" t="s">
        <v>2024</v>
      </c>
      <c r="C258" s="27">
        <v>44616</v>
      </c>
      <c r="D258" s="27">
        <v>44616</v>
      </c>
      <c r="E258" s="26">
        <v>2</v>
      </c>
      <c r="F258" s="28" t="s">
        <v>22</v>
      </c>
      <c r="G258" s="8" t="s">
        <v>721</v>
      </c>
      <c r="H258" s="8" t="s">
        <v>1257</v>
      </c>
      <c r="I258" s="8" t="s">
        <v>721</v>
      </c>
      <c r="J258" s="29">
        <v>44623</v>
      </c>
      <c r="K258" s="29">
        <v>44623</v>
      </c>
      <c r="L258" s="30">
        <f t="shared" si="6"/>
        <v>5</v>
      </c>
      <c r="M258" s="8" t="s">
        <v>2025</v>
      </c>
      <c r="N258" s="31" t="s">
        <v>26</v>
      </c>
      <c r="O258" s="4" t="s">
        <v>2026</v>
      </c>
      <c r="P258" s="31" t="s">
        <v>2027</v>
      </c>
      <c r="Q258" s="31" t="str">
        <f t="shared" si="7"/>
        <v>DENTRO DEL TIEMPO</v>
      </c>
      <c r="R258" s="6"/>
    </row>
    <row r="259" spans="1:18" ht="50.25" x14ac:dyDescent="0.25">
      <c r="A259" s="26">
        <v>253</v>
      </c>
      <c r="B259" s="8" t="s">
        <v>2028</v>
      </c>
      <c r="C259" s="27">
        <v>44616</v>
      </c>
      <c r="D259" s="27">
        <v>44616</v>
      </c>
      <c r="E259" s="26">
        <v>2</v>
      </c>
      <c r="F259" s="28" t="s">
        <v>22</v>
      </c>
      <c r="G259" s="8" t="s">
        <v>721</v>
      </c>
      <c r="H259" s="8" t="s">
        <v>1257</v>
      </c>
      <c r="I259" s="8" t="s">
        <v>721</v>
      </c>
      <c r="J259" s="29">
        <v>44623</v>
      </c>
      <c r="K259" s="29">
        <v>44623</v>
      </c>
      <c r="L259" s="30">
        <f t="shared" si="6"/>
        <v>5</v>
      </c>
      <c r="M259" s="8" t="s">
        <v>2029</v>
      </c>
      <c r="N259" s="31" t="s">
        <v>26</v>
      </c>
      <c r="O259" s="4" t="s">
        <v>457</v>
      </c>
      <c r="P259" s="31" t="s">
        <v>2030</v>
      </c>
      <c r="Q259" s="31" t="str">
        <f t="shared" si="7"/>
        <v>DENTRO DEL TIEMPO</v>
      </c>
      <c r="R259" s="6"/>
    </row>
    <row r="260" spans="1:18" ht="50.25" x14ac:dyDescent="0.25">
      <c r="A260" s="26">
        <v>254</v>
      </c>
      <c r="B260" s="8" t="s">
        <v>2031</v>
      </c>
      <c r="C260" s="27">
        <v>44616</v>
      </c>
      <c r="D260" s="27">
        <v>44616</v>
      </c>
      <c r="E260" s="26">
        <v>2</v>
      </c>
      <c r="F260" s="28" t="s">
        <v>22</v>
      </c>
      <c r="G260" s="8" t="s">
        <v>721</v>
      </c>
      <c r="H260" s="8" t="s">
        <v>1257</v>
      </c>
      <c r="I260" s="8" t="s">
        <v>721</v>
      </c>
      <c r="J260" s="29">
        <v>44623</v>
      </c>
      <c r="K260" s="29">
        <v>44623</v>
      </c>
      <c r="L260" s="30">
        <f t="shared" si="6"/>
        <v>5</v>
      </c>
      <c r="M260" s="8" t="s">
        <v>2032</v>
      </c>
      <c r="N260" s="31" t="s">
        <v>26</v>
      </c>
      <c r="O260" s="4" t="s">
        <v>2033</v>
      </c>
      <c r="P260" s="31" t="s">
        <v>2034</v>
      </c>
      <c r="Q260" s="31" t="str">
        <f t="shared" si="7"/>
        <v>DENTRO DEL TIEMPO</v>
      </c>
      <c r="R260" s="6"/>
    </row>
    <row r="261" spans="1:18" ht="50.25" x14ac:dyDescent="0.25">
      <c r="A261" s="26">
        <v>255</v>
      </c>
      <c r="B261" s="8" t="s">
        <v>2035</v>
      </c>
      <c r="C261" s="27">
        <v>44617</v>
      </c>
      <c r="D261" s="27">
        <v>44617</v>
      </c>
      <c r="E261" s="26">
        <v>2</v>
      </c>
      <c r="F261" s="28" t="s">
        <v>22</v>
      </c>
      <c r="G261" s="8" t="s">
        <v>721</v>
      </c>
      <c r="H261" s="8" t="s">
        <v>1257</v>
      </c>
      <c r="I261" s="8" t="s">
        <v>721</v>
      </c>
      <c r="J261" s="29">
        <v>44623</v>
      </c>
      <c r="K261" s="29">
        <v>44623</v>
      </c>
      <c r="L261" s="30">
        <f t="shared" si="6"/>
        <v>4</v>
      </c>
      <c r="M261" s="8" t="s">
        <v>2036</v>
      </c>
      <c r="N261" s="31" t="s">
        <v>26</v>
      </c>
      <c r="O261" s="4" t="s">
        <v>2037</v>
      </c>
      <c r="P261" s="31" t="s">
        <v>2038</v>
      </c>
      <c r="Q261" s="31" t="str">
        <f t="shared" si="7"/>
        <v>DENTRO DEL TIEMPO</v>
      </c>
      <c r="R261" s="6"/>
    </row>
    <row r="262" spans="1:18" ht="50.25" x14ac:dyDescent="0.25">
      <c r="A262" s="26">
        <v>256</v>
      </c>
      <c r="B262" s="8" t="s">
        <v>2039</v>
      </c>
      <c r="C262" s="27">
        <v>44617</v>
      </c>
      <c r="D262" s="27">
        <v>44617</v>
      </c>
      <c r="E262" s="26">
        <v>2</v>
      </c>
      <c r="F262" s="28" t="s">
        <v>22</v>
      </c>
      <c r="G262" s="8" t="s">
        <v>721</v>
      </c>
      <c r="H262" s="8" t="s">
        <v>1257</v>
      </c>
      <c r="I262" s="8" t="s">
        <v>721</v>
      </c>
      <c r="J262" s="28"/>
      <c r="K262" s="28"/>
      <c r="L262" s="30">
        <f t="shared" si="6"/>
        <v>-31871</v>
      </c>
      <c r="M262" s="28"/>
      <c r="N262" s="31" t="s">
        <v>26</v>
      </c>
      <c r="O262" s="4" t="s">
        <v>2040</v>
      </c>
      <c r="P262" s="31" t="s">
        <v>1480</v>
      </c>
      <c r="Q262" s="31" t="str">
        <f t="shared" si="7"/>
        <v>DENTRO DEL TIEMPO</v>
      </c>
      <c r="R262" s="6"/>
    </row>
    <row r="263" spans="1:18" ht="50.25" x14ac:dyDescent="0.25">
      <c r="A263" s="26">
        <v>257</v>
      </c>
      <c r="B263" s="8" t="s">
        <v>2041</v>
      </c>
      <c r="C263" s="27">
        <v>44617</v>
      </c>
      <c r="D263" s="27">
        <v>44617</v>
      </c>
      <c r="E263" s="26">
        <v>2</v>
      </c>
      <c r="F263" s="28" t="s">
        <v>22</v>
      </c>
      <c r="G263" s="8" t="s">
        <v>721</v>
      </c>
      <c r="H263" s="8" t="s">
        <v>1257</v>
      </c>
      <c r="I263" s="8" t="s">
        <v>721</v>
      </c>
      <c r="J263" s="29">
        <v>44623</v>
      </c>
      <c r="K263" s="29">
        <v>44623</v>
      </c>
      <c r="L263" s="30">
        <f t="shared" si="6"/>
        <v>4</v>
      </c>
      <c r="M263" s="8" t="s">
        <v>2036</v>
      </c>
      <c r="N263" s="31" t="s">
        <v>26</v>
      </c>
      <c r="O263" s="4" t="s">
        <v>2042</v>
      </c>
      <c r="P263" s="31" t="s">
        <v>2043</v>
      </c>
      <c r="Q263" s="31" t="str">
        <f t="shared" si="7"/>
        <v>DENTRO DEL TIEMPO</v>
      </c>
      <c r="R263" s="6"/>
    </row>
    <row r="264" spans="1:18" ht="50.25" x14ac:dyDescent="0.25">
      <c r="A264" s="26">
        <v>258</v>
      </c>
      <c r="B264" s="8" t="s">
        <v>2044</v>
      </c>
      <c r="C264" s="27">
        <v>44617</v>
      </c>
      <c r="D264" s="27">
        <v>44617</v>
      </c>
      <c r="E264" s="26">
        <v>2</v>
      </c>
      <c r="F264" s="28" t="s">
        <v>22</v>
      </c>
      <c r="G264" s="8" t="s">
        <v>721</v>
      </c>
      <c r="H264" s="8" t="s">
        <v>1257</v>
      </c>
      <c r="I264" s="8" t="s">
        <v>721</v>
      </c>
      <c r="J264" s="29">
        <v>44623</v>
      </c>
      <c r="K264" s="29">
        <v>44623</v>
      </c>
      <c r="L264" s="30">
        <f t="shared" ref="L264:L327" si="8">+NETWORKDAYS(D264,K264,$R$7:$R$10)-1</f>
        <v>4</v>
      </c>
      <c r="M264" s="8" t="s">
        <v>2045</v>
      </c>
      <c r="N264" s="31" t="s">
        <v>26</v>
      </c>
      <c r="O264" s="4" t="s">
        <v>1308</v>
      </c>
      <c r="P264" s="31" t="s">
        <v>2046</v>
      </c>
      <c r="Q264" s="31" t="str">
        <f t="shared" ref="Q264:Q327" si="9">IF(L264&gt;15,"FUERA DE TIEMPO","DENTRO DEL TIEMPO")</f>
        <v>DENTRO DEL TIEMPO</v>
      </c>
      <c r="R264" s="6"/>
    </row>
    <row r="265" spans="1:18" ht="50.25" x14ac:dyDescent="0.25">
      <c r="A265" s="26">
        <v>259</v>
      </c>
      <c r="B265" s="8" t="s">
        <v>2047</v>
      </c>
      <c r="C265" s="27">
        <v>44617</v>
      </c>
      <c r="D265" s="27">
        <v>44617</v>
      </c>
      <c r="E265" s="26">
        <v>2</v>
      </c>
      <c r="F265" s="28" t="s">
        <v>22</v>
      </c>
      <c r="G265" s="8" t="s">
        <v>721</v>
      </c>
      <c r="H265" s="8" t="s">
        <v>1257</v>
      </c>
      <c r="I265" s="8" t="s">
        <v>721</v>
      </c>
      <c r="J265" s="29">
        <v>44624</v>
      </c>
      <c r="K265" s="29">
        <v>44624</v>
      </c>
      <c r="L265" s="30">
        <f t="shared" si="8"/>
        <v>5</v>
      </c>
      <c r="M265" s="8" t="s">
        <v>2048</v>
      </c>
      <c r="N265" s="31" t="s">
        <v>26</v>
      </c>
      <c r="O265" s="4" t="s">
        <v>402</v>
      </c>
      <c r="P265" s="31" t="s">
        <v>1354</v>
      </c>
      <c r="Q265" s="31" t="str">
        <f t="shared" si="9"/>
        <v>DENTRO DEL TIEMPO</v>
      </c>
      <c r="R265" s="6"/>
    </row>
    <row r="266" spans="1:18" ht="50.25" x14ac:dyDescent="0.25">
      <c r="A266" s="26">
        <v>260</v>
      </c>
      <c r="B266" s="8" t="s">
        <v>2049</v>
      </c>
      <c r="C266" s="27">
        <v>44617</v>
      </c>
      <c r="D266" s="27">
        <v>44617</v>
      </c>
      <c r="E266" s="26">
        <v>2</v>
      </c>
      <c r="F266" s="28" t="s">
        <v>22</v>
      </c>
      <c r="G266" s="8" t="s">
        <v>721</v>
      </c>
      <c r="H266" s="8" t="s">
        <v>1257</v>
      </c>
      <c r="I266" s="8" t="s">
        <v>721</v>
      </c>
      <c r="J266" s="29">
        <v>44630</v>
      </c>
      <c r="K266" s="29">
        <v>44630</v>
      </c>
      <c r="L266" s="30">
        <f t="shared" si="8"/>
        <v>9</v>
      </c>
      <c r="M266" s="8" t="s">
        <v>2050</v>
      </c>
      <c r="N266" s="31" t="s">
        <v>26</v>
      </c>
      <c r="O266" s="4" t="s">
        <v>903</v>
      </c>
      <c r="P266" s="31" t="s">
        <v>1480</v>
      </c>
      <c r="Q266" s="31" t="str">
        <f t="shared" si="9"/>
        <v>DENTRO DEL TIEMPO</v>
      </c>
      <c r="R266" s="6"/>
    </row>
    <row r="267" spans="1:18" ht="50.25" x14ac:dyDescent="0.25">
      <c r="A267" s="26">
        <v>261</v>
      </c>
      <c r="B267" s="8" t="s">
        <v>2051</v>
      </c>
      <c r="C267" s="27">
        <v>44617</v>
      </c>
      <c r="D267" s="27">
        <v>44617</v>
      </c>
      <c r="E267" s="26">
        <v>124</v>
      </c>
      <c r="F267" s="28" t="s">
        <v>22</v>
      </c>
      <c r="G267" s="8" t="s">
        <v>721</v>
      </c>
      <c r="H267" s="8" t="s">
        <v>1257</v>
      </c>
      <c r="I267" s="8" t="s">
        <v>721</v>
      </c>
      <c r="J267" s="29">
        <v>44623</v>
      </c>
      <c r="K267" s="29">
        <v>44623</v>
      </c>
      <c r="L267" s="30">
        <f t="shared" si="8"/>
        <v>4</v>
      </c>
      <c r="M267" s="8" t="s">
        <v>2052</v>
      </c>
      <c r="N267" s="31" t="s">
        <v>26</v>
      </c>
      <c r="O267" s="4" t="s">
        <v>2053</v>
      </c>
      <c r="P267" s="31" t="s">
        <v>2054</v>
      </c>
      <c r="Q267" s="31" t="str">
        <f t="shared" si="9"/>
        <v>DENTRO DEL TIEMPO</v>
      </c>
      <c r="R267" s="6"/>
    </row>
    <row r="268" spans="1:18" ht="50.25" x14ac:dyDescent="0.25">
      <c r="A268" s="26">
        <v>262</v>
      </c>
      <c r="B268" s="8" t="s">
        <v>2055</v>
      </c>
      <c r="C268" s="27">
        <v>44617</v>
      </c>
      <c r="D268" s="27">
        <v>44617</v>
      </c>
      <c r="E268" s="26">
        <v>2</v>
      </c>
      <c r="F268" s="28" t="s">
        <v>22</v>
      </c>
      <c r="G268" s="8" t="s">
        <v>721</v>
      </c>
      <c r="H268" s="8" t="s">
        <v>1257</v>
      </c>
      <c r="I268" s="8" t="s">
        <v>721</v>
      </c>
      <c r="J268" s="29">
        <v>44623</v>
      </c>
      <c r="K268" s="29">
        <v>44623</v>
      </c>
      <c r="L268" s="30">
        <f t="shared" si="8"/>
        <v>4</v>
      </c>
      <c r="M268" s="8" t="s">
        <v>2056</v>
      </c>
      <c r="N268" s="31" t="s">
        <v>26</v>
      </c>
      <c r="O268" s="4" t="s">
        <v>2057</v>
      </c>
      <c r="P268" s="31" t="s">
        <v>2058</v>
      </c>
      <c r="Q268" s="31" t="str">
        <f t="shared" si="9"/>
        <v>DENTRO DEL TIEMPO</v>
      </c>
      <c r="R268" s="6"/>
    </row>
    <row r="269" spans="1:18" ht="50.25" x14ac:dyDescent="0.25">
      <c r="A269" s="26">
        <v>263</v>
      </c>
      <c r="B269" s="8" t="s">
        <v>1523</v>
      </c>
      <c r="C269" s="27">
        <v>44596</v>
      </c>
      <c r="D269" s="27">
        <v>44596</v>
      </c>
      <c r="E269" s="26">
        <v>51</v>
      </c>
      <c r="F269" s="28" t="s">
        <v>22</v>
      </c>
      <c r="G269" s="8" t="s">
        <v>1256</v>
      </c>
      <c r="H269" s="8" t="s">
        <v>1257</v>
      </c>
      <c r="I269" s="8" t="s">
        <v>1256</v>
      </c>
      <c r="J269" s="29">
        <v>44602</v>
      </c>
      <c r="K269" s="29">
        <v>44602</v>
      </c>
      <c r="L269" s="30">
        <f t="shared" si="8"/>
        <v>4</v>
      </c>
      <c r="M269" s="8" t="s">
        <v>2059</v>
      </c>
      <c r="N269" s="31" t="s">
        <v>26</v>
      </c>
      <c r="O269" s="8" t="s">
        <v>2060</v>
      </c>
      <c r="P269" s="31" t="s">
        <v>2061</v>
      </c>
      <c r="Q269" s="31" t="str">
        <f t="shared" si="9"/>
        <v>DENTRO DEL TIEMPO</v>
      </c>
      <c r="R269" s="6"/>
    </row>
    <row r="270" spans="1:18" ht="50.25" x14ac:dyDescent="0.25">
      <c r="A270" s="26">
        <v>264</v>
      </c>
      <c r="B270" s="8" t="s">
        <v>2062</v>
      </c>
      <c r="C270" s="27">
        <v>44593</v>
      </c>
      <c r="D270" s="27">
        <v>44593</v>
      </c>
      <c r="E270" s="26">
        <v>17</v>
      </c>
      <c r="F270" s="28" t="s">
        <v>22</v>
      </c>
      <c r="G270" s="8" t="s">
        <v>1256</v>
      </c>
      <c r="H270" s="8" t="s">
        <v>1257</v>
      </c>
      <c r="I270" s="8" t="s">
        <v>1256</v>
      </c>
      <c r="J270" s="29">
        <v>44593</v>
      </c>
      <c r="K270" s="29">
        <v>44593</v>
      </c>
      <c r="L270" s="30">
        <f t="shared" si="8"/>
        <v>0</v>
      </c>
      <c r="M270" s="8" t="s">
        <v>2063</v>
      </c>
      <c r="N270" s="31" t="s">
        <v>26</v>
      </c>
      <c r="O270" s="8" t="s">
        <v>2064</v>
      </c>
      <c r="P270" s="31" t="s">
        <v>2065</v>
      </c>
      <c r="Q270" s="31" t="str">
        <f t="shared" si="9"/>
        <v>DENTRO DEL TIEMPO</v>
      </c>
      <c r="R270" s="6"/>
    </row>
    <row r="271" spans="1:18" ht="50.25" x14ac:dyDescent="0.25">
      <c r="A271" s="26">
        <v>265</v>
      </c>
      <c r="B271" s="8" t="s">
        <v>2066</v>
      </c>
      <c r="C271" s="27">
        <v>44594</v>
      </c>
      <c r="D271" s="27">
        <v>44594</v>
      </c>
      <c r="E271" s="26">
        <v>28</v>
      </c>
      <c r="F271" s="28" t="s">
        <v>22</v>
      </c>
      <c r="G271" s="8" t="s">
        <v>1256</v>
      </c>
      <c r="H271" s="8" t="s">
        <v>1257</v>
      </c>
      <c r="I271" s="8" t="s">
        <v>1256</v>
      </c>
      <c r="J271" s="29">
        <v>44594</v>
      </c>
      <c r="K271" s="29">
        <v>44594</v>
      </c>
      <c r="L271" s="30">
        <f t="shared" si="8"/>
        <v>0</v>
      </c>
      <c r="M271" s="8" t="s">
        <v>2067</v>
      </c>
      <c r="N271" s="31" t="s">
        <v>26</v>
      </c>
      <c r="O271" s="8" t="s">
        <v>2064</v>
      </c>
      <c r="P271" s="31" t="s">
        <v>2065</v>
      </c>
      <c r="Q271" s="31" t="str">
        <f t="shared" si="9"/>
        <v>DENTRO DEL TIEMPO</v>
      </c>
      <c r="R271" s="6"/>
    </row>
    <row r="272" spans="1:18" ht="50.25" x14ac:dyDescent="0.25">
      <c r="A272" s="26">
        <v>266</v>
      </c>
      <c r="B272" s="8" t="s">
        <v>2068</v>
      </c>
      <c r="C272" s="27">
        <v>44594</v>
      </c>
      <c r="D272" s="27">
        <v>44594</v>
      </c>
      <c r="E272" s="26">
        <v>118</v>
      </c>
      <c r="F272" s="28" t="s">
        <v>22</v>
      </c>
      <c r="G272" s="8" t="s">
        <v>1256</v>
      </c>
      <c r="H272" s="8" t="s">
        <v>1257</v>
      </c>
      <c r="I272" s="8" t="s">
        <v>1256</v>
      </c>
      <c r="J272" s="29">
        <v>44594</v>
      </c>
      <c r="K272" s="29">
        <v>44594</v>
      </c>
      <c r="L272" s="30">
        <f t="shared" si="8"/>
        <v>0</v>
      </c>
      <c r="M272" s="8" t="s">
        <v>2069</v>
      </c>
      <c r="N272" s="31" t="s">
        <v>26</v>
      </c>
      <c r="O272" s="8" t="s">
        <v>2064</v>
      </c>
      <c r="P272" s="31" t="s">
        <v>2065</v>
      </c>
      <c r="Q272" s="31" t="str">
        <f t="shared" si="9"/>
        <v>DENTRO DEL TIEMPO</v>
      </c>
      <c r="R272" s="6"/>
    </row>
    <row r="273" spans="1:18" ht="50.25" x14ac:dyDescent="0.25">
      <c r="A273" s="26">
        <v>267</v>
      </c>
      <c r="B273" s="8" t="s">
        <v>2070</v>
      </c>
      <c r="C273" s="27">
        <v>44594</v>
      </c>
      <c r="D273" s="27">
        <v>44594</v>
      </c>
      <c r="E273" s="26">
        <v>50</v>
      </c>
      <c r="F273" s="28" t="s">
        <v>22</v>
      </c>
      <c r="G273" s="8" t="s">
        <v>1256</v>
      </c>
      <c r="H273" s="8" t="s">
        <v>1257</v>
      </c>
      <c r="I273" s="8" t="s">
        <v>1256</v>
      </c>
      <c r="J273" s="29">
        <v>44594</v>
      </c>
      <c r="K273" s="29">
        <v>44594</v>
      </c>
      <c r="L273" s="30">
        <f t="shared" si="8"/>
        <v>0</v>
      </c>
      <c r="M273" s="8" t="s">
        <v>2071</v>
      </c>
      <c r="N273" s="31" t="s">
        <v>26</v>
      </c>
      <c r="O273" s="8" t="s">
        <v>2064</v>
      </c>
      <c r="P273" s="31" t="s">
        <v>2065</v>
      </c>
      <c r="Q273" s="31" t="str">
        <f t="shared" si="9"/>
        <v>DENTRO DEL TIEMPO</v>
      </c>
      <c r="R273" s="6"/>
    </row>
    <row r="274" spans="1:18" ht="50.25" x14ac:dyDescent="0.25">
      <c r="A274" s="26">
        <v>268</v>
      </c>
      <c r="B274" s="8" t="s">
        <v>754</v>
      </c>
      <c r="C274" s="27">
        <v>44585</v>
      </c>
      <c r="D274" s="27">
        <v>44585</v>
      </c>
      <c r="E274" s="26">
        <v>138</v>
      </c>
      <c r="F274" s="28" t="s">
        <v>22</v>
      </c>
      <c r="G274" s="8" t="s">
        <v>1256</v>
      </c>
      <c r="H274" s="8" t="s">
        <v>1257</v>
      </c>
      <c r="I274" s="8" t="s">
        <v>1256</v>
      </c>
      <c r="J274" s="29">
        <v>44595</v>
      </c>
      <c r="K274" s="29">
        <v>44595</v>
      </c>
      <c r="L274" s="30">
        <f t="shared" si="8"/>
        <v>8</v>
      </c>
      <c r="M274" s="8" t="s">
        <v>755</v>
      </c>
      <c r="N274" s="31" t="s">
        <v>26</v>
      </c>
      <c r="O274" s="8" t="s">
        <v>756</v>
      </c>
      <c r="P274" s="31" t="s">
        <v>2072</v>
      </c>
      <c r="Q274" s="31" t="str">
        <f t="shared" si="9"/>
        <v>DENTRO DEL TIEMPO</v>
      </c>
      <c r="R274" s="6"/>
    </row>
    <row r="275" spans="1:18" ht="50.25" x14ac:dyDescent="0.25">
      <c r="A275" s="26">
        <v>269</v>
      </c>
      <c r="B275" s="8" t="s">
        <v>2073</v>
      </c>
      <c r="C275" s="27">
        <v>44601</v>
      </c>
      <c r="D275" s="27">
        <v>44601</v>
      </c>
      <c r="E275" s="26">
        <v>2</v>
      </c>
      <c r="F275" s="28" t="s">
        <v>22</v>
      </c>
      <c r="G275" s="8" t="s">
        <v>1256</v>
      </c>
      <c r="H275" s="8" t="s">
        <v>1257</v>
      </c>
      <c r="I275" s="8" t="s">
        <v>1256</v>
      </c>
      <c r="J275" s="29">
        <v>44602</v>
      </c>
      <c r="K275" s="29">
        <v>44602</v>
      </c>
      <c r="L275" s="30">
        <f t="shared" si="8"/>
        <v>1</v>
      </c>
      <c r="M275" s="8" t="s">
        <v>2074</v>
      </c>
      <c r="N275" s="31" t="s">
        <v>26</v>
      </c>
      <c r="O275" s="8" t="s">
        <v>2075</v>
      </c>
      <c r="P275" s="31" t="s">
        <v>2076</v>
      </c>
      <c r="Q275" s="31" t="str">
        <f t="shared" si="9"/>
        <v>DENTRO DEL TIEMPO</v>
      </c>
      <c r="R275" s="6"/>
    </row>
    <row r="276" spans="1:18" ht="50.25" x14ac:dyDescent="0.25">
      <c r="A276" s="26">
        <v>270</v>
      </c>
      <c r="B276" s="8" t="s">
        <v>2077</v>
      </c>
      <c r="C276" s="27">
        <v>44601</v>
      </c>
      <c r="D276" s="27">
        <v>44601</v>
      </c>
      <c r="E276" s="26">
        <v>1232</v>
      </c>
      <c r="F276" s="28" t="s">
        <v>22</v>
      </c>
      <c r="G276" s="8" t="s">
        <v>1256</v>
      </c>
      <c r="H276" s="8" t="s">
        <v>1257</v>
      </c>
      <c r="I276" s="8" t="s">
        <v>1256</v>
      </c>
      <c r="J276" s="29">
        <v>44601</v>
      </c>
      <c r="K276" s="29">
        <v>44601</v>
      </c>
      <c r="L276" s="30">
        <f t="shared" si="8"/>
        <v>0</v>
      </c>
      <c r="M276" s="8" t="s">
        <v>2078</v>
      </c>
      <c r="N276" s="31" t="s">
        <v>26</v>
      </c>
      <c r="O276" s="8" t="s">
        <v>957</v>
      </c>
      <c r="P276" s="31" t="s">
        <v>2079</v>
      </c>
      <c r="Q276" s="31" t="str">
        <f t="shared" si="9"/>
        <v>DENTRO DEL TIEMPO</v>
      </c>
      <c r="R276" s="6"/>
    </row>
    <row r="277" spans="1:18" ht="50.25" x14ac:dyDescent="0.25">
      <c r="A277" s="26">
        <v>271</v>
      </c>
      <c r="B277" s="8" t="s">
        <v>2080</v>
      </c>
      <c r="C277" s="27">
        <v>44599</v>
      </c>
      <c r="D277" s="27">
        <v>44599</v>
      </c>
      <c r="E277" s="26">
        <v>168</v>
      </c>
      <c r="F277" s="28" t="s">
        <v>22</v>
      </c>
      <c r="G277" s="8" t="s">
        <v>1256</v>
      </c>
      <c r="H277" s="8" t="s">
        <v>1257</v>
      </c>
      <c r="I277" s="8" t="s">
        <v>1256</v>
      </c>
      <c r="J277" s="29">
        <v>44601</v>
      </c>
      <c r="K277" s="29">
        <v>44601</v>
      </c>
      <c r="L277" s="30">
        <f t="shared" si="8"/>
        <v>2</v>
      </c>
      <c r="M277" s="8" t="s">
        <v>2081</v>
      </c>
      <c r="N277" s="31" t="s">
        <v>26</v>
      </c>
      <c r="O277" s="8" t="s">
        <v>2082</v>
      </c>
      <c r="P277" s="31" t="s">
        <v>2083</v>
      </c>
      <c r="Q277" s="31" t="str">
        <f t="shared" si="9"/>
        <v>DENTRO DEL TIEMPO</v>
      </c>
      <c r="R277" s="6"/>
    </row>
    <row r="278" spans="1:18" ht="50.25" x14ac:dyDescent="0.25">
      <c r="A278" s="26">
        <v>272</v>
      </c>
      <c r="B278" s="8" t="s">
        <v>2084</v>
      </c>
      <c r="C278" s="27">
        <v>44600</v>
      </c>
      <c r="D278" s="27">
        <v>44600</v>
      </c>
      <c r="E278" s="26">
        <v>53</v>
      </c>
      <c r="F278" s="28" t="s">
        <v>22</v>
      </c>
      <c r="G278" s="8" t="s">
        <v>1256</v>
      </c>
      <c r="H278" s="8" t="s">
        <v>1257</v>
      </c>
      <c r="I278" s="8" t="s">
        <v>1256</v>
      </c>
      <c r="J278" s="29">
        <v>44600</v>
      </c>
      <c r="K278" s="29">
        <v>44600</v>
      </c>
      <c r="L278" s="30">
        <f t="shared" si="8"/>
        <v>0</v>
      </c>
      <c r="M278" s="8" t="s">
        <v>2085</v>
      </c>
      <c r="N278" s="31" t="s">
        <v>26</v>
      </c>
      <c r="O278" s="8" t="s">
        <v>2064</v>
      </c>
      <c r="P278" s="31" t="s">
        <v>2065</v>
      </c>
      <c r="Q278" s="31" t="str">
        <f t="shared" si="9"/>
        <v>DENTRO DEL TIEMPO</v>
      </c>
      <c r="R278" s="6"/>
    </row>
    <row r="279" spans="1:18" ht="50.25" x14ac:dyDescent="0.25">
      <c r="A279" s="26">
        <v>273</v>
      </c>
      <c r="B279" s="8" t="s">
        <v>2086</v>
      </c>
      <c r="C279" s="27">
        <v>44599</v>
      </c>
      <c r="D279" s="27">
        <v>44599</v>
      </c>
      <c r="E279" s="26">
        <v>124</v>
      </c>
      <c r="F279" s="28" t="s">
        <v>22</v>
      </c>
      <c r="G279" s="8" t="s">
        <v>1256</v>
      </c>
      <c r="H279" s="8" t="s">
        <v>1257</v>
      </c>
      <c r="I279" s="8" t="s">
        <v>1256</v>
      </c>
      <c r="J279" s="29">
        <v>44599</v>
      </c>
      <c r="K279" s="29">
        <v>44599</v>
      </c>
      <c r="L279" s="30">
        <f t="shared" si="8"/>
        <v>0</v>
      </c>
      <c r="M279" s="8" t="s">
        <v>2087</v>
      </c>
      <c r="N279" s="31" t="s">
        <v>26</v>
      </c>
      <c r="O279" s="8" t="s">
        <v>986</v>
      </c>
      <c r="P279" s="31" t="s">
        <v>2088</v>
      </c>
      <c r="Q279" s="31" t="str">
        <f t="shared" si="9"/>
        <v>DENTRO DEL TIEMPO</v>
      </c>
      <c r="R279" s="6"/>
    </row>
    <row r="280" spans="1:18" ht="60" x14ac:dyDescent="0.25">
      <c r="A280" s="26">
        <v>274</v>
      </c>
      <c r="B280" s="8" t="s">
        <v>2089</v>
      </c>
      <c r="C280" s="27">
        <v>44593</v>
      </c>
      <c r="D280" s="27">
        <v>44593</v>
      </c>
      <c r="E280" s="26">
        <v>1</v>
      </c>
      <c r="F280" s="28" t="s">
        <v>22</v>
      </c>
      <c r="G280" s="8" t="s">
        <v>2090</v>
      </c>
      <c r="H280" s="8" t="s">
        <v>841</v>
      </c>
      <c r="I280" s="8" t="s">
        <v>2090</v>
      </c>
      <c r="J280" s="29">
        <v>44596</v>
      </c>
      <c r="K280" s="29">
        <v>44596</v>
      </c>
      <c r="L280" s="30">
        <f t="shared" si="8"/>
        <v>3</v>
      </c>
      <c r="M280" s="8" t="s">
        <v>1226</v>
      </c>
      <c r="N280" s="31" t="s">
        <v>1104</v>
      </c>
      <c r="O280" s="8" t="s">
        <v>2091</v>
      </c>
      <c r="P280" s="31" t="s">
        <v>1105</v>
      </c>
      <c r="Q280" s="31" t="str">
        <f t="shared" si="9"/>
        <v>DENTRO DEL TIEMPO</v>
      </c>
      <c r="R280" s="6"/>
    </row>
    <row r="281" spans="1:18" ht="60" x14ac:dyDescent="0.25">
      <c r="A281" s="26">
        <v>275</v>
      </c>
      <c r="B281" s="8" t="s">
        <v>2092</v>
      </c>
      <c r="C281" s="27">
        <v>44586</v>
      </c>
      <c r="D281" s="27">
        <v>44594</v>
      </c>
      <c r="E281" s="26">
        <v>25</v>
      </c>
      <c r="F281" s="28" t="s">
        <v>22</v>
      </c>
      <c r="G281" s="8" t="s">
        <v>2090</v>
      </c>
      <c r="H281" s="8" t="s">
        <v>841</v>
      </c>
      <c r="I281" s="8" t="s">
        <v>2090</v>
      </c>
      <c r="J281" s="29">
        <v>44607</v>
      </c>
      <c r="K281" s="29">
        <v>44607</v>
      </c>
      <c r="L281" s="30">
        <f t="shared" si="8"/>
        <v>9</v>
      </c>
      <c r="M281" s="8" t="s">
        <v>1203</v>
      </c>
      <c r="N281" s="31" t="s">
        <v>1104</v>
      </c>
      <c r="O281" s="8" t="s">
        <v>2091</v>
      </c>
      <c r="P281" s="31" t="s">
        <v>1105</v>
      </c>
      <c r="Q281" s="31" t="str">
        <f t="shared" si="9"/>
        <v>DENTRO DEL TIEMPO</v>
      </c>
      <c r="R281" s="6"/>
    </row>
    <row r="282" spans="1:18" ht="60" x14ac:dyDescent="0.25">
      <c r="A282" s="26">
        <v>276</v>
      </c>
      <c r="B282" s="8" t="s">
        <v>2093</v>
      </c>
      <c r="C282" s="27">
        <v>44594</v>
      </c>
      <c r="D282" s="27">
        <v>44594</v>
      </c>
      <c r="E282" s="26">
        <v>4</v>
      </c>
      <c r="F282" s="28" t="s">
        <v>22</v>
      </c>
      <c r="G282" s="8" t="s">
        <v>2090</v>
      </c>
      <c r="H282" s="8" t="s">
        <v>841</v>
      </c>
      <c r="I282" s="8" t="s">
        <v>2090</v>
      </c>
      <c r="J282" s="29">
        <v>44601</v>
      </c>
      <c r="K282" s="29">
        <v>44601</v>
      </c>
      <c r="L282" s="30">
        <f t="shared" si="8"/>
        <v>5</v>
      </c>
      <c r="M282" s="8" t="s">
        <v>2094</v>
      </c>
      <c r="N282" s="31" t="s">
        <v>1104</v>
      </c>
      <c r="O282" s="8" t="s">
        <v>2091</v>
      </c>
      <c r="P282" s="31" t="s">
        <v>1105</v>
      </c>
      <c r="Q282" s="31" t="str">
        <f t="shared" si="9"/>
        <v>DENTRO DEL TIEMPO</v>
      </c>
      <c r="R282" s="6"/>
    </row>
    <row r="283" spans="1:18" ht="60" x14ac:dyDescent="0.25">
      <c r="A283" s="26">
        <v>277</v>
      </c>
      <c r="B283" s="8" t="s">
        <v>2095</v>
      </c>
      <c r="C283" s="27">
        <v>44594</v>
      </c>
      <c r="D283" s="27">
        <v>44594</v>
      </c>
      <c r="E283" s="26">
        <v>4</v>
      </c>
      <c r="F283" s="28" t="s">
        <v>22</v>
      </c>
      <c r="G283" s="8" t="s">
        <v>2090</v>
      </c>
      <c r="H283" s="8" t="s">
        <v>841</v>
      </c>
      <c r="I283" s="8" t="s">
        <v>2090</v>
      </c>
      <c r="J283" s="29">
        <v>44601</v>
      </c>
      <c r="K283" s="29">
        <v>44601</v>
      </c>
      <c r="L283" s="30">
        <f t="shared" si="8"/>
        <v>5</v>
      </c>
      <c r="M283" s="8" t="s">
        <v>2096</v>
      </c>
      <c r="N283" s="31" t="s">
        <v>1104</v>
      </c>
      <c r="O283" s="8" t="s">
        <v>2091</v>
      </c>
      <c r="P283" s="31" t="s">
        <v>1105</v>
      </c>
      <c r="Q283" s="31" t="str">
        <f t="shared" si="9"/>
        <v>DENTRO DEL TIEMPO</v>
      </c>
      <c r="R283" s="6"/>
    </row>
    <row r="284" spans="1:18" ht="60" x14ac:dyDescent="0.25">
      <c r="A284" s="26">
        <v>278</v>
      </c>
      <c r="B284" s="8" t="s">
        <v>2097</v>
      </c>
      <c r="C284" s="27">
        <v>44594</v>
      </c>
      <c r="D284" s="27">
        <v>44594</v>
      </c>
      <c r="E284" s="26">
        <v>1</v>
      </c>
      <c r="F284" s="28" t="s">
        <v>22</v>
      </c>
      <c r="G284" s="8" t="s">
        <v>2090</v>
      </c>
      <c r="H284" s="8" t="s">
        <v>841</v>
      </c>
      <c r="I284" s="8" t="s">
        <v>2090</v>
      </c>
      <c r="J284" s="29">
        <v>44601</v>
      </c>
      <c r="K284" s="29">
        <v>44601</v>
      </c>
      <c r="L284" s="30">
        <f t="shared" si="8"/>
        <v>5</v>
      </c>
      <c r="M284" s="8" t="s">
        <v>2098</v>
      </c>
      <c r="N284" s="31" t="s">
        <v>1104</v>
      </c>
      <c r="O284" s="8" t="s">
        <v>2091</v>
      </c>
      <c r="P284" s="31" t="s">
        <v>1105</v>
      </c>
      <c r="Q284" s="31" t="str">
        <f t="shared" si="9"/>
        <v>DENTRO DEL TIEMPO</v>
      </c>
      <c r="R284" s="6"/>
    </row>
    <row r="285" spans="1:18" ht="60" x14ac:dyDescent="0.25">
      <c r="A285" s="26">
        <v>279</v>
      </c>
      <c r="B285" s="8" t="s">
        <v>2099</v>
      </c>
      <c r="C285" s="27">
        <v>44594</v>
      </c>
      <c r="D285" s="27">
        <v>44594</v>
      </c>
      <c r="E285" s="26">
        <v>1</v>
      </c>
      <c r="F285" s="28" t="s">
        <v>22</v>
      </c>
      <c r="G285" s="8" t="s">
        <v>2090</v>
      </c>
      <c r="H285" s="8" t="s">
        <v>841</v>
      </c>
      <c r="I285" s="8" t="s">
        <v>2090</v>
      </c>
      <c r="J285" s="29">
        <v>44601</v>
      </c>
      <c r="K285" s="29">
        <v>44601</v>
      </c>
      <c r="L285" s="30">
        <f t="shared" si="8"/>
        <v>5</v>
      </c>
      <c r="M285" s="8" t="s">
        <v>2100</v>
      </c>
      <c r="N285" s="31" t="s">
        <v>1104</v>
      </c>
      <c r="O285" s="8" t="s">
        <v>2091</v>
      </c>
      <c r="P285" s="31" t="s">
        <v>1105</v>
      </c>
      <c r="Q285" s="31" t="str">
        <f t="shared" si="9"/>
        <v>DENTRO DEL TIEMPO</v>
      </c>
      <c r="R285" s="6"/>
    </row>
    <row r="286" spans="1:18" ht="60" x14ac:dyDescent="0.25">
      <c r="A286" s="26">
        <v>280</v>
      </c>
      <c r="B286" s="8" t="s">
        <v>2101</v>
      </c>
      <c r="C286" s="27">
        <v>44596</v>
      </c>
      <c r="D286" s="27">
        <v>44596</v>
      </c>
      <c r="E286" s="26">
        <v>1</v>
      </c>
      <c r="F286" s="28" t="s">
        <v>22</v>
      </c>
      <c r="G286" s="8" t="s">
        <v>2090</v>
      </c>
      <c r="H286" s="8" t="s">
        <v>841</v>
      </c>
      <c r="I286" s="8" t="s">
        <v>2090</v>
      </c>
      <c r="J286" s="29">
        <v>44601</v>
      </c>
      <c r="K286" s="29">
        <v>44601</v>
      </c>
      <c r="L286" s="30">
        <f t="shared" si="8"/>
        <v>3</v>
      </c>
      <c r="M286" s="8" t="s">
        <v>2102</v>
      </c>
      <c r="N286" s="31" t="s">
        <v>1104</v>
      </c>
      <c r="O286" s="8" t="s">
        <v>2091</v>
      </c>
      <c r="P286" s="31" t="s">
        <v>1105</v>
      </c>
      <c r="Q286" s="31" t="str">
        <f t="shared" si="9"/>
        <v>DENTRO DEL TIEMPO</v>
      </c>
      <c r="R286" s="6"/>
    </row>
    <row r="287" spans="1:18" ht="60" x14ac:dyDescent="0.25">
      <c r="A287" s="26">
        <v>281</v>
      </c>
      <c r="B287" s="8" t="s">
        <v>2103</v>
      </c>
      <c r="C287" s="27">
        <v>44596</v>
      </c>
      <c r="D287" s="27">
        <v>44596</v>
      </c>
      <c r="E287" s="26">
        <v>5</v>
      </c>
      <c r="F287" s="28" t="s">
        <v>22</v>
      </c>
      <c r="G287" s="8" t="s">
        <v>2090</v>
      </c>
      <c r="H287" s="8" t="s">
        <v>841</v>
      </c>
      <c r="I287" s="8" t="s">
        <v>2090</v>
      </c>
      <c r="J287" s="29">
        <v>44602</v>
      </c>
      <c r="K287" s="29">
        <v>44602</v>
      </c>
      <c r="L287" s="30">
        <f t="shared" si="8"/>
        <v>4</v>
      </c>
      <c r="M287" s="8" t="s">
        <v>1207</v>
      </c>
      <c r="N287" s="31" t="s">
        <v>1104</v>
      </c>
      <c r="O287" s="8" t="s">
        <v>2091</v>
      </c>
      <c r="P287" s="31" t="s">
        <v>1105</v>
      </c>
      <c r="Q287" s="31" t="str">
        <f t="shared" si="9"/>
        <v>DENTRO DEL TIEMPO</v>
      </c>
      <c r="R287" s="6"/>
    </row>
    <row r="288" spans="1:18" ht="60" x14ac:dyDescent="0.25">
      <c r="A288" s="26">
        <v>282</v>
      </c>
      <c r="B288" s="8" t="s">
        <v>2104</v>
      </c>
      <c r="C288" s="27">
        <v>44596</v>
      </c>
      <c r="D288" s="27">
        <v>44596</v>
      </c>
      <c r="E288" s="26">
        <v>1</v>
      </c>
      <c r="F288" s="28" t="s">
        <v>22</v>
      </c>
      <c r="G288" s="8" t="s">
        <v>2090</v>
      </c>
      <c r="H288" s="8" t="s">
        <v>841</v>
      </c>
      <c r="I288" s="8" t="s">
        <v>2090</v>
      </c>
      <c r="J288" s="29">
        <v>44599</v>
      </c>
      <c r="K288" s="29">
        <v>44599</v>
      </c>
      <c r="L288" s="30">
        <f t="shared" si="8"/>
        <v>1</v>
      </c>
      <c r="M288" s="8" t="s">
        <v>1207</v>
      </c>
      <c r="N288" s="31" t="s">
        <v>1104</v>
      </c>
      <c r="O288" s="8" t="s">
        <v>2091</v>
      </c>
      <c r="P288" s="31" t="s">
        <v>1105</v>
      </c>
      <c r="Q288" s="31" t="str">
        <f t="shared" si="9"/>
        <v>DENTRO DEL TIEMPO</v>
      </c>
      <c r="R288" s="6"/>
    </row>
    <row r="289" spans="1:18" ht="60" x14ac:dyDescent="0.25">
      <c r="A289" s="26">
        <v>283</v>
      </c>
      <c r="B289" s="8" t="s">
        <v>2105</v>
      </c>
      <c r="C289" s="27">
        <v>44596</v>
      </c>
      <c r="D289" s="27">
        <v>44596</v>
      </c>
      <c r="E289" s="26">
        <v>1</v>
      </c>
      <c r="F289" s="28" t="s">
        <v>22</v>
      </c>
      <c r="G289" s="8" t="s">
        <v>2090</v>
      </c>
      <c r="H289" s="8" t="s">
        <v>841</v>
      </c>
      <c r="I289" s="8" t="s">
        <v>2090</v>
      </c>
      <c r="J289" s="29">
        <v>44602</v>
      </c>
      <c r="K289" s="29">
        <v>44602</v>
      </c>
      <c r="L289" s="30">
        <f t="shared" si="8"/>
        <v>4</v>
      </c>
      <c r="M289" s="8" t="s">
        <v>2106</v>
      </c>
      <c r="N289" s="31" t="s">
        <v>1104</v>
      </c>
      <c r="O289" s="8" t="s">
        <v>2091</v>
      </c>
      <c r="P289" s="31" t="s">
        <v>1105</v>
      </c>
      <c r="Q289" s="31" t="str">
        <f t="shared" si="9"/>
        <v>DENTRO DEL TIEMPO</v>
      </c>
      <c r="R289" s="6"/>
    </row>
    <row r="290" spans="1:18" ht="60" x14ac:dyDescent="0.25">
      <c r="A290" s="26">
        <v>284</v>
      </c>
      <c r="B290" s="8" t="s">
        <v>2107</v>
      </c>
      <c r="C290" s="27">
        <v>44596</v>
      </c>
      <c r="D290" s="27">
        <v>44596</v>
      </c>
      <c r="E290" s="26">
        <v>1</v>
      </c>
      <c r="F290" s="28" t="s">
        <v>22</v>
      </c>
      <c r="G290" s="8" t="s">
        <v>2090</v>
      </c>
      <c r="H290" s="8" t="s">
        <v>841</v>
      </c>
      <c r="I290" s="8" t="s">
        <v>2090</v>
      </c>
      <c r="J290" s="29">
        <v>44602</v>
      </c>
      <c r="K290" s="29">
        <v>44602</v>
      </c>
      <c r="L290" s="30">
        <f t="shared" si="8"/>
        <v>4</v>
      </c>
      <c r="M290" s="8" t="s">
        <v>2108</v>
      </c>
      <c r="N290" s="31" t="s">
        <v>1104</v>
      </c>
      <c r="O290" s="8" t="s">
        <v>2091</v>
      </c>
      <c r="P290" s="31" t="s">
        <v>1105</v>
      </c>
      <c r="Q290" s="31" t="str">
        <f t="shared" si="9"/>
        <v>DENTRO DEL TIEMPO</v>
      </c>
      <c r="R290" s="6"/>
    </row>
    <row r="291" spans="1:18" ht="60" x14ac:dyDescent="0.25">
      <c r="A291" s="26">
        <v>285</v>
      </c>
      <c r="B291" s="8" t="s">
        <v>2109</v>
      </c>
      <c r="C291" s="27">
        <v>44596</v>
      </c>
      <c r="D291" s="27">
        <v>44596</v>
      </c>
      <c r="E291" s="26">
        <v>1</v>
      </c>
      <c r="F291" s="28" t="s">
        <v>22</v>
      </c>
      <c r="G291" s="8" t="s">
        <v>2090</v>
      </c>
      <c r="H291" s="8" t="s">
        <v>841</v>
      </c>
      <c r="I291" s="8" t="s">
        <v>2090</v>
      </c>
      <c r="J291" s="29">
        <v>44602</v>
      </c>
      <c r="K291" s="29">
        <v>44602</v>
      </c>
      <c r="L291" s="30">
        <f t="shared" si="8"/>
        <v>4</v>
      </c>
      <c r="M291" s="8" t="s">
        <v>2110</v>
      </c>
      <c r="N291" s="31" t="s">
        <v>1104</v>
      </c>
      <c r="O291" s="8" t="s">
        <v>2091</v>
      </c>
      <c r="P291" s="31" t="s">
        <v>1105</v>
      </c>
      <c r="Q291" s="31" t="str">
        <f t="shared" si="9"/>
        <v>DENTRO DEL TIEMPO</v>
      </c>
      <c r="R291" s="6"/>
    </row>
    <row r="292" spans="1:18" ht="60" x14ac:dyDescent="0.25">
      <c r="A292" s="26">
        <v>286</v>
      </c>
      <c r="B292" s="8" t="s">
        <v>2111</v>
      </c>
      <c r="C292" s="27">
        <v>44566</v>
      </c>
      <c r="D292" s="27">
        <v>44600</v>
      </c>
      <c r="E292" s="26">
        <v>106</v>
      </c>
      <c r="F292" s="28" t="s">
        <v>22</v>
      </c>
      <c r="G292" s="8" t="s">
        <v>2090</v>
      </c>
      <c r="H292" s="8" t="s">
        <v>841</v>
      </c>
      <c r="I292" s="8" t="s">
        <v>2090</v>
      </c>
      <c r="J292" s="29">
        <v>44608</v>
      </c>
      <c r="K292" s="29">
        <v>44608</v>
      </c>
      <c r="L292" s="30">
        <f t="shared" si="8"/>
        <v>6</v>
      </c>
      <c r="M292" s="8" t="s">
        <v>2112</v>
      </c>
      <c r="N292" s="31" t="s">
        <v>1104</v>
      </c>
      <c r="O292" s="8" t="s">
        <v>2091</v>
      </c>
      <c r="P292" s="31" t="s">
        <v>1105</v>
      </c>
      <c r="Q292" s="31" t="str">
        <f t="shared" si="9"/>
        <v>DENTRO DEL TIEMPO</v>
      </c>
      <c r="R292" s="6"/>
    </row>
    <row r="293" spans="1:18" ht="60" x14ac:dyDescent="0.25">
      <c r="A293" s="26">
        <v>287</v>
      </c>
      <c r="B293" s="8" t="s">
        <v>2113</v>
      </c>
      <c r="C293" s="27">
        <v>44596</v>
      </c>
      <c r="D293" s="27">
        <v>44601</v>
      </c>
      <c r="E293" s="26">
        <v>17</v>
      </c>
      <c r="F293" s="28" t="s">
        <v>22</v>
      </c>
      <c r="G293" s="8" t="s">
        <v>2090</v>
      </c>
      <c r="H293" s="8" t="s">
        <v>841</v>
      </c>
      <c r="I293" s="8" t="s">
        <v>2090</v>
      </c>
      <c r="J293" s="29">
        <v>44613</v>
      </c>
      <c r="K293" s="29">
        <v>44613</v>
      </c>
      <c r="L293" s="30">
        <f t="shared" si="8"/>
        <v>8</v>
      </c>
      <c r="M293" s="8" t="s">
        <v>2114</v>
      </c>
      <c r="N293" s="31" t="s">
        <v>1104</v>
      </c>
      <c r="O293" s="8" t="s">
        <v>2091</v>
      </c>
      <c r="P293" s="31" t="s">
        <v>1105</v>
      </c>
      <c r="Q293" s="31" t="str">
        <f t="shared" si="9"/>
        <v>DENTRO DEL TIEMPO</v>
      </c>
      <c r="R293" s="6"/>
    </row>
    <row r="294" spans="1:18" ht="60" x14ac:dyDescent="0.25">
      <c r="A294" s="26">
        <v>288</v>
      </c>
      <c r="B294" s="8" t="s">
        <v>2115</v>
      </c>
      <c r="C294" s="27">
        <v>44600</v>
      </c>
      <c r="D294" s="27">
        <v>44601</v>
      </c>
      <c r="E294" s="26">
        <v>124</v>
      </c>
      <c r="F294" s="28" t="s">
        <v>22</v>
      </c>
      <c r="G294" s="8" t="s">
        <v>2090</v>
      </c>
      <c r="H294" s="8" t="s">
        <v>841</v>
      </c>
      <c r="I294" s="8" t="s">
        <v>2090</v>
      </c>
      <c r="J294" s="29">
        <v>44615</v>
      </c>
      <c r="K294" s="29">
        <v>44615</v>
      </c>
      <c r="L294" s="30">
        <f t="shared" si="8"/>
        <v>10</v>
      </c>
      <c r="M294" s="8" t="s">
        <v>2116</v>
      </c>
      <c r="N294" s="31" t="s">
        <v>1104</v>
      </c>
      <c r="O294" s="8" t="s">
        <v>2091</v>
      </c>
      <c r="P294" s="31" t="s">
        <v>1105</v>
      </c>
      <c r="Q294" s="31" t="str">
        <f t="shared" si="9"/>
        <v>DENTRO DEL TIEMPO</v>
      </c>
      <c r="R294" s="6"/>
    </row>
    <row r="295" spans="1:18" ht="60" x14ac:dyDescent="0.25">
      <c r="A295" s="26">
        <v>289</v>
      </c>
      <c r="B295" s="8" t="s">
        <v>2117</v>
      </c>
      <c r="C295" s="27">
        <v>44601</v>
      </c>
      <c r="D295" s="27">
        <v>44601</v>
      </c>
      <c r="E295" s="26">
        <v>25</v>
      </c>
      <c r="F295" s="28" t="s">
        <v>22</v>
      </c>
      <c r="G295" s="8" t="s">
        <v>2090</v>
      </c>
      <c r="H295" s="8" t="s">
        <v>841</v>
      </c>
      <c r="I295" s="8" t="s">
        <v>2090</v>
      </c>
      <c r="J295" s="29">
        <v>44609</v>
      </c>
      <c r="K295" s="29">
        <v>44609</v>
      </c>
      <c r="L295" s="30">
        <f t="shared" si="8"/>
        <v>6</v>
      </c>
      <c r="M295" s="8" t="s">
        <v>2118</v>
      </c>
      <c r="N295" s="31" t="s">
        <v>1104</v>
      </c>
      <c r="O295" s="8" t="s">
        <v>2091</v>
      </c>
      <c r="P295" s="31" t="s">
        <v>1105</v>
      </c>
      <c r="Q295" s="31" t="str">
        <f t="shared" si="9"/>
        <v>DENTRO DEL TIEMPO</v>
      </c>
      <c r="R295" s="6"/>
    </row>
    <row r="296" spans="1:18" ht="60" x14ac:dyDescent="0.25">
      <c r="A296" s="26">
        <v>290</v>
      </c>
      <c r="B296" s="8" t="s">
        <v>2119</v>
      </c>
      <c r="C296" s="27">
        <v>44601</v>
      </c>
      <c r="D296" s="27">
        <v>44601</v>
      </c>
      <c r="E296" s="26">
        <v>10</v>
      </c>
      <c r="F296" s="28" t="s">
        <v>22</v>
      </c>
      <c r="G296" s="8" t="s">
        <v>2090</v>
      </c>
      <c r="H296" s="8" t="s">
        <v>841</v>
      </c>
      <c r="I296" s="8" t="s">
        <v>2090</v>
      </c>
      <c r="J296" s="29">
        <v>44609</v>
      </c>
      <c r="K296" s="29">
        <v>44609</v>
      </c>
      <c r="L296" s="30">
        <f t="shared" si="8"/>
        <v>6</v>
      </c>
      <c r="M296" s="8" t="s">
        <v>2120</v>
      </c>
      <c r="N296" s="31" t="s">
        <v>1104</v>
      </c>
      <c r="O296" s="8" t="s">
        <v>2091</v>
      </c>
      <c r="P296" s="31" t="s">
        <v>1105</v>
      </c>
      <c r="Q296" s="31" t="str">
        <f t="shared" si="9"/>
        <v>DENTRO DEL TIEMPO</v>
      </c>
      <c r="R296" s="6"/>
    </row>
    <row r="297" spans="1:18" ht="60" x14ac:dyDescent="0.25">
      <c r="A297" s="26">
        <v>291</v>
      </c>
      <c r="B297" s="8" t="s">
        <v>2121</v>
      </c>
      <c r="C297" s="27">
        <v>44601</v>
      </c>
      <c r="D297" s="27">
        <v>44601</v>
      </c>
      <c r="E297" s="26">
        <v>5</v>
      </c>
      <c r="F297" s="28" t="s">
        <v>22</v>
      </c>
      <c r="G297" s="8" t="s">
        <v>2090</v>
      </c>
      <c r="H297" s="8" t="s">
        <v>841</v>
      </c>
      <c r="I297" s="8" t="s">
        <v>2090</v>
      </c>
      <c r="J297" s="29">
        <v>44609</v>
      </c>
      <c r="K297" s="29">
        <v>44609</v>
      </c>
      <c r="L297" s="30">
        <f t="shared" si="8"/>
        <v>6</v>
      </c>
      <c r="M297" s="8" t="s">
        <v>2122</v>
      </c>
      <c r="N297" s="31" t="s">
        <v>1104</v>
      </c>
      <c r="O297" s="8" t="s">
        <v>2091</v>
      </c>
      <c r="P297" s="31" t="s">
        <v>1105</v>
      </c>
      <c r="Q297" s="31" t="str">
        <f t="shared" si="9"/>
        <v>DENTRO DEL TIEMPO</v>
      </c>
      <c r="R297" s="6"/>
    </row>
    <row r="298" spans="1:18" ht="60" x14ac:dyDescent="0.25">
      <c r="A298" s="26">
        <v>292</v>
      </c>
      <c r="B298" s="8" t="s">
        <v>2123</v>
      </c>
      <c r="C298" s="27">
        <v>44601</v>
      </c>
      <c r="D298" s="27">
        <v>44601</v>
      </c>
      <c r="E298" s="26">
        <v>1</v>
      </c>
      <c r="F298" s="28" t="s">
        <v>22</v>
      </c>
      <c r="G298" s="8" t="s">
        <v>2090</v>
      </c>
      <c r="H298" s="8" t="s">
        <v>841</v>
      </c>
      <c r="I298" s="8" t="s">
        <v>2090</v>
      </c>
      <c r="J298" s="29">
        <v>44609</v>
      </c>
      <c r="K298" s="29">
        <v>44609</v>
      </c>
      <c r="L298" s="30">
        <f t="shared" si="8"/>
        <v>6</v>
      </c>
      <c r="M298" s="8" t="s">
        <v>2124</v>
      </c>
      <c r="N298" s="31" t="s">
        <v>1104</v>
      </c>
      <c r="O298" s="8" t="s">
        <v>2091</v>
      </c>
      <c r="P298" s="31" t="s">
        <v>1105</v>
      </c>
      <c r="Q298" s="31" t="str">
        <f t="shared" si="9"/>
        <v>DENTRO DEL TIEMPO</v>
      </c>
      <c r="R298" s="6"/>
    </row>
    <row r="299" spans="1:18" ht="60" x14ac:dyDescent="0.25">
      <c r="A299" s="26">
        <v>293</v>
      </c>
      <c r="B299" s="8" t="s">
        <v>2125</v>
      </c>
      <c r="C299" s="27">
        <v>44601</v>
      </c>
      <c r="D299" s="27">
        <v>44601</v>
      </c>
      <c r="E299" s="26">
        <v>14</v>
      </c>
      <c r="F299" s="28" t="s">
        <v>22</v>
      </c>
      <c r="G299" s="8" t="s">
        <v>2090</v>
      </c>
      <c r="H299" s="8" t="s">
        <v>841</v>
      </c>
      <c r="I299" s="8" t="s">
        <v>2090</v>
      </c>
      <c r="J299" s="29">
        <v>44609</v>
      </c>
      <c r="K299" s="29">
        <v>44609</v>
      </c>
      <c r="L299" s="30">
        <f t="shared" si="8"/>
        <v>6</v>
      </c>
      <c r="M299" s="8" t="s">
        <v>2126</v>
      </c>
      <c r="N299" s="31" t="s">
        <v>1104</v>
      </c>
      <c r="O299" s="8" t="s">
        <v>2091</v>
      </c>
      <c r="P299" s="31" t="s">
        <v>1105</v>
      </c>
      <c r="Q299" s="31" t="str">
        <f t="shared" si="9"/>
        <v>DENTRO DEL TIEMPO</v>
      </c>
      <c r="R299" s="6"/>
    </row>
    <row r="300" spans="1:18" ht="60" x14ac:dyDescent="0.25">
      <c r="A300" s="26">
        <v>294</v>
      </c>
      <c r="B300" s="8" t="s">
        <v>2127</v>
      </c>
      <c r="C300" s="27">
        <v>44606</v>
      </c>
      <c r="D300" s="27">
        <v>44606</v>
      </c>
      <c r="E300" s="26">
        <v>11</v>
      </c>
      <c r="F300" s="28" t="s">
        <v>22</v>
      </c>
      <c r="G300" s="8" t="s">
        <v>2090</v>
      </c>
      <c r="H300" s="8" t="s">
        <v>841</v>
      </c>
      <c r="I300" s="8" t="s">
        <v>2090</v>
      </c>
      <c r="J300" s="29">
        <v>44610</v>
      </c>
      <c r="K300" s="29">
        <v>44610</v>
      </c>
      <c r="L300" s="30">
        <f t="shared" si="8"/>
        <v>4</v>
      </c>
      <c r="M300" s="8" t="s">
        <v>2128</v>
      </c>
      <c r="N300" s="31" t="s">
        <v>1104</v>
      </c>
      <c r="O300" s="8" t="s">
        <v>2091</v>
      </c>
      <c r="P300" s="31" t="s">
        <v>1105</v>
      </c>
      <c r="Q300" s="31" t="str">
        <f t="shared" si="9"/>
        <v>DENTRO DEL TIEMPO</v>
      </c>
      <c r="R300" s="6"/>
    </row>
    <row r="301" spans="1:18" ht="60" x14ac:dyDescent="0.25">
      <c r="A301" s="26">
        <v>295</v>
      </c>
      <c r="B301" s="8" t="s">
        <v>2129</v>
      </c>
      <c r="C301" s="27">
        <v>44606</v>
      </c>
      <c r="D301" s="27">
        <v>44606</v>
      </c>
      <c r="E301" s="26">
        <v>1</v>
      </c>
      <c r="F301" s="28" t="s">
        <v>22</v>
      </c>
      <c r="G301" s="8" t="s">
        <v>2090</v>
      </c>
      <c r="H301" s="8" t="s">
        <v>841</v>
      </c>
      <c r="I301" s="8" t="s">
        <v>2090</v>
      </c>
      <c r="J301" s="29">
        <v>44610</v>
      </c>
      <c r="K301" s="29">
        <v>44610</v>
      </c>
      <c r="L301" s="30">
        <f t="shared" si="8"/>
        <v>4</v>
      </c>
      <c r="M301" s="8" t="s">
        <v>2130</v>
      </c>
      <c r="N301" s="31" t="s">
        <v>1104</v>
      </c>
      <c r="O301" s="8" t="s">
        <v>2091</v>
      </c>
      <c r="P301" s="31" t="s">
        <v>1105</v>
      </c>
      <c r="Q301" s="31" t="str">
        <f t="shared" si="9"/>
        <v>DENTRO DEL TIEMPO</v>
      </c>
      <c r="R301" s="6"/>
    </row>
    <row r="302" spans="1:18" ht="60" x14ac:dyDescent="0.25">
      <c r="A302" s="26">
        <v>296</v>
      </c>
      <c r="B302" s="8" t="s">
        <v>2131</v>
      </c>
      <c r="C302" s="27">
        <v>44606</v>
      </c>
      <c r="D302" s="27">
        <v>44606</v>
      </c>
      <c r="E302" s="26">
        <v>1</v>
      </c>
      <c r="F302" s="28" t="s">
        <v>22</v>
      </c>
      <c r="G302" s="8" t="s">
        <v>2090</v>
      </c>
      <c r="H302" s="8" t="s">
        <v>841</v>
      </c>
      <c r="I302" s="8" t="s">
        <v>2090</v>
      </c>
      <c r="J302" s="29">
        <v>44610</v>
      </c>
      <c r="K302" s="29">
        <v>44610</v>
      </c>
      <c r="L302" s="30">
        <f t="shared" si="8"/>
        <v>4</v>
      </c>
      <c r="M302" s="8" t="s">
        <v>2132</v>
      </c>
      <c r="N302" s="31" t="s">
        <v>1104</v>
      </c>
      <c r="O302" s="8" t="s">
        <v>2091</v>
      </c>
      <c r="P302" s="31" t="s">
        <v>1105</v>
      </c>
      <c r="Q302" s="31" t="str">
        <f t="shared" si="9"/>
        <v>DENTRO DEL TIEMPO</v>
      </c>
      <c r="R302" s="6"/>
    </row>
    <row r="303" spans="1:18" ht="60" x14ac:dyDescent="0.25">
      <c r="A303" s="26">
        <v>297</v>
      </c>
      <c r="B303" s="8" t="s">
        <v>2133</v>
      </c>
      <c r="C303" s="27">
        <v>44606</v>
      </c>
      <c r="D303" s="27">
        <v>44606</v>
      </c>
      <c r="E303" s="26">
        <v>1</v>
      </c>
      <c r="F303" s="28" t="s">
        <v>22</v>
      </c>
      <c r="G303" s="8" t="s">
        <v>2090</v>
      </c>
      <c r="H303" s="8" t="s">
        <v>841</v>
      </c>
      <c r="I303" s="8" t="s">
        <v>2090</v>
      </c>
      <c r="J303" s="29">
        <v>44610</v>
      </c>
      <c r="K303" s="29">
        <v>44610</v>
      </c>
      <c r="L303" s="30">
        <f t="shared" si="8"/>
        <v>4</v>
      </c>
      <c r="M303" s="8" t="s">
        <v>2134</v>
      </c>
      <c r="N303" s="31" t="s">
        <v>1104</v>
      </c>
      <c r="O303" s="8" t="s">
        <v>2091</v>
      </c>
      <c r="P303" s="31" t="s">
        <v>1105</v>
      </c>
      <c r="Q303" s="31" t="str">
        <f t="shared" si="9"/>
        <v>DENTRO DEL TIEMPO</v>
      </c>
      <c r="R303" s="6"/>
    </row>
    <row r="304" spans="1:18" ht="60" x14ac:dyDescent="0.25">
      <c r="A304" s="26">
        <v>298</v>
      </c>
      <c r="B304" s="8" t="s">
        <v>2133</v>
      </c>
      <c r="C304" s="27">
        <v>44606</v>
      </c>
      <c r="D304" s="27">
        <v>44606</v>
      </c>
      <c r="E304" s="26">
        <v>3</v>
      </c>
      <c r="F304" s="28" t="s">
        <v>22</v>
      </c>
      <c r="G304" s="8" t="s">
        <v>2090</v>
      </c>
      <c r="H304" s="8" t="s">
        <v>841</v>
      </c>
      <c r="I304" s="8" t="s">
        <v>2090</v>
      </c>
      <c r="J304" s="29">
        <v>44613</v>
      </c>
      <c r="K304" s="29">
        <v>44613</v>
      </c>
      <c r="L304" s="30">
        <f t="shared" si="8"/>
        <v>5</v>
      </c>
      <c r="M304" s="8" t="s">
        <v>2135</v>
      </c>
      <c r="N304" s="31" t="s">
        <v>1104</v>
      </c>
      <c r="O304" s="8" t="s">
        <v>2091</v>
      </c>
      <c r="P304" s="31" t="s">
        <v>1105</v>
      </c>
      <c r="Q304" s="31" t="str">
        <f t="shared" si="9"/>
        <v>DENTRO DEL TIEMPO</v>
      </c>
      <c r="R304" s="6"/>
    </row>
    <row r="305" spans="1:18" ht="60" x14ac:dyDescent="0.25">
      <c r="A305" s="26">
        <v>299</v>
      </c>
      <c r="B305" s="8" t="s">
        <v>2136</v>
      </c>
      <c r="C305" s="27">
        <v>44607</v>
      </c>
      <c r="D305" s="27">
        <v>44607</v>
      </c>
      <c r="E305" s="26">
        <v>15</v>
      </c>
      <c r="F305" s="28" t="s">
        <v>22</v>
      </c>
      <c r="G305" s="8" t="s">
        <v>2090</v>
      </c>
      <c r="H305" s="8" t="s">
        <v>841</v>
      </c>
      <c r="I305" s="8" t="s">
        <v>2090</v>
      </c>
      <c r="J305" s="29">
        <v>44610</v>
      </c>
      <c r="K305" s="29">
        <v>44610</v>
      </c>
      <c r="L305" s="30">
        <f t="shared" si="8"/>
        <v>3</v>
      </c>
      <c r="M305" s="8" t="s">
        <v>2137</v>
      </c>
      <c r="N305" s="31" t="s">
        <v>1104</v>
      </c>
      <c r="O305" s="8" t="s">
        <v>2091</v>
      </c>
      <c r="P305" s="31" t="s">
        <v>1105</v>
      </c>
      <c r="Q305" s="31" t="str">
        <f t="shared" si="9"/>
        <v>DENTRO DEL TIEMPO</v>
      </c>
      <c r="R305" s="6"/>
    </row>
    <row r="306" spans="1:18" ht="60" x14ac:dyDescent="0.25">
      <c r="A306" s="26">
        <v>300</v>
      </c>
      <c r="B306" s="8" t="s">
        <v>2138</v>
      </c>
      <c r="C306" s="27">
        <v>44540</v>
      </c>
      <c r="D306" s="27">
        <v>44608</v>
      </c>
      <c r="E306" s="26">
        <v>1</v>
      </c>
      <c r="F306" s="28" t="s">
        <v>22</v>
      </c>
      <c r="G306" s="8" t="s">
        <v>2090</v>
      </c>
      <c r="H306" s="8" t="s">
        <v>841</v>
      </c>
      <c r="I306" s="8" t="s">
        <v>2090</v>
      </c>
      <c r="J306" s="29">
        <v>44615</v>
      </c>
      <c r="K306" s="29">
        <v>44615</v>
      </c>
      <c r="L306" s="30">
        <f t="shared" si="8"/>
        <v>5</v>
      </c>
      <c r="M306" s="8" t="s">
        <v>2139</v>
      </c>
      <c r="N306" s="31" t="s">
        <v>1104</v>
      </c>
      <c r="O306" s="8" t="s">
        <v>2091</v>
      </c>
      <c r="P306" s="31" t="s">
        <v>1105</v>
      </c>
      <c r="Q306" s="31" t="str">
        <f t="shared" si="9"/>
        <v>DENTRO DEL TIEMPO</v>
      </c>
      <c r="R306" s="6"/>
    </row>
    <row r="307" spans="1:18" ht="60" x14ac:dyDescent="0.25">
      <c r="A307" s="26">
        <v>301</v>
      </c>
      <c r="B307" s="8" t="s">
        <v>2140</v>
      </c>
      <c r="C307" s="27">
        <v>44586</v>
      </c>
      <c r="D307" s="27">
        <v>44608</v>
      </c>
      <c r="E307" s="26">
        <v>161</v>
      </c>
      <c r="F307" s="28" t="s">
        <v>22</v>
      </c>
      <c r="G307" s="8" t="s">
        <v>2090</v>
      </c>
      <c r="H307" s="8" t="s">
        <v>841</v>
      </c>
      <c r="I307" s="8" t="s">
        <v>2090</v>
      </c>
      <c r="J307" s="29">
        <v>44608</v>
      </c>
      <c r="K307" s="29">
        <v>44608</v>
      </c>
      <c r="L307" s="30">
        <f t="shared" si="8"/>
        <v>0</v>
      </c>
      <c r="M307" s="8" t="s">
        <v>2141</v>
      </c>
      <c r="N307" s="31" t="s">
        <v>1104</v>
      </c>
      <c r="O307" s="8" t="s">
        <v>2091</v>
      </c>
      <c r="P307" s="31" t="s">
        <v>1105</v>
      </c>
      <c r="Q307" s="31" t="str">
        <f t="shared" si="9"/>
        <v>DENTRO DEL TIEMPO</v>
      </c>
      <c r="R307" s="6"/>
    </row>
    <row r="308" spans="1:18" ht="60" x14ac:dyDescent="0.25">
      <c r="A308" s="26">
        <v>302</v>
      </c>
      <c r="B308" s="8" t="s">
        <v>2142</v>
      </c>
      <c r="C308" s="27">
        <v>44609</v>
      </c>
      <c r="D308" s="27">
        <v>44609</v>
      </c>
      <c r="E308" s="26">
        <v>1</v>
      </c>
      <c r="F308" s="28" t="s">
        <v>22</v>
      </c>
      <c r="G308" s="8" t="s">
        <v>2090</v>
      </c>
      <c r="H308" s="8" t="s">
        <v>841</v>
      </c>
      <c r="I308" s="8" t="s">
        <v>2090</v>
      </c>
      <c r="J308" s="29">
        <v>44613</v>
      </c>
      <c r="K308" s="29">
        <v>44613</v>
      </c>
      <c r="L308" s="30">
        <f t="shared" si="8"/>
        <v>2</v>
      </c>
      <c r="M308" s="8" t="s">
        <v>2143</v>
      </c>
      <c r="N308" s="31" t="s">
        <v>1104</v>
      </c>
      <c r="O308" s="8" t="s">
        <v>2091</v>
      </c>
      <c r="P308" s="31" t="s">
        <v>1105</v>
      </c>
      <c r="Q308" s="31" t="str">
        <f t="shared" si="9"/>
        <v>DENTRO DEL TIEMPO</v>
      </c>
      <c r="R308" s="6"/>
    </row>
    <row r="309" spans="1:18" ht="60" x14ac:dyDescent="0.25">
      <c r="A309" s="26">
        <v>303</v>
      </c>
      <c r="B309" s="8" t="s">
        <v>2144</v>
      </c>
      <c r="C309" s="27">
        <v>44609</v>
      </c>
      <c r="D309" s="27">
        <v>44609</v>
      </c>
      <c r="E309" s="26">
        <v>1</v>
      </c>
      <c r="F309" s="28" t="s">
        <v>22</v>
      </c>
      <c r="G309" s="8" t="s">
        <v>2090</v>
      </c>
      <c r="H309" s="8" t="s">
        <v>841</v>
      </c>
      <c r="I309" s="8" t="s">
        <v>2090</v>
      </c>
      <c r="J309" s="29">
        <v>44615</v>
      </c>
      <c r="K309" s="29">
        <v>44615</v>
      </c>
      <c r="L309" s="30">
        <f t="shared" si="8"/>
        <v>4</v>
      </c>
      <c r="M309" s="8" t="s">
        <v>2145</v>
      </c>
      <c r="N309" s="31" t="s">
        <v>1104</v>
      </c>
      <c r="O309" s="8" t="s">
        <v>2091</v>
      </c>
      <c r="P309" s="31" t="s">
        <v>1105</v>
      </c>
      <c r="Q309" s="31" t="str">
        <f t="shared" si="9"/>
        <v>DENTRO DEL TIEMPO</v>
      </c>
      <c r="R309" s="6"/>
    </row>
    <row r="310" spans="1:18" ht="60" x14ac:dyDescent="0.25">
      <c r="A310" s="26">
        <v>304</v>
      </c>
      <c r="B310" s="8" t="s">
        <v>2146</v>
      </c>
      <c r="C310" s="27">
        <v>44609</v>
      </c>
      <c r="D310" s="27">
        <v>44609</v>
      </c>
      <c r="E310" s="26">
        <v>1</v>
      </c>
      <c r="F310" s="28" t="s">
        <v>22</v>
      </c>
      <c r="G310" s="8" t="s">
        <v>2090</v>
      </c>
      <c r="H310" s="8" t="s">
        <v>841</v>
      </c>
      <c r="I310" s="8" t="s">
        <v>2090</v>
      </c>
      <c r="J310" s="29">
        <v>44616</v>
      </c>
      <c r="K310" s="29">
        <v>44616</v>
      </c>
      <c r="L310" s="30">
        <f t="shared" si="8"/>
        <v>5</v>
      </c>
      <c r="M310" s="8" t="s">
        <v>2147</v>
      </c>
      <c r="N310" s="31" t="s">
        <v>1104</v>
      </c>
      <c r="O310" s="8" t="s">
        <v>2091</v>
      </c>
      <c r="P310" s="31" t="s">
        <v>1105</v>
      </c>
      <c r="Q310" s="31" t="str">
        <f t="shared" si="9"/>
        <v>DENTRO DEL TIEMPO</v>
      </c>
      <c r="R310" s="6"/>
    </row>
    <row r="311" spans="1:18" ht="60" x14ac:dyDescent="0.25">
      <c r="A311" s="26">
        <v>305</v>
      </c>
      <c r="B311" s="8" t="s">
        <v>2148</v>
      </c>
      <c r="C311" s="27">
        <v>44609</v>
      </c>
      <c r="D311" s="27">
        <v>44609</v>
      </c>
      <c r="E311" s="26">
        <v>1</v>
      </c>
      <c r="F311" s="28" t="s">
        <v>22</v>
      </c>
      <c r="G311" s="8" t="s">
        <v>2090</v>
      </c>
      <c r="H311" s="8" t="s">
        <v>841</v>
      </c>
      <c r="I311" s="8" t="s">
        <v>2090</v>
      </c>
      <c r="J311" s="29">
        <v>44616</v>
      </c>
      <c r="K311" s="29">
        <v>44616</v>
      </c>
      <c r="L311" s="30">
        <f t="shared" si="8"/>
        <v>5</v>
      </c>
      <c r="M311" s="8" t="s">
        <v>2149</v>
      </c>
      <c r="N311" s="31" t="s">
        <v>1104</v>
      </c>
      <c r="O311" s="8" t="s">
        <v>2091</v>
      </c>
      <c r="P311" s="31" t="s">
        <v>1105</v>
      </c>
      <c r="Q311" s="31" t="str">
        <f t="shared" si="9"/>
        <v>DENTRO DEL TIEMPO</v>
      </c>
      <c r="R311" s="6"/>
    </row>
    <row r="312" spans="1:18" ht="60" x14ac:dyDescent="0.25">
      <c r="A312" s="26">
        <v>306</v>
      </c>
      <c r="B312" s="8" t="s">
        <v>2150</v>
      </c>
      <c r="C312" s="27">
        <v>44610</v>
      </c>
      <c r="D312" s="27">
        <v>44610</v>
      </c>
      <c r="E312" s="26">
        <v>11</v>
      </c>
      <c r="F312" s="28" t="s">
        <v>22</v>
      </c>
      <c r="G312" s="8" t="s">
        <v>2090</v>
      </c>
      <c r="H312" s="8" t="s">
        <v>841</v>
      </c>
      <c r="I312" s="8" t="s">
        <v>2090</v>
      </c>
      <c r="J312" s="29">
        <v>44617</v>
      </c>
      <c r="K312" s="29">
        <v>44617</v>
      </c>
      <c r="L312" s="30">
        <f t="shared" si="8"/>
        <v>5</v>
      </c>
      <c r="M312" s="8" t="s">
        <v>2151</v>
      </c>
      <c r="N312" s="31" t="s">
        <v>1104</v>
      </c>
      <c r="O312" s="8" t="s">
        <v>2091</v>
      </c>
      <c r="P312" s="31" t="s">
        <v>1105</v>
      </c>
      <c r="Q312" s="31" t="str">
        <f t="shared" si="9"/>
        <v>DENTRO DEL TIEMPO</v>
      </c>
      <c r="R312" s="6"/>
    </row>
    <row r="313" spans="1:18" ht="60" x14ac:dyDescent="0.25">
      <c r="A313" s="26">
        <v>307</v>
      </c>
      <c r="B313" s="8" t="s">
        <v>2152</v>
      </c>
      <c r="C313" s="27">
        <v>44610</v>
      </c>
      <c r="D313" s="27">
        <v>44610</v>
      </c>
      <c r="E313" s="26">
        <v>343</v>
      </c>
      <c r="F313" s="28" t="s">
        <v>22</v>
      </c>
      <c r="G313" s="8" t="s">
        <v>2090</v>
      </c>
      <c r="H313" s="8" t="s">
        <v>841</v>
      </c>
      <c r="I313" s="8" t="s">
        <v>2090</v>
      </c>
      <c r="J313" s="29">
        <v>44613</v>
      </c>
      <c r="K313" s="29">
        <v>44613</v>
      </c>
      <c r="L313" s="30">
        <f t="shared" si="8"/>
        <v>1</v>
      </c>
      <c r="M313" s="8" t="s">
        <v>2153</v>
      </c>
      <c r="N313" s="31" t="s">
        <v>1104</v>
      </c>
      <c r="O313" s="8" t="s">
        <v>2091</v>
      </c>
      <c r="P313" s="31" t="s">
        <v>1105</v>
      </c>
      <c r="Q313" s="31" t="str">
        <f t="shared" si="9"/>
        <v>DENTRO DEL TIEMPO</v>
      </c>
      <c r="R313" s="6"/>
    </row>
    <row r="314" spans="1:18" ht="60" x14ac:dyDescent="0.25">
      <c r="A314" s="26">
        <v>308</v>
      </c>
      <c r="B314" s="8" t="s">
        <v>2154</v>
      </c>
      <c r="C314" s="27">
        <v>44599</v>
      </c>
      <c r="D314" s="27">
        <v>44613</v>
      </c>
      <c r="E314" s="26">
        <v>68</v>
      </c>
      <c r="F314" s="28" t="s">
        <v>22</v>
      </c>
      <c r="G314" s="8" t="s">
        <v>2090</v>
      </c>
      <c r="H314" s="8" t="s">
        <v>841</v>
      </c>
      <c r="I314" s="8" t="s">
        <v>2090</v>
      </c>
      <c r="J314" s="29">
        <v>44617</v>
      </c>
      <c r="K314" s="29">
        <v>44617</v>
      </c>
      <c r="L314" s="30">
        <f t="shared" si="8"/>
        <v>4</v>
      </c>
      <c r="M314" s="8" t="s">
        <v>2155</v>
      </c>
      <c r="N314" s="31" t="s">
        <v>1104</v>
      </c>
      <c r="O314" s="8" t="s">
        <v>2091</v>
      </c>
      <c r="P314" s="31" t="s">
        <v>1105</v>
      </c>
      <c r="Q314" s="31" t="str">
        <f t="shared" si="9"/>
        <v>DENTRO DEL TIEMPO</v>
      </c>
      <c r="R314" s="6"/>
    </row>
    <row r="315" spans="1:18" ht="60" x14ac:dyDescent="0.25">
      <c r="A315" s="26">
        <v>309</v>
      </c>
      <c r="B315" s="8" t="s">
        <v>2156</v>
      </c>
      <c r="C315" s="27">
        <v>44613</v>
      </c>
      <c r="D315" s="27">
        <v>44613</v>
      </c>
      <c r="E315" s="26">
        <v>1</v>
      </c>
      <c r="F315" s="28" t="s">
        <v>22</v>
      </c>
      <c r="G315" s="8" t="s">
        <v>2090</v>
      </c>
      <c r="H315" s="8" t="s">
        <v>841</v>
      </c>
      <c r="I315" s="8" t="s">
        <v>2090</v>
      </c>
      <c r="J315" s="29">
        <v>44617</v>
      </c>
      <c r="K315" s="29">
        <v>44617</v>
      </c>
      <c r="L315" s="30">
        <f t="shared" si="8"/>
        <v>4</v>
      </c>
      <c r="M315" s="8" t="s">
        <v>2157</v>
      </c>
      <c r="N315" s="31" t="s">
        <v>1104</v>
      </c>
      <c r="O315" s="8" t="s">
        <v>2091</v>
      </c>
      <c r="P315" s="31" t="s">
        <v>1105</v>
      </c>
      <c r="Q315" s="31" t="str">
        <f t="shared" si="9"/>
        <v>DENTRO DEL TIEMPO</v>
      </c>
      <c r="R315" s="6"/>
    </row>
    <row r="316" spans="1:18" ht="60" x14ac:dyDescent="0.25">
      <c r="A316" s="26">
        <v>310</v>
      </c>
      <c r="B316" s="8" t="s">
        <v>2158</v>
      </c>
      <c r="C316" s="27">
        <v>44588</v>
      </c>
      <c r="D316" s="27">
        <v>44615</v>
      </c>
      <c r="E316" s="26">
        <v>1</v>
      </c>
      <c r="F316" s="28" t="s">
        <v>22</v>
      </c>
      <c r="G316" s="8" t="s">
        <v>2090</v>
      </c>
      <c r="H316" s="8" t="s">
        <v>841</v>
      </c>
      <c r="I316" s="8" t="s">
        <v>2090</v>
      </c>
      <c r="J316" s="29">
        <v>44615</v>
      </c>
      <c r="K316" s="29">
        <v>44615</v>
      </c>
      <c r="L316" s="30">
        <f t="shared" si="8"/>
        <v>0</v>
      </c>
      <c r="M316" s="8" t="s">
        <v>842</v>
      </c>
      <c r="N316" s="31" t="s">
        <v>1104</v>
      </c>
      <c r="O316" s="8" t="s">
        <v>2091</v>
      </c>
      <c r="P316" s="31" t="s">
        <v>1105</v>
      </c>
      <c r="Q316" s="31" t="str">
        <f t="shared" si="9"/>
        <v>DENTRO DEL TIEMPO</v>
      </c>
      <c r="R316" s="6"/>
    </row>
    <row r="317" spans="1:18" ht="60" x14ac:dyDescent="0.25">
      <c r="A317" s="26">
        <v>311</v>
      </c>
      <c r="B317" s="8" t="s">
        <v>2159</v>
      </c>
      <c r="C317" s="27">
        <v>44538</v>
      </c>
      <c r="D317" s="27">
        <v>44615</v>
      </c>
      <c r="E317" s="26">
        <v>5</v>
      </c>
      <c r="F317" s="28" t="s">
        <v>22</v>
      </c>
      <c r="G317" s="8" t="s">
        <v>2090</v>
      </c>
      <c r="H317" s="8" t="s">
        <v>841</v>
      </c>
      <c r="I317" s="8" t="s">
        <v>2090</v>
      </c>
      <c r="J317" s="29">
        <v>44615</v>
      </c>
      <c r="K317" s="29">
        <v>44615</v>
      </c>
      <c r="L317" s="30">
        <f t="shared" si="8"/>
        <v>0</v>
      </c>
      <c r="M317" s="8" t="s">
        <v>2160</v>
      </c>
      <c r="N317" s="31" t="s">
        <v>1104</v>
      </c>
      <c r="O317" s="8" t="s">
        <v>2091</v>
      </c>
      <c r="P317" s="31" t="s">
        <v>1105</v>
      </c>
      <c r="Q317" s="31" t="str">
        <f t="shared" si="9"/>
        <v>DENTRO DEL TIEMPO</v>
      </c>
      <c r="R317" s="6"/>
    </row>
    <row r="318" spans="1:18" ht="60" x14ac:dyDescent="0.25">
      <c r="A318" s="26">
        <v>312</v>
      </c>
      <c r="B318" s="8" t="s">
        <v>2159</v>
      </c>
      <c r="C318" s="27">
        <v>44903</v>
      </c>
      <c r="D318" s="27">
        <v>44615</v>
      </c>
      <c r="E318" s="26">
        <v>1</v>
      </c>
      <c r="F318" s="28" t="s">
        <v>22</v>
      </c>
      <c r="G318" s="8" t="s">
        <v>2090</v>
      </c>
      <c r="H318" s="8" t="s">
        <v>841</v>
      </c>
      <c r="I318" s="8" t="s">
        <v>2090</v>
      </c>
      <c r="J318" s="29">
        <v>44615</v>
      </c>
      <c r="K318" s="29">
        <v>44615</v>
      </c>
      <c r="L318" s="30">
        <f t="shared" si="8"/>
        <v>0</v>
      </c>
      <c r="M318" s="8" t="s">
        <v>2161</v>
      </c>
      <c r="N318" s="31" t="s">
        <v>1104</v>
      </c>
      <c r="O318" s="8" t="s">
        <v>2091</v>
      </c>
      <c r="P318" s="31" t="s">
        <v>1105</v>
      </c>
      <c r="Q318" s="31" t="str">
        <f t="shared" si="9"/>
        <v>DENTRO DEL TIEMPO</v>
      </c>
      <c r="R318" s="6"/>
    </row>
    <row r="319" spans="1:18" ht="60" x14ac:dyDescent="0.25">
      <c r="A319" s="26">
        <v>313</v>
      </c>
      <c r="B319" s="8" t="s">
        <v>2162</v>
      </c>
      <c r="C319" s="27">
        <v>44540</v>
      </c>
      <c r="D319" s="27">
        <v>44615</v>
      </c>
      <c r="E319" s="26">
        <v>1</v>
      </c>
      <c r="F319" s="28" t="s">
        <v>22</v>
      </c>
      <c r="G319" s="8" t="s">
        <v>2090</v>
      </c>
      <c r="H319" s="8" t="s">
        <v>841</v>
      </c>
      <c r="I319" s="8" t="s">
        <v>2090</v>
      </c>
      <c r="J319" s="29">
        <v>44615</v>
      </c>
      <c r="K319" s="29">
        <v>44615</v>
      </c>
      <c r="L319" s="30">
        <f t="shared" si="8"/>
        <v>0</v>
      </c>
      <c r="M319" s="8" t="s">
        <v>2139</v>
      </c>
      <c r="N319" s="31" t="s">
        <v>1104</v>
      </c>
      <c r="O319" s="8" t="s">
        <v>2091</v>
      </c>
      <c r="P319" s="31" t="s">
        <v>1105</v>
      </c>
      <c r="Q319" s="31" t="str">
        <f t="shared" si="9"/>
        <v>DENTRO DEL TIEMPO</v>
      </c>
      <c r="R319" s="6"/>
    </row>
    <row r="320" spans="1:18" ht="60" x14ac:dyDescent="0.25">
      <c r="A320" s="26">
        <v>314</v>
      </c>
      <c r="B320" s="8" t="s">
        <v>2163</v>
      </c>
      <c r="C320" s="27">
        <v>44551</v>
      </c>
      <c r="D320" s="27">
        <v>44615</v>
      </c>
      <c r="E320" s="26">
        <v>904</v>
      </c>
      <c r="F320" s="28" t="s">
        <v>22</v>
      </c>
      <c r="G320" s="8" t="s">
        <v>2090</v>
      </c>
      <c r="H320" s="8" t="s">
        <v>841</v>
      </c>
      <c r="I320" s="8" t="s">
        <v>2090</v>
      </c>
      <c r="J320" s="29">
        <v>44618</v>
      </c>
      <c r="K320" s="29">
        <v>44618</v>
      </c>
      <c r="L320" s="30">
        <f t="shared" si="8"/>
        <v>2</v>
      </c>
      <c r="M320" s="8" t="s">
        <v>2164</v>
      </c>
      <c r="N320" s="31" t="s">
        <v>1104</v>
      </c>
      <c r="O320" s="8" t="s">
        <v>2091</v>
      </c>
      <c r="P320" s="31" t="s">
        <v>1105</v>
      </c>
      <c r="Q320" s="31" t="str">
        <f t="shared" si="9"/>
        <v>DENTRO DEL TIEMPO</v>
      </c>
      <c r="R320" s="6"/>
    </row>
    <row r="321" spans="1:18" ht="60" x14ac:dyDescent="0.25">
      <c r="A321" s="26">
        <v>315</v>
      </c>
      <c r="B321" s="8" t="s">
        <v>2165</v>
      </c>
      <c r="C321" s="27">
        <v>44545</v>
      </c>
      <c r="D321" s="27">
        <v>44615</v>
      </c>
      <c r="E321" s="26">
        <v>1</v>
      </c>
      <c r="F321" s="28" t="s">
        <v>22</v>
      </c>
      <c r="G321" s="8" t="s">
        <v>2166</v>
      </c>
      <c r="H321" s="8" t="s">
        <v>841</v>
      </c>
      <c r="I321" s="8" t="s">
        <v>2166</v>
      </c>
      <c r="J321" s="29">
        <v>44615</v>
      </c>
      <c r="K321" s="29">
        <v>44615</v>
      </c>
      <c r="L321" s="30">
        <f t="shared" si="8"/>
        <v>0</v>
      </c>
      <c r="M321" s="8" t="s">
        <v>2167</v>
      </c>
      <c r="N321" s="31" t="s">
        <v>1104</v>
      </c>
      <c r="O321" s="8" t="s">
        <v>2091</v>
      </c>
      <c r="P321" s="31" t="s">
        <v>1105</v>
      </c>
      <c r="Q321" s="31" t="str">
        <f t="shared" si="9"/>
        <v>DENTRO DEL TIEMPO</v>
      </c>
      <c r="R321" s="6"/>
    </row>
    <row r="322" spans="1:18" ht="60" x14ac:dyDescent="0.25">
      <c r="A322" s="26">
        <v>316</v>
      </c>
      <c r="B322" s="8" t="s">
        <v>2168</v>
      </c>
      <c r="C322" s="27">
        <v>44616</v>
      </c>
      <c r="D322" s="27">
        <v>44616</v>
      </c>
      <c r="E322" s="26">
        <v>81</v>
      </c>
      <c r="F322" s="28" t="s">
        <v>22</v>
      </c>
      <c r="G322" s="8" t="s">
        <v>2090</v>
      </c>
      <c r="H322" s="8" t="s">
        <v>841</v>
      </c>
      <c r="I322" s="8" t="s">
        <v>2090</v>
      </c>
      <c r="J322" s="29">
        <v>44617</v>
      </c>
      <c r="K322" s="29">
        <v>44617</v>
      </c>
      <c r="L322" s="30">
        <f t="shared" si="8"/>
        <v>1</v>
      </c>
      <c r="M322" s="8" t="s">
        <v>2169</v>
      </c>
      <c r="N322" s="31" t="s">
        <v>1104</v>
      </c>
      <c r="O322" s="8" t="s">
        <v>2091</v>
      </c>
      <c r="P322" s="31" t="s">
        <v>1105</v>
      </c>
      <c r="Q322" s="31" t="str">
        <f t="shared" si="9"/>
        <v>DENTRO DEL TIEMPO</v>
      </c>
      <c r="R322" s="6"/>
    </row>
    <row r="323" spans="1:18" ht="45" x14ac:dyDescent="0.25">
      <c r="A323" s="26">
        <v>317</v>
      </c>
      <c r="B323" s="10" t="s">
        <v>2170</v>
      </c>
      <c r="C323" s="11">
        <v>44593</v>
      </c>
      <c r="D323" s="11">
        <v>44593</v>
      </c>
      <c r="E323" s="12">
        <v>2</v>
      </c>
      <c r="F323" s="28" t="s">
        <v>22</v>
      </c>
      <c r="G323" s="13" t="s">
        <v>2171</v>
      </c>
      <c r="H323" s="13" t="s">
        <v>2172</v>
      </c>
      <c r="I323" s="13" t="s">
        <v>2171</v>
      </c>
      <c r="J323" s="11">
        <v>44593</v>
      </c>
      <c r="K323" s="11">
        <v>44593</v>
      </c>
      <c r="L323" s="30">
        <f t="shared" si="8"/>
        <v>0</v>
      </c>
      <c r="M323" s="14" t="s">
        <v>2173</v>
      </c>
      <c r="N323" s="15" t="s">
        <v>1025</v>
      </c>
      <c r="O323" s="13" t="s">
        <v>1093</v>
      </c>
      <c r="P323" s="16" t="s">
        <v>1030</v>
      </c>
      <c r="Q323" s="31" t="str">
        <f t="shared" si="9"/>
        <v>DENTRO DEL TIEMPO</v>
      </c>
      <c r="R323" s="6"/>
    </row>
    <row r="324" spans="1:18" ht="45" x14ac:dyDescent="0.25">
      <c r="A324" s="26">
        <v>318</v>
      </c>
      <c r="B324" s="10" t="s">
        <v>2174</v>
      </c>
      <c r="C324" s="11">
        <v>44594</v>
      </c>
      <c r="D324" s="11">
        <v>44594</v>
      </c>
      <c r="E324" s="12">
        <v>2</v>
      </c>
      <c r="F324" s="28" t="s">
        <v>22</v>
      </c>
      <c r="G324" s="13" t="s">
        <v>2171</v>
      </c>
      <c r="H324" s="13" t="s">
        <v>2172</v>
      </c>
      <c r="I324" s="13" t="s">
        <v>2171</v>
      </c>
      <c r="J324" s="11">
        <v>44594</v>
      </c>
      <c r="K324" s="11">
        <v>44594</v>
      </c>
      <c r="L324" s="30">
        <f t="shared" si="8"/>
        <v>0</v>
      </c>
      <c r="M324" s="14" t="s">
        <v>2175</v>
      </c>
      <c r="N324" s="15" t="s">
        <v>1025</v>
      </c>
      <c r="O324" s="33" t="s">
        <v>1093</v>
      </c>
      <c r="P324" s="16" t="s">
        <v>1030</v>
      </c>
      <c r="Q324" s="31" t="str">
        <f t="shared" si="9"/>
        <v>DENTRO DEL TIEMPO</v>
      </c>
      <c r="R324" s="6"/>
    </row>
    <row r="325" spans="1:18" ht="45" x14ac:dyDescent="0.25">
      <c r="A325" s="26">
        <v>319</v>
      </c>
      <c r="B325" s="10" t="s">
        <v>2176</v>
      </c>
      <c r="C325" s="11">
        <v>44593</v>
      </c>
      <c r="D325" s="11">
        <v>44594</v>
      </c>
      <c r="E325" s="12">
        <v>11</v>
      </c>
      <c r="F325" s="28" t="s">
        <v>22</v>
      </c>
      <c r="G325" s="13" t="s">
        <v>2177</v>
      </c>
      <c r="H325" s="13" t="s">
        <v>2172</v>
      </c>
      <c r="I325" s="13" t="s">
        <v>2177</v>
      </c>
      <c r="J325" s="11">
        <v>44594</v>
      </c>
      <c r="K325" s="11">
        <v>44594</v>
      </c>
      <c r="L325" s="30">
        <f t="shared" si="8"/>
        <v>0</v>
      </c>
      <c r="M325" s="14" t="s">
        <v>2178</v>
      </c>
      <c r="N325" s="15" t="s">
        <v>1025</v>
      </c>
      <c r="O325" s="33" t="s">
        <v>1047</v>
      </c>
      <c r="P325" s="16" t="s">
        <v>1030</v>
      </c>
      <c r="Q325" s="31" t="str">
        <f t="shared" si="9"/>
        <v>DENTRO DEL TIEMPO</v>
      </c>
      <c r="R325" s="6"/>
    </row>
    <row r="326" spans="1:18" ht="45" x14ac:dyDescent="0.25">
      <c r="A326" s="26">
        <v>320</v>
      </c>
      <c r="B326" s="10" t="s">
        <v>2179</v>
      </c>
      <c r="C326" s="11">
        <v>44595</v>
      </c>
      <c r="D326" s="11">
        <v>44595</v>
      </c>
      <c r="E326" s="12">
        <v>2</v>
      </c>
      <c r="F326" s="28" t="s">
        <v>22</v>
      </c>
      <c r="G326" s="13" t="s">
        <v>2171</v>
      </c>
      <c r="H326" s="13" t="s">
        <v>2172</v>
      </c>
      <c r="I326" s="13" t="s">
        <v>2171</v>
      </c>
      <c r="J326" s="11">
        <v>44595</v>
      </c>
      <c r="K326" s="11">
        <v>44595</v>
      </c>
      <c r="L326" s="30">
        <f t="shared" si="8"/>
        <v>0</v>
      </c>
      <c r="M326" s="14" t="s">
        <v>2180</v>
      </c>
      <c r="N326" s="15" t="s">
        <v>1025</v>
      </c>
      <c r="O326" s="33" t="s">
        <v>1026</v>
      </c>
      <c r="P326" s="16" t="s">
        <v>1030</v>
      </c>
      <c r="Q326" s="31" t="str">
        <f t="shared" si="9"/>
        <v>DENTRO DEL TIEMPO</v>
      </c>
      <c r="R326" s="6"/>
    </row>
    <row r="327" spans="1:18" ht="45" x14ac:dyDescent="0.25">
      <c r="A327" s="26">
        <v>321</v>
      </c>
      <c r="B327" s="10" t="s">
        <v>2181</v>
      </c>
      <c r="C327" s="11">
        <v>44624</v>
      </c>
      <c r="D327" s="11">
        <v>44596</v>
      </c>
      <c r="E327" s="12">
        <v>2</v>
      </c>
      <c r="F327" s="28" t="s">
        <v>22</v>
      </c>
      <c r="G327" s="13" t="s">
        <v>2171</v>
      </c>
      <c r="H327" s="13" t="s">
        <v>2172</v>
      </c>
      <c r="I327" s="13" t="s">
        <v>2171</v>
      </c>
      <c r="J327" s="11">
        <v>44596</v>
      </c>
      <c r="K327" s="11">
        <v>44596</v>
      </c>
      <c r="L327" s="30">
        <f t="shared" si="8"/>
        <v>0</v>
      </c>
      <c r="M327" s="14" t="s">
        <v>2182</v>
      </c>
      <c r="N327" s="15" t="s">
        <v>1039</v>
      </c>
      <c r="O327" s="33" t="s">
        <v>1026</v>
      </c>
      <c r="P327" s="16" t="s">
        <v>1030</v>
      </c>
      <c r="Q327" s="31" t="str">
        <f t="shared" si="9"/>
        <v>DENTRO DEL TIEMPO</v>
      </c>
      <c r="R327" s="6"/>
    </row>
    <row r="328" spans="1:18" ht="45" x14ac:dyDescent="0.25">
      <c r="A328" s="26">
        <v>322</v>
      </c>
      <c r="B328" s="10" t="s">
        <v>2183</v>
      </c>
      <c r="C328" s="11">
        <v>44596</v>
      </c>
      <c r="D328" s="11">
        <v>44596</v>
      </c>
      <c r="E328" s="12">
        <v>2</v>
      </c>
      <c r="F328" s="28" t="s">
        <v>22</v>
      </c>
      <c r="G328" s="13" t="s">
        <v>2177</v>
      </c>
      <c r="H328" s="13" t="s">
        <v>2172</v>
      </c>
      <c r="I328" s="13" t="s">
        <v>2177</v>
      </c>
      <c r="J328" s="11">
        <v>44596</v>
      </c>
      <c r="K328" s="11">
        <v>44596</v>
      </c>
      <c r="L328" s="30">
        <f t="shared" ref="L328:L347" si="10">+NETWORKDAYS(D328,K328,$R$7:$R$10)-1</f>
        <v>0</v>
      </c>
      <c r="M328" s="18" t="s">
        <v>2184</v>
      </c>
      <c r="N328" s="15" t="s">
        <v>1025</v>
      </c>
      <c r="O328" s="34" t="s">
        <v>1026</v>
      </c>
      <c r="P328" s="16">
        <v>1900692540</v>
      </c>
      <c r="Q328" s="31" t="str">
        <f t="shared" ref="Q328:Q348" si="11">IF(L328&gt;15,"FUERA DE TIEMPO","DENTRO DEL TIEMPO")</f>
        <v>DENTRO DEL TIEMPO</v>
      </c>
      <c r="R328" s="6"/>
    </row>
    <row r="329" spans="1:18" ht="45" x14ac:dyDescent="0.25">
      <c r="A329" s="26">
        <v>323</v>
      </c>
      <c r="B329" s="10" t="s">
        <v>2185</v>
      </c>
      <c r="C329" s="11">
        <v>44596</v>
      </c>
      <c r="D329" s="11">
        <v>44597</v>
      </c>
      <c r="E329" s="12">
        <v>4</v>
      </c>
      <c r="F329" s="28" t="s">
        <v>22</v>
      </c>
      <c r="G329" s="13" t="s">
        <v>2177</v>
      </c>
      <c r="H329" s="13" t="s">
        <v>2172</v>
      </c>
      <c r="I329" s="13" t="s">
        <v>2177</v>
      </c>
      <c r="J329" s="11">
        <v>44596</v>
      </c>
      <c r="K329" s="11">
        <v>44596</v>
      </c>
      <c r="L329" s="30">
        <f t="shared" si="10"/>
        <v>-2</v>
      </c>
      <c r="M329" s="18" t="s">
        <v>2186</v>
      </c>
      <c r="N329" s="15" t="s">
        <v>1025</v>
      </c>
      <c r="O329" s="34" t="s">
        <v>1026</v>
      </c>
      <c r="P329" s="16"/>
      <c r="Q329" s="31" t="str">
        <f t="shared" si="11"/>
        <v>DENTRO DEL TIEMPO</v>
      </c>
      <c r="R329" s="6"/>
    </row>
    <row r="330" spans="1:18" ht="45" x14ac:dyDescent="0.25">
      <c r="A330" s="26">
        <v>324</v>
      </c>
      <c r="B330" s="10" t="s">
        <v>2187</v>
      </c>
      <c r="C330" s="11">
        <v>44601</v>
      </c>
      <c r="D330" s="11">
        <v>44601</v>
      </c>
      <c r="E330" s="12">
        <v>2</v>
      </c>
      <c r="F330" s="28" t="s">
        <v>22</v>
      </c>
      <c r="G330" s="13" t="s">
        <v>2171</v>
      </c>
      <c r="H330" s="13" t="s">
        <v>2172</v>
      </c>
      <c r="I330" s="13" t="s">
        <v>2171</v>
      </c>
      <c r="J330" s="11" t="s">
        <v>2188</v>
      </c>
      <c r="K330" s="11">
        <v>44601</v>
      </c>
      <c r="L330" s="30">
        <f t="shared" si="10"/>
        <v>0</v>
      </c>
      <c r="M330" s="18" t="s">
        <v>2189</v>
      </c>
      <c r="N330" s="15" t="s">
        <v>1025</v>
      </c>
      <c r="O330" s="13" t="s">
        <v>1026</v>
      </c>
      <c r="P330" s="16" t="s">
        <v>1030</v>
      </c>
      <c r="Q330" s="31" t="str">
        <f t="shared" si="11"/>
        <v>DENTRO DEL TIEMPO</v>
      </c>
      <c r="R330" s="6"/>
    </row>
    <row r="331" spans="1:18" ht="45" x14ac:dyDescent="0.25">
      <c r="A331" s="26">
        <v>325</v>
      </c>
      <c r="B331" s="10" t="s">
        <v>2190</v>
      </c>
      <c r="C331" s="11">
        <v>44602</v>
      </c>
      <c r="D331" s="11">
        <v>44602</v>
      </c>
      <c r="E331" s="12">
        <v>2</v>
      </c>
      <c r="F331" s="28" t="s">
        <v>22</v>
      </c>
      <c r="G331" s="13" t="s">
        <v>2171</v>
      </c>
      <c r="H331" s="13" t="s">
        <v>2172</v>
      </c>
      <c r="I331" s="13" t="s">
        <v>2171</v>
      </c>
      <c r="J331" s="11">
        <v>44602</v>
      </c>
      <c r="K331" s="11">
        <v>44602</v>
      </c>
      <c r="L331" s="30">
        <f t="shared" si="10"/>
        <v>0</v>
      </c>
      <c r="M331" s="18" t="s">
        <v>2191</v>
      </c>
      <c r="N331" s="15" t="s">
        <v>1025</v>
      </c>
      <c r="O331" s="13" t="s">
        <v>1026</v>
      </c>
      <c r="P331" s="16" t="s">
        <v>1030</v>
      </c>
      <c r="Q331" s="31" t="str">
        <f t="shared" si="11"/>
        <v>DENTRO DEL TIEMPO</v>
      </c>
      <c r="R331" s="6"/>
    </row>
    <row r="332" spans="1:18" ht="45" x14ac:dyDescent="0.25">
      <c r="A332" s="26">
        <v>326</v>
      </c>
      <c r="B332" s="10" t="s">
        <v>2192</v>
      </c>
      <c r="C332" s="11">
        <v>44601</v>
      </c>
      <c r="D332" s="11">
        <v>44607</v>
      </c>
      <c r="E332" s="12">
        <v>60</v>
      </c>
      <c r="F332" s="28" t="s">
        <v>22</v>
      </c>
      <c r="G332" s="13" t="s">
        <v>2177</v>
      </c>
      <c r="H332" s="13" t="s">
        <v>2172</v>
      </c>
      <c r="I332" s="13" t="s">
        <v>2177</v>
      </c>
      <c r="J332" s="11">
        <v>44607</v>
      </c>
      <c r="K332" s="11">
        <v>44607</v>
      </c>
      <c r="L332" s="30">
        <f t="shared" si="10"/>
        <v>0</v>
      </c>
      <c r="M332" s="18" t="s">
        <v>2193</v>
      </c>
      <c r="N332" s="15" t="s">
        <v>1025</v>
      </c>
      <c r="O332" s="13" t="s">
        <v>1026</v>
      </c>
      <c r="P332" s="16" t="s">
        <v>1030</v>
      </c>
      <c r="Q332" s="31" t="str">
        <f t="shared" si="11"/>
        <v>DENTRO DEL TIEMPO</v>
      </c>
      <c r="R332" s="6"/>
    </row>
    <row r="333" spans="1:18" ht="45" x14ac:dyDescent="0.25">
      <c r="A333" s="26">
        <v>327</v>
      </c>
      <c r="B333" s="10" t="s">
        <v>2194</v>
      </c>
      <c r="C333" s="11">
        <v>44606</v>
      </c>
      <c r="D333" s="11">
        <v>44607</v>
      </c>
      <c r="E333" s="12">
        <v>47</v>
      </c>
      <c r="F333" s="28" t="s">
        <v>22</v>
      </c>
      <c r="G333" s="13" t="s">
        <v>2177</v>
      </c>
      <c r="H333" s="13" t="s">
        <v>2172</v>
      </c>
      <c r="I333" s="17" t="s">
        <v>2177</v>
      </c>
      <c r="J333" s="11">
        <v>44607</v>
      </c>
      <c r="K333" s="11">
        <v>44607</v>
      </c>
      <c r="L333" s="30">
        <f t="shared" si="10"/>
        <v>0</v>
      </c>
      <c r="M333" s="18" t="s">
        <v>2195</v>
      </c>
      <c r="N333" s="15" t="s">
        <v>1025</v>
      </c>
      <c r="O333" s="13" t="s">
        <v>1026</v>
      </c>
      <c r="P333" s="16" t="s">
        <v>1030</v>
      </c>
      <c r="Q333" s="31" t="str">
        <f t="shared" si="11"/>
        <v>DENTRO DEL TIEMPO</v>
      </c>
      <c r="R333" s="6"/>
    </row>
    <row r="334" spans="1:18" ht="45" x14ac:dyDescent="0.25">
      <c r="A334" s="26">
        <v>328</v>
      </c>
      <c r="B334" s="10" t="s">
        <v>2196</v>
      </c>
      <c r="C334" s="11">
        <v>44607</v>
      </c>
      <c r="D334" s="11">
        <v>44608</v>
      </c>
      <c r="E334" s="12">
        <v>2</v>
      </c>
      <c r="F334" s="28" t="s">
        <v>22</v>
      </c>
      <c r="G334" s="13" t="s">
        <v>2171</v>
      </c>
      <c r="H334" s="13" t="s">
        <v>2172</v>
      </c>
      <c r="I334" s="17" t="s">
        <v>2171</v>
      </c>
      <c r="J334" s="11">
        <v>44608</v>
      </c>
      <c r="K334" s="11">
        <v>44608</v>
      </c>
      <c r="L334" s="30">
        <f t="shared" si="10"/>
        <v>0</v>
      </c>
      <c r="M334" s="18" t="s">
        <v>2197</v>
      </c>
      <c r="N334" s="15" t="s">
        <v>1025</v>
      </c>
      <c r="O334" s="13" t="s">
        <v>1026</v>
      </c>
      <c r="P334" s="16" t="s">
        <v>1030</v>
      </c>
      <c r="Q334" s="31" t="str">
        <f t="shared" si="11"/>
        <v>DENTRO DEL TIEMPO</v>
      </c>
      <c r="R334" s="6"/>
    </row>
    <row r="335" spans="1:18" ht="45" x14ac:dyDescent="0.25">
      <c r="A335" s="26">
        <v>329</v>
      </c>
      <c r="B335" s="10" t="s">
        <v>2198</v>
      </c>
      <c r="C335" s="11">
        <v>44607</v>
      </c>
      <c r="D335" s="11">
        <v>44608</v>
      </c>
      <c r="E335" s="12">
        <v>2</v>
      </c>
      <c r="F335" s="28" t="s">
        <v>22</v>
      </c>
      <c r="G335" s="13" t="s">
        <v>2171</v>
      </c>
      <c r="H335" s="13" t="s">
        <v>2172</v>
      </c>
      <c r="I335" s="17" t="s">
        <v>2171</v>
      </c>
      <c r="J335" s="11">
        <v>44608</v>
      </c>
      <c r="K335" s="11">
        <v>44608</v>
      </c>
      <c r="L335" s="30">
        <f t="shared" si="10"/>
        <v>0</v>
      </c>
      <c r="M335" s="18" t="s">
        <v>2199</v>
      </c>
      <c r="N335" s="15" t="s">
        <v>1025</v>
      </c>
      <c r="O335" s="13" t="s">
        <v>1026</v>
      </c>
      <c r="P335" s="16" t="s">
        <v>1030</v>
      </c>
      <c r="Q335" s="31" t="str">
        <f t="shared" si="11"/>
        <v>DENTRO DEL TIEMPO</v>
      </c>
      <c r="R335" s="6"/>
    </row>
    <row r="336" spans="1:18" ht="45" x14ac:dyDescent="0.25">
      <c r="A336" s="26">
        <v>330</v>
      </c>
      <c r="B336" s="10" t="s">
        <v>2200</v>
      </c>
      <c r="C336" s="11">
        <v>44608</v>
      </c>
      <c r="D336" s="11">
        <v>44608</v>
      </c>
      <c r="E336" s="12">
        <v>2</v>
      </c>
      <c r="F336" s="28" t="s">
        <v>22</v>
      </c>
      <c r="G336" s="13" t="s">
        <v>2171</v>
      </c>
      <c r="H336" s="13" t="s">
        <v>2172</v>
      </c>
      <c r="I336" s="17" t="s">
        <v>2171</v>
      </c>
      <c r="J336" s="11">
        <v>44608</v>
      </c>
      <c r="K336" s="11">
        <v>44608</v>
      </c>
      <c r="L336" s="30">
        <f t="shared" si="10"/>
        <v>0</v>
      </c>
      <c r="M336" s="18" t="s">
        <v>2201</v>
      </c>
      <c r="N336" s="15" t="s">
        <v>1025</v>
      </c>
      <c r="O336" s="13" t="s">
        <v>1026</v>
      </c>
      <c r="P336" s="16" t="s">
        <v>1030</v>
      </c>
      <c r="Q336" s="31" t="str">
        <f t="shared" si="11"/>
        <v>DENTRO DEL TIEMPO</v>
      </c>
      <c r="R336" s="6"/>
    </row>
    <row r="337" spans="1:18" ht="45" x14ac:dyDescent="0.25">
      <c r="A337" s="26">
        <v>331</v>
      </c>
      <c r="B337" s="10" t="s">
        <v>2202</v>
      </c>
      <c r="C337" s="11">
        <v>44609</v>
      </c>
      <c r="D337" s="11">
        <v>44610</v>
      </c>
      <c r="E337" s="12">
        <v>2</v>
      </c>
      <c r="F337" s="28" t="s">
        <v>22</v>
      </c>
      <c r="G337" s="13" t="s">
        <v>2171</v>
      </c>
      <c r="H337" s="13" t="s">
        <v>2172</v>
      </c>
      <c r="I337" s="17" t="s">
        <v>2171</v>
      </c>
      <c r="J337" s="11">
        <v>44610</v>
      </c>
      <c r="K337" s="11">
        <v>44610</v>
      </c>
      <c r="L337" s="30">
        <f t="shared" si="10"/>
        <v>0</v>
      </c>
      <c r="M337" s="18" t="s">
        <v>2203</v>
      </c>
      <c r="N337" s="15" t="s">
        <v>1025</v>
      </c>
      <c r="O337" s="13" t="s">
        <v>1026</v>
      </c>
      <c r="P337" s="16" t="s">
        <v>1030</v>
      </c>
      <c r="Q337" s="31" t="str">
        <f t="shared" si="11"/>
        <v>DENTRO DEL TIEMPO</v>
      </c>
      <c r="R337" s="6"/>
    </row>
    <row r="338" spans="1:18" ht="45" x14ac:dyDescent="0.25">
      <c r="A338" s="26">
        <v>332</v>
      </c>
      <c r="B338" s="10" t="s">
        <v>2204</v>
      </c>
      <c r="C338" s="11">
        <v>44610</v>
      </c>
      <c r="D338" s="11">
        <v>44610</v>
      </c>
      <c r="E338" s="12">
        <v>66</v>
      </c>
      <c r="F338" s="28" t="s">
        <v>22</v>
      </c>
      <c r="G338" s="13" t="s">
        <v>2177</v>
      </c>
      <c r="H338" s="13" t="s">
        <v>2172</v>
      </c>
      <c r="I338" s="17" t="s">
        <v>2177</v>
      </c>
      <c r="J338" s="11">
        <v>44610</v>
      </c>
      <c r="K338" s="11">
        <v>44610</v>
      </c>
      <c r="L338" s="30">
        <f t="shared" si="10"/>
        <v>0</v>
      </c>
      <c r="M338" s="18" t="s">
        <v>2205</v>
      </c>
      <c r="N338" s="15" t="s">
        <v>1025</v>
      </c>
      <c r="O338" s="13" t="s">
        <v>1026</v>
      </c>
      <c r="P338" s="16" t="s">
        <v>1030</v>
      </c>
      <c r="Q338" s="31" t="str">
        <f t="shared" si="11"/>
        <v>DENTRO DEL TIEMPO</v>
      </c>
      <c r="R338" s="6"/>
    </row>
    <row r="339" spans="1:18" ht="45" x14ac:dyDescent="0.25">
      <c r="A339" s="26">
        <v>333</v>
      </c>
      <c r="B339" s="10" t="s">
        <v>2206</v>
      </c>
      <c r="C339" s="11">
        <v>44610</v>
      </c>
      <c r="D339" s="11">
        <v>44610</v>
      </c>
      <c r="E339" s="12">
        <v>2</v>
      </c>
      <c r="F339" s="28" t="s">
        <v>22</v>
      </c>
      <c r="G339" s="13" t="s">
        <v>2171</v>
      </c>
      <c r="H339" s="13" t="s">
        <v>2172</v>
      </c>
      <c r="I339" s="17" t="s">
        <v>2171</v>
      </c>
      <c r="J339" s="11">
        <v>44610</v>
      </c>
      <c r="K339" s="11">
        <v>44610</v>
      </c>
      <c r="L339" s="30">
        <f t="shared" si="10"/>
        <v>0</v>
      </c>
      <c r="M339" s="18" t="s">
        <v>2207</v>
      </c>
      <c r="N339" s="15" t="s">
        <v>1025</v>
      </c>
      <c r="O339" s="13" t="s">
        <v>1026</v>
      </c>
      <c r="P339" s="16" t="s">
        <v>1030</v>
      </c>
      <c r="Q339" s="31" t="str">
        <f t="shared" si="11"/>
        <v>DENTRO DEL TIEMPO</v>
      </c>
      <c r="R339" s="6"/>
    </row>
    <row r="340" spans="1:18" ht="45" x14ac:dyDescent="0.25">
      <c r="A340" s="26">
        <v>334</v>
      </c>
      <c r="B340" s="10" t="s">
        <v>2208</v>
      </c>
      <c r="C340" s="11">
        <v>44610</v>
      </c>
      <c r="D340" s="11">
        <v>44613</v>
      </c>
      <c r="E340" s="12">
        <v>2</v>
      </c>
      <c r="F340" s="28" t="s">
        <v>22</v>
      </c>
      <c r="G340" s="13" t="s">
        <v>2171</v>
      </c>
      <c r="H340" s="13" t="s">
        <v>2172</v>
      </c>
      <c r="I340" s="17" t="s">
        <v>2171</v>
      </c>
      <c r="J340" s="11">
        <v>44613</v>
      </c>
      <c r="K340" s="11">
        <v>44613</v>
      </c>
      <c r="L340" s="30">
        <f t="shared" si="10"/>
        <v>0</v>
      </c>
      <c r="M340" s="18" t="s">
        <v>2209</v>
      </c>
      <c r="N340" s="15" t="s">
        <v>1025</v>
      </c>
      <c r="O340" s="13" t="s">
        <v>1026</v>
      </c>
      <c r="P340" s="16" t="s">
        <v>1030</v>
      </c>
      <c r="Q340" s="31" t="str">
        <f t="shared" si="11"/>
        <v>DENTRO DEL TIEMPO</v>
      </c>
      <c r="R340" s="6"/>
    </row>
    <row r="341" spans="1:18" ht="45" x14ac:dyDescent="0.25">
      <c r="A341" s="26">
        <v>335</v>
      </c>
      <c r="B341" s="10" t="s">
        <v>2210</v>
      </c>
      <c r="C341" s="11">
        <v>44610</v>
      </c>
      <c r="D341" s="11">
        <v>44613</v>
      </c>
      <c r="E341" s="12">
        <v>2</v>
      </c>
      <c r="F341" s="28" t="s">
        <v>22</v>
      </c>
      <c r="G341" s="13" t="s">
        <v>2177</v>
      </c>
      <c r="H341" s="13" t="s">
        <v>2172</v>
      </c>
      <c r="I341" s="13" t="s">
        <v>2177</v>
      </c>
      <c r="J341" s="11">
        <v>44613</v>
      </c>
      <c r="K341" s="11">
        <v>44613</v>
      </c>
      <c r="L341" s="30">
        <f t="shared" si="10"/>
        <v>0</v>
      </c>
      <c r="M341" s="18" t="s">
        <v>2211</v>
      </c>
      <c r="N341" s="15" t="s">
        <v>1025</v>
      </c>
      <c r="O341" s="13" t="s">
        <v>1026</v>
      </c>
      <c r="P341" s="16" t="s">
        <v>1030</v>
      </c>
      <c r="Q341" s="31" t="str">
        <f t="shared" si="11"/>
        <v>DENTRO DEL TIEMPO</v>
      </c>
      <c r="R341" s="6"/>
    </row>
    <row r="342" spans="1:18" ht="45" x14ac:dyDescent="0.25">
      <c r="A342" s="26">
        <v>336</v>
      </c>
      <c r="B342" s="10" t="s">
        <v>2212</v>
      </c>
      <c r="C342" s="11">
        <v>44610</v>
      </c>
      <c r="D342" s="11">
        <v>44613</v>
      </c>
      <c r="E342" s="12">
        <v>2</v>
      </c>
      <c r="F342" s="28" t="s">
        <v>22</v>
      </c>
      <c r="G342" s="13" t="s">
        <v>2177</v>
      </c>
      <c r="H342" s="13" t="s">
        <v>2172</v>
      </c>
      <c r="I342" s="13" t="s">
        <v>2177</v>
      </c>
      <c r="J342" s="11">
        <v>44613</v>
      </c>
      <c r="K342" s="11">
        <v>44613</v>
      </c>
      <c r="L342" s="30">
        <f t="shared" si="10"/>
        <v>0</v>
      </c>
      <c r="M342" s="18" t="s">
        <v>2213</v>
      </c>
      <c r="N342" s="15" t="s">
        <v>1025</v>
      </c>
      <c r="O342" s="13" t="s">
        <v>1026</v>
      </c>
      <c r="P342" s="16" t="s">
        <v>1030</v>
      </c>
      <c r="Q342" s="31" t="str">
        <f t="shared" si="11"/>
        <v>DENTRO DEL TIEMPO</v>
      </c>
      <c r="R342" s="6"/>
    </row>
    <row r="343" spans="1:18" ht="45" x14ac:dyDescent="0.25">
      <c r="A343" s="26">
        <v>337</v>
      </c>
      <c r="B343" s="10" t="s">
        <v>2214</v>
      </c>
      <c r="C343" s="11">
        <v>44616</v>
      </c>
      <c r="D343" s="11">
        <v>44616</v>
      </c>
      <c r="E343" s="12">
        <v>12</v>
      </c>
      <c r="F343" s="28" t="s">
        <v>22</v>
      </c>
      <c r="G343" s="13" t="s">
        <v>2171</v>
      </c>
      <c r="H343" s="13" t="s">
        <v>2172</v>
      </c>
      <c r="I343" s="13" t="s">
        <v>2171</v>
      </c>
      <c r="J343" s="19">
        <v>44616</v>
      </c>
      <c r="K343" s="19">
        <v>44616</v>
      </c>
      <c r="L343" s="30">
        <f t="shared" si="10"/>
        <v>0</v>
      </c>
      <c r="M343" s="18" t="s">
        <v>2215</v>
      </c>
      <c r="N343" s="15" t="s">
        <v>1025</v>
      </c>
      <c r="O343" s="13" t="s">
        <v>1026</v>
      </c>
      <c r="P343" s="16" t="s">
        <v>1030</v>
      </c>
      <c r="Q343" s="31" t="str">
        <f t="shared" si="11"/>
        <v>DENTRO DEL TIEMPO</v>
      </c>
      <c r="R343" s="6"/>
    </row>
    <row r="344" spans="1:18" ht="45" x14ac:dyDescent="0.25">
      <c r="A344" s="26">
        <v>338</v>
      </c>
      <c r="B344" s="10" t="s">
        <v>2216</v>
      </c>
      <c r="C344" s="11">
        <v>44615</v>
      </c>
      <c r="D344" s="11">
        <v>44617</v>
      </c>
      <c r="E344" s="12">
        <v>2</v>
      </c>
      <c r="F344" s="28" t="s">
        <v>22</v>
      </c>
      <c r="G344" s="13" t="s">
        <v>2171</v>
      </c>
      <c r="H344" s="13" t="s">
        <v>2172</v>
      </c>
      <c r="I344" s="13" t="s">
        <v>2171</v>
      </c>
      <c r="J344" s="19">
        <v>44617</v>
      </c>
      <c r="K344" s="19">
        <v>44617</v>
      </c>
      <c r="L344" s="30">
        <f t="shared" si="10"/>
        <v>0</v>
      </c>
      <c r="M344" s="18" t="s">
        <v>2217</v>
      </c>
      <c r="N344" s="15" t="s">
        <v>1025</v>
      </c>
      <c r="O344" s="13" t="s">
        <v>1026</v>
      </c>
      <c r="P344" s="16" t="s">
        <v>1030</v>
      </c>
      <c r="Q344" s="31" t="str">
        <f t="shared" si="11"/>
        <v>DENTRO DEL TIEMPO</v>
      </c>
      <c r="R344" s="6"/>
    </row>
    <row r="345" spans="1:18" ht="45" x14ac:dyDescent="0.25">
      <c r="A345" s="26">
        <v>339</v>
      </c>
      <c r="B345" s="10" t="s">
        <v>2218</v>
      </c>
      <c r="C345" s="11">
        <v>44617</v>
      </c>
      <c r="D345" s="11">
        <v>44617</v>
      </c>
      <c r="E345" s="12">
        <v>2</v>
      </c>
      <c r="F345" s="28" t="s">
        <v>22</v>
      </c>
      <c r="G345" s="13" t="s">
        <v>2171</v>
      </c>
      <c r="H345" s="13" t="s">
        <v>2172</v>
      </c>
      <c r="I345" s="13" t="s">
        <v>2171</v>
      </c>
      <c r="J345" s="11">
        <v>44617</v>
      </c>
      <c r="K345" s="11">
        <v>44617</v>
      </c>
      <c r="L345" s="30">
        <f t="shared" si="10"/>
        <v>0</v>
      </c>
      <c r="M345" s="14" t="s">
        <v>2205</v>
      </c>
      <c r="N345" s="15" t="s">
        <v>26</v>
      </c>
      <c r="O345" s="13" t="s">
        <v>1026</v>
      </c>
      <c r="P345" s="16" t="s">
        <v>1030</v>
      </c>
      <c r="Q345" s="31" t="str">
        <f t="shared" si="11"/>
        <v>DENTRO DEL TIEMPO</v>
      </c>
      <c r="R345" s="6"/>
    </row>
    <row r="346" spans="1:18" ht="45" x14ac:dyDescent="0.25">
      <c r="A346" s="26">
        <v>340</v>
      </c>
      <c r="B346" s="4" t="s">
        <v>2219</v>
      </c>
      <c r="C346" s="5">
        <v>44596</v>
      </c>
      <c r="D346" s="5">
        <v>44596</v>
      </c>
      <c r="E346" s="12">
        <v>2</v>
      </c>
      <c r="F346" s="28" t="s">
        <v>22</v>
      </c>
      <c r="G346" s="35" t="s">
        <v>2220</v>
      </c>
      <c r="H346" s="13" t="s">
        <v>2221</v>
      </c>
      <c r="I346" s="35" t="s">
        <v>2220</v>
      </c>
      <c r="J346" s="11">
        <v>44607</v>
      </c>
      <c r="K346" s="11">
        <v>44607</v>
      </c>
      <c r="L346" s="30">
        <f t="shared" si="10"/>
        <v>7</v>
      </c>
      <c r="M346" s="36" t="s">
        <v>2222</v>
      </c>
      <c r="N346" s="37" t="s">
        <v>1242</v>
      </c>
      <c r="O346" s="4" t="s">
        <v>2223</v>
      </c>
      <c r="P346" s="16" t="s">
        <v>1030</v>
      </c>
      <c r="Q346" s="31" t="str">
        <f t="shared" si="11"/>
        <v>DENTRO DEL TIEMPO</v>
      </c>
      <c r="R346" s="6"/>
    </row>
    <row r="347" spans="1:18" ht="45" x14ac:dyDescent="0.25">
      <c r="A347" s="38">
        <v>341</v>
      </c>
      <c r="B347" s="39" t="s">
        <v>2224</v>
      </c>
      <c r="C347" s="40">
        <v>44615</v>
      </c>
      <c r="D347" s="40">
        <v>44615</v>
      </c>
      <c r="E347" s="41">
        <v>2</v>
      </c>
      <c r="F347" s="42" t="s">
        <v>22</v>
      </c>
      <c r="G347" s="35" t="s">
        <v>2220</v>
      </c>
      <c r="H347" s="17" t="s">
        <v>2221</v>
      </c>
      <c r="I347" s="35" t="s">
        <v>2220</v>
      </c>
      <c r="J347" s="43">
        <v>44620</v>
      </c>
      <c r="K347" s="43">
        <v>44620</v>
      </c>
      <c r="L347" s="44">
        <f t="shared" si="10"/>
        <v>3</v>
      </c>
      <c r="M347" s="36" t="s">
        <v>1250</v>
      </c>
      <c r="N347" s="37" t="s">
        <v>1242</v>
      </c>
      <c r="O347" s="39" t="s">
        <v>2225</v>
      </c>
      <c r="P347" s="45" t="s">
        <v>1030</v>
      </c>
      <c r="Q347" s="46" t="str">
        <f t="shared" si="11"/>
        <v>DENTRO DEL TIEMPO</v>
      </c>
      <c r="R347" s="6"/>
    </row>
    <row r="348" spans="1:18" ht="30.75" x14ac:dyDescent="0.25">
      <c r="A348" s="26">
        <v>342</v>
      </c>
      <c r="B348" s="4" t="s">
        <v>1265</v>
      </c>
      <c r="C348" s="5">
        <v>44593</v>
      </c>
      <c r="D348" s="5">
        <v>44599</v>
      </c>
      <c r="E348" s="12">
        <v>31</v>
      </c>
      <c r="F348" s="28" t="s">
        <v>22</v>
      </c>
      <c r="G348" s="13" t="s">
        <v>1238</v>
      </c>
      <c r="H348" s="13" t="s">
        <v>1239</v>
      </c>
      <c r="I348" s="13" t="s">
        <v>1240</v>
      </c>
      <c r="J348" s="47">
        <v>44601</v>
      </c>
      <c r="K348" s="47">
        <v>44601</v>
      </c>
      <c r="L348" s="30">
        <f>+NETWORKDAYS(D348,K348)-1</f>
        <v>2</v>
      </c>
      <c r="M348" s="14" t="s">
        <v>2226</v>
      </c>
      <c r="N348" s="15" t="s">
        <v>1242</v>
      </c>
      <c r="O348" s="13" t="s">
        <v>1026</v>
      </c>
      <c r="P348" s="16" t="s">
        <v>1030</v>
      </c>
      <c r="Q348" s="31" t="str">
        <f t="shared" si="11"/>
        <v>DENTRO DEL TIEMPO</v>
      </c>
      <c r="R348" s="6"/>
    </row>
  </sheetData>
  <autoFilter ref="A6:R348">
    <filterColumn colId="5">
      <filters>
        <filter val="ATENDIDO"/>
      </filters>
    </filterColumn>
  </autoFilter>
  <mergeCells count="3">
    <mergeCell ref="A2:Q2"/>
    <mergeCell ref="A3:Q3"/>
    <mergeCell ref="A4:Q4"/>
  </mergeCells>
  <dataValidations disablePrompts="1" count="1">
    <dataValidation type="list" allowBlank="1" showInputMessage="1" showErrorMessage="1" sqref="F348">
      <formula1>#REF!</formula1>
    </dataValidation>
  </dataValidations>
  <hyperlinks>
    <hyperlink ref="P274" r:id="rId1" display="mailto:parmijos_32@hotmail.com"/>
    <hyperlink ref="P276" r:id="rId2"/>
    <hyperlink ref="P279" r:id="rId3"/>
    <hyperlink ref="P9" r:id="rId4"/>
    <hyperlink ref="P35" r:id="rId5"/>
    <hyperlink ref="P96" r:id="rId6"/>
    <hyperlink ref="P128" r:id="rId7"/>
    <hyperlink ref="P151" r:id="rId8"/>
    <hyperlink ref="P164" r:id="rId9"/>
    <hyperlink ref="P165" r:id="rId10"/>
    <hyperlink ref="P174" r:id="rId11"/>
    <hyperlink ref="P208" r:id="rId12"/>
  </hyperlinks>
  <pageMargins left="0.7" right="0.7" top="0.75" bottom="0.75" header="0.3" footer="0.3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S511"/>
  <sheetViews>
    <sheetView zoomScale="85" zoomScaleNormal="85" workbookViewId="0">
      <selection sqref="A1:XFD4"/>
    </sheetView>
  </sheetViews>
  <sheetFormatPr baseColWidth="10" defaultRowHeight="15" x14ac:dyDescent="0.25"/>
  <cols>
    <col min="2" max="2" width="18.7109375" customWidth="1"/>
    <col min="3" max="3" width="14.85546875" customWidth="1"/>
    <col min="4" max="4" width="14.140625" customWidth="1"/>
    <col min="8" max="8" width="20.28515625" customWidth="1"/>
    <col min="10" max="10" width="12.85546875" customWidth="1"/>
    <col min="11" max="11" width="13.28515625" customWidth="1"/>
  </cols>
  <sheetData>
    <row r="2" spans="1:18" x14ac:dyDescent="0.25">
      <c r="A2" s="102" t="s">
        <v>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</row>
    <row r="3" spans="1:18" x14ac:dyDescent="0.25">
      <c r="A3" s="102" t="s">
        <v>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</row>
    <row r="4" spans="1:18" x14ac:dyDescent="0.25">
      <c r="A4" s="102" t="s">
        <v>2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</row>
    <row r="6" spans="1:18" ht="45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48" t="s">
        <v>14</v>
      </c>
      <c r="M6" s="48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</row>
    <row r="7" spans="1:18" ht="66.75" customHeight="1" x14ac:dyDescent="0.25">
      <c r="A7" s="49">
        <v>1</v>
      </c>
      <c r="B7" s="50" t="s">
        <v>2227</v>
      </c>
      <c r="C7" s="51">
        <v>44588</v>
      </c>
      <c r="D7" s="51">
        <v>44628</v>
      </c>
      <c r="E7" s="49">
        <v>21</v>
      </c>
      <c r="F7" s="52" t="s">
        <v>22</v>
      </c>
      <c r="G7" s="53" t="s">
        <v>1256</v>
      </c>
      <c r="H7" s="53" t="s">
        <v>24</v>
      </c>
      <c r="I7" s="53" t="s">
        <v>1256</v>
      </c>
      <c r="J7" s="51">
        <v>44628</v>
      </c>
      <c r="K7" s="51">
        <v>44628</v>
      </c>
      <c r="L7" s="54">
        <f t="shared" ref="L7:L71" si="0">+NETWORKDAYS(D7,K7,$R$7:$R$10)-1</f>
        <v>0</v>
      </c>
      <c r="M7" s="55" t="s">
        <v>2228</v>
      </c>
      <c r="N7" s="53" t="s">
        <v>1104</v>
      </c>
      <c r="O7" s="53" t="s">
        <v>2229</v>
      </c>
      <c r="P7" s="53" t="s">
        <v>1551</v>
      </c>
      <c r="Q7" s="53" t="str">
        <f>IF(L7&gt;15,"FUERA DE TIEMPO","DENTRO DEL TIEMPO")</f>
        <v>DENTRO DEL TIEMPO</v>
      </c>
      <c r="R7" s="56"/>
    </row>
    <row r="8" spans="1:18" ht="51" hidden="1" x14ac:dyDescent="0.25">
      <c r="A8" s="49">
        <v>2</v>
      </c>
      <c r="B8" s="50" t="s">
        <v>2230</v>
      </c>
      <c r="C8" s="51">
        <v>44623</v>
      </c>
      <c r="D8" s="51">
        <v>44623</v>
      </c>
      <c r="E8" s="49">
        <v>0</v>
      </c>
      <c r="F8" s="52" t="s">
        <v>790</v>
      </c>
      <c r="G8" s="53" t="s">
        <v>2231</v>
      </c>
      <c r="H8" s="53" t="s">
        <v>2232</v>
      </c>
      <c r="I8" s="53" t="s">
        <v>2231</v>
      </c>
      <c r="J8" s="51">
        <v>44649</v>
      </c>
      <c r="K8" s="51">
        <v>44649</v>
      </c>
      <c r="L8" s="54">
        <f t="shared" si="0"/>
        <v>18</v>
      </c>
      <c r="M8" s="57" t="s">
        <v>2233</v>
      </c>
      <c r="N8" s="53" t="s">
        <v>1104</v>
      </c>
      <c r="O8" s="53" t="s">
        <v>2234</v>
      </c>
      <c r="P8" s="53"/>
      <c r="Q8" s="53" t="str">
        <f t="shared" ref="Q8:Q71" si="1">IF(L8&gt;15,"FUERA DE TIEMPO","DENTRO DEL TIEMPO")</f>
        <v>FUERA DE TIEMPO</v>
      </c>
      <c r="R8" s="56"/>
    </row>
    <row r="9" spans="1:18" ht="63.75" x14ac:dyDescent="0.25">
      <c r="A9" s="49">
        <v>3</v>
      </c>
      <c r="B9" s="50" t="s">
        <v>2235</v>
      </c>
      <c r="C9" s="51">
        <v>44628</v>
      </c>
      <c r="D9" s="51">
        <v>44628</v>
      </c>
      <c r="E9" s="49">
        <v>2</v>
      </c>
      <c r="F9" s="52" t="s">
        <v>22</v>
      </c>
      <c r="G9" s="53" t="s">
        <v>1256</v>
      </c>
      <c r="H9" s="53" t="s">
        <v>2236</v>
      </c>
      <c r="I9" s="53" t="s">
        <v>2237</v>
      </c>
      <c r="J9" s="51">
        <v>44638</v>
      </c>
      <c r="K9" s="51">
        <v>44638</v>
      </c>
      <c r="L9" s="54">
        <f t="shared" si="0"/>
        <v>8</v>
      </c>
      <c r="M9" s="55" t="s">
        <v>2238</v>
      </c>
      <c r="N9" s="53" t="s">
        <v>1104</v>
      </c>
      <c r="O9" s="53" t="s">
        <v>2239</v>
      </c>
      <c r="P9" s="53" t="s">
        <v>2240</v>
      </c>
      <c r="Q9" s="53" t="str">
        <f t="shared" si="1"/>
        <v>DENTRO DEL TIEMPO</v>
      </c>
      <c r="R9" s="56"/>
    </row>
    <row r="10" spans="1:18" ht="63.75" x14ac:dyDescent="0.25">
      <c r="A10" s="49">
        <v>4</v>
      </c>
      <c r="B10" s="50" t="s">
        <v>2241</v>
      </c>
      <c r="C10" s="51">
        <v>44630</v>
      </c>
      <c r="D10" s="51">
        <v>44631</v>
      </c>
      <c r="E10" s="49">
        <v>4</v>
      </c>
      <c r="F10" s="52" t="s">
        <v>22</v>
      </c>
      <c r="G10" s="53" t="s">
        <v>2242</v>
      </c>
      <c r="H10" s="53" t="s">
        <v>2236</v>
      </c>
      <c r="I10" s="53" t="s">
        <v>2242</v>
      </c>
      <c r="J10" s="51">
        <v>44631</v>
      </c>
      <c r="K10" s="51">
        <v>44631</v>
      </c>
      <c r="L10" s="54">
        <f t="shared" si="0"/>
        <v>0</v>
      </c>
      <c r="M10" s="55" t="s">
        <v>2243</v>
      </c>
      <c r="N10" s="53" t="s">
        <v>1104</v>
      </c>
      <c r="O10" s="53" t="s">
        <v>2244</v>
      </c>
      <c r="P10" s="53" t="s">
        <v>2245</v>
      </c>
      <c r="Q10" s="53" t="str">
        <f t="shared" si="1"/>
        <v>DENTRO DEL TIEMPO</v>
      </c>
      <c r="R10" s="56"/>
    </row>
    <row r="11" spans="1:18" ht="63.75" x14ac:dyDescent="0.25">
      <c r="A11" s="49">
        <v>5</v>
      </c>
      <c r="B11" s="50" t="s">
        <v>2246</v>
      </c>
      <c r="C11" s="51">
        <v>44630</v>
      </c>
      <c r="D11" s="51">
        <v>44631</v>
      </c>
      <c r="E11" s="49">
        <v>4</v>
      </c>
      <c r="F11" s="52" t="s">
        <v>22</v>
      </c>
      <c r="G11" s="53" t="s">
        <v>2242</v>
      </c>
      <c r="H11" s="53" t="s">
        <v>2236</v>
      </c>
      <c r="I11" s="53" t="s">
        <v>2242</v>
      </c>
      <c r="J11" s="51">
        <v>44631</v>
      </c>
      <c r="K11" s="51">
        <v>44631</v>
      </c>
      <c r="L11" s="54">
        <f t="shared" si="0"/>
        <v>0</v>
      </c>
      <c r="M11" s="55" t="s">
        <v>2243</v>
      </c>
      <c r="N11" s="53" t="s">
        <v>1104</v>
      </c>
      <c r="O11" s="53" t="s">
        <v>2244</v>
      </c>
      <c r="P11" s="53" t="s">
        <v>2245</v>
      </c>
      <c r="Q11" s="53" t="str">
        <f t="shared" si="1"/>
        <v>DENTRO DEL TIEMPO</v>
      </c>
      <c r="R11" s="56"/>
    </row>
    <row r="12" spans="1:18" ht="51" x14ac:dyDescent="0.25">
      <c r="A12" s="49">
        <v>6</v>
      </c>
      <c r="B12" s="50" t="s">
        <v>2247</v>
      </c>
      <c r="C12" s="51">
        <v>44624</v>
      </c>
      <c r="D12" s="51">
        <v>44629</v>
      </c>
      <c r="E12" s="49">
        <v>22</v>
      </c>
      <c r="F12" s="52" t="s">
        <v>22</v>
      </c>
      <c r="G12" s="53" t="s">
        <v>2064</v>
      </c>
      <c r="H12" s="53" t="s">
        <v>2248</v>
      </c>
      <c r="I12" s="53" t="s">
        <v>2064</v>
      </c>
      <c r="J12" s="51">
        <v>44629</v>
      </c>
      <c r="K12" s="51">
        <v>44629</v>
      </c>
      <c r="L12" s="54">
        <f t="shared" si="0"/>
        <v>0</v>
      </c>
      <c r="M12" s="55" t="s">
        <v>2249</v>
      </c>
      <c r="N12" s="53" t="s">
        <v>1242</v>
      </c>
      <c r="O12" s="53" t="s">
        <v>2250</v>
      </c>
      <c r="P12" s="53" t="s">
        <v>2251</v>
      </c>
      <c r="Q12" s="53" t="str">
        <f t="shared" si="1"/>
        <v>DENTRO DEL TIEMPO</v>
      </c>
      <c r="R12" s="56"/>
    </row>
    <row r="13" spans="1:18" ht="51" hidden="1" x14ac:dyDescent="0.25">
      <c r="A13" s="49">
        <v>7</v>
      </c>
      <c r="B13" s="50" t="s">
        <v>2252</v>
      </c>
      <c r="C13" s="51">
        <v>44630</v>
      </c>
      <c r="D13" s="51">
        <v>44630</v>
      </c>
      <c r="E13" s="49">
        <v>0</v>
      </c>
      <c r="F13" s="52" t="s">
        <v>790</v>
      </c>
      <c r="G13" s="53" t="s">
        <v>2064</v>
      </c>
      <c r="H13" s="53" t="s">
        <v>2248</v>
      </c>
      <c r="I13" s="53" t="s">
        <v>2064</v>
      </c>
      <c r="J13" s="51"/>
      <c r="K13" s="51"/>
      <c r="L13" s="54">
        <f t="shared" si="0"/>
        <v>-31880</v>
      </c>
      <c r="M13" s="58" t="s">
        <v>2253</v>
      </c>
      <c r="N13" s="53" t="s">
        <v>1242</v>
      </c>
      <c r="O13" s="53" t="s">
        <v>2250</v>
      </c>
      <c r="P13" s="53"/>
      <c r="Q13" s="53" t="str">
        <f t="shared" si="1"/>
        <v>DENTRO DEL TIEMPO</v>
      </c>
      <c r="R13" s="56"/>
    </row>
    <row r="14" spans="1:18" ht="63.75" x14ac:dyDescent="0.25">
      <c r="A14" s="49">
        <v>8</v>
      </c>
      <c r="B14" s="50" t="s">
        <v>2254</v>
      </c>
      <c r="C14" s="51">
        <v>44638</v>
      </c>
      <c r="D14" s="51">
        <v>44638</v>
      </c>
      <c r="E14" s="49">
        <v>14</v>
      </c>
      <c r="F14" s="52" t="s">
        <v>22</v>
      </c>
      <c r="G14" s="53" t="s">
        <v>1256</v>
      </c>
      <c r="H14" s="53" t="s">
        <v>2255</v>
      </c>
      <c r="I14" s="53" t="s">
        <v>1256</v>
      </c>
      <c r="J14" s="51">
        <v>44638</v>
      </c>
      <c r="K14" s="51">
        <v>44638</v>
      </c>
      <c r="L14" s="54">
        <f t="shared" si="0"/>
        <v>0</v>
      </c>
      <c r="M14" s="59" t="s">
        <v>2256</v>
      </c>
      <c r="N14" s="53" t="s">
        <v>1025</v>
      </c>
      <c r="O14" s="53" t="s">
        <v>2257</v>
      </c>
      <c r="P14" s="53" t="s">
        <v>2258</v>
      </c>
      <c r="Q14" s="53" t="str">
        <f t="shared" si="1"/>
        <v>DENTRO DEL TIEMPO</v>
      </c>
      <c r="R14" s="56"/>
    </row>
    <row r="15" spans="1:18" ht="51" x14ac:dyDescent="0.25">
      <c r="A15" s="49">
        <v>9</v>
      </c>
      <c r="B15" s="50" t="s">
        <v>2259</v>
      </c>
      <c r="C15" s="51">
        <v>44624</v>
      </c>
      <c r="D15" s="51">
        <v>44624</v>
      </c>
      <c r="E15" s="49">
        <v>126</v>
      </c>
      <c r="F15" s="52" t="s">
        <v>22</v>
      </c>
      <c r="G15" s="53" t="s">
        <v>1256</v>
      </c>
      <c r="H15" s="53" t="s">
        <v>24</v>
      </c>
      <c r="I15" s="53" t="s">
        <v>1256</v>
      </c>
      <c r="J15" s="51">
        <v>44624</v>
      </c>
      <c r="K15" s="51">
        <v>44624</v>
      </c>
      <c r="L15" s="54">
        <f t="shared" si="0"/>
        <v>0</v>
      </c>
      <c r="M15" s="55" t="s">
        <v>2260</v>
      </c>
      <c r="N15" s="53" t="s">
        <v>1025</v>
      </c>
      <c r="O15" s="53" t="s">
        <v>2261</v>
      </c>
      <c r="P15" s="53" t="s">
        <v>2262</v>
      </c>
      <c r="Q15" s="53" t="str">
        <f t="shared" si="1"/>
        <v>DENTRO DEL TIEMPO</v>
      </c>
      <c r="R15" s="56"/>
    </row>
    <row r="16" spans="1:18" ht="51" x14ac:dyDescent="0.25">
      <c r="A16" s="49">
        <v>10</v>
      </c>
      <c r="B16" s="50" t="s">
        <v>2263</v>
      </c>
      <c r="C16" s="51">
        <v>44634</v>
      </c>
      <c r="D16" s="51">
        <v>44634</v>
      </c>
      <c r="E16" s="49">
        <v>41</v>
      </c>
      <c r="F16" s="52" t="s">
        <v>22</v>
      </c>
      <c r="G16" s="53" t="s">
        <v>1256</v>
      </c>
      <c r="H16" s="53" t="s">
        <v>24</v>
      </c>
      <c r="I16" s="53" t="s">
        <v>1256</v>
      </c>
      <c r="J16" s="51">
        <v>44634</v>
      </c>
      <c r="K16" s="51">
        <v>44634</v>
      </c>
      <c r="L16" s="54">
        <f t="shared" si="0"/>
        <v>0</v>
      </c>
      <c r="M16" s="55" t="s">
        <v>2264</v>
      </c>
      <c r="N16" s="53" t="s">
        <v>26</v>
      </c>
      <c r="O16" s="53" t="s">
        <v>957</v>
      </c>
      <c r="P16" s="53" t="s">
        <v>2265</v>
      </c>
      <c r="Q16" s="53" t="str">
        <f t="shared" si="1"/>
        <v>DENTRO DEL TIEMPO</v>
      </c>
      <c r="R16" s="56"/>
    </row>
    <row r="17" spans="1:18" ht="51" x14ac:dyDescent="0.25">
      <c r="A17" s="49">
        <v>11</v>
      </c>
      <c r="B17" s="50" t="s">
        <v>2266</v>
      </c>
      <c r="C17" s="51">
        <v>44622</v>
      </c>
      <c r="D17" s="51">
        <v>44624</v>
      </c>
      <c r="E17" s="49">
        <v>34</v>
      </c>
      <c r="F17" s="52" t="s">
        <v>22</v>
      </c>
      <c r="G17" s="53" t="s">
        <v>1256</v>
      </c>
      <c r="H17" s="53" t="s">
        <v>24</v>
      </c>
      <c r="I17" s="53" t="s">
        <v>1256</v>
      </c>
      <c r="J17" s="51">
        <v>44624</v>
      </c>
      <c r="K17" s="51">
        <v>44624</v>
      </c>
      <c r="L17" s="54">
        <f t="shared" si="0"/>
        <v>0</v>
      </c>
      <c r="M17" s="55" t="s">
        <v>2267</v>
      </c>
      <c r="N17" s="53" t="s">
        <v>26</v>
      </c>
      <c r="O17" s="53" t="s">
        <v>2268</v>
      </c>
      <c r="P17" s="53" t="s">
        <v>1815</v>
      </c>
      <c r="Q17" s="53" t="str">
        <f t="shared" si="1"/>
        <v>DENTRO DEL TIEMPO</v>
      </c>
      <c r="R17" s="56"/>
    </row>
    <row r="18" spans="1:18" ht="38.25" x14ac:dyDescent="0.25">
      <c r="A18" s="49">
        <v>12</v>
      </c>
      <c r="B18" s="50" t="s">
        <v>2269</v>
      </c>
      <c r="C18" s="51">
        <v>44622</v>
      </c>
      <c r="D18" s="51">
        <v>44624</v>
      </c>
      <c r="E18" s="49">
        <v>2</v>
      </c>
      <c r="F18" s="52" t="s">
        <v>22</v>
      </c>
      <c r="G18" s="53" t="s">
        <v>721</v>
      </c>
      <c r="H18" s="53" t="s">
        <v>24</v>
      </c>
      <c r="I18" s="53" t="s">
        <v>721</v>
      </c>
      <c r="J18" s="51">
        <v>44624</v>
      </c>
      <c r="K18" s="51">
        <v>44624</v>
      </c>
      <c r="L18" s="54">
        <f t="shared" si="0"/>
        <v>0</v>
      </c>
      <c r="M18" s="59" t="s">
        <v>2270</v>
      </c>
      <c r="N18" s="53" t="s">
        <v>26</v>
      </c>
      <c r="O18" s="53" t="s">
        <v>2271</v>
      </c>
      <c r="P18" s="53" t="s">
        <v>2272</v>
      </c>
      <c r="Q18" s="53" t="str">
        <f t="shared" si="1"/>
        <v>DENTRO DEL TIEMPO</v>
      </c>
      <c r="R18" s="56"/>
    </row>
    <row r="19" spans="1:18" ht="38.25" x14ac:dyDescent="0.25">
      <c r="A19" s="49">
        <v>13</v>
      </c>
      <c r="B19" s="50" t="s">
        <v>2273</v>
      </c>
      <c r="C19" s="51">
        <v>44622</v>
      </c>
      <c r="D19" s="51">
        <v>44624</v>
      </c>
      <c r="E19" s="49">
        <v>2</v>
      </c>
      <c r="F19" s="52" t="s">
        <v>22</v>
      </c>
      <c r="G19" s="53" t="s">
        <v>721</v>
      </c>
      <c r="H19" s="53" t="s">
        <v>24</v>
      </c>
      <c r="I19" s="53" t="s">
        <v>721</v>
      </c>
      <c r="J19" s="51">
        <v>44624</v>
      </c>
      <c r="K19" s="51">
        <v>44624</v>
      </c>
      <c r="L19" s="54">
        <f t="shared" si="0"/>
        <v>0</v>
      </c>
      <c r="M19" s="55" t="s">
        <v>2274</v>
      </c>
      <c r="N19" s="53" t="s">
        <v>26</v>
      </c>
      <c r="O19" s="53" t="s">
        <v>2275</v>
      </c>
      <c r="P19" s="53" t="s">
        <v>1296</v>
      </c>
      <c r="Q19" s="53" t="str">
        <f t="shared" si="1"/>
        <v>DENTRO DEL TIEMPO</v>
      </c>
      <c r="R19" s="56"/>
    </row>
    <row r="20" spans="1:18" ht="38.25" x14ac:dyDescent="0.25">
      <c r="A20" s="49">
        <v>14</v>
      </c>
      <c r="B20" s="50" t="s">
        <v>2276</v>
      </c>
      <c r="C20" s="51">
        <v>44622</v>
      </c>
      <c r="D20" s="51">
        <v>44624</v>
      </c>
      <c r="E20" s="49">
        <v>2</v>
      </c>
      <c r="F20" s="52" t="s">
        <v>22</v>
      </c>
      <c r="G20" s="53" t="s">
        <v>721</v>
      </c>
      <c r="H20" s="53" t="s">
        <v>24</v>
      </c>
      <c r="I20" s="53" t="s">
        <v>721</v>
      </c>
      <c r="J20" s="51">
        <v>44624</v>
      </c>
      <c r="K20" s="51">
        <v>44624</v>
      </c>
      <c r="L20" s="54">
        <f t="shared" si="0"/>
        <v>0</v>
      </c>
      <c r="M20" s="55" t="s">
        <v>2277</v>
      </c>
      <c r="N20" s="53" t="s">
        <v>26</v>
      </c>
      <c r="O20" s="53" t="s">
        <v>2278</v>
      </c>
      <c r="P20" s="53" t="s">
        <v>2279</v>
      </c>
      <c r="Q20" s="53" t="str">
        <f t="shared" si="1"/>
        <v>DENTRO DEL TIEMPO</v>
      </c>
      <c r="R20" s="56"/>
    </row>
    <row r="21" spans="1:18" ht="51" x14ac:dyDescent="0.25">
      <c r="A21" s="49">
        <v>15</v>
      </c>
      <c r="B21" s="50" t="s">
        <v>2280</v>
      </c>
      <c r="C21" s="51">
        <v>44622</v>
      </c>
      <c r="D21" s="51">
        <v>44629</v>
      </c>
      <c r="E21" s="49">
        <v>10</v>
      </c>
      <c r="F21" s="52" t="s">
        <v>22</v>
      </c>
      <c r="G21" s="53" t="s">
        <v>1256</v>
      </c>
      <c r="H21" s="53" t="s">
        <v>24</v>
      </c>
      <c r="I21" s="53" t="s">
        <v>1256</v>
      </c>
      <c r="J21" s="51">
        <v>44629</v>
      </c>
      <c r="K21" s="51">
        <v>44629</v>
      </c>
      <c r="L21" s="54">
        <f t="shared" si="0"/>
        <v>0</v>
      </c>
      <c r="M21" s="55" t="s">
        <v>2281</v>
      </c>
      <c r="N21" s="53" t="s">
        <v>26</v>
      </c>
      <c r="O21" s="53" t="s">
        <v>2282</v>
      </c>
      <c r="P21" s="53" t="s">
        <v>2283</v>
      </c>
      <c r="Q21" s="53" t="str">
        <f t="shared" si="1"/>
        <v>DENTRO DEL TIEMPO</v>
      </c>
      <c r="R21" s="56"/>
    </row>
    <row r="22" spans="1:18" ht="51" x14ac:dyDescent="0.25">
      <c r="A22" s="49">
        <v>16</v>
      </c>
      <c r="B22" s="50" t="s">
        <v>2284</v>
      </c>
      <c r="C22" s="51">
        <v>44622</v>
      </c>
      <c r="D22" s="51">
        <v>44629</v>
      </c>
      <c r="E22" s="49">
        <v>30</v>
      </c>
      <c r="F22" s="52" t="s">
        <v>22</v>
      </c>
      <c r="G22" s="53" t="s">
        <v>1256</v>
      </c>
      <c r="H22" s="53" t="s">
        <v>24</v>
      </c>
      <c r="I22" s="53" t="s">
        <v>1256</v>
      </c>
      <c r="J22" s="51">
        <v>44629</v>
      </c>
      <c r="K22" s="51">
        <v>44629</v>
      </c>
      <c r="L22" s="54">
        <f t="shared" si="0"/>
        <v>0</v>
      </c>
      <c r="M22" s="55" t="s">
        <v>2285</v>
      </c>
      <c r="N22" s="53" t="s">
        <v>26</v>
      </c>
      <c r="O22" s="53" t="s">
        <v>2286</v>
      </c>
      <c r="P22" s="53" t="s">
        <v>2287</v>
      </c>
      <c r="Q22" s="53" t="str">
        <f t="shared" si="1"/>
        <v>DENTRO DEL TIEMPO</v>
      </c>
      <c r="R22" s="56"/>
    </row>
    <row r="23" spans="1:18" ht="51" x14ac:dyDescent="0.25">
      <c r="A23" s="49">
        <v>17</v>
      </c>
      <c r="B23" s="50" t="s">
        <v>2288</v>
      </c>
      <c r="C23" s="51">
        <v>44622</v>
      </c>
      <c r="D23" s="51">
        <v>44624</v>
      </c>
      <c r="E23" s="49">
        <v>2</v>
      </c>
      <c r="F23" s="52" t="s">
        <v>22</v>
      </c>
      <c r="G23" s="53" t="s">
        <v>721</v>
      </c>
      <c r="H23" s="53" t="s">
        <v>24</v>
      </c>
      <c r="I23" s="53" t="s">
        <v>721</v>
      </c>
      <c r="J23" s="51">
        <v>44624</v>
      </c>
      <c r="K23" s="51">
        <v>44624</v>
      </c>
      <c r="L23" s="54">
        <f t="shared" si="0"/>
        <v>0</v>
      </c>
      <c r="M23" s="55" t="s">
        <v>2289</v>
      </c>
      <c r="N23" s="53" t="s">
        <v>26</v>
      </c>
      <c r="O23" s="53" t="s">
        <v>2290</v>
      </c>
      <c r="P23" s="53" t="s">
        <v>2291</v>
      </c>
      <c r="Q23" s="53" t="str">
        <f t="shared" si="1"/>
        <v>DENTRO DEL TIEMPO</v>
      </c>
      <c r="R23" s="56"/>
    </row>
    <row r="24" spans="1:18" ht="51" x14ac:dyDescent="0.25">
      <c r="A24" s="49">
        <v>18</v>
      </c>
      <c r="B24" s="50" t="s">
        <v>2292</v>
      </c>
      <c r="C24" s="51">
        <v>44622</v>
      </c>
      <c r="D24" s="51">
        <v>44624</v>
      </c>
      <c r="E24" s="49">
        <v>2</v>
      </c>
      <c r="F24" s="52" t="s">
        <v>22</v>
      </c>
      <c r="G24" s="53" t="s">
        <v>721</v>
      </c>
      <c r="H24" s="53" t="s">
        <v>24</v>
      </c>
      <c r="I24" s="53" t="s">
        <v>721</v>
      </c>
      <c r="J24" s="51">
        <v>44624</v>
      </c>
      <c r="K24" s="51">
        <v>44624</v>
      </c>
      <c r="L24" s="54">
        <f t="shared" si="0"/>
        <v>0</v>
      </c>
      <c r="M24" s="55" t="s">
        <v>2293</v>
      </c>
      <c r="N24" s="53" t="s">
        <v>26</v>
      </c>
      <c r="O24" s="53" t="s">
        <v>2294</v>
      </c>
      <c r="P24" s="53" t="s">
        <v>2295</v>
      </c>
      <c r="Q24" s="53" t="str">
        <f t="shared" si="1"/>
        <v>DENTRO DEL TIEMPO</v>
      </c>
      <c r="R24" s="56"/>
    </row>
    <row r="25" spans="1:18" ht="38.25" x14ac:dyDescent="0.25">
      <c r="A25" s="49">
        <v>19</v>
      </c>
      <c r="B25" s="50" t="s">
        <v>2296</v>
      </c>
      <c r="C25" s="51">
        <v>44623</v>
      </c>
      <c r="D25" s="51">
        <v>44624</v>
      </c>
      <c r="E25" s="49">
        <v>2</v>
      </c>
      <c r="F25" s="52" t="s">
        <v>22</v>
      </c>
      <c r="G25" s="53" t="s">
        <v>721</v>
      </c>
      <c r="H25" s="53" t="s">
        <v>24</v>
      </c>
      <c r="I25" s="53" t="s">
        <v>721</v>
      </c>
      <c r="J25" s="51">
        <v>44624</v>
      </c>
      <c r="K25" s="51">
        <v>44624</v>
      </c>
      <c r="L25" s="54">
        <f t="shared" si="0"/>
        <v>0</v>
      </c>
      <c r="M25" s="55" t="s">
        <v>2297</v>
      </c>
      <c r="N25" s="53" t="s">
        <v>26</v>
      </c>
      <c r="O25" s="53" t="s">
        <v>2298</v>
      </c>
      <c r="P25" s="53" t="s">
        <v>2299</v>
      </c>
      <c r="Q25" s="53" t="str">
        <f t="shared" si="1"/>
        <v>DENTRO DEL TIEMPO</v>
      </c>
      <c r="R25" s="56"/>
    </row>
    <row r="26" spans="1:18" ht="38.25" x14ac:dyDescent="0.25">
      <c r="A26" s="49">
        <v>20</v>
      </c>
      <c r="B26" s="50" t="s">
        <v>2300</v>
      </c>
      <c r="C26" s="51">
        <v>44623</v>
      </c>
      <c r="D26" s="51">
        <v>44624</v>
      </c>
      <c r="E26" s="49">
        <v>2</v>
      </c>
      <c r="F26" s="52" t="s">
        <v>22</v>
      </c>
      <c r="G26" s="53" t="s">
        <v>721</v>
      </c>
      <c r="H26" s="53" t="s">
        <v>24</v>
      </c>
      <c r="I26" s="53" t="s">
        <v>721</v>
      </c>
      <c r="J26" s="51">
        <v>44624</v>
      </c>
      <c r="K26" s="51">
        <v>44624</v>
      </c>
      <c r="L26" s="54">
        <f t="shared" si="0"/>
        <v>0</v>
      </c>
      <c r="M26" s="55" t="s">
        <v>2301</v>
      </c>
      <c r="N26" s="53" t="s">
        <v>26</v>
      </c>
      <c r="O26" s="53" t="s">
        <v>2302</v>
      </c>
      <c r="P26" s="53" t="s">
        <v>2303</v>
      </c>
      <c r="Q26" s="53" t="str">
        <f t="shared" si="1"/>
        <v>DENTRO DEL TIEMPO</v>
      </c>
      <c r="R26" s="56"/>
    </row>
    <row r="27" spans="1:18" ht="38.25" x14ac:dyDescent="0.25">
      <c r="A27" s="49">
        <v>21</v>
      </c>
      <c r="B27" s="50" t="s">
        <v>2304</v>
      </c>
      <c r="C27" s="51">
        <v>44623</v>
      </c>
      <c r="D27" s="51">
        <v>44624</v>
      </c>
      <c r="E27" s="49">
        <v>2</v>
      </c>
      <c r="F27" s="52" t="s">
        <v>22</v>
      </c>
      <c r="G27" s="53" t="s">
        <v>721</v>
      </c>
      <c r="H27" s="53" t="s">
        <v>24</v>
      </c>
      <c r="I27" s="53" t="s">
        <v>721</v>
      </c>
      <c r="J27" s="51">
        <v>44624</v>
      </c>
      <c r="K27" s="51">
        <v>44624</v>
      </c>
      <c r="L27" s="54">
        <f t="shared" si="0"/>
        <v>0</v>
      </c>
      <c r="M27" s="55" t="s">
        <v>2305</v>
      </c>
      <c r="N27" s="53" t="s">
        <v>26</v>
      </c>
      <c r="O27" s="53" t="s">
        <v>2306</v>
      </c>
      <c r="P27" s="53" t="s">
        <v>1768</v>
      </c>
      <c r="Q27" s="53" t="str">
        <f t="shared" si="1"/>
        <v>DENTRO DEL TIEMPO</v>
      </c>
      <c r="R27" s="56"/>
    </row>
    <row r="28" spans="1:18" ht="51" x14ac:dyDescent="0.25">
      <c r="A28" s="49">
        <v>22</v>
      </c>
      <c r="B28" s="50" t="s">
        <v>2307</v>
      </c>
      <c r="C28" s="51">
        <v>44623</v>
      </c>
      <c r="D28" s="51">
        <v>44624</v>
      </c>
      <c r="E28" s="49">
        <v>2</v>
      </c>
      <c r="F28" s="52" t="s">
        <v>22</v>
      </c>
      <c r="G28" s="53" t="s">
        <v>721</v>
      </c>
      <c r="H28" s="53" t="s">
        <v>24</v>
      </c>
      <c r="I28" s="53" t="s">
        <v>721</v>
      </c>
      <c r="J28" s="51">
        <v>44624</v>
      </c>
      <c r="K28" s="51">
        <v>44624</v>
      </c>
      <c r="L28" s="54">
        <f t="shared" si="0"/>
        <v>0</v>
      </c>
      <c r="M28" s="55" t="s">
        <v>2308</v>
      </c>
      <c r="N28" s="53" t="s">
        <v>26</v>
      </c>
      <c r="O28" s="53" t="s">
        <v>2309</v>
      </c>
      <c r="P28" s="53" t="s">
        <v>2310</v>
      </c>
      <c r="Q28" s="53" t="str">
        <f t="shared" si="1"/>
        <v>DENTRO DEL TIEMPO</v>
      </c>
      <c r="R28" s="56"/>
    </row>
    <row r="29" spans="1:18" ht="38.25" x14ac:dyDescent="0.25">
      <c r="A29" s="49">
        <v>23</v>
      </c>
      <c r="B29" s="50" t="s">
        <v>2311</v>
      </c>
      <c r="C29" s="51">
        <v>44623</v>
      </c>
      <c r="D29" s="51">
        <v>44624</v>
      </c>
      <c r="E29" s="49">
        <v>2</v>
      </c>
      <c r="F29" s="52" t="s">
        <v>22</v>
      </c>
      <c r="G29" s="53" t="s">
        <v>721</v>
      </c>
      <c r="H29" s="53" t="s">
        <v>24</v>
      </c>
      <c r="I29" s="53" t="s">
        <v>721</v>
      </c>
      <c r="J29" s="51">
        <v>44624</v>
      </c>
      <c r="K29" s="51">
        <v>44624</v>
      </c>
      <c r="L29" s="54">
        <f t="shared" si="0"/>
        <v>0</v>
      </c>
      <c r="M29" s="55" t="s">
        <v>2312</v>
      </c>
      <c r="N29" s="53" t="s">
        <v>26</v>
      </c>
      <c r="O29" s="53" t="s">
        <v>2313</v>
      </c>
      <c r="P29" s="53" t="s">
        <v>2314</v>
      </c>
      <c r="Q29" s="53" t="str">
        <f t="shared" si="1"/>
        <v>DENTRO DEL TIEMPO</v>
      </c>
      <c r="R29" s="56"/>
    </row>
    <row r="30" spans="1:18" ht="38.25" x14ac:dyDescent="0.25">
      <c r="A30" s="49">
        <v>24</v>
      </c>
      <c r="B30" s="50" t="s">
        <v>2315</v>
      </c>
      <c r="C30" s="51">
        <v>44623</v>
      </c>
      <c r="D30" s="51">
        <v>44624</v>
      </c>
      <c r="E30" s="49">
        <v>2</v>
      </c>
      <c r="F30" s="52" t="s">
        <v>22</v>
      </c>
      <c r="G30" s="53" t="s">
        <v>721</v>
      </c>
      <c r="H30" s="53" t="s">
        <v>24</v>
      </c>
      <c r="I30" s="53" t="s">
        <v>721</v>
      </c>
      <c r="J30" s="51">
        <v>44624</v>
      </c>
      <c r="K30" s="51">
        <v>44624</v>
      </c>
      <c r="L30" s="54">
        <f t="shared" si="0"/>
        <v>0</v>
      </c>
      <c r="M30" s="55" t="s">
        <v>2316</v>
      </c>
      <c r="N30" s="53" t="s">
        <v>26</v>
      </c>
      <c r="O30" s="53" t="s">
        <v>2317</v>
      </c>
      <c r="P30" s="53" t="s">
        <v>1304</v>
      </c>
      <c r="Q30" s="53" t="str">
        <f t="shared" si="1"/>
        <v>DENTRO DEL TIEMPO</v>
      </c>
      <c r="R30" s="56"/>
    </row>
    <row r="31" spans="1:18" ht="51" x14ac:dyDescent="0.25">
      <c r="A31" s="49">
        <v>25</v>
      </c>
      <c r="B31" s="50" t="s">
        <v>2318</v>
      </c>
      <c r="C31" s="51">
        <v>44623</v>
      </c>
      <c r="D31" s="51">
        <v>44624</v>
      </c>
      <c r="E31" s="49">
        <v>2</v>
      </c>
      <c r="F31" s="52" t="s">
        <v>22</v>
      </c>
      <c r="G31" s="53" t="s">
        <v>721</v>
      </c>
      <c r="H31" s="53" t="s">
        <v>24</v>
      </c>
      <c r="I31" s="53" t="s">
        <v>721</v>
      </c>
      <c r="J31" s="51">
        <v>44624</v>
      </c>
      <c r="K31" s="51">
        <v>44624</v>
      </c>
      <c r="L31" s="54">
        <f t="shared" si="0"/>
        <v>0</v>
      </c>
      <c r="M31" s="55" t="s">
        <v>2319</v>
      </c>
      <c r="N31" s="53" t="s">
        <v>26</v>
      </c>
      <c r="O31" s="53" t="s">
        <v>2320</v>
      </c>
      <c r="P31" s="53" t="s">
        <v>2321</v>
      </c>
      <c r="Q31" s="53" t="str">
        <f t="shared" si="1"/>
        <v>DENTRO DEL TIEMPO</v>
      </c>
      <c r="R31" s="56"/>
    </row>
    <row r="32" spans="1:18" ht="89.25" x14ac:dyDescent="0.25">
      <c r="A32" s="49">
        <v>26</v>
      </c>
      <c r="B32" s="50" t="s">
        <v>2322</v>
      </c>
      <c r="C32" s="51">
        <v>44623</v>
      </c>
      <c r="D32" s="51">
        <v>44624</v>
      </c>
      <c r="E32" s="49">
        <v>2</v>
      </c>
      <c r="F32" s="52" t="s">
        <v>22</v>
      </c>
      <c r="G32" s="53" t="s">
        <v>721</v>
      </c>
      <c r="H32" s="53" t="s">
        <v>24</v>
      </c>
      <c r="I32" s="53" t="s">
        <v>721</v>
      </c>
      <c r="J32" s="51">
        <v>44624</v>
      </c>
      <c r="K32" s="51">
        <v>44624</v>
      </c>
      <c r="L32" s="54">
        <f t="shared" si="0"/>
        <v>0</v>
      </c>
      <c r="M32" s="55" t="s">
        <v>2323</v>
      </c>
      <c r="N32" s="53" t="s">
        <v>26</v>
      </c>
      <c r="O32" s="53" t="s">
        <v>2324</v>
      </c>
      <c r="P32" s="53" t="s">
        <v>2321</v>
      </c>
      <c r="Q32" s="53" t="str">
        <f t="shared" si="1"/>
        <v>DENTRO DEL TIEMPO</v>
      </c>
      <c r="R32" s="56"/>
    </row>
    <row r="33" spans="1:18" ht="38.25" x14ac:dyDescent="0.25">
      <c r="A33" s="49">
        <v>27</v>
      </c>
      <c r="B33" s="50" t="s">
        <v>2325</v>
      </c>
      <c r="C33" s="51">
        <v>44623</v>
      </c>
      <c r="D33" s="51">
        <v>44624</v>
      </c>
      <c r="E33" s="49">
        <v>2</v>
      </c>
      <c r="F33" s="52" t="s">
        <v>22</v>
      </c>
      <c r="G33" s="53" t="s">
        <v>721</v>
      </c>
      <c r="H33" s="53" t="s">
        <v>24</v>
      </c>
      <c r="I33" s="53" t="s">
        <v>721</v>
      </c>
      <c r="J33" s="51">
        <v>44624</v>
      </c>
      <c r="K33" s="51">
        <v>44624</v>
      </c>
      <c r="L33" s="54">
        <f t="shared" si="0"/>
        <v>0</v>
      </c>
      <c r="M33" s="55" t="s">
        <v>2326</v>
      </c>
      <c r="N33" s="53" t="s">
        <v>26</v>
      </c>
      <c r="O33" s="53" t="s">
        <v>2327</v>
      </c>
      <c r="P33" s="53" t="s">
        <v>2321</v>
      </c>
      <c r="Q33" s="53" t="str">
        <f t="shared" si="1"/>
        <v>DENTRO DEL TIEMPO</v>
      </c>
      <c r="R33" s="56"/>
    </row>
    <row r="34" spans="1:18" ht="38.25" x14ac:dyDescent="0.25">
      <c r="A34" s="49">
        <v>28</v>
      </c>
      <c r="B34" s="50" t="s">
        <v>2328</v>
      </c>
      <c r="C34" s="51">
        <v>44623</v>
      </c>
      <c r="D34" s="51">
        <v>44624</v>
      </c>
      <c r="E34" s="49">
        <v>2</v>
      </c>
      <c r="F34" s="52" t="s">
        <v>22</v>
      </c>
      <c r="G34" s="53" t="s">
        <v>721</v>
      </c>
      <c r="H34" s="53" t="s">
        <v>24</v>
      </c>
      <c r="I34" s="53" t="s">
        <v>721</v>
      </c>
      <c r="J34" s="51">
        <v>44624</v>
      </c>
      <c r="K34" s="51">
        <v>44624</v>
      </c>
      <c r="L34" s="54">
        <f t="shared" si="0"/>
        <v>0</v>
      </c>
      <c r="M34" s="55" t="s">
        <v>2329</v>
      </c>
      <c r="N34" s="53" t="s">
        <v>26</v>
      </c>
      <c r="O34" s="53" t="s">
        <v>2330</v>
      </c>
      <c r="P34" s="53" t="s">
        <v>2321</v>
      </c>
      <c r="Q34" s="53" t="str">
        <f t="shared" si="1"/>
        <v>DENTRO DEL TIEMPO</v>
      </c>
      <c r="R34" s="56"/>
    </row>
    <row r="35" spans="1:18" ht="51" x14ac:dyDescent="0.25">
      <c r="A35" s="49">
        <v>29</v>
      </c>
      <c r="B35" s="50" t="s">
        <v>2331</v>
      </c>
      <c r="C35" s="51">
        <v>44623</v>
      </c>
      <c r="D35" s="51">
        <v>44624</v>
      </c>
      <c r="E35" s="49">
        <v>2</v>
      </c>
      <c r="F35" s="52" t="s">
        <v>22</v>
      </c>
      <c r="G35" s="53" t="s">
        <v>721</v>
      </c>
      <c r="H35" s="53" t="s">
        <v>24</v>
      </c>
      <c r="I35" s="53" t="s">
        <v>721</v>
      </c>
      <c r="J35" s="51">
        <v>44624</v>
      </c>
      <c r="K35" s="51">
        <v>44624</v>
      </c>
      <c r="L35" s="54">
        <f t="shared" si="0"/>
        <v>0</v>
      </c>
      <c r="M35" s="55" t="s">
        <v>2332</v>
      </c>
      <c r="N35" s="53" t="s">
        <v>26</v>
      </c>
      <c r="O35" s="53" t="s">
        <v>2333</v>
      </c>
      <c r="P35" s="53" t="s">
        <v>2321</v>
      </c>
      <c r="Q35" s="53" t="str">
        <f t="shared" si="1"/>
        <v>DENTRO DEL TIEMPO</v>
      </c>
      <c r="R35" s="56"/>
    </row>
    <row r="36" spans="1:18" ht="51" x14ac:dyDescent="0.25">
      <c r="A36" s="49">
        <v>30</v>
      </c>
      <c r="B36" s="50" t="s">
        <v>2334</v>
      </c>
      <c r="C36" s="51">
        <v>44623</v>
      </c>
      <c r="D36" s="51">
        <v>44627</v>
      </c>
      <c r="E36" s="49">
        <v>2</v>
      </c>
      <c r="F36" s="52" t="s">
        <v>22</v>
      </c>
      <c r="G36" s="53" t="s">
        <v>721</v>
      </c>
      <c r="H36" s="53" t="s">
        <v>24</v>
      </c>
      <c r="I36" s="53" t="s">
        <v>721</v>
      </c>
      <c r="J36" s="51">
        <v>44627</v>
      </c>
      <c r="K36" s="51">
        <v>44627</v>
      </c>
      <c r="L36" s="54">
        <f t="shared" si="0"/>
        <v>0</v>
      </c>
      <c r="M36" s="55" t="s">
        <v>2335</v>
      </c>
      <c r="N36" s="53" t="s">
        <v>26</v>
      </c>
      <c r="O36" s="53" t="s">
        <v>2333</v>
      </c>
      <c r="P36" s="53" t="s">
        <v>2321</v>
      </c>
      <c r="Q36" s="53" t="str">
        <f t="shared" si="1"/>
        <v>DENTRO DEL TIEMPO</v>
      </c>
      <c r="R36" s="56"/>
    </row>
    <row r="37" spans="1:18" ht="51" x14ac:dyDescent="0.25">
      <c r="A37" s="49">
        <v>31</v>
      </c>
      <c r="B37" s="50" t="s">
        <v>2336</v>
      </c>
      <c r="C37" s="51">
        <v>44623</v>
      </c>
      <c r="D37" s="51">
        <v>44627</v>
      </c>
      <c r="E37" s="49">
        <v>2</v>
      </c>
      <c r="F37" s="52" t="s">
        <v>22</v>
      </c>
      <c r="G37" s="53" t="s">
        <v>721</v>
      </c>
      <c r="H37" s="53" t="s">
        <v>24</v>
      </c>
      <c r="I37" s="53" t="s">
        <v>721</v>
      </c>
      <c r="J37" s="51">
        <v>44627</v>
      </c>
      <c r="K37" s="51">
        <v>44627</v>
      </c>
      <c r="L37" s="54">
        <f t="shared" si="0"/>
        <v>0</v>
      </c>
      <c r="M37" s="55" t="s">
        <v>2337</v>
      </c>
      <c r="N37" s="53" t="s">
        <v>26</v>
      </c>
      <c r="O37" s="53" t="s">
        <v>2333</v>
      </c>
      <c r="P37" s="53" t="s">
        <v>2321</v>
      </c>
      <c r="Q37" s="53" t="str">
        <f t="shared" si="1"/>
        <v>DENTRO DEL TIEMPO</v>
      </c>
      <c r="R37" s="56"/>
    </row>
    <row r="38" spans="1:18" ht="51" x14ac:dyDescent="0.25">
      <c r="A38" s="49">
        <v>32</v>
      </c>
      <c r="B38" s="50" t="s">
        <v>2338</v>
      </c>
      <c r="C38" s="51">
        <v>44623</v>
      </c>
      <c r="D38" s="51">
        <v>44627</v>
      </c>
      <c r="E38" s="49">
        <v>2</v>
      </c>
      <c r="F38" s="52" t="s">
        <v>22</v>
      </c>
      <c r="G38" s="53" t="s">
        <v>721</v>
      </c>
      <c r="H38" s="53" t="s">
        <v>24</v>
      </c>
      <c r="I38" s="53" t="s">
        <v>721</v>
      </c>
      <c r="J38" s="51">
        <v>44627</v>
      </c>
      <c r="K38" s="51">
        <v>44627</v>
      </c>
      <c r="L38" s="54">
        <f t="shared" si="0"/>
        <v>0</v>
      </c>
      <c r="M38" s="55" t="s">
        <v>2339</v>
      </c>
      <c r="N38" s="53" t="s">
        <v>26</v>
      </c>
      <c r="O38" s="53" t="s">
        <v>2333</v>
      </c>
      <c r="P38" s="53" t="s">
        <v>2321</v>
      </c>
      <c r="Q38" s="53" t="str">
        <f t="shared" si="1"/>
        <v>DENTRO DEL TIEMPO</v>
      </c>
      <c r="R38" s="56"/>
    </row>
    <row r="39" spans="1:18" ht="51" x14ac:dyDescent="0.25">
      <c r="A39" s="49">
        <v>33</v>
      </c>
      <c r="B39" s="50" t="s">
        <v>2340</v>
      </c>
      <c r="C39" s="51">
        <v>44623</v>
      </c>
      <c r="D39" s="51">
        <v>44627</v>
      </c>
      <c r="E39" s="49">
        <v>2</v>
      </c>
      <c r="F39" s="52" t="s">
        <v>22</v>
      </c>
      <c r="G39" s="53" t="s">
        <v>721</v>
      </c>
      <c r="H39" s="53" t="s">
        <v>24</v>
      </c>
      <c r="I39" s="53" t="s">
        <v>721</v>
      </c>
      <c r="J39" s="51">
        <v>44627</v>
      </c>
      <c r="K39" s="51">
        <v>44627</v>
      </c>
      <c r="L39" s="54">
        <f t="shared" si="0"/>
        <v>0</v>
      </c>
      <c r="M39" s="55" t="s">
        <v>2341</v>
      </c>
      <c r="N39" s="53" t="s">
        <v>26</v>
      </c>
      <c r="O39" s="53" t="s">
        <v>2333</v>
      </c>
      <c r="P39" s="53" t="s">
        <v>2321</v>
      </c>
      <c r="Q39" s="53" t="str">
        <f t="shared" si="1"/>
        <v>DENTRO DEL TIEMPO</v>
      </c>
      <c r="R39" s="56"/>
    </row>
    <row r="40" spans="1:18" ht="51" hidden="1" x14ac:dyDescent="0.25">
      <c r="A40" s="49">
        <v>34</v>
      </c>
      <c r="B40" s="50" t="s">
        <v>2342</v>
      </c>
      <c r="C40" s="51">
        <v>44623</v>
      </c>
      <c r="D40" s="51">
        <v>44623</v>
      </c>
      <c r="E40" s="49">
        <v>0</v>
      </c>
      <c r="F40" s="52" t="s">
        <v>790</v>
      </c>
      <c r="G40" s="53" t="s">
        <v>2231</v>
      </c>
      <c r="H40" s="53" t="s">
        <v>2232</v>
      </c>
      <c r="I40" s="53" t="s">
        <v>2231</v>
      </c>
      <c r="J40" s="51"/>
      <c r="K40" s="51"/>
      <c r="L40" s="54">
        <f t="shared" si="0"/>
        <v>-31875</v>
      </c>
      <c r="M40" s="57" t="s">
        <v>2232</v>
      </c>
      <c r="N40" s="53" t="s">
        <v>26</v>
      </c>
      <c r="O40" s="53" t="s">
        <v>2343</v>
      </c>
      <c r="P40" s="53"/>
      <c r="Q40" s="53" t="str">
        <f t="shared" si="1"/>
        <v>DENTRO DEL TIEMPO</v>
      </c>
      <c r="R40" s="56"/>
    </row>
    <row r="41" spans="1:18" ht="51" x14ac:dyDescent="0.25">
      <c r="A41" s="49">
        <v>35</v>
      </c>
      <c r="B41" s="50" t="s">
        <v>2344</v>
      </c>
      <c r="C41" s="51">
        <v>44623</v>
      </c>
      <c r="D41" s="51">
        <v>44627</v>
      </c>
      <c r="E41" s="49">
        <v>2</v>
      </c>
      <c r="F41" s="52" t="s">
        <v>22</v>
      </c>
      <c r="G41" s="53" t="s">
        <v>721</v>
      </c>
      <c r="H41" s="53" t="s">
        <v>24</v>
      </c>
      <c r="I41" s="53" t="s">
        <v>721</v>
      </c>
      <c r="J41" s="51">
        <v>44627</v>
      </c>
      <c r="K41" s="51">
        <v>44627</v>
      </c>
      <c r="L41" s="54">
        <f t="shared" si="0"/>
        <v>0</v>
      </c>
      <c r="M41" s="55" t="s">
        <v>2345</v>
      </c>
      <c r="N41" s="53" t="s">
        <v>26</v>
      </c>
      <c r="O41" s="53" t="s">
        <v>2346</v>
      </c>
      <c r="P41" s="53" t="s">
        <v>2347</v>
      </c>
      <c r="Q41" s="53" t="str">
        <f t="shared" si="1"/>
        <v>DENTRO DEL TIEMPO</v>
      </c>
      <c r="R41" s="56"/>
    </row>
    <row r="42" spans="1:18" ht="38.25" x14ac:dyDescent="0.25">
      <c r="A42" s="49">
        <v>36</v>
      </c>
      <c r="B42" s="50" t="s">
        <v>2348</v>
      </c>
      <c r="C42" s="51">
        <v>44623</v>
      </c>
      <c r="D42" s="51">
        <v>44627</v>
      </c>
      <c r="E42" s="49">
        <v>2</v>
      </c>
      <c r="F42" s="52" t="s">
        <v>22</v>
      </c>
      <c r="G42" s="53" t="s">
        <v>721</v>
      </c>
      <c r="H42" s="53" t="s">
        <v>24</v>
      </c>
      <c r="I42" s="53" t="s">
        <v>721</v>
      </c>
      <c r="J42" s="51">
        <v>44627</v>
      </c>
      <c r="K42" s="51">
        <v>44627</v>
      </c>
      <c r="L42" s="54">
        <f t="shared" si="0"/>
        <v>0</v>
      </c>
      <c r="M42" s="55" t="s">
        <v>2349</v>
      </c>
      <c r="N42" s="53" t="s">
        <v>26</v>
      </c>
      <c r="O42" s="53" t="s">
        <v>2350</v>
      </c>
      <c r="P42" s="53" t="s">
        <v>1423</v>
      </c>
      <c r="Q42" s="53" t="str">
        <f t="shared" si="1"/>
        <v>DENTRO DEL TIEMPO</v>
      </c>
      <c r="R42" s="56"/>
    </row>
    <row r="43" spans="1:18" ht="51" x14ac:dyDescent="0.25">
      <c r="A43" s="49">
        <v>37</v>
      </c>
      <c r="B43" s="50" t="s">
        <v>2351</v>
      </c>
      <c r="C43" s="51">
        <v>44623</v>
      </c>
      <c r="D43" s="51">
        <v>44627</v>
      </c>
      <c r="E43" s="49">
        <v>2</v>
      </c>
      <c r="F43" s="52" t="s">
        <v>22</v>
      </c>
      <c r="G43" s="53" t="s">
        <v>721</v>
      </c>
      <c r="H43" s="53" t="s">
        <v>24</v>
      </c>
      <c r="I43" s="53" t="s">
        <v>721</v>
      </c>
      <c r="J43" s="51">
        <v>44627</v>
      </c>
      <c r="K43" s="51">
        <v>44627</v>
      </c>
      <c r="L43" s="54">
        <f t="shared" si="0"/>
        <v>0</v>
      </c>
      <c r="M43" s="55" t="s">
        <v>2352</v>
      </c>
      <c r="N43" s="53" t="s">
        <v>26</v>
      </c>
      <c r="O43" s="53" t="s">
        <v>2353</v>
      </c>
      <c r="P43" s="53" t="s">
        <v>2354</v>
      </c>
      <c r="Q43" s="53" t="str">
        <f t="shared" si="1"/>
        <v>DENTRO DEL TIEMPO</v>
      </c>
      <c r="R43" s="56"/>
    </row>
    <row r="44" spans="1:18" ht="51" x14ac:dyDescent="0.25">
      <c r="A44" s="49">
        <v>38</v>
      </c>
      <c r="B44" s="50" t="s">
        <v>2355</v>
      </c>
      <c r="C44" s="51">
        <v>44624</v>
      </c>
      <c r="D44" s="51">
        <v>44627</v>
      </c>
      <c r="E44" s="49">
        <v>2</v>
      </c>
      <c r="F44" s="52" t="s">
        <v>22</v>
      </c>
      <c r="G44" s="53" t="s">
        <v>721</v>
      </c>
      <c r="H44" s="53" t="s">
        <v>24</v>
      </c>
      <c r="I44" s="53" t="s">
        <v>721</v>
      </c>
      <c r="J44" s="51">
        <v>44627</v>
      </c>
      <c r="K44" s="51">
        <v>44627</v>
      </c>
      <c r="L44" s="54">
        <f t="shared" si="0"/>
        <v>0</v>
      </c>
      <c r="M44" s="55" t="s">
        <v>2356</v>
      </c>
      <c r="N44" s="53" t="s">
        <v>26</v>
      </c>
      <c r="O44" s="53" t="s">
        <v>2357</v>
      </c>
      <c r="P44" s="53" t="s">
        <v>2358</v>
      </c>
      <c r="Q44" s="53" t="str">
        <f t="shared" si="1"/>
        <v>DENTRO DEL TIEMPO</v>
      </c>
      <c r="R44" s="56"/>
    </row>
    <row r="45" spans="1:18" ht="51" x14ac:dyDescent="0.25">
      <c r="A45" s="49">
        <v>39</v>
      </c>
      <c r="B45" s="50" t="s">
        <v>2359</v>
      </c>
      <c r="C45" s="51">
        <v>44624</v>
      </c>
      <c r="D45" s="51">
        <v>44624</v>
      </c>
      <c r="E45" s="49">
        <v>3</v>
      </c>
      <c r="F45" s="52" t="s">
        <v>22</v>
      </c>
      <c r="G45" s="53" t="s">
        <v>1256</v>
      </c>
      <c r="H45" s="53" t="s">
        <v>24</v>
      </c>
      <c r="I45" s="53" t="s">
        <v>1256</v>
      </c>
      <c r="J45" s="51">
        <v>44624</v>
      </c>
      <c r="K45" s="51">
        <v>44624</v>
      </c>
      <c r="L45" s="54">
        <f t="shared" si="0"/>
        <v>0</v>
      </c>
      <c r="M45" s="55" t="s">
        <v>2360</v>
      </c>
      <c r="N45" s="53" t="s">
        <v>26</v>
      </c>
      <c r="O45" s="53" t="s">
        <v>2361</v>
      </c>
      <c r="P45" s="53" t="s">
        <v>2362</v>
      </c>
      <c r="Q45" s="53" t="str">
        <f t="shared" si="1"/>
        <v>DENTRO DEL TIEMPO</v>
      </c>
      <c r="R45" s="56"/>
    </row>
    <row r="46" spans="1:18" ht="51" x14ac:dyDescent="0.25">
      <c r="A46" s="49">
        <v>40</v>
      </c>
      <c r="B46" s="50" t="s">
        <v>2363</v>
      </c>
      <c r="C46" s="51">
        <v>44624</v>
      </c>
      <c r="D46" s="51">
        <v>44627</v>
      </c>
      <c r="E46" s="49">
        <v>2</v>
      </c>
      <c r="F46" s="52" t="s">
        <v>22</v>
      </c>
      <c r="G46" s="53" t="s">
        <v>721</v>
      </c>
      <c r="H46" s="53" t="s">
        <v>24</v>
      </c>
      <c r="I46" s="53" t="s">
        <v>721</v>
      </c>
      <c r="J46" s="51">
        <v>44627</v>
      </c>
      <c r="K46" s="51">
        <v>44627</v>
      </c>
      <c r="L46" s="54">
        <f t="shared" si="0"/>
        <v>0</v>
      </c>
      <c r="M46" s="55" t="s">
        <v>2364</v>
      </c>
      <c r="N46" s="53" t="s">
        <v>26</v>
      </c>
      <c r="O46" s="53" t="s">
        <v>2365</v>
      </c>
      <c r="P46" s="53" t="s">
        <v>2366</v>
      </c>
      <c r="Q46" s="53" t="str">
        <f t="shared" si="1"/>
        <v>DENTRO DEL TIEMPO</v>
      </c>
      <c r="R46" s="56"/>
    </row>
    <row r="47" spans="1:18" ht="51" x14ac:dyDescent="0.25">
      <c r="A47" s="49">
        <v>41</v>
      </c>
      <c r="B47" s="50" t="s">
        <v>2367</v>
      </c>
      <c r="C47" s="51">
        <v>44624</v>
      </c>
      <c r="D47" s="51">
        <v>44627</v>
      </c>
      <c r="E47" s="49">
        <v>2</v>
      </c>
      <c r="F47" s="52" t="s">
        <v>22</v>
      </c>
      <c r="G47" s="53" t="s">
        <v>721</v>
      </c>
      <c r="H47" s="53" t="s">
        <v>24</v>
      </c>
      <c r="I47" s="53" t="s">
        <v>721</v>
      </c>
      <c r="J47" s="51">
        <v>44627</v>
      </c>
      <c r="K47" s="51">
        <v>44627</v>
      </c>
      <c r="L47" s="54">
        <f t="shared" si="0"/>
        <v>0</v>
      </c>
      <c r="M47" s="55" t="s">
        <v>2368</v>
      </c>
      <c r="N47" s="53" t="s">
        <v>26</v>
      </c>
      <c r="O47" s="53" t="s">
        <v>2365</v>
      </c>
      <c r="P47" s="53" t="s">
        <v>2366</v>
      </c>
      <c r="Q47" s="53" t="str">
        <f t="shared" si="1"/>
        <v>DENTRO DEL TIEMPO</v>
      </c>
      <c r="R47" s="56"/>
    </row>
    <row r="48" spans="1:18" ht="51" x14ac:dyDescent="0.25">
      <c r="A48" s="49">
        <v>42</v>
      </c>
      <c r="B48" s="50" t="s">
        <v>2369</v>
      </c>
      <c r="C48" s="51">
        <v>44624</v>
      </c>
      <c r="D48" s="51">
        <v>44627</v>
      </c>
      <c r="E48" s="49">
        <v>2</v>
      </c>
      <c r="F48" s="52" t="s">
        <v>22</v>
      </c>
      <c r="G48" s="53" t="s">
        <v>721</v>
      </c>
      <c r="H48" s="53" t="s">
        <v>24</v>
      </c>
      <c r="I48" s="53" t="s">
        <v>721</v>
      </c>
      <c r="J48" s="51">
        <v>44627</v>
      </c>
      <c r="K48" s="51">
        <v>44627</v>
      </c>
      <c r="L48" s="54">
        <f t="shared" si="0"/>
        <v>0</v>
      </c>
      <c r="M48" s="55" t="s">
        <v>2370</v>
      </c>
      <c r="N48" s="53" t="s">
        <v>26</v>
      </c>
      <c r="O48" s="53" t="s">
        <v>2320</v>
      </c>
      <c r="P48" s="53" t="s">
        <v>2371</v>
      </c>
      <c r="Q48" s="53" t="str">
        <f t="shared" si="1"/>
        <v>DENTRO DEL TIEMPO</v>
      </c>
      <c r="R48" s="56"/>
    </row>
    <row r="49" spans="1:18" ht="38.25" x14ac:dyDescent="0.25">
      <c r="A49" s="49">
        <v>43</v>
      </c>
      <c r="B49" s="50" t="s">
        <v>2372</v>
      </c>
      <c r="C49" s="51">
        <v>44624</v>
      </c>
      <c r="D49" s="51">
        <v>44627</v>
      </c>
      <c r="E49" s="49">
        <v>2</v>
      </c>
      <c r="F49" s="52" t="s">
        <v>22</v>
      </c>
      <c r="G49" s="53" t="s">
        <v>721</v>
      </c>
      <c r="H49" s="53" t="s">
        <v>24</v>
      </c>
      <c r="I49" s="53" t="s">
        <v>721</v>
      </c>
      <c r="J49" s="51">
        <v>44627</v>
      </c>
      <c r="K49" s="51">
        <v>44627</v>
      </c>
      <c r="L49" s="54">
        <f t="shared" si="0"/>
        <v>0</v>
      </c>
      <c r="M49" s="55" t="s">
        <v>2373</v>
      </c>
      <c r="N49" s="53" t="s">
        <v>26</v>
      </c>
      <c r="O49" s="53" t="s">
        <v>2330</v>
      </c>
      <c r="P49" s="53" t="s">
        <v>2374</v>
      </c>
      <c r="Q49" s="53" t="str">
        <f t="shared" si="1"/>
        <v>DENTRO DEL TIEMPO</v>
      </c>
      <c r="R49" s="56"/>
    </row>
    <row r="50" spans="1:18" ht="51" x14ac:dyDescent="0.25">
      <c r="A50" s="49">
        <v>44</v>
      </c>
      <c r="B50" s="50" t="s">
        <v>2375</v>
      </c>
      <c r="C50" s="51">
        <v>44624</v>
      </c>
      <c r="D50" s="51">
        <v>44627</v>
      </c>
      <c r="E50" s="49">
        <v>2</v>
      </c>
      <c r="F50" s="52" t="s">
        <v>22</v>
      </c>
      <c r="G50" s="53" t="s">
        <v>721</v>
      </c>
      <c r="H50" s="53" t="s">
        <v>24</v>
      </c>
      <c r="I50" s="53" t="s">
        <v>721</v>
      </c>
      <c r="J50" s="51">
        <v>44627</v>
      </c>
      <c r="K50" s="51">
        <v>44627</v>
      </c>
      <c r="L50" s="54">
        <f t="shared" si="0"/>
        <v>0</v>
      </c>
      <c r="M50" s="55" t="s">
        <v>2376</v>
      </c>
      <c r="N50" s="53" t="s">
        <v>26</v>
      </c>
      <c r="O50" s="53" t="s">
        <v>2333</v>
      </c>
      <c r="P50" s="53" t="s">
        <v>1033</v>
      </c>
      <c r="Q50" s="53" t="str">
        <f t="shared" si="1"/>
        <v>DENTRO DEL TIEMPO</v>
      </c>
      <c r="R50" s="56"/>
    </row>
    <row r="51" spans="1:18" ht="51" x14ac:dyDescent="0.25">
      <c r="A51" s="49">
        <v>45</v>
      </c>
      <c r="B51" s="50" t="s">
        <v>2377</v>
      </c>
      <c r="C51" s="51">
        <v>44624</v>
      </c>
      <c r="D51" s="51">
        <v>44627</v>
      </c>
      <c r="E51" s="49">
        <v>2</v>
      </c>
      <c r="F51" s="52" t="s">
        <v>22</v>
      </c>
      <c r="G51" s="53" t="s">
        <v>721</v>
      </c>
      <c r="H51" s="53" t="s">
        <v>24</v>
      </c>
      <c r="I51" s="53" t="s">
        <v>721</v>
      </c>
      <c r="J51" s="51">
        <v>44627</v>
      </c>
      <c r="K51" s="51">
        <v>44627</v>
      </c>
      <c r="L51" s="54">
        <f t="shared" si="0"/>
        <v>0</v>
      </c>
      <c r="M51" s="55" t="s">
        <v>2378</v>
      </c>
      <c r="N51" s="53" t="s">
        <v>26</v>
      </c>
      <c r="O51" s="53" t="s">
        <v>2333</v>
      </c>
      <c r="P51" s="53" t="s">
        <v>1033</v>
      </c>
      <c r="Q51" s="53" t="str">
        <f t="shared" si="1"/>
        <v>DENTRO DEL TIEMPO</v>
      </c>
      <c r="R51" s="56"/>
    </row>
    <row r="52" spans="1:18" ht="38.25" x14ac:dyDescent="0.25">
      <c r="A52" s="49">
        <v>46</v>
      </c>
      <c r="B52" s="50" t="s">
        <v>2379</v>
      </c>
      <c r="C52" s="51">
        <v>44624</v>
      </c>
      <c r="D52" s="51">
        <v>44627</v>
      </c>
      <c r="E52" s="49">
        <v>2</v>
      </c>
      <c r="F52" s="52" t="s">
        <v>22</v>
      </c>
      <c r="G52" s="53" t="s">
        <v>721</v>
      </c>
      <c r="H52" s="53" t="s">
        <v>24</v>
      </c>
      <c r="I52" s="53" t="s">
        <v>721</v>
      </c>
      <c r="J52" s="51">
        <v>44627</v>
      </c>
      <c r="K52" s="51">
        <v>44627</v>
      </c>
      <c r="L52" s="54">
        <f t="shared" si="0"/>
        <v>0</v>
      </c>
      <c r="M52" s="55" t="s">
        <v>2380</v>
      </c>
      <c r="N52" s="53" t="s">
        <v>26</v>
      </c>
      <c r="O52" s="53" t="s">
        <v>2381</v>
      </c>
      <c r="P52" s="53" t="s">
        <v>1033</v>
      </c>
      <c r="Q52" s="53" t="str">
        <f t="shared" si="1"/>
        <v>DENTRO DEL TIEMPO</v>
      </c>
      <c r="R52" s="56"/>
    </row>
    <row r="53" spans="1:18" ht="38.25" x14ac:dyDescent="0.25">
      <c r="A53" s="49">
        <v>47</v>
      </c>
      <c r="B53" s="50" t="s">
        <v>2382</v>
      </c>
      <c r="C53" s="51">
        <v>44624</v>
      </c>
      <c r="D53" s="51">
        <v>44627</v>
      </c>
      <c r="E53" s="49">
        <v>2</v>
      </c>
      <c r="F53" s="52" t="s">
        <v>22</v>
      </c>
      <c r="G53" s="53" t="s">
        <v>721</v>
      </c>
      <c r="H53" s="53" t="s">
        <v>24</v>
      </c>
      <c r="I53" s="53" t="s">
        <v>721</v>
      </c>
      <c r="J53" s="51">
        <v>44627</v>
      </c>
      <c r="K53" s="51">
        <v>44627</v>
      </c>
      <c r="L53" s="54">
        <f t="shared" si="0"/>
        <v>0</v>
      </c>
      <c r="M53" s="55" t="s">
        <v>2383</v>
      </c>
      <c r="N53" s="53" t="s">
        <v>26</v>
      </c>
      <c r="O53" s="53" t="s">
        <v>2381</v>
      </c>
      <c r="P53" s="53" t="s">
        <v>1033</v>
      </c>
      <c r="Q53" s="53" t="str">
        <f t="shared" si="1"/>
        <v>DENTRO DEL TIEMPO</v>
      </c>
      <c r="R53" s="56"/>
    </row>
    <row r="54" spans="1:18" ht="38.25" x14ac:dyDescent="0.25">
      <c r="A54" s="49">
        <v>48</v>
      </c>
      <c r="B54" s="50" t="s">
        <v>2384</v>
      </c>
      <c r="C54" s="51">
        <v>44624</v>
      </c>
      <c r="D54" s="51">
        <v>44627</v>
      </c>
      <c r="E54" s="49">
        <v>2</v>
      </c>
      <c r="F54" s="52" t="s">
        <v>22</v>
      </c>
      <c r="G54" s="53" t="s">
        <v>721</v>
      </c>
      <c r="H54" s="53" t="s">
        <v>24</v>
      </c>
      <c r="I54" s="53" t="s">
        <v>721</v>
      </c>
      <c r="J54" s="51">
        <v>44627</v>
      </c>
      <c r="K54" s="51">
        <v>44627</v>
      </c>
      <c r="L54" s="54">
        <f t="shared" si="0"/>
        <v>0</v>
      </c>
      <c r="M54" s="55" t="s">
        <v>2385</v>
      </c>
      <c r="N54" s="53" t="s">
        <v>26</v>
      </c>
      <c r="O54" s="53" t="s">
        <v>2381</v>
      </c>
      <c r="P54" s="53" t="s">
        <v>1033</v>
      </c>
      <c r="Q54" s="53" t="str">
        <f t="shared" si="1"/>
        <v>DENTRO DEL TIEMPO</v>
      </c>
      <c r="R54" s="56"/>
    </row>
    <row r="55" spans="1:18" ht="38.25" x14ac:dyDescent="0.25">
      <c r="A55" s="49">
        <v>49</v>
      </c>
      <c r="B55" s="50" t="s">
        <v>2386</v>
      </c>
      <c r="C55" s="51">
        <v>44624</v>
      </c>
      <c r="D55" s="51">
        <v>44627</v>
      </c>
      <c r="E55" s="49">
        <v>2</v>
      </c>
      <c r="F55" s="52" t="s">
        <v>22</v>
      </c>
      <c r="G55" s="53" t="s">
        <v>721</v>
      </c>
      <c r="H55" s="53" t="s">
        <v>24</v>
      </c>
      <c r="I55" s="53" t="s">
        <v>721</v>
      </c>
      <c r="J55" s="51">
        <v>44627</v>
      </c>
      <c r="K55" s="51">
        <v>44627</v>
      </c>
      <c r="L55" s="54">
        <f t="shared" si="0"/>
        <v>0</v>
      </c>
      <c r="M55" s="55" t="s">
        <v>2387</v>
      </c>
      <c r="N55" s="53" t="s">
        <v>26</v>
      </c>
      <c r="O55" s="53" t="s">
        <v>2381</v>
      </c>
      <c r="P55" s="53" t="s">
        <v>1033</v>
      </c>
      <c r="Q55" s="53" t="str">
        <f t="shared" si="1"/>
        <v>DENTRO DEL TIEMPO</v>
      </c>
      <c r="R55" s="56"/>
    </row>
    <row r="56" spans="1:18" ht="38.25" x14ac:dyDescent="0.25">
      <c r="A56" s="49">
        <v>50</v>
      </c>
      <c r="B56" s="50" t="s">
        <v>2388</v>
      </c>
      <c r="C56" s="51">
        <v>44624</v>
      </c>
      <c r="D56" s="51">
        <v>44628</v>
      </c>
      <c r="E56" s="49">
        <v>2</v>
      </c>
      <c r="F56" s="52" t="s">
        <v>22</v>
      </c>
      <c r="G56" s="53" t="s">
        <v>721</v>
      </c>
      <c r="H56" s="53" t="s">
        <v>24</v>
      </c>
      <c r="I56" s="53" t="s">
        <v>721</v>
      </c>
      <c r="J56" s="51">
        <v>44628</v>
      </c>
      <c r="K56" s="51">
        <v>44628</v>
      </c>
      <c r="L56" s="54">
        <f t="shared" si="0"/>
        <v>0</v>
      </c>
      <c r="M56" s="55" t="s">
        <v>2389</v>
      </c>
      <c r="N56" s="53" t="s">
        <v>26</v>
      </c>
      <c r="O56" s="53" t="s">
        <v>2381</v>
      </c>
      <c r="P56" s="53" t="s">
        <v>1033</v>
      </c>
      <c r="Q56" s="53" t="str">
        <f t="shared" si="1"/>
        <v>DENTRO DEL TIEMPO</v>
      </c>
      <c r="R56" s="56"/>
    </row>
    <row r="57" spans="1:18" ht="51" x14ac:dyDescent="0.25">
      <c r="A57" s="49">
        <v>51</v>
      </c>
      <c r="B57" s="50" t="s">
        <v>2390</v>
      </c>
      <c r="C57" s="51">
        <v>44624</v>
      </c>
      <c r="D57" s="51">
        <v>44628</v>
      </c>
      <c r="E57" s="49">
        <v>2</v>
      </c>
      <c r="F57" s="52" t="s">
        <v>22</v>
      </c>
      <c r="G57" s="53" t="s">
        <v>721</v>
      </c>
      <c r="H57" s="53" t="s">
        <v>24</v>
      </c>
      <c r="I57" s="53" t="s">
        <v>721</v>
      </c>
      <c r="J57" s="51">
        <v>44628</v>
      </c>
      <c r="K57" s="51">
        <v>44628</v>
      </c>
      <c r="L57" s="54">
        <f t="shared" si="0"/>
        <v>0</v>
      </c>
      <c r="M57" s="55" t="s">
        <v>2391</v>
      </c>
      <c r="N57" s="53" t="s">
        <v>26</v>
      </c>
      <c r="O57" s="53" t="s">
        <v>2392</v>
      </c>
      <c r="P57" s="53" t="s">
        <v>2393</v>
      </c>
      <c r="Q57" s="53" t="str">
        <f t="shared" si="1"/>
        <v>DENTRO DEL TIEMPO</v>
      </c>
      <c r="R57" s="56"/>
    </row>
    <row r="58" spans="1:18" ht="51" x14ac:dyDescent="0.25">
      <c r="A58" s="49">
        <v>52</v>
      </c>
      <c r="B58" s="50" t="s">
        <v>2394</v>
      </c>
      <c r="C58" s="51">
        <v>44624</v>
      </c>
      <c r="D58" s="51">
        <v>44628</v>
      </c>
      <c r="E58" s="49">
        <v>2</v>
      </c>
      <c r="F58" s="52" t="s">
        <v>22</v>
      </c>
      <c r="G58" s="53" t="s">
        <v>721</v>
      </c>
      <c r="H58" s="53" t="s">
        <v>24</v>
      </c>
      <c r="I58" s="53" t="s">
        <v>721</v>
      </c>
      <c r="J58" s="51">
        <v>44628</v>
      </c>
      <c r="K58" s="51">
        <v>44628</v>
      </c>
      <c r="L58" s="54">
        <f t="shared" si="0"/>
        <v>0</v>
      </c>
      <c r="M58" s="55" t="s">
        <v>2395</v>
      </c>
      <c r="N58" s="53" t="s">
        <v>26</v>
      </c>
      <c r="O58" s="53" t="s">
        <v>2396</v>
      </c>
      <c r="P58" s="53" t="s">
        <v>1315</v>
      </c>
      <c r="Q58" s="53" t="str">
        <f t="shared" si="1"/>
        <v>DENTRO DEL TIEMPO</v>
      </c>
      <c r="R58" s="56"/>
    </row>
    <row r="59" spans="1:18" ht="51" x14ac:dyDescent="0.25">
      <c r="A59" s="49">
        <v>53</v>
      </c>
      <c r="B59" s="50" t="s">
        <v>2397</v>
      </c>
      <c r="C59" s="51">
        <v>44624</v>
      </c>
      <c r="D59" s="51">
        <v>44628</v>
      </c>
      <c r="E59" s="49">
        <v>2</v>
      </c>
      <c r="F59" s="52" t="s">
        <v>22</v>
      </c>
      <c r="G59" s="53" t="s">
        <v>721</v>
      </c>
      <c r="H59" s="53" t="s">
        <v>24</v>
      </c>
      <c r="I59" s="53" t="s">
        <v>721</v>
      </c>
      <c r="J59" s="51">
        <v>44628</v>
      </c>
      <c r="K59" s="51">
        <v>44628</v>
      </c>
      <c r="L59" s="54">
        <f t="shared" si="0"/>
        <v>0</v>
      </c>
      <c r="M59" s="55" t="s">
        <v>2398</v>
      </c>
      <c r="N59" s="53" t="s">
        <v>26</v>
      </c>
      <c r="O59" s="53" t="s">
        <v>2396</v>
      </c>
      <c r="P59" s="53" t="s">
        <v>1315</v>
      </c>
      <c r="Q59" s="53" t="str">
        <f t="shared" si="1"/>
        <v>DENTRO DEL TIEMPO</v>
      </c>
      <c r="R59" s="56"/>
    </row>
    <row r="60" spans="1:18" ht="51" x14ac:dyDescent="0.25">
      <c r="A60" s="49">
        <v>54</v>
      </c>
      <c r="B60" s="50" t="s">
        <v>2399</v>
      </c>
      <c r="C60" s="51">
        <v>44624</v>
      </c>
      <c r="D60" s="51">
        <v>44628</v>
      </c>
      <c r="E60" s="49">
        <v>2</v>
      </c>
      <c r="F60" s="52" t="s">
        <v>22</v>
      </c>
      <c r="G60" s="53" t="s">
        <v>721</v>
      </c>
      <c r="H60" s="53" t="s">
        <v>24</v>
      </c>
      <c r="I60" s="53" t="s">
        <v>721</v>
      </c>
      <c r="J60" s="51">
        <v>44628</v>
      </c>
      <c r="K60" s="51">
        <v>44628</v>
      </c>
      <c r="L60" s="54">
        <f t="shared" si="0"/>
        <v>0</v>
      </c>
      <c r="M60" s="55" t="s">
        <v>2400</v>
      </c>
      <c r="N60" s="53" t="s">
        <v>26</v>
      </c>
      <c r="O60" s="53" t="s">
        <v>2396</v>
      </c>
      <c r="P60" s="53" t="s">
        <v>1315</v>
      </c>
      <c r="Q60" s="53" t="str">
        <f t="shared" si="1"/>
        <v>DENTRO DEL TIEMPO</v>
      </c>
      <c r="R60" s="56"/>
    </row>
    <row r="61" spans="1:18" ht="51" x14ac:dyDescent="0.25">
      <c r="A61" s="49">
        <v>55</v>
      </c>
      <c r="B61" s="50" t="s">
        <v>2401</v>
      </c>
      <c r="C61" s="51">
        <v>44624</v>
      </c>
      <c r="D61" s="51">
        <v>44628</v>
      </c>
      <c r="E61" s="49">
        <v>2</v>
      </c>
      <c r="F61" s="52" t="s">
        <v>22</v>
      </c>
      <c r="G61" s="53" t="s">
        <v>721</v>
      </c>
      <c r="H61" s="53" t="s">
        <v>24</v>
      </c>
      <c r="I61" s="53" t="s">
        <v>721</v>
      </c>
      <c r="J61" s="51">
        <v>44628</v>
      </c>
      <c r="K61" s="51">
        <v>44628</v>
      </c>
      <c r="L61" s="54">
        <f t="shared" si="0"/>
        <v>0</v>
      </c>
      <c r="M61" s="55" t="s">
        <v>2402</v>
      </c>
      <c r="N61" s="53" t="s">
        <v>26</v>
      </c>
      <c r="O61" s="53" t="s">
        <v>2396</v>
      </c>
      <c r="P61" s="53" t="s">
        <v>1315</v>
      </c>
      <c r="Q61" s="53" t="str">
        <f t="shared" si="1"/>
        <v>DENTRO DEL TIEMPO</v>
      </c>
      <c r="R61" s="56"/>
    </row>
    <row r="62" spans="1:18" ht="51" x14ac:dyDescent="0.25">
      <c r="A62" s="49">
        <v>56</v>
      </c>
      <c r="B62" s="50" t="s">
        <v>2403</v>
      </c>
      <c r="C62" s="51">
        <v>44624</v>
      </c>
      <c r="D62" s="51">
        <v>44628</v>
      </c>
      <c r="E62" s="49">
        <v>2</v>
      </c>
      <c r="F62" s="52" t="s">
        <v>22</v>
      </c>
      <c r="G62" s="53" t="s">
        <v>721</v>
      </c>
      <c r="H62" s="53" t="s">
        <v>24</v>
      </c>
      <c r="I62" s="53" t="s">
        <v>721</v>
      </c>
      <c r="J62" s="51">
        <v>44628</v>
      </c>
      <c r="K62" s="51">
        <v>44628</v>
      </c>
      <c r="L62" s="54">
        <f t="shared" si="0"/>
        <v>0</v>
      </c>
      <c r="M62" s="55" t="s">
        <v>2404</v>
      </c>
      <c r="N62" s="53" t="s">
        <v>26</v>
      </c>
      <c r="O62" s="53" t="s">
        <v>2396</v>
      </c>
      <c r="P62" s="53" t="s">
        <v>1315</v>
      </c>
      <c r="Q62" s="53" t="str">
        <f t="shared" si="1"/>
        <v>DENTRO DEL TIEMPO</v>
      </c>
      <c r="R62" s="56"/>
    </row>
    <row r="63" spans="1:18" ht="51" x14ac:dyDescent="0.25">
      <c r="A63" s="49">
        <v>57</v>
      </c>
      <c r="B63" s="50" t="s">
        <v>2405</v>
      </c>
      <c r="C63" s="51">
        <v>44624</v>
      </c>
      <c r="D63" s="51">
        <v>44628</v>
      </c>
      <c r="E63" s="49">
        <v>2</v>
      </c>
      <c r="F63" s="52" t="s">
        <v>22</v>
      </c>
      <c r="G63" s="53" t="s">
        <v>721</v>
      </c>
      <c r="H63" s="53" t="s">
        <v>24</v>
      </c>
      <c r="I63" s="53" t="s">
        <v>721</v>
      </c>
      <c r="J63" s="51">
        <v>44628</v>
      </c>
      <c r="K63" s="51">
        <v>44628</v>
      </c>
      <c r="L63" s="54">
        <f t="shared" si="0"/>
        <v>0</v>
      </c>
      <c r="M63" s="55" t="s">
        <v>2406</v>
      </c>
      <c r="N63" s="53" t="s">
        <v>26</v>
      </c>
      <c r="O63" s="53" t="s">
        <v>2407</v>
      </c>
      <c r="P63" s="53" t="s">
        <v>2408</v>
      </c>
      <c r="Q63" s="53" t="str">
        <f t="shared" si="1"/>
        <v>DENTRO DEL TIEMPO</v>
      </c>
      <c r="R63" s="56"/>
    </row>
    <row r="64" spans="1:18" ht="38.25" x14ac:dyDescent="0.25">
      <c r="A64" s="49">
        <v>58</v>
      </c>
      <c r="B64" s="50" t="s">
        <v>2409</v>
      </c>
      <c r="C64" s="51">
        <v>44627</v>
      </c>
      <c r="D64" s="51">
        <v>44628</v>
      </c>
      <c r="E64" s="49">
        <v>2</v>
      </c>
      <c r="F64" s="52" t="s">
        <v>22</v>
      </c>
      <c r="G64" s="53" t="s">
        <v>721</v>
      </c>
      <c r="H64" s="53" t="s">
        <v>24</v>
      </c>
      <c r="I64" s="53" t="s">
        <v>721</v>
      </c>
      <c r="J64" s="51">
        <v>44628</v>
      </c>
      <c r="K64" s="51">
        <v>44628</v>
      </c>
      <c r="L64" s="54">
        <f t="shared" si="0"/>
        <v>0</v>
      </c>
      <c r="M64" s="55" t="s">
        <v>2410</v>
      </c>
      <c r="N64" s="53" t="s">
        <v>26</v>
      </c>
      <c r="O64" s="53" t="s">
        <v>2411</v>
      </c>
      <c r="P64" s="53" t="s">
        <v>1619</v>
      </c>
      <c r="Q64" s="53" t="str">
        <f t="shared" si="1"/>
        <v>DENTRO DEL TIEMPO</v>
      </c>
      <c r="R64" s="56"/>
    </row>
    <row r="65" spans="1:18" ht="51" x14ac:dyDescent="0.25">
      <c r="A65" s="49">
        <v>59</v>
      </c>
      <c r="B65" s="50" t="s">
        <v>2412</v>
      </c>
      <c r="C65" s="51">
        <v>44627</v>
      </c>
      <c r="D65" s="51">
        <v>44628</v>
      </c>
      <c r="E65" s="49">
        <v>2</v>
      </c>
      <c r="F65" s="52" t="s">
        <v>22</v>
      </c>
      <c r="G65" s="53" t="s">
        <v>721</v>
      </c>
      <c r="H65" s="53" t="s">
        <v>24</v>
      </c>
      <c r="I65" s="53" t="s">
        <v>721</v>
      </c>
      <c r="J65" s="51">
        <v>44628</v>
      </c>
      <c r="K65" s="51">
        <v>44628</v>
      </c>
      <c r="L65" s="54">
        <f t="shared" si="0"/>
        <v>0</v>
      </c>
      <c r="M65" s="55" t="s">
        <v>2413</v>
      </c>
      <c r="N65" s="53" t="s">
        <v>26</v>
      </c>
      <c r="O65" s="53" t="s">
        <v>2414</v>
      </c>
      <c r="P65" s="53" t="s">
        <v>2415</v>
      </c>
      <c r="Q65" s="53" t="str">
        <f t="shared" si="1"/>
        <v>DENTRO DEL TIEMPO</v>
      </c>
      <c r="R65" s="56"/>
    </row>
    <row r="66" spans="1:18" ht="51" x14ac:dyDescent="0.25">
      <c r="A66" s="49">
        <v>60</v>
      </c>
      <c r="B66" s="50" t="s">
        <v>2416</v>
      </c>
      <c r="C66" s="51">
        <v>44627</v>
      </c>
      <c r="D66" s="51">
        <v>44628</v>
      </c>
      <c r="E66" s="49">
        <v>2</v>
      </c>
      <c r="F66" s="52" t="s">
        <v>22</v>
      </c>
      <c r="G66" s="53" t="s">
        <v>721</v>
      </c>
      <c r="H66" s="53" t="s">
        <v>24</v>
      </c>
      <c r="I66" s="53" t="s">
        <v>721</v>
      </c>
      <c r="J66" s="51">
        <v>44628</v>
      </c>
      <c r="K66" s="51">
        <v>44628</v>
      </c>
      <c r="L66" s="54">
        <f t="shared" si="0"/>
        <v>0</v>
      </c>
      <c r="M66" s="55" t="s">
        <v>2417</v>
      </c>
      <c r="N66" s="53" t="s">
        <v>26</v>
      </c>
      <c r="O66" s="53" t="s">
        <v>2418</v>
      </c>
      <c r="P66" s="53" t="s">
        <v>1797</v>
      </c>
      <c r="Q66" s="53" t="str">
        <f t="shared" si="1"/>
        <v>DENTRO DEL TIEMPO</v>
      </c>
      <c r="R66" s="56"/>
    </row>
    <row r="67" spans="1:18" ht="51" x14ac:dyDescent="0.25">
      <c r="A67" s="49">
        <v>61</v>
      </c>
      <c r="B67" s="50" t="s">
        <v>2419</v>
      </c>
      <c r="C67" s="51">
        <v>44627</v>
      </c>
      <c r="D67" s="51">
        <v>44628</v>
      </c>
      <c r="E67" s="49">
        <v>2</v>
      </c>
      <c r="F67" s="52" t="s">
        <v>22</v>
      </c>
      <c r="G67" s="53" t="s">
        <v>721</v>
      </c>
      <c r="H67" s="53" t="s">
        <v>24</v>
      </c>
      <c r="I67" s="53" t="s">
        <v>721</v>
      </c>
      <c r="J67" s="51">
        <v>44628</v>
      </c>
      <c r="K67" s="51">
        <v>44628</v>
      </c>
      <c r="L67" s="54">
        <f t="shared" si="0"/>
        <v>0</v>
      </c>
      <c r="M67" s="55" t="s">
        <v>2420</v>
      </c>
      <c r="N67" s="53" t="s">
        <v>26</v>
      </c>
      <c r="O67" s="53" t="s">
        <v>2396</v>
      </c>
      <c r="P67" s="53" t="s">
        <v>1315</v>
      </c>
      <c r="Q67" s="53" t="str">
        <f t="shared" si="1"/>
        <v>DENTRO DEL TIEMPO</v>
      </c>
      <c r="R67" s="56"/>
    </row>
    <row r="68" spans="1:18" ht="51" x14ac:dyDescent="0.25">
      <c r="A68" s="49">
        <v>62</v>
      </c>
      <c r="B68" s="50" t="s">
        <v>2421</v>
      </c>
      <c r="C68" s="51">
        <v>44627</v>
      </c>
      <c r="D68" s="51">
        <v>44629</v>
      </c>
      <c r="E68" s="49">
        <v>2</v>
      </c>
      <c r="F68" s="52" t="s">
        <v>22</v>
      </c>
      <c r="G68" s="53" t="s">
        <v>721</v>
      </c>
      <c r="H68" s="53" t="s">
        <v>24</v>
      </c>
      <c r="I68" s="53" t="s">
        <v>721</v>
      </c>
      <c r="J68" s="51">
        <v>44629</v>
      </c>
      <c r="K68" s="51">
        <v>44629</v>
      </c>
      <c r="L68" s="54">
        <f t="shared" si="0"/>
        <v>0</v>
      </c>
      <c r="M68" s="55" t="s">
        <v>2422</v>
      </c>
      <c r="N68" s="53" t="s">
        <v>26</v>
      </c>
      <c r="O68" s="53" t="s">
        <v>2396</v>
      </c>
      <c r="P68" s="53" t="s">
        <v>1315</v>
      </c>
      <c r="Q68" s="53" t="str">
        <f t="shared" si="1"/>
        <v>DENTRO DEL TIEMPO</v>
      </c>
      <c r="R68" s="56"/>
    </row>
    <row r="69" spans="1:18" ht="51" x14ac:dyDescent="0.25">
      <c r="A69" s="49">
        <v>63</v>
      </c>
      <c r="B69" s="50" t="s">
        <v>2423</v>
      </c>
      <c r="C69" s="51">
        <v>44627</v>
      </c>
      <c r="D69" s="51">
        <v>44629</v>
      </c>
      <c r="E69" s="49">
        <v>2</v>
      </c>
      <c r="F69" s="52" t="s">
        <v>22</v>
      </c>
      <c r="G69" s="53" t="s">
        <v>721</v>
      </c>
      <c r="H69" s="53" t="s">
        <v>24</v>
      </c>
      <c r="I69" s="53" t="s">
        <v>721</v>
      </c>
      <c r="J69" s="51">
        <v>44629</v>
      </c>
      <c r="K69" s="51">
        <v>44629</v>
      </c>
      <c r="L69" s="54">
        <f t="shared" si="0"/>
        <v>0</v>
      </c>
      <c r="M69" s="55" t="s">
        <v>2424</v>
      </c>
      <c r="N69" s="53" t="s">
        <v>26</v>
      </c>
      <c r="O69" s="53" t="s">
        <v>2396</v>
      </c>
      <c r="P69" s="53" t="s">
        <v>1315</v>
      </c>
      <c r="Q69" s="53" t="str">
        <f t="shared" si="1"/>
        <v>DENTRO DEL TIEMPO</v>
      </c>
      <c r="R69" s="56"/>
    </row>
    <row r="70" spans="1:18" ht="51" x14ac:dyDescent="0.25">
      <c r="A70" s="49">
        <v>64</v>
      </c>
      <c r="B70" s="50" t="s">
        <v>2425</v>
      </c>
      <c r="C70" s="51">
        <v>44627</v>
      </c>
      <c r="D70" s="51">
        <v>44629</v>
      </c>
      <c r="E70" s="49">
        <v>2</v>
      </c>
      <c r="F70" s="52" t="s">
        <v>22</v>
      </c>
      <c r="G70" s="53" t="s">
        <v>721</v>
      </c>
      <c r="H70" s="53" t="s">
        <v>24</v>
      </c>
      <c r="I70" s="53" t="s">
        <v>721</v>
      </c>
      <c r="J70" s="51">
        <v>44629</v>
      </c>
      <c r="K70" s="51">
        <v>44629</v>
      </c>
      <c r="L70" s="54">
        <f t="shared" si="0"/>
        <v>0</v>
      </c>
      <c r="M70" s="55" t="s">
        <v>2426</v>
      </c>
      <c r="N70" s="53" t="s">
        <v>26</v>
      </c>
      <c r="O70" s="53" t="s">
        <v>2396</v>
      </c>
      <c r="P70" s="53" t="s">
        <v>1315</v>
      </c>
      <c r="Q70" s="53" t="str">
        <f t="shared" si="1"/>
        <v>DENTRO DEL TIEMPO</v>
      </c>
      <c r="R70" s="56"/>
    </row>
    <row r="71" spans="1:18" ht="51" x14ac:dyDescent="0.25">
      <c r="A71" s="49">
        <v>65</v>
      </c>
      <c r="B71" s="50" t="s">
        <v>2427</v>
      </c>
      <c r="C71" s="51">
        <v>44627</v>
      </c>
      <c r="D71" s="51">
        <v>44629</v>
      </c>
      <c r="E71" s="49">
        <v>2</v>
      </c>
      <c r="F71" s="52" t="s">
        <v>22</v>
      </c>
      <c r="G71" s="53" t="s">
        <v>721</v>
      </c>
      <c r="H71" s="53" t="s">
        <v>24</v>
      </c>
      <c r="I71" s="53" t="s">
        <v>721</v>
      </c>
      <c r="J71" s="51">
        <v>44629</v>
      </c>
      <c r="K71" s="51">
        <v>44629</v>
      </c>
      <c r="L71" s="54">
        <f t="shared" si="0"/>
        <v>0</v>
      </c>
      <c r="M71" s="55" t="s">
        <v>2428</v>
      </c>
      <c r="N71" s="53" t="s">
        <v>26</v>
      </c>
      <c r="O71" s="53" t="s">
        <v>2396</v>
      </c>
      <c r="P71" s="53" t="s">
        <v>1315</v>
      </c>
      <c r="Q71" s="53" t="str">
        <f t="shared" si="1"/>
        <v>DENTRO DEL TIEMPO</v>
      </c>
      <c r="R71" s="56"/>
    </row>
    <row r="72" spans="1:18" ht="38.25" x14ac:dyDescent="0.25">
      <c r="A72" s="49">
        <v>66</v>
      </c>
      <c r="B72" s="50" t="s">
        <v>2429</v>
      </c>
      <c r="C72" s="51">
        <v>44627</v>
      </c>
      <c r="D72" s="51">
        <v>44629</v>
      </c>
      <c r="E72" s="49">
        <v>2</v>
      </c>
      <c r="F72" s="52" t="s">
        <v>22</v>
      </c>
      <c r="G72" s="53" t="s">
        <v>721</v>
      </c>
      <c r="H72" s="53" t="s">
        <v>24</v>
      </c>
      <c r="I72" s="53" t="s">
        <v>721</v>
      </c>
      <c r="J72" s="51">
        <v>44629</v>
      </c>
      <c r="K72" s="51">
        <v>44629</v>
      </c>
      <c r="L72" s="54">
        <f t="shared" ref="L72:L135" si="2">+NETWORKDAYS(D72,K72,$R$7:$R$10)-1</f>
        <v>0</v>
      </c>
      <c r="M72" s="55" t="s">
        <v>2430</v>
      </c>
      <c r="N72" s="53" t="s">
        <v>26</v>
      </c>
      <c r="O72" s="53" t="s">
        <v>2411</v>
      </c>
      <c r="P72" s="53" t="s">
        <v>2431</v>
      </c>
      <c r="Q72" s="53" t="str">
        <f t="shared" ref="Q72:Q135" si="3">IF(L72&gt;15,"FUERA DE TIEMPO","DENTRO DEL TIEMPO")</f>
        <v>DENTRO DEL TIEMPO</v>
      </c>
      <c r="R72" s="56"/>
    </row>
    <row r="73" spans="1:18" ht="51" x14ac:dyDescent="0.25">
      <c r="A73" s="49">
        <v>67</v>
      </c>
      <c r="B73" s="50" t="s">
        <v>2432</v>
      </c>
      <c r="C73" s="51">
        <v>44627</v>
      </c>
      <c r="D73" s="51">
        <v>44629</v>
      </c>
      <c r="E73" s="49">
        <v>2</v>
      </c>
      <c r="F73" s="52" t="s">
        <v>22</v>
      </c>
      <c r="G73" s="53" t="s">
        <v>721</v>
      </c>
      <c r="H73" s="53" t="s">
        <v>24</v>
      </c>
      <c r="I73" s="53" t="s">
        <v>721</v>
      </c>
      <c r="J73" s="51">
        <v>44629</v>
      </c>
      <c r="K73" s="51">
        <v>44629</v>
      </c>
      <c r="L73" s="54">
        <f t="shared" si="2"/>
        <v>0</v>
      </c>
      <c r="M73" s="55" t="s">
        <v>2433</v>
      </c>
      <c r="N73" s="53" t="s">
        <v>26</v>
      </c>
      <c r="O73" s="53" t="s">
        <v>2434</v>
      </c>
      <c r="P73" s="53" t="s">
        <v>2435</v>
      </c>
      <c r="Q73" s="53" t="str">
        <f t="shared" si="3"/>
        <v>DENTRO DEL TIEMPO</v>
      </c>
      <c r="R73" s="56"/>
    </row>
    <row r="74" spans="1:18" ht="38.25" x14ac:dyDescent="0.25">
      <c r="A74" s="49">
        <v>68</v>
      </c>
      <c r="B74" s="50" t="s">
        <v>2436</v>
      </c>
      <c r="C74" s="51">
        <v>44627</v>
      </c>
      <c r="D74" s="51">
        <v>44630</v>
      </c>
      <c r="E74" s="49">
        <v>2</v>
      </c>
      <c r="F74" s="52" t="s">
        <v>22</v>
      </c>
      <c r="G74" s="53" t="s">
        <v>721</v>
      </c>
      <c r="H74" s="53" t="s">
        <v>24</v>
      </c>
      <c r="I74" s="53" t="s">
        <v>721</v>
      </c>
      <c r="J74" s="51">
        <v>44630</v>
      </c>
      <c r="K74" s="51">
        <v>44630</v>
      </c>
      <c r="L74" s="54">
        <f t="shared" si="2"/>
        <v>0</v>
      </c>
      <c r="M74" s="55" t="s">
        <v>2437</v>
      </c>
      <c r="N74" s="53" t="s">
        <v>26</v>
      </c>
      <c r="O74" s="53" t="s">
        <v>2411</v>
      </c>
      <c r="P74" s="53" t="s">
        <v>2438</v>
      </c>
      <c r="Q74" s="53" t="str">
        <f t="shared" si="3"/>
        <v>DENTRO DEL TIEMPO</v>
      </c>
      <c r="R74" s="56"/>
    </row>
    <row r="75" spans="1:18" ht="51" x14ac:dyDescent="0.25">
      <c r="A75" s="49">
        <v>69</v>
      </c>
      <c r="B75" s="50" t="s">
        <v>2439</v>
      </c>
      <c r="C75" s="51">
        <v>44627</v>
      </c>
      <c r="D75" s="51">
        <v>44629</v>
      </c>
      <c r="E75" s="49">
        <v>2</v>
      </c>
      <c r="F75" s="52" t="s">
        <v>22</v>
      </c>
      <c r="G75" s="53" t="s">
        <v>721</v>
      </c>
      <c r="H75" s="53" t="s">
        <v>24</v>
      </c>
      <c r="I75" s="53" t="s">
        <v>721</v>
      </c>
      <c r="J75" s="51">
        <v>44629</v>
      </c>
      <c r="K75" s="51">
        <v>44629</v>
      </c>
      <c r="L75" s="54">
        <f t="shared" si="2"/>
        <v>0</v>
      </c>
      <c r="M75" s="55" t="s">
        <v>2440</v>
      </c>
      <c r="N75" s="53" t="s">
        <v>26</v>
      </c>
      <c r="O75" s="53" t="s">
        <v>2441</v>
      </c>
      <c r="P75" s="53" t="s">
        <v>1716</v>
      </c>
      <c r="Q75" s="53" t="str">
        <f t="shared" si="3"/>
        <v>DENTRO DEL TIEMPO</v>
      </c>
      <c r="R75" s="56"/>
    </row>
    <row r="76" spans="1:18" ht="51" x14ac:dyDescent="0.25">
      <c r="A76" s="49">
        <v>70</v>
      </c>
      <c r="B76" s="50" t="s">
        <v>2442</v>
      </c>
      <c r="C76" s="51">
        <v>44627</v>
      </c>
      <c r="D76" s="51">
        <v>44629</v>
      </c>
      <c r="E76" s="49">
        <v>2</v>
      </c>
      <c r="F76" s="52" t="s">
        <v>22</v>
      </c>
      <c r="G76" s="53" t="s">
        <v>721</v>
      </c>
      <c r="H76" s="53" t="s">
        <v>24</v>
      </c>
      <c r="I76" s="53" t="s">
        <v>721</v>
      </c>
      <c r="J76" s="51">
        <v>44629</v>
      </c>
      <c r="K76" s="51">
        <v>44629</v>
      </c>
      <c r="L76" s="54">
        <f t="shared" si="2"/>
        <v>0</v>
      </c>
      <c r="M76" s="55" t="s">
        <v>2443</v>
      </c>
      <c r="N76" s="53" t="s">
        <v>26</v>
      </c>
      <c r="O76" s="53" t="s">
        <v>2444</v>
      </c>
      <c r="P76" s="53" t="s">
        <v>2445</v>
      </c>
      <c r="Q76" s="53" t="str">
        <f t="shared" si="3"/>
        <v>DENTRO DEL TIEMPO</v>
      </c>
      <c r="R76" s="56"/>
    </row>
    <row r="77" spans="1:18" ht="38.25" x14ac:dyDescent="0.25">
      <c r="A77" s="49">
        <v>71</v>
      </c>
      <c r="B77" s="50" t="s">
        <v>2446</v>
      </c>
      <c r="C77" s="51">
        <v>44627</v>
      </c>
      <c r="D77" s="51">
        <v>44629</v>
      </c>
      <c r="E77" s="49">
        <v>2</v>
      </c>
      <c r="F77" s="52" t="s">
        <v>22</v>
      </c>
      <c r="G77" s="53" t="s">
        <v>721</v>
      </c>
      <c r="H77" s="53" t="s">
        <v>24</v>
      </c>
      <c r="I77" s="53" t="s">
        <v>721</v>
      </c>
      <c r="J77" s="51">
        <v>44629</v>
      </c>
      <c r="K77" s="51">
        <v>44629</v>
      </c>
      <c r="L77" s="54">
        <f t="shared" si="2"/>
        <v>0</v>
      </c>
      <c r="M77" s="55" t="s">
        <v>2447</v>
      </c>
      <c r="N77" s="53" t="s">
        <v>26</v>
      </c>
      <c r="O77" s="53" t="s">
        <v>2448</v>
      </c>
      <c r="P77" s="53" t="s">
        <v>2449</v>
      </c>
      <c r="Q77" s="53" t="str">
        <f t="shared" si="3"/>
        <v>DENTRO DEL TIEMPO</v>
      </c>
      <c r="R77" s="56"/>
    </row>
    <row r="78" spans="1:18" ht="51" x14ac:dyDescent="0.25">
      <c r="A78" s="49">
        <v>72</v>
      </c>
      <c r="B78" s="50" t="s">
        <v>2450</v>
      </c>
      <c r="C78" s="51">
        <v>44627</v>
      </c>
      <c r="D78" s="51">
        <v>44629</v>
      </c>
      <c r="E78" s="49">
        <v>2</v>
      </c>
      <c r="F78" s="52" t="s">
        <v>22</v>
      </c>
      <c r="G78" s="53" t="s">
        <v>721</v>
      </c>
      <c r="H78" s="53" t="s">
        <v>24</v>
      </c>
      <c r="I78" s="53" t="s">
        <v>721</v>
      </c>
      <c r="J78" s="51">
        <v>44629</v>
      </c>
      <c r="K78" s="51">
        <v>44629</v>
      </c>
      <c r="L78" s="54">
        <f t="shared" si="2"/>
        <v>0</v>
      </c>
      <c r="M78" s="55" t="s">
        <v>2451</v>
      </c>
      <c r="N78" s="53" t="s">
        <v>26</v>
      </c>
      <c r="O78" s="53" t="s">
        <v>2452</v>
      </c>
      <c r="P78" s="53" t="s">
        <v>2453</v>
      </c>
      <c r="Q78" s="53" t="str">
        <f t="shared" si="3"/>
        <v>DENTRO DEL TIEMPO</v>
      </c>
      <c r="R78" s="56"/>
    </row>
    <row r="79" spans="1:18" ht="51" x14ac:dyDescent="0.25">
      <c r="A79" s="49">
        <v>73</v>
      </c>
      <c r="B79" s="50" t="s">
        <v>2454</v>
      </c>
      <c r="C79" s="51">
        <v>44627</v>
      </c>
      <c r="D79" s="51">
        <v>44629</v>
      </c>
      <c r="E79" s="49">
        <v>2</v>
      </c>
      <c r="F79" s="52" t="s">
        <v>22</v>
      </c>
      <c r="G79" s="53" t="s">
        <v>721</v>
      </c>
      <c r="H79" s="53" t="s">
        <v>24</v>
      </c>
      <c r="I79" s="53" t="s">
        <v>721</v>
      </c>
      <c r="J79" s="51">
        <v>44629</v>
      </c>
      <c r="K79" s="51">
        <v>44629</v>
      </c>
      <c r="L79" s="54">
        <f t="shared" si="2"/>
        <v>0</v>
      </c>
      <c r="M79" s="55" t="s">
        <v>2455</v>
      </c>
      <c r="N79" s="53" t="s">
        <v>26</v>
      </c>
      <c r="O79" s="53" t="s">
        <v>2456</v>
      </c>
      <c r="P79" s="53" t="s">
        <v>1605</v>
      </c>
      <c r="Q79" s="53" t="str">
        <f t="shared" si="3"/>
        <v>DENTRO DEL TIEMPO</v>
      </c>
      <c r="R79" s="56"/>
    </row>
    <row r="80" spans="1:18" ht="38.25" x14ac:dyDescent="0.25">
      <c r="A80" s="49">
        <v>74</v>
      </c>
      <c r="B80" s="50" t="s">
        <v>2457</v>
      </c>
      <c r="C80" s="51">
        <v>44627</v>
      </c>
      <c r="D80" s="51">
        <v>44629</v>
      </c>
      <c r="E80" s="49">
        <v>2</v>
      </c>
      <c r="F80" s="52" t="s">
        <v>22</v>
      </c>
      <c r="G80" s="53" t="s">
        <v>721</v>
      </c>
      <c r="H80" s="53" t="s">
        <v>24</v>
      </c>
      <c r="I80" s="53" t="s">
        <v>721</v>
      </c>
      <c r="J80" s="51">
        <v>44629</v>
      </c>
      <c r="K80" s="51">
        <v>44629</v>
      </c>
      <c r="L80" s="54">
        <f t="shared" si="2"/>
        <v>0</v>
      </c>
      <c r="M80" s="55" t="s">
        <v>2458</v>
      </c>
      <c r="N80" s="53" t="s">
        <v>26</v>
      </c>
      <c r="O80" s="53" t="s">
        <v>2459</v>
      </c>
      <c r="P80" s="53" t="s">
        <v>2460</v>
      </c>
      <c r="Q80" s="53" t="str">
        <f t="shared" si="3"/>
        <v>DENTRO DEL TIEMPO</v>
      </c>
      <c r="R80" s="56"/>
    </row>
    <row r="81" spans="1:18" ht="51" x14ac:dyDescent="0.25">
      <c r="A81" s="49">
        <v>75</v>
      </c>
      <c r="B81" s="50" t="s">
        <v>2461</v>
      </c>
      <c r="C81" s="51">
        <v>44627</v>
      </c>
      <c r="D81" s="51">
        <v>44629</v>
      </c>
      <c r="E81" s="49">
        <v>2</v>
      </c>
      <c r="F81" s="52" t="s">
        <v>22</v>
      </c>
      <c r="G81" s="53" t="s">
        <v>721</v>
      </c>
      <c r="H81" s="53" t="s">
        <v>24</v>
      </c>
      <c r="I81" s="53" t="s">
        <v>721</v>
      </c>
      <c r="J81" s="51">
        <v>44629</v>
      </c>
      <c r="K81" s="51">
        <v>44629</v>
      </c>
      <c r="L81" s="54">
        <f t="shared" si="2"/>
        <v>0</v>
      </c>
      <c r="M81" s="55" t="s">
        <v>2462</v>
      </c>
      <c r="N81" s="53" t="s">
        <v>26</v>
      </c>
      <c r="O81" s="53" t="s">
        <v>2463</v>
      </c>
      <c r="P81" s="53" t="s">
        <v>2464</v>
      </c>
      <c r="Q81" s="53" t="str">
        <f t="shared" si="3"/>
        <v>DENTRO DEL TIEMPO</v>
      </c>
      <c r="R81" s="56"/>
    </row>
    <row r="82" spans="1:18" ht="51" x14ac:dyDescent="0.25">
      <c r="A82" s="49">
        <v>76</v>
      </c>
      <c r="B82" s="50" t="s">
        <v>2465</v>
      </c>
      <c r="C82" s="51">
        <v>44627</v>
      </c>
      <c r="D82" s="51">
        <v>44629</v>
      </c>
      <c r="E82" s="49">
        <v>2</v>
      </c>
      <c r="F82" s="52" t="s">
        <v>22</v>
      </c>
      <c r="G82" s="53" t="s">
        <v>721</v>
      </c>
      <c r="H82" s="53" t="s">
        <v>24</v>
      </c>
      <c r="I82" s="53" t="s">
        <v>721</v>
      </c>
      <c r="J82" s="51">
        <v>44629</v>
      </c>
      <c r="K82" s="51">
        <v>44629</v>
      </c>
      <c r="L82" s="54">
        <f t="shared" si="2"/>
        <v>0</v>
      </c>
      <c r="M82" s="55" t="s">
        <v>2466</v>
      </c>
      <c r="N82" s="53" t="s">
        <v>26</v>
      </c>
      <c r="O82" s="53" t="s">
        <v>2467</v>
      </c>
      <c r="P82" s="53" t="s">
        <v>2468</v>
      </c>
      <c r="Q82" s="53" t="str">
        <f t="shared" si="3"/>
        <v>DENTRO DEL TIEMPO</v>
      </c>
      <c r="R82" s="56"/>
    </row>
    <row r="83" spans="1:18" ht="51" x14ac:dyDescent="0.25">
      <c r="A83" s="49">
        <v>77</v>
      </c>
      <c r="B83" s="50" t="s">
        <v>2469</v>
      </c>
      <c r="C83" s="51">
        <v>44627</v>
      </c>
      <c r="D83" s="51">
        <v>44629</v>
      </c>
      <c r="E83" s="49">
        <v>2</v>
      </c>
      <c r="F83" s="52" t="s">
        <v>22</v>
      </c>
      <c r="G83" s="53" t="s">
        <v>721</v>
      </c>
      <c r="H83" s="53" t="s">
        <v>24</v>
      </c>
      <c r="I83" s="53" t="s">
        <v>721</v>
      </c>
      <c r="J83" s="51">
        <v>44629</v>
      </c>
      <c r="K83" s="51">
        <v>44629</v>
      </c>
      <c r="L83" s="54">
        <f t="shared" si="2"/>
        <v>0</v>
      </c>
      <c r="M83" s="55" t="s">
        <v>2470</v>
      </c>
      <c r="N83" s="53" t="s">
        <v>26</v>
      </c>
      <c r="O83" s="53" t="s">
        <v>2471</v>
      </c>
      <c r="P83" s="53" t="s">
        <v>2472</v>
      </c>
      <c r="Q83" s="53" t="str">
        <f t="shared" si="3"/>
        <v>DENTRO DEL TIEMPO</v>
      </c>
      <c r="R83" s="56"/>
    </row>
    <row r="84" spans="1:18" ht="38.25" x14ac:dyDescent="0.25">
      <c r="A84" s="49">
        <v>78</v>
      </c>
      <c r="B84" s="50" t="s">
        <v>2473</v>
      </c>
      <c r="C84" s="51">
        <v>44627</v>
      </c>
      <c r="D84" s="51">
        <v>44629</v>
      </c>
      <c r="E84" s="49">
        <v>2</v>
      </c>
      <c r="F84" s="52" t="s">
        <v>22</v>
      </c>
      <c r="G84" s="53" t="s">
        <v>721</v>
      </c>
      <c r="H84" s="53" t="s">
        <v>24</v>
      </c>
      <c r="I84" s="53" t="s">
        <v>721</v>
      </c>
      <c r="J84" s="51">
        <v>44629</v>
      </c>
      <c r="K84" s="51">
        <v>44629</v>
      </c>
      <c r="L84" s="54">
        <f t="shared" si="2"/>
        <v>0</v>
      </c>
      <c r="M84" s="55" t="s">
        <v>2474</v>
      </c>
      <c r="N84" s="53" t="s">
        <v>26</v>
      </c>
      <c r="O84" s="53" t="s">
        <v>2475</v>
      </c>
      <c r="P84" s="53" t="s">
        <v>2476</v>
      </c>
      <c r="Q84" s="53" t="str">
        <f t="shared" si="3"/>
        <v>DENTRO DEL TIEMPO</v>
      </c>
      <c r="R84" s="56"/>
    </row>
    <row r="85" spans="1:18" ht="51" x14ac:dyDescent="0.25">
      <c r="A85" s="49">
        <v>79</v>
      </c>
      <c r="B85" s="50" t="s">
        <v>2477</v>
      </c>
      <c r="C85" s="51">
        <v>44628</v>
      </c>
      <c r="D85" s="51">
        <v>44629</v>
      </c>
      <c r="E85" s="49">
        <v>2</v>
      </c>
      <c r="F85" s="52" t="s">
        <v>22</v>
      </c>
      <c r="G85" s="53" t="s">
        <v>721</v>
      </c>
      <c r="H85" s="53" t="s">
        <v>24</v>
      </c>
      <c r="I85" s="53" t="s">
        <v>721</v>
      </c>
      <c r="J85" s="51">
        <v>44629</v>
      </c>
      <c r="K85" s="51">
        <v>44629</v>
      </c>
      <c r="L85" s="54">
        <f t="shared" si="2"/>
        <v>0</v>
      </c>
      <c r="M85" s="55" t="s">
        <v>2478</v>
      </c>
      <c r="N85" s="53" t="s">
        <v>26</v>
      </c>
      <c r="O85" s="53" t="s">
        <v>2479</v>
      </c>
      <c r="P85" s="53" t="s">
        <v>2480</v>
      </c>
      <c r="Q85" s="53" t="str">
        <f t="shared" si="3"/>
        <v>DENTRO DEL TIEMPO</v>
      </c>
      <c r="R85" s="56"/>
    </row>
    <row r="86" spans="1:18" ht="38.25" x14ac:dyDescent="0.25">
      <c r="A86" s="49">
        <v>80</v>
      </c>
      <c r="B86" s="50" t="s">
        <v>2481</v>
      </c>
      <c r="C86" s="51">
        <v>44628</v>
      </c>
      <c r="D86" s="51">
        <v>44629</v>
      </c>
      <c r="E86" s="49">
        <v>2</v>
      </c>
      <c r="F86" s="52" t="s">
        <v>22</v>
      </c>
      <c r="G86" s="53" t="s">
        <v>721</v>
      </c>
      <c r="H86" s="53" t="s">
        <v>24</v>
      </c>
      <c r="I86" s="53" t="s">
        <v>721</v>
      </c>
      <c r="J86" s="51">
        <v>44629</v>
      </c>
      <c r="K86" s="51">
        <v>44629</v>
      </c>
      <c r="L86" s="54">
        <f t="shared" si="2"/>
        <v>0</v>
      </c>
      <c r="M86" s="55" t="s">
        <v>2482</v>
      </c>
      <c r="N86" s="53" t="s">
        <v>26</v>
      </c>
      <c r="O86" s="53" t="s">
        <v>2483</v>
      </c>
      <c r="P86" s="53" t="s">
        <v>2484</v>
      </c>
      <c r="Q86" s="53" t="str">
        <f t="shared" si="3"/>
        <v>DENTRO DEL TIEMPO</v>
      </c>
      <c r="R86" s="56"/>
    </row>
    <row r="87" spans="1:18" ht="38.25" x14ac:dyDescent="0.25">
      <c r="A87" s="49">
        <v>81</v>
      </c>
      <c r="B87" s="50" t="s">
        <v>2485</v>
      </c>
      <c r="C87" s="51">
        <v>44628</v>
      </c>
      <c r="D87" s="51">
        <v>44629</v>
      </c>
      <c r="E87" s="49">
        <v>5</v>
      </c>
      <c r="F87" s="52" t="s">
        <v>22</v>
      </c>
      <c r="G87" s="53" t="s">
        <v>2064</v>
      </c>
      <c r="H87" s="53" t="s">
        <v>24</v>
      </c>
      <c r="I87" s="53" t="s">
        <v>2064</v>
      </c>
      <c r="J87" s="51">
        <v>44629</v>
      </c>
      <c r="K87" s="51">
        <v>44629</v>
      </c>
      <c r="L87" s="54">
        <f t="shared" si="2"/>
        <v>0</v>
      </c>
      <c r="M87" s="55" t="s">
        <v>2486</v>
      </c>
      <c r="N87" s="53" t="s">
        <v>26</v>
      </c>
      <c r="O87" s="53" t="s">
        <v>2487</v>
      </c>
      <c r="P87" s="53" t="s">
        <v>2488</v>
      </c>
      <c r="Q87" s="53" t="str">
        <f t="shared" si="3"/>
        <v>DENTRO DEL TIEMPO</v>
      </c>
      <c r="R87" s="56"/>
    </row>
    <row r="88" spans="1:18" ht="51" hidden="1" x14ac:dyDescent="0.25">
      <c r="A88" s="49">
        <v>82</v>
      </c>
      <c r="B88" s="50" t="s">
        <v>2489</v>
      </c>
      <c r="C88" s="51">
        <v>44628</v>
      </c>
      <c r="D88" s="51">
        <v>44628</v>
      </c>
      <c r="E88" s="49">
        <v>2</v>
      </c>
      <c r="F88" s="52" t="s">
        <v>790</v>
      </c>
      <c r="G88" s="53" t="s">
        <v>943</v>
      </c>
      <c r="H88" s="53" t="s">
        <v>2490</v>
      </c>
      <c r="I88" s="53" t="s">
        <v>943</v>
      </c>
      <c r="J88" s="51">
        <v>44628</v>
      </c>
      <c r="K88" s="51">
        <v>44628</v>
      </c>
      <c r="L88" s="54">
        <f t="shared" si="2"/>
        <v>0</v>
      </c>
      <c r="M88" s="57" t="s">
        <v>2491</v>
      </c>
      <c r="N88" s="53" t="s">
        <v>26</v>
      </c>
      <c r="O88" s="53" t="s">
        <v>2492</v>
      </c>
      <c r="P88" s="53" t="s">
        <v>2493</v>
      </c>
      <c r="Q88" s="53" t="str">
        <f t="shared" si="3"/>
        <v>DENTRO DEL TIEMPO</v>
      </c>
      <c r="R88" s="56"/>
    </row>
    <row r="89" spans="1:18" ht="51" x14ac:dyDescent="0.25">
      <c r="A89" s="49">
        <v>83</v>
      </c>
      <c r="B89" s="50" t="s">
        <v>2494</v>
      </c>
      <c r="C89" s="51">
        <v>44628</v>
      </c>
      <c r="D89" s="51">
        <v>44629</v>
      </c>
      <c r="E89" s="49">
        <v>2</v>
      </c>
      <c r="F89" s="52" t="s">
        <v>22</v>
      </c>
      <c r="G89" s="53" t="s">
        <v>721</v>
      </c>
      <c r="H89" s="53" t="s">
        <v>24</v>
      </c>
      <c r="I89" s="53" t="s">
        <v>721</v>
      </c>
      <c r="J89" s="51">
        <v>44629</v>
      </c>
      <c r="K89" s="51">
        <v>44629</v>
      </c>
      <c r="L89" s="54">
        <f t="shared" si="2"/>
        <v>0</v>
      </c>
      <c r="M89" s="55" t="s">
        <v>2495</v>
      </c>
      <c r="N89" s="53" t="s">
        <v>26</v>
      </c>
      <c r="O89" s="53" t="s">
        <v>2496</v>
      </c>
      <c r="P89" s="53" t="s">
        <v>2497</v>
      </c>
      <c r="Q89" s="53" t="str">
        <f t="shared" si="3"/>
        <v>DENTRO DEL TIEMPO</v>
      </c>
      <c r="R89" s="56"/>
    </row>
    <row r="90" spans="1:18" ht="51" x14ac:dyDescent="0.25">
      <c r="A90" s="49">
        <v>84</v>
      </c>
      <c r="B90" s="50" t="s">
        <v>2498</v>
      </c>
      <c r="C90" s="51">
        <v>44628</v>
      </c>
      <c r="D90" s="51">
        <v>44629</v>
      </c>
      <c r="E90" s="49">
        <v>2</v>
      </c>
      <c r="F90" s="52" t="s">
        <v>22</v>
      </c>
      <c r="G90" s="53" t="s">
        <v>721</v>
      </c>
      <c r="H90" s="53" t="s">
        <v>24</v>
      </c>
      <c r="I90" s="53" t="s">
        <v>721</v>
      </c>
      <c r="J90" s="51">
        <v>44629</v>
      </c>
      <c r="K90" s="51">
        <v>44629</v>
      </c>
      <c r="L90" s="54">
        <f t="shared" si="2"/>
        <v>0</v>
      </c>
      <c r="M90" s="55" t="s">
        <v>2499</v>
      </c>
      <c r="N90" s="53" t="s">
        <v>26</v>
      </c>
      <c r="O90" s="53" t="s">
        <v>2500</v>
      </c>
      <c r="P90" s="53" t="s">
        <v>2501</v>
      </c>
      <c r="Q90" s="53" t="str">
        <f t="shared" si="3"/>
        <v>DENTRO DEL TIEMPO</v>
      </c>
      <c r="R90" s="56"/>
    </row>
    <row r="91" spans="1:18" ht="51" x14ac:dyDescent="0.25">
      <c r="A91" s="49">
        <v>85</v>
      </c>
      <c r="B91" s="50" t="s">
        <v>2502</v>
      </c>
      <c r="C91" s="51">
        <v>44628</v>
      </c>
      <c r="D91" s="51">
        <v>44630</v>
      </c>
      <c r="E91" s="49">
        <v>3</v>
      </c>
      <c r="F91" s="52" t="s">
        <v>22</v>
      </c>
      <c r="G91" s="53" t="s">
        <v>1256</v>
      </c>
      <c r="H91" s="53" t="s">
        <v>24</v>
      </c>
      <c r="I91" s="53" t="s">
        <v>1256</v>
      </c>
      <c r="J91" s="51">
        <v>44630</v>
      </c>
      <c r="K91" s="51">
        <v>44630</v>
      </c>
      <c r="L91" s="54">
        <f t="shared" si="2"/>
        <v>0</v>
      </c>
      <c r="M91" s="55" t="s">
        <v>2503</v>
      </c>
      <c r="N91" s="53" t="s">
        <v>26</v>
      </c>
      <c r="O91" s="53" t="s">
        <v>2504</v>
      </c>
      <c r="P91" s="53" t="s">
        <v>1869</v>
      </c>
      <c r="Q91" s="53" t="str">
        <f t="shared" si="3"/>
        <v>DENTRO DEL TIEMPO</v>
      </c>
      <c r="R91" s="56"/>
    </row>
    <row r="92" spans="1:18" ht="51" x14ac:dyDescent="0.25">
      <c r="A92" s="49">
        <v>86</v>
      </c>
      <c r="B92" s="50" t="s">
        <v>2505</v>
      </c>
      <c r="C92" s="51">
        <v>44628</v>
      </c>
      <c r="D92" s="51">
        <v>44630</v>
      </c>
      <c r="E92" s="49">
        <v>3</v>
      </c>
      <c r="F92" s="52" t="s">
        <v>22</v>
      </c>
      <c r="G92" s="53" t="s">
        <v>1256</v>
      </c>
      <c r="H92" s="53" t="s">
        <v>24</v>
      </c>
      <c r="I92" s="53" t="s">
        <v>1256</v>
      </c>
      <c r="J92" s="51">
        <v>44630</v>
      </c>
      <c r="K92" s="51">
        <v>44630</v>
      </c>
      <c r="L92" s="54">
        <f t="shared" si="2"/>
        <v>0</v>
      </c>
      <c r="M92" s="55" t="s">
        <v>2506</v>
      </c>
      <c r="N92" s="53" t="s">
        <v>26</v>
      </c>
      <c r="O92" s="53" t="s">
        <v>2507</v>
      </c>
      <c r="P92" s="53" t="s">
        <v>1869</v>
      </c>
      <c r="Q92" s="53" t="str">
        <f t="shared" si="3"/>
        <v>DENTRO DEL TIEMPO</v>
      </c>
      <c r="R92" s="56"/>
    </row>
    <row r="93" spans="1:18" ht="38.25" x14ac:dyDescent="0.25">
      <c r="A93" s="49">
        <v>87</v>
      </c>
      <c r="B93" s="50" t="s">
        <v>2508</v>
      </c>
      <c r="C93" s="51">
        <v>44628</v>
      </c>
      <c r="D93" s="51">
        <v>44629</v>
      </c>
      <c r="E93" s="49">
        <v>2</v>
      </c>
      <c r="F93" s="52" t="s">
        <v>22</v>
      </c>
      <c r="G93" s="53" t="s">
        <v>721</v>
      </c>
      <c r="H93" s="53" t="s">
        <v>24</v>
      </c>
      <c r="I93" s="53" t="s">
        <v>721</v>
      </c>
      <c r="J93" s="51">
        <v>44629</v>
      </c>
      <c r="K93" s="51">
        <v>44629</v>
      </c>
      <c r="L93" s="54">
        <f t="shared" si="2"/>
        <v>0</v>
      </c>
      <c r="M93" s="55" t="s">
        <v>2509</v>
      </c>
      <c r="N93" s="53" t="s">
        <v>26</v>
      </c>
      <c r="O93" s="53" t="s">
        <v>2510</v>
      </c>
      <c r="P93" s="53" t="s">
        <v>2511</v>
      </c>
      <c r="Q93" s="53" t="str">
        <f t="shared" si="3"/>
        <v>DENTRO DEL TIEMPO</v>
      </c>
      <c r="R93" s="56"/>
    </row>
    <row r="94" spans="1:18" ht="51" hidden="1" x14ac:dyDescent="0.25">
      <c r="A94" s="49">
        <v>88</v>
      </c>
      <c r="B94" s="50" t="s">
        <v>2512</v>
      </c>
      <c r="C94" s="51">
        <v>44628</v>
      </c>
      <c r="D94" s="51">
        <v>44635</v>
      </c>
      <c r="E94" s="49">
        <v>2</v>
      </c>
      <c r="F94" s="52" t="s">
        <v>790</v>
      </c>
      <c r="G94" s="53" t="s">
        <v>943</v>
      </c>
      <c r="H94" s="53" t="s">
        <v>2490</v>
      </c>
      <c r="I94" s="53" t="s">
        <v>943</v>
      </c>
      <c r="J94" s="51">
        <v>44635</v>
      </c>
      <c r="K94" s="51">
        <v>44635</v>
      </c>
      <c r="L94" s="54">
        <f t="shared" si="2"/>
        <v>0</v>
      </c>
      <c r="M94" s="57" t="s">
        <v>2513</v>
      </c>
      <c r="N94" s="53" t="s">
        <v>26</v>
      </c>
      <c r="O94" s="53" t="s">
        <v>2514</v>
      </c>
      <c r="P94" s="53" t="s">
        <v>2515</v>
      </c>
      <c r="Q94" s="53" t="str">
        <f t="shared" si="3"/>
        <v>DENTRO DEL TIEMPO</v>
      </c>
      <c r="R94" s="56"/>
    </row>
    <row r="95" spans="1:18" ht="38.25" x14ac:dyDescent="0.25">
      <c r="A95" s="49">
        <v>89</v>
      </c>
      <c r="B95" s="50" t="s">
        <v>2516</v>
      </c>
      <c r="C95" s="51">
        <v>44628</v>
      </c>
      <c r="D95" s="51">
        <v>44630</v>
      </c>
      <c r="E95" s="49">
        <v>2</v>
      </c>
      <c r="F95" s="52" t="s">
        <v>22</v>
      </c>
      <c r="G95" s="53" t="s">
        <v>721</v>
      </c>
      <c r="H95" s="53" t="s">
        <v>24</v>
      </c>
      <c r="I95" s="53" t="s">
        <v>721</v>
      </c>
      <c r="J95" s="51">
        <v>44630</v>
      </c>
      <c r="K95" s="51">
        <v>44630</v>
      </c>
      <c r="L95" s="54">
        <f t="shared" si="2"/>
        <v>0</v>
      </c>
      <c r="M95" s="55" t="s">
        <v>2517</v>
      </c>
      <c r="N95" s="53" t="s">
        <v>26</v>
      </c>
      <c r="O95" s="53" t="s">
        <v>2518</v>
      </c>
      <c r="P95" s="53" t="s">
        <v>2519</v>
      </c>
      <c r="Q95" s="53" t="str">
        <f t="shared" si="3"/>
        <v>DENTRO DEL TIEMPO</v>
      </c>
      <c r="R95" s="56"/>
    </row>
    <row r="96" spans="1:18" ht="51" x14ac:dyDescent="0.25">
      <c r="A96" s="49">
        <v>90</v>
      </c>
      <c r="B96" s="50" t="s">
        <v>2520</v>
      </c>
      <c r="C96" s="51">
        <v>44628</v>
      </c>
      <c r="D96" s="51">
        <v>44630</v>
      </c>
      <c r="E96" s="49">
        <v>2</v>
      </c>
      <c r="F96" s="52" t="s">
        <v>22</v>
      </c>
      <c r="G96" s="53" t="s">
        <v>721</v>
      </c>
      <c r="H96" s="53" t="s">
        <v>24</v>
      </c>
      <c r="I96" s="53" t="s">
        <v>721</v>
      </c>
      <c r="J96" s="51">
        <v>44630</v>
      </c>
      <c r="K96" s="51">
        <v>44630</v>
      </c>
      <c r="L96" s="54">
        <f t="shared" si="2"/>
        <v>0</v>
      </c>
      <c r="M96" s="55" t="s">
        <v>2521</v>
      </c>
      <c r="N96" s="53" t="s">
        <v>26</v>
      </c>
      <c r="O96" s="53" t="s">
        <v>2522</v>
      </c>
      <c r="P96" s="53" t="s">
        <v>2523</v>
      </c>
      <c r="Q96" s="53" t="str">
        <f t="shared" si="3"/>
        <v>DENTRO DEL TIEMPO</v>
      </c>
      <c r="R96" s="56"/>
    </row>
    <row r="97" spans="1:18" ht="51" x14ac:dyDescent="0.25">
      <c r="A97" s="49">
        <v>91</v>
      </c>
      <c r="B97" s="50" t="s">
        <v>2524</v>
      </c>
      <c r="C97" s="51">
        <v>44628</v>
      </c>
      <c r="D97" s="51">
        <v>44631</v>
      </c>
      <c r="E97" s="49">
        <v>22</v>
      </c>
      <c r="F97" s="52" t="s">
        <v>22</v>
      </c>
      <c r="G97" s="53" t="s">
        <v>1256</v>
      </c>
      <c r="H97" s="53" t="s">
        <v>24</v>
      </c>
      <c r="I97" s="53" t="s">
        <v>1256</v>
      </c>
      <c r="J97" s="51">
        <v>44631</v>
      </c>
      <c r="K97" s="51">
        <v>44631</v>
      </c>
      <c r="L97" s="54">
        <f t="shared" si="2"/>
        <v>0</v>
      </c>
      <c r="M97" s="55" t="s">
        <v>2525</v>
      </c>
      <c r="N97" s="53" t="s">
        <v>26</v>
      </c>
      <c r="O97" s="53" t="s">
        <v>2526</v>
      </c>
      <c r="P97" s="53" t="s">
        <v>2527</v>
      </c>
      <c r="Q97" s="53" t="str">
        <f t="shared" si="3"/>
        <v>DENTRO DEL TIEMPO</v>
      </c>
      <c r="R97" s="56"/>
    </row>
    <row r="98" spans="1:18" ht="38.25" x14ac:dyDescent="0.25">
      <c r="A98" s="49">
        <v>92</v>
      </c>
      <c r="B98" s="50" t="s">
        <v>2528</v>
      </c>
      <c r="C98" s="51">
        <v>44628</v>
      </c>
      <c r="D98" s="51">
        <v>44630</v>
      </c>
      <c r="E98" s="49">
        <v>2</v>
      </c>
      <c r="F98" s="52" t="s">
        <v>22</v>
      </c>
      <c r="G98" s="53" t="s">
        <v>721</v>
      </c>
      <c r="H98" s="53" t="s">
        <v>24</v>
      </c>
      <c r="I98" s="53" t="s">
        <v>721</v>
      </c>
      <c r="J98" s="51">
        <v>44630</v>
      </c>
      <c r="K98" s="51">
        <v>44630</v>
      </c>
      <c r="L98" s="54">
        <f t="shared" si="2"/>
        <v>0</v>
      </c>
      <c r="M98" s="55" t="s">
        <v>2529</v>
      </c>
      <c r="N98" s="53" t="s">
        <v>26</v>
      </c>
      <c r="O98" s="53" t="s">
        <v>2530</v>
      </c>
      <c r="P98" s="53" t="s">
        <v>2531</v>
      </c>
      <c r="Q98" s="53" t="str">
        <f t="shared" si="3"/>
        <v>DENTRO DEL TIEMPO</v>
      </c>
      <c r="R98" s="56"/>
    </row>
    <row r="99" spans="1:18" ht="38.25" x14ac:dyDescent="0.25">
      <c r="A99" s="49">
        <v>93</v>
      </c>
      <c r="B99" s="50" t="s">
        <v>2532</v>
      </c>
      <c r="C99" s="51">
        <v>44628</v>
      </c>
      <c r="D99" s="51">
        <v>44630</v>
      </c>
      <c r="E99" s="49">
        <v>2</v>
      </c>
      <c r="F99" s="52" t="s">
        <v>22</v>
      </c>
      <c r="G99" s="53" t="s">
        <v>721</v>
      </c>
      <c r="H99" s="53" t="s">
        <v>24</v>
      </c>
      <c r="I99" s="53" t="s">
        <v>721</v>
      </c>
      <c r="J99" s="51">
        <v>44630</v>
      </c>
      <c r="K99" s="51">
        <v>44630</v>
      </c>
      <c r="L99" s="54">
        <f t="shared" si="2"/>
        <v>0</v>
      </c>
      <c r="M99" s="55" t="s">
        <v>2533</v>
      </c>
      <c r="N99" s="53" t="s">
        <v>26</v>
      </c>
      <c r="O99" s="53" t="s">
        <v>2530</v>
      </c>
      <c r="P99" s="53" t="s">
        <v>2531</v>
      </c>
      <c r="Q99" s="53" t="str">
        <f t="shared" si="3"/>
        <v>DENTRO DEL TIEMPO</v>
      </c>
      <c r="R99" s="56"/>
    </row>
    <row r="100" spans="1:18" ht="38.25" x14ac:dyDescent="0.25">
      <c r="A100" s="49">
        <v>94</v>
      </c>
      <c r="B100" s="50" t="s">
        <v>2534</v>
      </c>
      <c r="C100" s="51">
        <v>44629</v>
      </c>
      <c r="D100" s="51">
        <v>44630</v>
      </c>
      <c r="E100" s="49">
        <v>2</v>
      </c>
      <c r="F100" s="52" t="s">
        <v>22</v>
      </c>
      <c r="G100" s="53" t="s">
        <v>721</v>
      </c>
      <c r="H100" s="53" t="s">
        <v>24</v>
      </c>
      <c r="I100" s="53" t="s">
        <v>721</v>
      </c>
      <c r="J100" s="51">
        <v>44630</v>
      </c>
      <c r="K100" s="51">
        <v>44630</v>
      </c>
      <c r="L100" s="54">
        <f t="shared" si="2"/>
        <v>0</v>
      </c>
      <c r="M100" s="55" t="s">
        <v>2535</v>
      </c>
      <c r="N100" s="53" t="s">
        <v>26</v>
      </c>
      <c r="O100" s="53" t="s">
        <v>2536</v>
      </c>
      <c r="P100" s="53" t="s">
        <v>2537</v>
      </c>
      <c r="Q100" s="53" t="str">
        <f t="shared" si="3"/>
        <v>DENTRO DEL TIEMPO</v>
      </c>
      <c r="R100" s="56"/>
    </row>
    <row r="101" spans="1:18" ht="51" x14ac:dyDescent="0.25">
      <c r="A101" s="49">
        <v>95</v>
      </c>
      <c r="B101" s="50" t="s">
        <v>2538</v>
      </c>
      <c r="C101" s="51">
        <v>44629</v>
      </c>
      <c r="D101" s="51">
        <v>44630</v>
      </c>
      <c r="E101" s="49">
        <v>2</v>
      </c>
      <c r="F101" s="52" t="s">
        <v>22</v>
      </c>
      <c r="G101" s="53" t="s">
        <v>721</v>
      </c>
      <c r="H101" s="53" t="s">
        <v>24</v>
      </c>
      <c r="I101" s="53" t="s">
        <v>721</v>
      </c>
      <c r="J101" s="51">
        <v>44630</v>
      </c>
      <c r="K101" s="51">
        <v>44630</v>
      </c>
      <c r="L101" s="54">
        <f t="shared" si="2"/>
        <v>0</v>
      </c>
      <c r="M101" s="55" t="s">
        <v>2539</v>
      </c>
      <c r="N101" s="53" t="s">
        <v>26</v>
      </c>
      <c r="O101" s="53" t="s">
        <v>2540</v>
      </c>
      <c r="P101" s="53" t="s">
        <v>2541</v>
      </c>
      <c r="Q101" s="53" t="str">
        <f t="shared" si="3"/>
        <v>DENTRO DEL TIEMPO</v>
      </c>
      <c r="R101" s="56"/>
    </row>
    <row r="102" spans="1:18" ht="38.25" x14ac:dyDescent="0.25">
      <c r="A102" s="49">
        <v>96</v>
      </c>
      <c r="B102" s="50" t="s">
        <v>2542</v>
      </c>
      <c r="C102" s="51">
        <v>44629</v>
      </c>
      <c r="D102" s="51">
        <v>44630</v>
      </c>
      <c r="E102" s="49">
        <v>2</v>
      </c>
      <c r="F102" s="52" t="s">
        <v>22</v>
      </c>
      <c r="G102" s="53" t="s">
        <v>721</v>
      </c>
      <c r="H102" s="53" t="s">
        <v>24</v>
      </c>
      <c r="I102" s="53" t="s">
        <v>721</v>
      </c>
      <c r="J102" s="51">
        <v>44630</v>
      </c>
      <c r="K102" s="51">
        <v>44630</v>
      </c>
      <c r="L102" s="54">
        <f t="shared" si="2"/>
        <v>0</v>
      </c>
      <c r="M102" s="55" t="s">
        <v>2543</v>
      </c>
      <c r="N102" s="53" t="s">
        <v>26</v>
      </c>
      <c r="O102" s="53" t="s">
        <v>2544</v>
      </c>
      <c r="P102" s="53" t="s">
        <v>1551</v>
      </c>
      <c r="Q102" s="53" t="str">
        <f t="shared" si="3"/>
        <v>DENTRO DEL TIEMPO</v>
      </c>
      <c r="R102" s="56"/>
    </row>
    <row r="103" spans="1:18" ht="38.25" x14ac:dyDescent="0.25">
      <c r="A103" s="49">
        <v>97</v>
      </c>
      <c r="B103" s="50" t="s">
        <v>2545</v>
      </c>
      <c r="C103" s="51">
        <v>44629</v>
      </c>
      <c r="D103" s="51">
        <v>44630</v>
      </c>
      <c r="E103" s="49">
        <v>2</v>
      </c>
      <c r="F103" s="52" t="s">
        <v>22</v>
      </c>
      <c r="G103" s="53" t="s">
        <v>721</v>
      </c>
      <c r="H103" s="53" t="s">
        <v>24</v>
      </c>
      <c r="I103" s="53" t="s">
        <v>721</v>
      </c>
      <c r="J103" s="51">
        <v>44630</v>
      </c>
      <c r="K103" s="51">
        <v>44630</v>
      </c>
      <c r="L103" s="54">
        <f t="shared" si="2"/>
        <v>0</v>
      </c>
      <c r="M103" s="55" t="s">
        <v>2546</v>
      </c>
      <c r="N103" s="53" t="s">
        <v>26</v>
      </c>
      <c r="O103" s="53" t="s">
        <v>2547</v>
      </c>
      <c r="P103" s="53" t="s">
        <v>1551</v>
      </c>
      <c r="Q103" s="53" t="str">
        <f t="shared" si="3"/>
        <v>DENTRO DEL TIEMPO</v>
      </c>
      <c r="R103" s="56"/>
    </row>
    <row r="104" spans="1:18" ht="38.25" x14ac:dyDescent="0.25">
      <c r="A104" s="49">
        <v>98</v>
      </c>
      <c r="B104" s="50" t="s">
        <v>2548</v>
      </c>
      <c r="C104" s="51">
        <v>44629</v>
      </c>
      <c r="D104" s="51">
        <v>44630</v>
      </c>
      <c r="E104" s="49">
        <v>2</v>
      </c>
      <c r="F104" s="52" t="s">
        <v>22</v>
      </c>
      <c r="G104" s="53" t="s">
        <v>721</v>
      </c>
      <c r="H104" s="53" t="s">
        <v>24</v>
      </c>
      <c r="I104" s="53" t="s">
        <v>721</v>
      </c>
      <c r="J104" s="51">
        <v>44630</v>
      </c>
      <c r="K104" s="51">
        <v>44630</v>
      </c>
      <c r="L104" s="54">
        <f t="shared" si="2"/>
        <v>0</v>
      </c>
      <c r="M104" s="55" t="s">
        <v>2549</v>
      </c>
      <c r="N104" s="53" t="s">
        <v>26</v>
      </c>
      <c r="O104" s="53" t="s">
        <v>2550</v>
      </c>
      <c r="P104" s="53" t="s">
        <v>1551</v>
      </c>
      <c r="Q104" s="53" t="str">
        <f t="shared" si="3"/>
        <v>DENTRO DEL TIEMPO</v>
      </c>
      <c r="R104" s="56"/>
    </row>
    <row r="105" spans="1:18" ht="51" x14ac:dyDescent="0.25">
      <c r="A105" s="49">
        <v>99</v>
      </c>
      <c r="B105" s="50" t="s">
        <v>2551</v>
      </c>
      <c r="C105" s="51">
        <v>44629</v>
      </c>
      <c r="D105" s="51">
        <v>44630</v>
      </c>
      <c r="E105" s="49">
        <v>2</v>
      </c>
      <c r="F105" s="52" t="s">
        <v>22</v>
      </c>
      <c r="G105" s="53" t="s">
        <v>721</v>
      </c>
      <c r="H105" s="53" t="s">
        <v>24</v>
      </c>
      <c r="I105" s="53" t="s">
        <v>721</v>
      </c>
      <c r="J105" s="51">
        <v>44630</v>
      </c>
      <c r="K105" s="51">
        <v>44630</v>
      </c>
      <c r="L105" s="54">
        <f t="shared" si="2"/>
        <v>0</v>
      </c>
      <c r="M105" s="55" t="s">
        <v>2552</v>
      </c>
      <c r="N105" s="53" t="s">
        <v>26</v>
      </c>
      <c r="O105" s="53" t="s">
        <v>2553</v>
      </c>
      <c r="P105" s="53" t="s">
        <v>2554</v>
      </c>
      <c r="Q105" s="53" t="str">
        <f t="shared" si="3"/>
        <v>DENTRO DEL TIEMPO</v>
      </c>
      <c r="R105" s="56"/>
    </row>
    <row r="106" spans="1:18" ht="38.25" x14ac:dyDescent="0.25">
      <c r="A106" s="49">
        <v>100</v>
      </c>
      <c r="B106" s="50" t="s">
        <v>2555</v>
      </c>
      <c r="C106" s="51">
        <v>44629</v>
      </c>
      <c r="D106" s="51">
        <v>44630</v>
      </c>
      <c r="E106" s="49">
        <v>2</v>
      </c>
      <c r="F106" s="52" t="s">
        <v>22</v>
      </c>
      <c r="G106" s="53" t="s">
        <v>721</v>
      </c>
      <c r="H106" s="53" t="s">
        <v>24</v>
      </c>
      <c r="I106" s="53" t="s">
        <v>721</v>
      </c>
      <c r="J106" s="51">
        <v>44630</v>
      </c>
      <c r="K106" s="51">
        <v>44630</v>
      </c>
      <c r="L106" s="54">
        <f t="shared" si="2"/>
        <v>0</v>
      </c>
      <c r="M106" s="55" t="s">
        <v>2556</v>
      </c>
      <c r="N106" s="53" t="s">
        <v>26</v>
      </c>
      <c r="O106" s="53" t="s">
        <v>2557</v>
      </c>
      <c r="P106" s="53" t="s">
        <v>2558</v>
      </c>
      <c r="Q106" s="53" t="str">
        <f t="shared" si="3"/>
        <v>DENTRO DEL TIEMPO</v>
      </c>
      <c r="R106" s="56"/>
    </row>
    <row r="107" spans="1:18" ht="51" x14ac:dyDescent="0.25">
      <c r="A107" s="49">
        <v>101</v>
      </c>
      <c r="B107" s="50" t="s">
        <v>2559</v>
      </c>
      <c r="C107" s="51">
        <v>44629</v>
      </c>
      <c r="D107" s="51">
        <v>44630</v>
      </c>
      <c r="E107" s="49">
        <v>2</v>
      </c>
      <c r="F107" s="52" t="s">
        <v>22</v>
      </c>
      <c r="G107" s="53" t="s">
        <v>721</v>
      </c>
      <c r="H107" s="53" t="s">
        <v>24</v>
      </c>
      <c r="I107" s="53" t="s">
        <v>721</v>
      </c>
      <c r="J107" s="51">
        <v>44630</v>
      </c>
      <c r="K107" s="51">
        <v>44630</v>
      </c>
      <c r="L107" s="54">
        <f t="shared" si="2"/>
        <v>0</v>
      </c>
      <c r="M107" s="55" t="s">
        <v>2560</v>
      </c>
      <c r="N107" s="53" t="s">
        <v>26</v>
      </c>
      <c r="O107" s="53" t="s">
        <v>2561</v>
      </c>
      <c r="P107" s="53" t="s">
        <v>2562</v>
      </c>
      <c r="Q107" s="53" t="str">
        <f t="shared" si="3"/>
        <v>DENTRO DEL TIEMPO</v>
      </c>
      <c r="R107" s="56"/>
    </row>
    <row r="108" spans="1:18" ht="38.25" x14ac:dyDescent="0.25">
      <c r="A108" s="49">
        <v>102</v>
      </c>
      <c r="B108" s="50" t="s">
        <v>2563</v>
      </c>
      <c r="C108" s="51">
        <v>44629</v>
      </c>
      <c r="D108" s="51">
        <v>44631</v>
      </c>
      <c r="E108" s="49">
        <v>2</v>
      </c>
      <c r="F108" s="52" t="s">
        <v>22</v>
      </c>
      <c r="G108" s="53" t="s">
        <v>721</v>
      </c>
      <c r="H108" s="53" t="s">
        <v>24</v>
      </c>
      <c r="I108" s="53" t="s">
        <v>721</v>
      </c>
      <c r="J108" s="51">
        <v>44631</v>
      </c>
      <c r="K108" s="51">
        <v>44631</v>
      </c>
      <c r="L108" s="54">
        <f t="shared" si="2"/>
        <v>0</v>
      </c>
      <c r="M108" s="55" t="s">
        <v>2564</v>
      </c>
      <c r="N108" s="53" t="s">
        <v>26</v>
      </c>
      <c r="O108" s="53" t="s">
        <v>2327</v>
      </c>
      <c r="P108" s="53" t="s">
        <v>1033</v>
      </c>
      <c r="Q108" s="53" t="str">
        <f t="shared" si="3"/>
        <v>DENTRO DEL TIEMPO</v>
      </c>
      <c r="R108" s="56"/>
    </row>
    <row r="109" spans="1:18" ht="38.25" x14ac:dyDescent="0.25">
      <c r="A109" s="49">
        <v>103</v>
      </c>
      <c r="B109" s="50" t="s">
        <v>2565</v>
      </c>
      <c r="C109" s="51">
        <v>44629</v>
      </c>
      <c r="D109" s="51">
        <v>44631</v>
      </c>
      <c r="E109" s="49">
        <v>2</v>
      </c>
      <c r="F109" s="52" t="s">
        <v>22</v>
      </c>
      <c r="G109" s="53" t="s">
        <v>721</v>
      </c>
      <c r="H109" s="53" t="s">
        <v>24</v>
      </c>
      <c r="I109" s="53" t="s">
        <v>721</v>
      </c>
      <c r="J109" s="51">
        <v>44631</v>
      </c>
      <c r="K109" s="51">
        <v>44631</v>
      </c>
      <c r="L109" s="54">
        <f t="shared" si="2"/>
        <v>0</v>
      </c>
      <c r="M109" s="55" t="s">
        <v>2566</v>
      </c>
      <c r="N109" s="53" t="s">
        <v>26</v>
      </c>
      <c r="O109" s="53" t="s">
        <v>2567</v>
      </c>
      <c r="P109" s="53" t="s">
        <v>1784</v>
      </c>
      <c r="Q109" s="53" t="str">
        <f t="shared" si="3"/>
        <v>DENTRO DEL TIEMPO</v>
      </c>
      <c r="R109" s="56"/>
    </row>
    <row r="110" spans="1:18" ht="58.5" hidden="1" x14ac:dyDescent="0.25">
      <c r="A110" s="49">
        <v>104</v>
      </c>
      <c r="B110" s="50" t="s">
        <v>2568</v>
      </c>
      <c r="C110" s="51">
        <v>44629</v>
      </c>
      <c r="D110" s="51">
        <v>44629</v>
      </c>
      <c r="E110" s="49"/>
      <c r="F110" s="52" t="s">
        <v>790</v>
      </c>
      <c r="G110" s="53" t="s">
        <v>943</v>
      </c>
      <c r="H110" s="53" t="s">
        <v>2490</v>
      </c>
      <c r="I110" s="53" t="s">
        <v>943</v>
      </c>
      <c r="J110" s="51"/>
      <c r="K110" s="51"/>
      <c r="L110" s="54">
        <f t="shared" si="2"/>
        <v>-31879</v>
      </c>
      <c r="M110" s="57" t="s">
        <v>2569</v>
      </c>
      <c r="N110" s="53" t="s">
        <v>26</v>
      </c>
      <c r="O110" s="53" t="s">
        <v>2570</v>
      </c>
      <c r="P110" s="53"/>
      <c r="Q110" s="53" t="str">
        <f t="shared" si="3"/>
        <v>DENTRO DEL TIEMPO</v>
      </c>
      <c r="R110" s="56"/>
    </row>
    <row r="111" spans="1:18" ht="51" x14ac:dyDescent="0.25">
      <c r="A111" s="49">
        <v>105</v>
      </c>
      <c r="B111" s="50" t="s">
        <v>2571</v>
      </c>
      <c r="C111" s="51">
        <v>44629</v>
      </c>
      <c r="D111" s="51">
        <v>44631</v>
      </c>
      <c r="E111" s="49">
        <v>2334</v>
      </c>
      <c r="F111" s="52" t="s">
        <v>22</v>
      </c>
      <c r="G111" s="53" t="s">
        <v>1256</v>
      </c>
      <c r="H111" s="53" t="s">
        <v>24</v>
      </c>
      <c r="I111" s="53" t="s">
        <v>1256</v>
      </c>
      <c r="J111" s="51">
        <v>44631</v>
      </c>
      <c r="K111" s="51">
        <v>44631</v>
      </c>
      <c r="L111" s="54">
        <f t="shared" si="2"/>
        <v>0</v>
      </c>
      <c r="M111" s="59" t="s">
        <v>2572</v>
      </c>
      <c r="N111" s="53" t="s">
        <v>26</v>
      </c>
      <c r="O111" s="53" t="s">
        <v>2573</v>
      </c>
      <c r="P111" s="53" t="s">
        <v>2574</v>
      </c>
      <c r="Q111" s="53" t="str">
        <f t="shared" si="3"/>
        <v>DENTRO DEL TIEMPO</v>
      </c>
      <c r="R111" s="56"/>
    </row>
    <row r="112" spans="1:18" ht="38.25" x14ac:dyDescent="0.25">
      <c r="A112" s="49">
        <v>106</v>
      </c>
      <c r="B112" s="50" t="s">
        <v>2575</v>
      </c>
      <c r="C112" s="51">
        <v>44630</v>
      </c>
      <c r="D112" s="51">
        <v>44631</v>
      </c>
      <c r="E112" s="49">
        <v>2</v>
      </c>
      <c r="F112" s="52" t="s">
        <v>22</v>
      </c>
      <c r="G112" s="53" t="s">
        <v>721</v>
      </c>
      <c r="H112" s="53" t="s">
        <v>24</v>
      </c>
      <c r="I112" s="53" t="s">
        <v>721</v>
      </c>
      <c r="J112" s="51">
        <v>44631</v>
      </c>
      <c r="K112" s="51">
        <v>44631</v>
      </c>
      <c r="L112" s="54">
        <f t="shared" si="2"/>
        <v>0</v>
      </c>
      <c r="M112" s="59" t="s">
        <v>2576</v>
      </c>
      <c r="N112" s="53" t="s">
        <v>26</v>
      </c>
      <c r="O112" s="53" t="s">
        <v>2492</v>
      </c>
      <c r="P112" s="53" t="s">
        <v>2493</v>
      </c>
      <c r="Q112" s="53" t="str">
        <f t="shared" si="3"/>
        <v>DENTRO DEL TIEMPO</v>
      </c>
      <c r="R112" s="56"/>
    </row>
    <row r="113" spans="1:18" ht="38.25" x14ac:dyDescent="0.25">
      <c r="A113" s="49">
        <v>107</v>
      </c>
      <c r="B113" s="50" t="s">
        <v>2577</v>
      </c>
      <c r="C113" s="51">
        <v>44630</v>
      </c>
      <c r="D113" s="51">
        <v>44631</v>
      </c>
      <c r="E113" s="49">
        <v>2</v>
      </c>
      <c r="F113" s="52" t="s">
        <v>22</v>
      </c>
      <c r="G113" s="53" t="s">
        <v>721</v>
      </c>
      <c r="H113" s="53" t="s">
        <v>24</v>
      </c>
      <c r="I113" s="53" t="s">
        <v>721</v>
      </c>
      <c r="J113" s="51">
        <v>44631</v>
      </c>
      <c r="K113" s="51">
        <v>44631</v>
      </c>
      <c r="L113" s="54">
        <f t="shared" si="2"/>
        <v>0</v>
      </c>
      <c r="M113" s="59" t="s">
        <v>2578</v>
      </c>
      <c r="N113" s="53" t="s">
        <v>26</v>
      </c>
      <c r="O113" s="53" t="s">
        <v>2579</v>
      </c>
      <c r="P113" s="53" t="s">
        <v>2580</v>
      </c>
      <c r="Q113" s="53" t="str">
        <f t="shared" si="3"/>
        <v>DENTRO DEL TIEMPO</v>
      </c>
      <c r="R113" s="56"/>
    </row>
    <row r="114" spans="1:18" ht="51" x14ac:dyDescent="0.25">
      <c r="A114" s="49">
        <v>108</v>
      </c>
      <c r="B114" s="50" t="s">
        <v>2581</v>
      </c>
      <c r="C114" s="51">
        <v>44630</v>
      </c>
      <c r="D114" s="51">
        <v>44631</v>
      </c>
      <c r="E114" s="49">
        <v>2</v>
      </c>
      <c r="F114" s="52" t="s">
        <v>22</v>
      </c>
      <c r="G114" s="53" t="s">
        <v>721</v>
      </c>
      <c r="H114" s="53" t="s">
        <v>24</v>
      </c>
      <c r="I114" s="53" t="s">
        <v>721</v>
      </c>
      <c r="J114" s="51">
        <v>44631</v>
      </c>
      <c r="K114" s="51">
        <v>44631</v>
      </c>
      <c r="L114" s="54">
        <f t="shared" si="2"/>
        <v>0</v>
      </c>
      <c r="M114" s="59" t="s">
        <v>2582</v>
      </c>
      <c r="N114" s="53" t="s">
        <v>26</v>
      </c>
      <c r="O114" s="53" t="s">
        <v>2583</v>
      </c>
      <c r="P114" s="53" t="s">
        <v>2584</v>
      </c>
      <c r="Q114" s="53" t="str">
        <f t="shared" si="3"/>
        <v>DENTRO DEL TIEMPO</v>
      </c>
      <c r="R114" s="56"/>
    </row>
    <row r="115" spans="1:18" ht="51" x14ac:dyDescent="0.25">
      <c r="A115" s="49">
        <v>109</v>
      </c>
      <c r="B115" s="50" t="s">
        <v>2585</v>
      </c>
      <c r="C115" s="51">
        <v>44630</v>
      </c>
      <c r="D115" s="51">
        <v>44634</v>
      </c>
      <c r="E115" s="49">
        <v>15</v>
      </c>
      <c r="F115" s="52" t="s">
        <v>22</v>
      </c>
      <c r="G115" s="53" t="s">
        <v>1256</v>
      </c>
      <c r="H115" s="53" t="s">
        <v>24</v>
      </c>
      <c r="I115" s="53" t="s">
        <v>1256</v>
      </c>
      <c r="J115" s="51">
        <v>44634</v>
      </c>
      <c r="K115" s="51">
        <v>44634</v>
      </c>
      <c r="L115" s="54">
        <f t="shared" si="2"/>
        <v>0</v>
      </c>
      <c r="M115" s="59" t="s">
        <v>2586</v>
      </c>
      <c r="N115" s="53" t="s">
        <v>26</v>
      </c>
      <c r="O115" s="53" t="s">
        <v>2540</v>
      </c>
      <c r="P115" s="53" t="s">
        <v>1551</v>
      </c>
      <c r="Q115" s="53" t="str">
        <f t="shared" si="3"/>
        <v>DENTRO DEL TIEMPO</v>
      </c>
      <c r="R115" s="56"/>
    </row>
    <row r="116" spans="1:18" ht="51" x14ac:dyDescent="0.25">
      <c r="A116" s="49">
        <v>110</v>
      </c>
      <c r="B116" s="50" t="s">
        <v>2587</v>
      </c>
      <c r="C116" s="51">
        <v>44630</v>
      </c>
      <c r="D116" s="51">
        <v>44631</v>
      </c>
      <c r="E116" s="49">
        <v>2</v>
      </c>
      <c r="F116" s="52" t="s">
        <v>22</v>
      </c>
      <c r="G116" s="53" t="s">
        <v>721</v>
      </c>
      <c r="H116" s="53" t="s">
        <v>24</v>
      </c>
      <c r="I116" s="53" t="s">
        <v>721</v>
      </c>
      <c r="J116" s="51">
        <v>44631</v>
      </c>
      <c r="K116" s="51">
        <v>44631</v>
      </c>
      <c r="L116" s="54">
        <f t="shared" si="2"/>
        <v>0</v>
      </c>
      <c r="M116" s="59" t="s">
        <v>2588</v>
      </c>
      <c r="N116" s="53" t="s">
        <v>26</v>
      </c>
      <c r="O116" s="53" t="s">
        <v>2589</v>
      </c>
      <c r="P116" s="53" t="s">
        <v>2590</v>
      </c>
      <c r="Q116" s="53" t="str">
        <f t="shared" si="3"/>
        <v>DENTRO DEL TIEMPO</v>
      </c>
      <c r="R116" s="56"/>
    </row>
    <row r="117" spans="1:18" ht="63.75" x14ac:dyDescent="0.25">
      <c r="A117" s="49">
        <v>111</v>
      </c>
      <c r="B117" s="50" t="s">
        <v>2591</v>
      </c>
      <c r="C117" s="51">
        <v>44630</v>
      </c>
      <c r="D117" s="51">
        <v>44648</v>
      </c>
      <c r="E117" s="49">
        <v>2</v>
      </c>
      <c r="F117" s="52" t="s">
        <v>22</v>
      </c>
      <c r="G117" s="53" t="s">
        <v>721</v>
      </c>
      <c r="H117" s="53" t="s">
        <v>24</v>
      </c>
      <c r="I117" s="53" t="s">
        <v>2592</v>
      </c>
      <c r="J117" s="51">
        <v>44650</v>
      </c>
      <c r="K117" s="51">
        <v>44650</v>
      </c>
      <c r="L117" s="54">
        <f t="shared" si="2"/>
        <v>2</v>
      </c>
      <c r="M117" s="59" t="s">
        <v>2593</v>
      </c>
      <c r="N117" s="53" t="s">
        <v>26</v>
      </c>
      <c r="O117" s="53" t="s">
        <v>2594</v>
      </c>
      <c r="P117" s="53" t="s">
        <v>2595</v>
      </c>
      <c r="Q117" s="53" t="str">
        <f t="shared" si="3"/>
        <v>DENTRO DEL TIEMPO</v>
      </c>
      <c r="R117" s="56"/>
    </row>
    <row r="118" spans="1:18" ht="51" x14ac:dyDescent="0.25">
      <c r="A118" s="49">
        <v>112</v>
      </c>
      <c r="B118" s="50" t="s">
        <v>2596</v>
      </c>
      <c r="C118" s="51">
        <v>44630</v>
      </c>
      <c r="D118" s="51">
        <v>44631</v>
      </c>
      <c r="E118" s="49">
        <v>2</v>
      </c>
      <c r="F118" s="52" t="s">
        <v>22</v>
      </c>
      <c r="G118" s="53" t="s">
        <v>721</v>
      </c>
      <c r="H118" s="53" t="s">
        <v>24</v>
      </c>
      <c r="I118" s="53" t="s">
        <v>721</v>
      </c>
      <c r="J118" s="51">
        <v>44631</v>
      </c>
      <c r="K118" s="51">
        <v>44631</v>
      </c>
      <c r="L118" s="54">
        <f t="shared" si="2"/>
        <v>0</v>
      </c>
      <c r="M118" s="59" t="s">
        <v>2597</v>
      </c>
      <c r="N118" s="53" t="s">
        <v>26</v>
      </c>
      <c r="O118" s="53" t="s">
        <v>2598</v>
      </c>
      <c r="P118" s="53" t="s">
        <v>2599</v>
      </c>
      <c r="Q118" s="53" t="str">
        <f t="shared" si="3"/>
        <v>DENTRO DEL TIEMPO</v>
      </c>
      <c r="R118" s="56"/>
    </row>
    <row r="119" spans="1:18" ht="51" x14ac:dyDescent="0.25">
      <c r="A119" s="49">
        <v>113</v>
      </c>
      <c r="B119" s="50" t="s">
        <v>2600</v>
      </c>
      <c r="C119" s="51">
        <v>44630</v>
      </c>
      <c r="D119" s="51">
        <v>44631</v>
      </c>
      <c r="E119" s="49">
        <v>2</v>
      </c>
      <c r="F119" s="52" t="s">
        <v>22</v>
      </c>
      <c r="G119" s="53" t="s">
        <v>721</v>
      </c>
      <c r="H119" s="53" t="s">
        <v>24</v>
      </c>
      <c r="I119" s="53" t="s">
        <v>721</v>
      </c>
      <c r="J119" s="51">
        <v>44631</v>
      </c>
      <c r="K119" s="51">
        <v>44631</v>
      </c>
      <c r="L119" s="54">
        <f t="shared" si="2"/>
        <v>0</v>
      </c>
      <c r="M119" s="59" t="s">
        <v>2601</v>
      </c>
      <c r="N119" s="53" t="s">
        <v>26</v>
      </c>
      <c r="O119" s="53" t="s">
        <v>2602</v>
      </c>
      <c r="P119" s="53" t="s">
        <v>1033</v>
      </c>
      <c r="Q119" s="53" t="str">
        <f t="shared" si="3"/>
        <v>DENTRO DEL TIEMPO</v>
      </c>
      <c r="R119" s="56"/>
    </row>
    <row r="120" spans="1:18" ht="38.25" x14ac:dyDescent="0.25">
      <c r="A120" s="49">
        <v>114</v>
      </c>
      <c r="B120" s="50" t="s">
        <v>2603</v>
      </c>
      <c r="C120" s="51">
        <v>44630</v>
      </c>
      <c r="D120" s="51">
        <v>44631</v>
      </c>
      <c r="E120" s="49">
        <v>2</v>
      </c>
      <c r="F120" s="52" t="s">
        <v>22</v>
      </c>
      <c r="G120" s="53" t="s">
        <v>721</v>
      </c>
      <c r="H120" s="53" t="s">
        <v>24</v>
      </c>
      <c r="I120" s="53" t="s">
        <v>721</v>
      </c>
      <c r="J120" s="51">
        <v>44631</v>
      </c>
      <c r="K120" s="51">
        <v>44631</v>
      </c>
      <c r="L120" s="54">
        <f t="shared" si="2"/>
        <v>0</v>
      </c>
      <c r="M120" s="59" t="s">
        <v>2604</v>
      </c>
      <c r="N120" s="53" t="s">
        <v>26</v>
      </c>
      <c r="O120" s="53" t="s">
        <v>2327</v>
      </c>
      <c r="P120" s="53" t="s">
        <v>1033</v>
      </c>
      <c r="Q120" s="53" t="str">
        <f t="shared" si="3"/>
        <v>DENTRO DEL TIEMPO</v>
      </c>
      <c r="R120" s="56"/>
    </row>
    <row r="121" spans="1:18" ht="38.25" x14ac:dyDescent="0.25">
      <c r="A121" s="49">
        <v>115</v>
      </c>
      <c r="B121" s="50" t="s">
        <v>2605</v>
      </c>
      <c r="C121" s="51">
        <v>44630</v>
      </c>
      <c r="D121" s="51">
        <v>44631</v>
      </c>
      <c r="E121" s="49">
        <v>2</v>
      </c>
      <c r="F121" s="52" t="s">
        <v>22</v>
      </c>
      <c r="G121" s="53" t="s">
        <v>721</v>
      </c>
      <c r="H121" s="53" t="s">
        <v>24</v>
      </c>
      <c r="I121" s="53" t="s">
        <v>721</v>
      </c>
      <c r="J121" s="51">
        <v>44631</v>
      </c>
      <c r="K121" s="51">
        <v>44631</v>
      </c>
      <c r="L121" s="54">
        <f t="shared" si="2"/>
        <v>0</v>
      </c>
      <c r="M121" s="59" t="s">
        <v>2606</v>
      </c>
      <c r="N121" s="53" t="s">
        <v>26</v>
      </c>
      <c r="O121" s="53" t="s">
        <v>2330</v>
      </c>
      <c r="P121" s="53" t="s">
        <v>2607</v>
      </c>
      <c r="Q121" s="53" t="str">
        <f t="shared" si="3"/>
        <v>DENTRO DEL TIEMPO</v>
      </c>
      <c r="R121" s="56"/>
    </row>
    <row r="122" spans="1:18" ht="51" x14ac:dyDescent="0.25">
      <c r="A122" s="49">
        <v>116</v>
      </c>
      <c r="B122" s="50" t="s">
        <v>2608</v>
      </c>
      <c r="C122" s="51">
        <v>44630</v>
      </c>
      <c r="D122" s="51">
        <v>44634</v>
      </c>
      <c r="E122" s="49">
        <v>112</v>
      </c>
      <c r="F122" s="52" t="s">
        <v>22</v>
      </c>
      <c r="G122" s="53" t="s">
        <v>1256</v>
      </c>
      <c r="H122" s="53" t="s">
        <v>24</v>
      </c>
      <c r="I122" s="53" t="s">
        <v>1256</v>
      </c>
      <c r="J122" s="51">
        <v>44634</v>
      </c>
      <c r="K122" s="51">
        <v>44634</v>
      </c>
      <c r="L122" s="54">
        <f t="shared" si="2"/>
        <v>0</v>
      </c>
      <c r="M122" s="59" t="s">
        <v>2609</v>
      </c>
      <c r="N122" s="53" t="s">
        <v>26</v>
      </c>
      <c r="O122" s="53" t="s">
        <v>2610</v>
      </c>
      <c r="P122" s="53" t="s">
        <v>2611</v>
      </c>
      <c r="Q122" s="53" t="str">
        <f t="shared" si="3"/>
        <v>DENTRO DEL TIEMPO</v>
      </c>
      <c r="R122" s="56"/>
    </row>
    <row r="123" spans="1:18" ht="51" x14ac:dyDescent="0.25">
      <c r="A123" s="49">
        <v>117</v>
      </c>
      <c r="B123" s="50" t="s">
        <v>2612</v>
      </c>
      <c r="C123" s="51">
        <v>44630</v>
      </c>
      <c r="D123" s="51">
        <v>44634</v>
      </c>
      <c r="E123" s="49">
        <v>2</v>
      </c>
      <c r="F123" s="52" t="s">
        <v>22</v>
      </c>
      <c r="G123" s="53" t="s">
        <v>721</v>
      </c>
      <c r="H123" s="53" t="s">
        <v>24</v>
      </c>
      <c r="I123" s="53" t="s">
        <v>721</v>
      </c>
      <c r="J123" s="51">
        <v>44634</v>
      </c>
      <c r="K123" s="51">
        <v>44634</v>
      </c>
      <c r="L123" s="54">
        <f t="shared" si="2"/>
        <v>0</v>
      </c>
      <c r="M123" s="59" t="s">
        <v>2613</v>
      </c>
      <c r="N123" s="53" t="s">
        <v>26</v>
      </c>
      <c r="O123" s="53" t="s">
        <v>2614</v>
      </c>
      <c r="P123" s="53" t="s">
        <v>2615</v>
      </c>
      <c r="Q123" s="53" t="str">
        <f t="shared" si="3"/>
        <v>DENTRO DEL TIEMPO</v>
      </c>
      <c r="R123" s="56"/>
    </row>
    <row r="124" spans="1:18" ht="38.25" x14ac:dyDescent="0.25">
      <c r="A124" s="49">
        <v>118</v>
      </c>
      <c r="B124" s="50" t="s">
        <v>2616</v>
      </c>
      <c r="C124" s="51">
        <v>44630</v>
      </c>
      <c r="D124" s="51">
        <v>44634</v>
      </c>
      <c r="E124" s="49">
        <v>2</v>
      </c>
      <c r="F124" s="52" t="s">
        <v>22</v>
      </c>
      <c r="G124" s="53" t="s">
        <v>721</v>
      </c>
      <c r="H124" s="53" t="s">
        <v>24</v>
      </c>
      <c r="I124" s="53" t="s">
        <v>721</v>
      </c>
      <c r="J124" s="51">
        <v>44634</v>
      </c>
      <c r="K124" s="51">
        <v>44634</v>
      </c>
      <c r="L124" s="54">
        <f t="shared" si="2"/>
        <v>0</v>
      </c>
      <c r="M124" s="59" t="s">
        <v>2617</v>
      </c>
      <c r="N124" s="53" t="s">
        <v>26</v>
      </c>
      <c r="O124" s="53" t="s">
        <v>2557</v>
      </c>
      <c r="P124" s="53" t="s">
        <v>2615</v>
      </c>
      <c r="Q124" s="53" t="str">
        <f t="shared" si="3"/>
        <v>DENTRO DEL TIEMPO</v>
      </c>
      <c r="R124" s="56"/>
    </row>
    <row r="125" spans="1:18" ht="51" x14ac:dyDescent="0.25">
      <c r="A125" s="49">
        <v>119</v>
      </c>
      <c r="B125" s="50" t="s">
        <v>2618</v>
      </c>
      <c r="C125" s="51">
        <v>44630</v>
      </c>
      <c r="D125" s="51">
        <v>44634</v>
      </c>
      <c r="E125" s="49">
        <v>2</v>
      </c>
      <c r="F125" s="52" t="s">
        <v>22</v>
      </c>
      <c r="G125" s="53" t="s">
        <v>721</v>
      </c>
      <c r="H125" s="53" t="s">
        <v>24</v>
      </c>
      <c r="I125" s="53" t="s">
        <v>721</v>
      </c>
      <c r="J125" s="51">
        <v>44634</v>
      </c>
      <c r="K125" s="51">
        <v>44634</v>
      </c>
      <c r="L125" s="54">
        <f t="shared" si="2"/>
        <v>0</v>
      </c>
      <c r="M125" s="59" t="s">
        <v>2619</v>
      </c>
      <c r="N125" s="53" t="s">
        <v>26</v>
      </c>
      <c r="O125" s="53" t="s">
        <v>2620</v>
      </c>
      <c r="P125" s="53" t="s">
        <v>2621</v>
      </c>
      <c r="Q125" s="53" t="str">
        <f t="shared" si="3"/>
        <v>DENTRO DEL TIEMPO</v>
      </c>
      <c r="R125" s="56"/>
    </row>
    <row r="126" spans="1:18" ht="51" x14ac:dyDescent="0.25">
      <c r="A126" s="49">
        <v>120</v>
      </c>
      <c r="B126" s="50" t="s">
        <v>2622</v>
      </c>
      <c r="C126" s="51">
        <v>44630</v>
      </c>
      <c r="D126" s="51">
        <v>44631</v>
      </c>
      <c r="E126" s="49">
        <v>2</v>
      </c>
      <c r="F126" s="52" t="s">
        <v>22</v>
      </c>
      <c r="G126" s="53" t="s">
        <v>1256</v>
      </c>
      <c r="H126" s="53" t="s">
        <v>24</v>
      </c>
      <c r="I126" s="53" t="s">
        <v>1256</v>
      </c>
      <c r="J126" s="51">
        <v>44631</v>
      </c>
      <c r="K126" s="51">
        <v>44631</v>
      </c>
      <c r="L126" s="54">
        <f t="shared" si="2"/>
        <v>0</v>
      </c>
      <c r="M126" s="59" t="s">
        <v>2623</v>
      </c>
      <c r="N126" s="53" t="s">
        <v>26</v>
      </c>
      <c r="O126" s="53" t="s">
        <v>2624</v>
      </c>
      <c r="P126" s="53" t="s">
        <v>2625</v>
      </c>
      <c r="Q126" s="53" t="str">
        <f t="shared" si="3"/>
        <v>DENTRO DEL TIEMPO</v>
      </c>
      <c r="R126" s="56"/>
    </row>
    <row r="127" spans="1:18" ht="38.25" x14ac:dyDescent="0.25">
      <c r="A127" s="49">
        <v>121</v>
      </c>
      <c r="B127" s="50" t="s">
        <v>2626</v>
      </c>
      <c r="C127" s="51">
        <v>44631</v>
      </c>
      <c r="D127" s="51">
        <v>44634</v>
      </c>
      <c r="E127" s="49">
        <v>2</v>
      </c>
      <c r="F127" s="52" t="s">
        <v>22</v>
      </c>
      <c r="G127" s="53" t="s">
        <v>721</v>
      </c>
      <c r="H127" s="53" t="s">
        <v>24</v>
      </c>
      <c r="I127" s="53" t="s">
        <v>721</v>
      </c>
      <c r="J127" s="51">
        <v>44634</v>
      </c>
      <c r="K127" s="51">
        <v>44634</v>
      </c>
      <c r="L127" s="54">
        <f t="shared" si="2"/>
        <v>0</v>
      </c>
      <c r="M127" s="59" t="s">
        <v>2627</v>
      </c>
      <c r="N127" s="53" t="s">
        <v>26</v>
      </c>
      <c r="O127" s="53" t="s">
        <v>2628</v>
      </c>
      <c r="P127" s="53" t="s">
        <v>2629</v>
      </c>
      <c r="Q127" s="53" t="str">
        <f t="shared" si="3"/>
        <v>DENTRO DEL TIEMPO</v>
      </c>
      <c r="R127" s="56"/>
    </row>
    <row r="128" spans="1:18" ht="51" x14ac:dyDescent="0.25">
      <c r="A128" s="49">
        <v>122</v>
      </c>
      <c r="B128" s="50" t="s">
        <v>2630</v>
      </c>
      <c r="C128" s="51">
        <v>44631</v>
      </c>
      <c r="D128" s="51">
        <v>44634</v>
      </c>
      <c r="E128" s="49">
        <v>2</v>
      </c>
      <c r="F128" s="52" t="s">
        <v>22</v>
      </c>
      <c r="G128" s="53" t="s">
        <v>721</v>
      </c>
      <c r="H128" s="53" t="s">
        <v>24</v>
      </c>
      <c r="I128" s="53" t="s">
        <v>721</v>
      </c>
      <c r="J128" s="51">
        <v>44634</v>
      </c>
      <c r="K128" s="51">
        <v>44634</v>
      </c>
      <c r="L128" s="54">
        <f t="shared" si="2"/>
        <v>0</v>
      </c>
      <c r="M128" s="59" t="s">
        <v>2631</v>
      </c>
      <c r="N128" s="53" t="s">
        <v>26</v>
      </c>
      <c r="O128" s="53" t="s">
        <v>2632</v>
      </c>
      <c r="P128" s="53" t="s">
        <v>2531</v>
      </c>
      <c r="Q128" s="53" t="str">
        <f t="shared" si="3"/>
        <v>DENTRO DEL TIEMPO</v>
      </c>
      <c r="R128" s="56"/>
    </row>
    <row r="129" spans="1:18" ht="51" x14ac:dyDescent="0.25">
      <c r="A129" s="49">
        <v>123</v>
      </c>
      <c r="B129" s="50" t="s">
        <v>2633</v>
      </c>
      <c r="C129" s="51">
        <v>44631</v>
      </c>
      <c r="D129" s="51">
        <v>44634</v>
      </c>
      <c r="E129" s="49">
        <v>2</v>
      </c>
      <c r="F129" s="52" t="s">
        <v>22</v>
      </c>
      <c r="G129" s="53" t="s">
        <v>721</v>
      </c>
      <c r="H129" s="53" t="s">
        <v>24</v>
      </c>
      <c r="I129" s="53" t="s">
        <v>721</v>
      </c>
      <c r="J129" s="51">
        <v>44634</v>
      </c>
      <c r="K129" s="51">
        <v>44634</v>
      </c>
      <c r="L129" s="54">
        <f t="shared" si="2"/>
        <v>0</v>
      </c>
      <c r="M129" s="59" t="s">
        <v>2634</v>
      </c>
      <c r="N129" s="53" t="s">
        <v>26</v>
      </c>
      <c r="O129" s="53" t="s">
        <v>2635</v>
      </c>
      <c r="P129" s="53" t="s">
        <v>2636</v>
      </c>
      <c r="Q129" s="53" t="str">
        <f t="shared" si="3"/>
        <v>DENTRO DEL TIEMPO</v>
      </c>
      <c r="R129" s="56"/>
    </row>
    <row r="130" spans="1:18" ht="38.25" x14ac:dyDescent="0.25">
      <c r="A130" s="49">
        <v>124</v>
      </c>
      <c r="B130" s="50" t="s">
        <v>2637</v>
      </c>
      <c r="C130" s="51">
        <v>44631</v>
      </c>
      <c r="D130" s="51">
        <v>44634</v>
      </c>
      <c r="E130" s="49">
        <v>2</v>
      </c>
      <c r="F130" s="52" t="s">
        <v>22</v>
      </c>
      <c r="G130" s="53" t="s">
        <v>721</v>
      </c>
      <c r="H130" s="53" t="s">
        <v>24</v>
      </c>
      <c r="I130" s="53" t="s">
        <v>721</v>
      </c>
      <c r="J130" s="51">
        <v>44634</v>
      </c>
      <c r="K130" s="51">
        <v>44634</v>
      </c>
      <c r="L130" s="54">
        <f t="shared" si="2"/>
        <v>0</v>
      </c>
      <c r="M130" s="59" t="s">
        <v>2638</v>
      </c>
      <c r="N130" s="53" t="s">
        <v>26</v>
      </c>
      <c r="O130" s="53" t="s">
        <v>2639</v>
      </c>
      <c r="P130" s="53" t="s">
        <v>1894</v>
      </c>
      <c r="Q130" s="53" t="str">
        <f t="shared" si="3"/>
        <v>DENTRO DEL TIEMPO</v>
      </c>
      <c r="R130" s="56"/>
    </row>
    <row r="131" spans="1:18" ht="38.25" x14ac:dyDescent="0.25">
      <c r="A131" s="49">
        <v>125</v>
      </c>
      <c r="B131" s="50" t="s">
        <v>2640</v>
      </c>
      <c r="C131" s="51">
        <v>44631</v>
      </c>
      <c r="D131" s="51">
        <v>44634</v>
      </c>
      <c r="E131" s="49">
        <v>2</v>
      </c>
      <c r="F131" s="52" t="s">
        <v>22</v>
      </c>
      <c r="G131" s="53" t="s">
        <v>721</v>
      </c>
      <c r="H131" s="53" t="s">
        <v>24</v>
      </c>
      <c r="I131" s="53" t="s">
        <v>721</v>
      </c>
      <c r="J131" s="51">
        <v>44634</v>
      </c>
      <c r="K131" s="51">
        <v>44634</v>
      </c>
      <c r="L131" s="54">
        <f t="shared" si="2"/>
        <v>0</v>
      </c>
      <c r="M131" s="59" t="s">
        <v>2641</v>
      </c>
      <c r="N131" s="53" t="s">
        <v>26</v>
      </c>
      <c r="O131" s="53" t="s">
        <v>2642</v>
      </c>
      <c r="P131" s="53" t="s">
        <v>2643</v>
      </c>
      <c r="Q131" s="53" t="str">
        <f t="shared" si="3"/>
        <v>DENTRO DEL TIEMPO</v>
      </c>
      <c r="R131" s="56"/>
    </row>
    <row r="132" spans="1:18" ht="51" x14ac:dyDescent="0.25">
      <c r="A132" s="49">
        <v>126</v>
      </c>
      <c r="B132" s="50" t="s">
        <v>2644</v>
      </c>
      <c r="C132" s="51">
        <v>44631</v>
      </c>
      <c r="D132" s="51">
        <v>44634</v>
      </c>
      <c r="E132" s="49">
        <v>2</v>
      </c>
      <c r="F132" s="52" t="s">
        <v>22</v>
      </c>
      <c r="G132" s="53" t="s">
        <v>721</v>
      </c>
      <c r="H132" s="53" t="s">
        <v>24</v>
      </c>
      <c r="I132" s="53" t="s">
        <v>721</v>
      </c>
      <c r="J132" s="51">
        <v>44634</v>
      </c>
      <c r="K132" s="51">
        <v>44634</v>
      </c>
      <c r="L132" s="54">
        <f t="shared" si="2"/>
        <v>0</v>
      </c>
      <c r="M132" s="59" t="s">
        <v>2645</v>
      </c>
      <c r="N132" s="53" t="s">
        <v>26</v>
      </c>
      <c r="O132" s="53" t="s">
        <v>2407</v>
      </c>
      <c r="P132" s="53" t="s">
        <v>2646</v>
      </c>
      <c r="Q132" s="53" t="str">
        <f t="shared" si="3"/>
        <v>DENTRO DEL TIEMPO</v>
      </c>
      <c r="R132" s="56"/>
    </row>
    <row r="133" spans="1:18" ht="51" x14ac:dyDescent="0.25">
      <c r="A133" s="49">
        <v>127</v>
      </c>
      <c r="B133" s="50" t="s">
        <v>2647</v>
      </c>
      <c r="C133" s="51">
        <v>44631</v>
      </c>
      <c r="D133" s="51">
        <v>44634</v>
      </c>
      <c r="E133" s="49">
        <v>2</v>
      </c>
      <c r="F133" s="52" t="s">
        <v>22</v>
      </c>
      <c r="G133" s="53" t="s">
        <v>721</v>
      </c>
      <c r="H133" s="53" t="s">
        <v>24</v>
      </c>
      <c r="I133" s="53" t="s">
        <v>721</v>
      </c>
      <c r="J133" s="51">
        <v>44634</v>
      </c>
      <c r="K133" s="51">
        <v>44634</v>
      </c>
      <c r="L133" s="54">
        <f t="shared" si="2"/>
        <v>0</v>
      </c>
      <c r="M133" s="59" t="s">
        <v>2648</v>
      </c>
      <c r="N133" s="53" t="s">
        <v>26</v>
      </c>
      <c r="O133" s="53" t="s">
        <v>2649</v>
      </c>
      <c r="P133" s="53" t="s">
        <v>2646</v>
      </c>
      <c r="Q133" s="53" t="str">
        <f t="shared" si="3"/>
        <v>DENTRO DEL TIEMPO</v>
      </c>
      <c r="R133" s="56"/>
    </row>
    <row r="134" spans="1:18" ht="51" x14ac:dyDescent="0.25">
      <c r="A134" s="49">
        <v>128</v>
      </c>
      <c r="B134" s="50" t="s">
        <v>2650</v>
      </c>
      <c r="C134" s="51">
        <v>44631</v>
      </c>
      <c r="D134" s="51">
        <v>44634</v>
      </c>
      <c r="E134" s="49">
        <v>2</v>
      </c>
      <c r="F134" s="52" t="s">
        <v>22</v>
      </c>
      <c r="G134" s="53" t="s">
        <v>721</v>
      </c>
      <c r="H134" s="53" t="s">
        <v>24</v>
      </c>
      <c r="I134" s="53" t="s">
        <v>721</v>
      </c>
      <c r="J134" s="51">
        <v>44634</v>
      </c>
      <c r="K134" s="51">
        <v>44634</v>
      </c>
      <c r="L134" s="54">
        <f t="shared" si="2"/>
        <v>0</v>
      </c>
      <c r="M134" s="59" t="s">
        <v>2651</v>
      </c>
      <c r="N134" s="53" t="s">
        <v>26</v>
      </c>
      <c r="O134" s="53" t="s">
        <v>2652</v>
      </c>
      <c r="P134" s="53" t="s">
        <v>1541</v>
      </c>
      <c r="Q134" s="53" t="str">
        <f t="shared" si="3"/>
        <v>DENTRO DEL TIEMPO</v>
      </c>
      <c r="R134" s="56"/>
    </row>
    <row r="135" spans="1:18" ht="51" x14ac:dyDescent="0.25">
      <c r="A135" s="49">
        <v>129</v>
      </c>
      <c r="B135" s="50" t="s">
        <v>2653</v>
      </c>
      <c r="C135" s="51">
        <v>44631</v>
      </c>
      <c r="D135" s="51">
        <v>44634</v>
      </c>
      <c r="E135" s="49">
        <v>2</v>
      </c>
      <c r="F135" s="52" t="s">
        <v>22</v>
      </c>
      <c r="G135" s="53" t="s">
        <v>721</v>
      </c>
      <c r="H135" s="53" t="s">
        <v>24</v>
      </c>
      <c r="I135" s="53" t="s">
        <v>721</v>
      </c>
      <c r="J135" s="51">
        <v>44634</v>
      </c>
      <c r="K135" s="51">
        <v>44634</v>
      </c>
      <c r="L135" s="54">
        <f t="shared" si="2"/>
        <v>0</v>
      </c>
      <c r="M135" s="59" t="s">
        <v>2654</v>
      </c>
      <c r="N135" s="53" t="s">
        <v>26</v>
      </c>
      <c r="O135" s="53" t="s">
        <v>2365</v>
      </c>
      <c r="P135" s="53" t="s">
        <v>2366</v>
      </c>
      <c r="Q135" s="53" t="str">
        <f t="shared" si="3"/>
        <v>DENTRO DEL TIEMPO</v>
      </c>
      <c r="R135" s="56"/>
    </row>
    <row r="136" spans="1:18" ht="38.25" x14ac:dyDescent="0.25">
      <c r="A136" s="49">
        <v>130</v>
      </c>
      <c r="B136" s="50" t="s">
        <v>2655</v>
      </c>
      <c r="C136" s="51">
        <v>44631</v>
      </c>
      <c r="D136" s="51">
        <v>44634</v>
      </c>
      <c r="E136" s="49">
        <v>2</v>
      </c>
      <c r="F136" s="52" t="s">
        <v>22</v>
      </c>
      <c r="G136" s="53" t="s">
        <v>721</v>
      </c>
      <c r="H136" s="53" t="s">
        <v>24</v>
      </c>
      <c r="I136" s="53" t="s">
        <v>721</v>
      </c>
      <c r="J136" s="51">
        <v>44634</v>
      </c>
      <c r="K136" s="51">
        <v>44634</v>
      </c>
      <c r="L136" s="54">
        <f t="shared" ref="L136:L199" si="4">+NETWORKDAYS(D136,K136,$R$7:$R$10)-1</f>
        <v>0</v>
      </c>
      <c r="M136" s="59" t="s">
        <v>2656</v>
      </c>
      <c r="N136" s="53" t="s">
        <v>26</v>
      </c>
      <c r="O136" s="53" t="s">
        <v>2657</v>
      </c>
      <c r="P136" s="53" t="s">
        <v>2658</v>
      </c>
      <c r="Q136" s="53" t="str">
        <f t="shared" ref="Q136:Q199" si="5">IF(L136&gt;15,"FUERA DE TIEMPO","DENTRO DEL TIEMPO")</f>
        <v>DENTRO DEL TIEMPO</v>
      </c>
      <c r="R136" s="56"/>
    </row>
    <row r="137" spans="1:18" ht="51" x14ac:dyDescent="0.25">
      <c r="A137" s="49">
        <v>131</v>
      </c>
      <c r="B137" s="50" t="s">
        <v>2659</v>
      </c>
      <c r="C137" s="51">
        <v>44631</v>
      </c>
      <c r="D137" s="51">
        <v>44634</v>
      </c>
      <c r="E137" s="49">
        <v>2</v>
      </c>
      <c r="F137" s="52" t="s">
        <v>22</v>
      </c>
      <c r="G137" s="53" t="s">
        <v>721</v>
      </c>
      <c r="H137" s="53" t="s">
        <v>24</v>
      </c>
      <c r="I137" s="53" t="s">
        <v>721</v>
      </c>
      <c r="J137" s="51">
        <v>44634</v>
      </c>
      <c r="K137" s="51">
        <v>44634</v>
      </c>
      <c r="L137" s="54">
        <f t="shared" si="4"/>
        <v>0</v>
      </c>
      <c r="M137" s="60" t="s">
        <v>2660</v>
      </c>
      <c r="N137" s="53" t="s">
        <v>26</v>
      </c>
      <c r="O137" s="53" t="s">
        <v>2661</v>
      </c>
      <c r="P137" s="53" t="s">
        <v>2662</v>
      </c>
      <c r="Q137" s="53" t="str">
        <f t="shared" si="5"/>
        <v>DENTRO DEL TIEMPO</v>
      </c>
      <c r="R137" s="56"/>
    </row>
    <row r="138" spans="1:18" ht="51" x14ac:dyDescent="0.25">
      <c r="A138" s="49">
        <v>132</v>
      </c>
      <c r="B138" s="50" t="s">
        <v>2663</v>
      </c>
      <c r="C138" s="51">
        <v>44631</v>
      </c>
      <c r="D138" s="51">
        <v>44634</v>
      </c>
      <c r="E138" s="49">
        <v>2</v>
      </c>
      <c r="F138" s="52" t="s">
        <v>22</v>
      </c>
      <c r="G138" s="53" t="s">
        <v>721</v>
      </c>
      <c r="H138" s="53" t="s">
        <v>24</v>
      </c>
      <c r="I138" s="53" t="s">
        <v>721</v>
      </c>
      <c r="J138" s="51">
        <v>44634</v>
      </c>
      <c r="K138" s="51">
        <v>44634</v>
      </c>
      <c r="L138" s="54">
        <f t="shared" si="4"/>
        <v>0</v>
      </c>
      <c r="M138" s="59" t="s">
        <v>2664</v>
      </c>
      <c r="N138" s="53" t="s">
        <v>26</v>
      </c>
      <c r="O138" s="53" t="s">
        <v>2602</v>
      </c>
      <c r="P138" s="53" t="s">
        <v>2665</v>
      </c>
      <c r="Q138" s="53" t="str">
        <f t="shared" si="5"/>
        <v>DENTRO DEL TIEMPO</v>
      </c>
      <c r="R138" s="56"/>
    </row>
    <row r="139" spans="1:18" ht="38.25" x14ac:dyDescent="0.25">
      <c r="A139" s="49">
        <v>133</v>
      </c>
      <c r="B139" s="50" t="s">
        <v>2666</v>
      </c>
      <c r="C139" s="51">
        <v>44631</v>
      </c>
      <c r="D139" s="51">
        <v>44634</v>
      </c>
      <c r="E139" s="49">
        <v>2</v>
      </c>
      <c r="F139" s="52" t="s">
        <v>22</v>
      </c>
      <c r="G139" s="53" t="s">
        <v>721</v>
      </c>
      <c r="H139" s="53" t="s">
        <v>24</v>
      </c>
      <c r="I139" s="53" t="s">
        <v>721</v>
      </c>
      <c r="J139" s="51">
        <v>44634</v>
      </c>
      <c r="K139" s="51">
        <v>44634</v>
      </c>
      <c r="L139" s="54">
        <f t="shared" si="4"/>
        <v>0</v>
      </c>
      <c r="M139" s="59" t="s">
        <v>2667</v>
      </c>
      <c r="N139" s="53" t="s">
        <v>26</v>
      </c>
      <c r="O139" s="53" t="s">
        <v>2668</v>
      </c>
      <c r="P139" s="53" t="s">
        <v>2669</v>
      </c>
      <c r="Q139" s="53" t="str">
        <f t="shared" si="5"/>
        <v>DENTRO DEL TIEMPO</v>
      </c>
      <c r="R139" s="56"/>
    </row>
    <row r="140" spans="1:18" ht="51" x14ac:dyDescent="0.25">
      <c r="A140" s="49">
        <v>134</v>
      </c>
      <c r="B140" s="50" t="s">
        <v>2670</v>
      </c>
      <c r="C140" s="51">
        <v>44631</v>
      </c>
      <c r="D140" s="51">
        <v>44631</v>
      </c>
      <c r="E140" s="49">
        <v>63</v>
      </c>
      <c r="F140" s="52" t="s">
        <v>22</v>
      </c>
      <c r="G140" s="53" t="s">
        <v>1256</v>
      </c>
      <c r="H140" s="53" t="s">
        <v>24</v>
      </c>
      <c r="I140" s="53" t="s">
        <v>1256</v>
      </c>
      <c r="J140" s="51">
        <v>44642</v>
      </c>
      <c r="K140" s="51">
        <v>44642</v>
      </c>
      <c r="L140" s="54">
        <f t="shared" si="4"/>
        <v>7</v>
      </c>
      <c r="M140" s="59" t="s">
        <v>2671</v>
      </c>
      <c r="N140" s="53" t="s">
        <v>26</v>
      </c>
      <c r="O140" s="53" t="s">
        <v>2672</v>
      </c>
      <c r="P140" s="53" t="s">
        <v>2673</v>
      </c>
      <c r="Q140" s="53" t="str">
        <f t="shared" si="5"/>
        <v>DENTRO DEL TIEMPO</v>
      </c>
      <c r="R140" s="56"/>
    </row>
    <row r="141" spans="1:18" ht="51" x14ac:dyDescent="0.25">
      <c r="A141" s="49">
        <v>135</v>
      </c>
      <c r="B141" s="50" t="s">
        <v>2674</v>
      </c>
      <c r="C141" s="51">
        <v>44631</v>
      </c>
      <c r="D141" s="51">
        <v>44631</v>
      </c>
      <c r="E141" s="49">
        <v>2</v>
      </c>
      <c r="F141" s="52" t="s">
        <v>22</v>
      </c>
      <c r="G141" s="53" t="s">
        <v>721</v>
      </c>
      <c r="H141" s="53" t="s">
        <v>24</v>
      </c>
      <c r="I141" s="53" t="s">
        <v>721</v>
      </c>
      <c r="J141" s="51">
        <v>44634</v>
      </c>
      <c r="K141" s="51">
        <v>44634</v>
      </c>
      <c r="L141" s="54">
        <f t="shared" si="4"/>
        <v>1</v>
      </c>
      <c r="M141" s="59" t="s">
        <v>2675</v>
      </c>
      <c r="N141" s="53" t="s">
        <v>26</v>
      </c>
      <c r="O141" s="53" t="s">
        <v>2676</v>
      </c>
      <c r="P141" s="53" t="s">
        <v>2677</v>
      </c>
      <c r="Q141" s="53" t="str">
        <f t="shared" si="5"/>
        <v>DENTRO DEL TIEMPO</v>
      </c>
      <c r="R141" s="56"/>
    </row>
    <row r="142" spans="1:18" ht="51" x14ac:dyDescent="0.25">
      <c r="A142" s="49">
        <v>136</v>
      </c>
      <c r="B142" s="50" t="s">
        <v>2678</v>
      </c>
      <c r="C142" s="51">
        <v>44631</v>
      </c>
      <c r="D142" s="51">
        <v>44650</v>
      </c>
      <c r="E142" s="49">
        <v>2</v>
      </c>
      <c r="F142" s="52" t="s">
        <v>22</v>
      </c>
      <c r="G142" s="53" t="s">
        <v>1256</v>
      </c>
      <c r="H142" s="53" t="s">
        <v>24</v>
      </c>
      <c r="I142" s="53" t="s">
        <v>1256</v>
      </c>
      <c r="J142" s="51">
        <v>44651</v>
      </c>
      <c r="K142" s="51">
        <v>44651</v>
      </c>
      <c r="L142" s="54">
        <f t="shared" si="4"/>
        <v>1</v>
      </c>
      <c r="M142" s="59" t="s">
        <v>2679</v>
      </c>
      <c r="N142" s="53" t="s">
        <v>26</v>
      </c>
      <c r="O142" s="53" t="s">
        <v>2680</v>
      </c>
      <c r="P142" s="53" t="s">
        <v>2595</v>
      </c>
      <c r="Q142" s="53" t="str">
        <f t="shared" si="5"/>
        <v>DENTRO DEL TIEMPO</v>
      </c>
      <c r="R142" s="56"/>
    </row>
    <row r="143" spans="1:18" ht="51" x14ac:dyDescent="0.25">
      <c r="A143" s="49">
        <v>137</v>
      </c>
      <c r="B143" s="50" t="s">
        <v>2681</v>
      </c>
      <c r="C143" s="51">
        <v>44634</v>
      </c>
      <c r="D143" s="51">
        <v>44634</v>
      </c>
      <c r="E143" s="49">
        <v>2</v>
      </c>
      <c r="F143" s="52" t="s">
        <v>22</v>
      </c>
      <c r="G143" s="53" t="s">
        <v>721</v>
      </c>
      <c r="H143" s="53" t="s">
        <v>24</v>
      </c>
      <c r="I143" s="53" t="s">
        <v>721</v>
      </c>
      <c r="J143" s="51">
        <v>44634</v>
      </c>
      <c r="K143" s="51">
        <v>44634</v>
      </c>
      <c r="L143" s="54">
        <f t="shared" si="4"/>
        <v>0</v>
      </c>
      <c r="M143" s="59" t="s">
        <v>2682</v>
      </c>
      <c r="N143" s="53" t="s">
        <v>26</v>
      </c>
      <c r="O143" s="53" t="s">
        <v>2683</v>
      </c>
      <c r="P143" s="53" t="s">
        <v>1404</v>
      </c>
      <c r="Q143" s="53" t="str">
        <f t="shared" si="5"/>
        <v>DENTRO DEL TIEMPO</v>
      </c>
      <c r="R143" s="56"/>
    </row>
    <row r="144" spans="1:18" ht="51" x14ac:dyDescent="0.25">
      <c r="A144" s="49">
        <v>138</v>
      </c>
      <c r="B144" s="50" t="s">
        <v>2684</v>
      </c>
      <c r="C144" s="51">
        <v>44634</v>
      </c>
      <c r="D144" s="51">
        <v>44635</v>
      </c>
      <c r="E144" s="49">
        <v>2</v>
      </c>
      <c r="F144" s="52" t="s">
        <v>22</v>
      </c>
      <c r="G144" s="53" t="s">
        <v>721</v>
      </c>
      <c r="H144" s="53" t="s">
        <v>24</v>
      </c>
      <c r="I144" s="53" t="s">
        <v>721</v>
      </c>
      <c r="J144" s="51">
        <v>44635</v>
      </c>
      <c r="K144" s="51">
        <v>44635</v>
      </c>
      <c r="L144" s="54">
        <f t="shared" si="4"/>
        <v>0</v>
      </c>
      <c r="M144" s="59" t="s">
        <v>2685</v>
      </c>
      <c r="N144" s="53" t="s">
        <v>26</v>
      </c>
      <c r="O144" s="53" t="s">
        <v>2683</v>
      </c>
      <c r="P144" s="53" t="s">
        <v>1404</v>
      </c>
      <c r="Q144" s="53" t="str">
        <f t="shared" si="5"/>
        <v>DENTRO DEL TIEMPO</v>
      </c>
      <c r="R144" s="56"/>
    </row>
    <row r="145" spans="1:18" ht="51" x14ac:dyDescent="0.25">
      <c r="A145" s="49">
        <v>139</v>
      </c>
      <c r="B145" s="50" t="s">
        <v>2686</v>
      </c>
      <c r="C145" s="51">
        <v>44634</v>
      </c>
      <c r="D145" s="51">
        <v>44635</v>
      </c>
      <c r="E145" s="49">
        <v>2</v>
      </c>
      <c r="F145" s="52" t="s">
        <v>22</v>
      </c>
      <c r="G145" s="53" t="s">
        <v>721</v>
      </c>
      <c r="H145" s="53" t="s">
        <v>24</v>
      </c>
      <c r="I145" s="53" t="s">
        <v>721</v>
      </c>
      <c r="J145" s="51">
        <v>44635</v>
      </c>
      <c r="K145" s="51">
        <v>44635</v>
      </c>
      <c r="L145" s="54">
        <f t="shared" si="4"/>
        <v>0</v>
      </c>
      <c r="M145" s="59" t="s">
        <v>2687</v>
      </c>
      <c r="N145" s="53" t="s">
        <v>26</v>
      </c>
      <c r="O145" s="53" t="s">
        <v>2683</v>
      </c>
      <c r="P145" s="53" t="s">
        <v>1404</v>
      </c>
      <c r="Q145" s="53" t="str">
        <f t="shared" si="5"/>
        <v>DENTRO DEL TIEMPO</v>
      </c>
      <c r="R145" s="56"/>
    </row>
    <row r="146" spans="1:18" ht="51" x14ac:dyDescent="0.25">
      <c r="A146" s="49">
        <v>140</v>
      </c>
      <c r="B146" s="50" t="s">
        <v>2688</v>
      </c>
      <c r="C146" s="51">
        <v>44634</v>
      </c>
      <c r="D146" s="51">
        <v>44635</v>
      </c>
      <c r="E146" s="49">
        <v>2</v>
      </c>
      <c r="F146" s="52" t="s">
        <v>22</v>
      </c>
      <c r="G146" s="53" t="s">
        <v>721</v>
      </c>
      <c r="H146" s="53" t="s">
        <v>24</v>
      </c>
      <c r="I146" s="53" t="s">
        <v>721</v>
      </c>
      <c r="J146" s="51">
        <v>44635</v>
      </c>
      <c r="K146" s="51">
        <v>44635</v>
      </c>
      <c r="L146" s="54">
        <f t="shared" si="4"/>
        <v>0</v>
      </c>
      <c r="M146" s="59" t="s">
        <v>2689</v>
      </c>
      <c r="N146" s="53" t="s">
        <v>26</v>
      </c>
      <c r="O146" s="53" t="s">
        <v>2683</v>
      </c>
      <c r="P146" s="53" t="s">
        <v>1404</v>
      </c>
      <c r="Q146" s="53" t="str">
        <f t="shared" si="5"/>
        <v>DENTRO DEL TIEMPO</v>
      </c>
      <c r="R146" s="56"/>
    </row>
    <row r="147" spans="1:18" ht="51" x14ac:dyDescent="0.25">
      <c r="A147" s="49">
        <v>141</v>
      </c>
      <c r="B147" s="50" t="s">
        <v>2690</v>
      </c>
      <c r="C147" s="51">
        <v>44634</v>
      </c>
      <c r="D147" s="51">
        <v>44635</v>
      </c>
      <c r="E147" s="49">
        <v>2</v>
      </c>
      <c r="F147" s="52" t="s">
        <v>22</v>
      </c>
      <c r="G147" s="53" t="s">
        <v>721</v>
      </c>
      <c r="H147" s="53" t="s">
        <v>24</v>
      </c>
      <c r="I147" s="53" t="s">
        <v>721</v>
      </c>
      <c r="J147" s="51">
        <v>44635</v>
      </c>
      <c r="K147" s="51">
        <v>44635</v>
      </c>
      <c r="L147" s="54">
        <f t="shared" si="4"/>
        <v>0</v>
      </c>
      <c r="M147" s="59" t="s">
        <v>2691</v>
      </c>
      <c r="N147" s="53" t="s">
        <v>26</v>
      </c>
      <c r="O147" s="53" t="s">
        <v>2683</v>
      </c>
      <c r="P147" s="53" t="s">
        <v>1404</v>
      </c>
      <c r="Q147" s="53" t="str">
        <f t="shared" si="5"/>
        <v>DENTRO DEL TIEMPO</v>
      </c>
      <c r="R147" s="56"/>
    </row>
    <row r="148" spans="1:18" ht="51" x14ac:dyDescent="0.25">
      <c r="A148" s="49">
        <v>142</v>
      </c>
      <c r="B148" s="50" t="s">
        <v>2692</v>
      </c>
      <c r="C148" s="51">
        <v>44634</v>
      </c>
      <c r="D148" s="51">
        <v>44635</v>
      </c>
      <c r="E148" s="49">
        <v>2</v>
      </c>
      <c r="F148" s="52" t="s">
        <v>22</v>
      </c>
      <c r="G148" s="53" t="s">
        <v>721</v>
      </c>
      <c r="H148" s="53" t="s">
        <v>24</v>
      </c>
      <c r="I148" s="53" t="s">
        <v>721</v>
      </c>
      <c r="J148" s="51">
        <v>44635</v>
      </c>
      <c r="K148" s="51">
        <v>44635</v>
      </c>
      <c r="L148" s="54">
        <f t="shared" si="4"/>
        <v>0</v>
      </c>
      <c r="M148" s="59" t="s">
        <v>2693</v>
      </c>
      <c r="N148" s="53" t="s">
        <v>26</v>
      </c>
      <c r="O148" s="53" t="s">
        <v>2683</v>
      </c>
      <c r="P148" s="53" t="s">
        <v>1404</v>
      </c>
      <c r="Q148" s="53" t="str">
        <f t="shared" si="5"/>
        <v>DENTRO DEL TIEMPO</v>
      </c>
      <c r="R148" s="56"/>
    </row>
    <row r="149" spans="1:18" ht="51" x14ac:dyDescent="0.25">
      <c r="A149" s="49">
        <v>143</v>
      </c>
      <c r="B149" s="50" t="s">
        <v>2694</v>
      </c>
      <c r="C149" s="51">
        <v>44634</v>
      </c>
      <c r="D149" s="51">
        <v>44635</v>
      </c>
      <c r="E149" s="49">
        <v>2</v>
      </c>
      <c r="F149" s="52" t="s">
        <v>22</v>
      </c>
      <c r="G149" s="53" t="s">
        <v>721</v>
      </c>
      <c r="H149" s="53" t="s">
        <v>24</v>
      </c>
      <c r="I149" s="53" t="s">
        <v>721</v>
      </c>
      <c r="J149" s="51">
        <v>44635</v>
      </c>
      <c r="K149" s="51">
        <v>44635</v>
      </c>
      <c r="L149" s="54">
        <f t="shared" si="4"/>
        <v>0</v>
      </c>
      <c r="M149" s="59" t="s">
        <v>2695</v>
      </c>
      <c r="N149" s="53" t="s">
        <v>26</v>
      </c>
      <c r="O149" s="53" t="s">
        <v>2683</v>
      </c>
      <c r="P149" s="53" t="s">
        <v>1404</v>
      </c>
      <c r="Q149" s="53" t="str">
        <f t="shared" si="5"/>
        <v>DENTRO DEL TIEMPO</v>
      </c>
      <c r="R149" s="56"/>
    </row>
    <row r="150" spans="1:18" ht="51" x14ac:dyDescent="0.25">
      <c r="A150" s="49">
        <v>144</v>
      </c>
      <c r="B150" s="50" t="s">
        <v>2696</v>
      </c>
      <c r="C150" s="51">
        <v>44634</v>
      </c>
      <c r="D150" s="51">
        <v>44635</v>
      </c>
      <c r="E150" s="49">
        <v>2</v>
      </c>
      <c r="F150" s="52" t="s">
        <v>22</v>
      </c>
      <c r="G150" s="53" t="s">
        <v>721</v>
      </c>
      <c r="H150" s="53" t="s">
        <v>24</v>
      </c>
      <c r="I150" s="53" t="s">
        <v>721</v>
      </c>
      <c r="J150" s="51">
        <v>44635</v>
      </c>
      <c r="K150" s="51">
        <v>44635</v>
      </c>
      <c r="L150" s="54">
        <f t="shared" si="4"/>
        <v>0</v>
      </c>
      <c r="M150" s="59" t="s">
        <v>2697</v>
      </c>
      <c r="N150" s="53" t="s">
        <v>26</v>
      </c>
      <c r="O150" s="53" t="s">
        <v>2683</v>
      </c>
      <c r="P150" s="53" t="s">
        <v>1404</v>
      </c>
      <c r="Q150" s="53" t="str">
        <f t="shared" si="5"/>
        <v>DENTRO DEL TIEMPO</v>
      </c>
      <c r="R150" s="56"/>
    </row>
    <row r="151" spans="1:18" ht="51" x14ac:dyDescent="0.25">
      <c r="A151" s="49">
        <v>145</v>
      </c>
      <c r="B151" s="50" t="s">
        <v>2698</v>
      </c>
      <c r="C151" s="51">
        <v>44634</v>
      </c>
      <c r="D151" s="51">
        <v>44635</v>
      </c>
      <c r="E151" s="49">
        <v>2</v>
      </c>
      <c r="F151" s="52" t="s">
        <v>22</v>
      </c>
      <c r="G151" s="53" t="s">
        <v>721</v>
      </c>
      <c r="H151" s="53" t="s">
        <v>24</v>
      </c>
      <c r="I151" s="53" t="s">
        <v>721</v>
      </c>
      <c r="J151" s="51">
        <v>44635</v>
      </c>
      <c r="K151" s="51">
        <v>44635</v>
      </c>
      <c r="L151" s="54">
        <f t="shared" si="4"/>
        <v>0</v>
      </c>
      <c r="M151" s="59" t="s">
        <v>2699</v>
      </c>
      <c r="N151" s="53" t="s">
        <v>26</v>
      </c>
      <c r="O151" s="53" t="s">
        <v>2683</v>
      </c>
      <c r="P151" s="53" t="s">
        <v>1404</v>
      </c>
      <c r="Q151" s="53" t="str">
        <f t="shared" si="5"/>
        <v>DENTRO DEL TIEMPO</v>
      </c>
      <c r="R151" s="56"/>
    </row>
    <row r="152" spans="1:18" ht="51" x14ac:dyDescent="0.25">
      <c r="A152" s="49">
        <v>146</v>
      </c>
      <c r="B152" s="50" t="s">
        <v>2700</v>
      </c>
      <c r="C152" s="51">
        <v>44634</v>
      </c>
      <c r="D152" s="51">
        <v>44635</v>
      </c>
      <c r="E152" s="49">
        <v>2</v>
      </c>
      <c r="F152" s="52" t="s">
        <v>22</v>
      </c>
      <c r="G152" s="53" t="s">
        <v>721</v>
      </c>
      <c r="H152" s="53" t="s">
        <v>24</v>
      </c>
      <c r="I152" s="53" t="s">
        <v>721</v>
      </c>
      <c r="J152" s="51">
        <v>44635</v>
      </c>
      <c r="K152" s="51">
        <v>44635</v>
      </c>
      <c r="L152" s="54">
        <f t="shared" si="4"/>
        <v>0</v>
      </c>
      <c r="M152" s="59" t="s">
        <v>2701</v>
      </c>
      <c r="N152" s="53" t="s">
        <v>26</v>
      </c>
      <c r="O152" s="53" t="s">
        <v>2683</v>
      </c>
      <c r="P152" s="53" t="s">
        <v>1404</v>
      </c>
      <c r="Q152" s="53" t="str">
        <f t="shared" si="5"/>
        <v>DENTRO DEL TIEMPO</v>
      </c>
      <c r="R152" s="56"/>
    </row>
    <row r="153" spans="1:18" ht="51" x14ac:dyDescent="0.25">
      <c r="A153" s="49">
        <v>147</v>
      </c>
      <c r="B153" s="50" t="s">
        <v>2702</v>
      </c>
      <c r="C153" s="51">
        <v>44634</v>
      </c>
      <c r="D153" s="51">
        <v>44635</v>
      </c>
      <c r="E153" s="49">
        <v>2</v>
      </c>
      <c r="F153" s="52" t="s">
        <v>22</v>
      </c>
      <c r="G153" s="53" t="s">
        <v>721</v>
      </c>
      <c r="H153" s="53" t="s">
        <v>24</v>
      </c>
      <c r="I153" s="53" t="s">
        <v>721</v>
      </c>
      <c r="J153" s="51">
        <v>44635</v>
      </c>
      <c r="K153" s="51">
        <v>44635</v>
      </c>
      <c r="L153" s="54">
        <f t="shared" si="4"/>
        <v>0</v>
      </c>
      <c r="M153" s="59" t="s">
        <v>2703</v>
      </c>
      <c r="N153" s="53" t="s">
        <v>26</v>
      </c>
      <c r="O153" s="53" t="s">
        <v>2683</v>
      </c>
      <c r="P153" s="53" t="s">
        <v>1404</v>
      </c>
      <c r="Q153" s="53" t="str">
        <f t="shared" si="5"/>
        <v>DENTRO DEL TIEMPO</v>
      </c>
      <c r="R153" s="56"/>
    </row>
    <row r="154" spans="1:18" ht="51" x14ac:dyDescent="0.25">
      <c r="A154" s="49">
        <v>148</v>
      </c>
      <c r="B154" s="50" t="s">
        <v>2704</v>
      </c>
      <c r="C154" s="51">
        <v>44634</v>
      </c>
      <c r="D154" s="51">
        <v>44636</v>
      </c>
      <c r="E154" s="49">
        <v>2</v>
      </c>
      <c r="F154" s="52" t="s">
        <v>22</v>
      </c>
      <c r="G154" s="53" t="s">
        <v>721</v>
      </c>
      <c r="H154" s="53" t="s">
        <v>24</v>
      </c>
      <c r="I154" s="53" t="s">
        <v>721</v>
      </c>
      <c r="J154" s="51">
        <v>44636</v>
      </c>
      <c r="K154" s="51">
        <v>44636</v>
      </c>
      <c r="L154" s="54">
        <f t="shared" si="4"/>
        <v>0</v>
      </c>
      <c r="M154" s="59" t="s">
        <v>2705</v>
      </c>
      <c r="N154" s="53" t="s">
        <v>26</v>
      </c>
      <c r="O154" s="53" t="s">
        <v>2683</v>
      </c>
      <c r="P154" s="53" t="s">
        <v>1404</v>
      </c>
      <c r="Q154" s="53" t="str">
        <f t="shared" si="5"/>
        <v>DENTRO DEL TIEMPO</v>
      </c>
      <c r="R154" s="56"/>
    </row>
    <row r="155" spans="1:18" ht="51" x14ac:dyDescent="0.25">
      <c r="A155" s="49">
        <v>149</v>
      </c>
      <c r="B155" s="50" t="s">
        <v>2706</v>
      </c>
      <c r="C155" s="51">
        <v>44634</v>
      </c>
      <c r="D155" s="51">
        <v>44636</v>
      </c>
      <c r="E155" s="49">
        <v>2</v>
      </c>
      <c r="F155" s="52" t="s">
        <v>22</v>
      </c>
      <c r="G155" s="53" t="s">
        <v>721</v>
      </c>
      <c r="H155" s="53" t="s">
        <v>24</v>
      </c>
      <c r="I155" s="53" t="s">
        <v>721</v>
      </c>
      <c r="J155" s="51">
        <v>44636</v>
      </c>
      <c r="K155" s="51">
        <v>44636</v>
      </c>
      <c r="L155" s="54">
        <f t="shared" si="4"/>
        <v>0</v>
      </c>
      <c r="M155" s="59" t="s">
        <v>2707</v>
      </c>
      <c r="N155" s="53" t="s">
        <v>26</v>
      </c>
      <c r="O155" s="53" t="s">
        <v>2683</v>
      </c>
      <c r="P155" s="53" t="s">
        <v>1404</v>
      </c>
      <c r="Q155" s="53" t="str">
        <f t="shared" si="5"/>
        <v>DENTRO DEL TIEMPO</v>
      </c>
      <c r="R155" s="56"/>
    </row>
    <row r="156" spans="1:18" ht="38.25" x14ac:dyDescent="0.25">
      <c r="A156" s="49">
        <v>150</v>
      </c>
      <c r="B156" s="50" t="s">
        <v>2708</v>
      </c>
      <c r="C156" s="51">
        <v>44634</v>
      </c>
      <c r="D156" s="51">
        <v>44636</v>
      </c>
      <c r="E156" s="49">
        <v>2</v>
      </c>
      <c r="F156" s="52" t="s">
        <v>22</v>
      </c>
      <c r="G156" s="53" t="s">
        <v>721</v>
      </c>
      <c r="H156" s="53" t="s">
        <v>24</v>
      </c>
      <c r="I156" s="53" t="s">
        <v>721</v>
      </c>
      <c r="J156" s="51">
        <v>44636</v>
      </c>
      <c r="K156" s="51">
        <v>44636</v>
      </c>
      <c r="L156" s="54">
        <f t="shared" si="4"/>
        <v>0</v>
      </c>
      <c r="M156" s="59" t="s">
        <v>2709</v>
      </c>
      <c r="N156" s="53" t="s">
        <v>26</v>
      </c>
      <c r="O156" s="53" t="s">
        <v>2710</v>
      </c>
      <c r="P156" s="53" t="s">
        <v>2711</v>
      </c>
      <c r="Q156" s="53" t="str">
        <f t="shared" si="5"/>
        <v>DENTRO DEL TIEMPO</v>
      </c>
      <c r="R156" s="56"/>
    </row>
    <row r="157" spans="1:18" ht="38.25" x14ac:dyDescent="0.25">
      <c r="A157" s="49">
        <v>151</v>
      </c>
      <c r="B157" s="50" t="s">
        <v>2712</v>
      </c>
      <c r="C157" s="51">
        <v>44634</v>
      </c>
      <c r="D157" s="51">
        <v>44636</v>
      </c>
      <c r="E157" s="49">
        <v>2</v>
      </c>
      <c r="F157" s="52" t="s">
        <v>22</v>
      </c>
      <c r="G157" s="53" t="s">
        <v>721</v>
      </c>
      <c r="H157" s="53" t="s">
        <v>24</v>
      </c>
      <c r="I157" s="53" t="s">
        <v>721</v>
      </c>
      <c r="J157" s="51">
        <v>44636</v>
      </c>
      <c r="K157" s="51">
        <v>44636</v>
      </c>
      <c r="L157" s="54">
        <f t="shared" si="4"/>
        <v>0</v>
      </c>
      <c r="M157" s="59" t="s">
        <v>2713</v>
      </c>
      <c r="N157" s="53" t="s">
        <v>26</v>
      </c>
      <c r="O157" s="53" t="s">
        <v>2411</v>
      </c>
      <c r="P157" s="53" t="s">
        <v>1585</v>
      </c>
      <c r="Q157" s="53" t="str">
        <f t="shared" si="5"/>
        <v>DENTRO DEL TIEMPO</v>
      </c>
      <c r="R157" s="56"/>
    </row>
    <row r="158" spans="1:18" ht="38.25" x14ac:dyDescent="0.25">
      <c r="A158" s="49">
        <v>152</v>
      </c>
      <c r="B158" s="50" t="s">
        <v>2714</v>
      </c>
      <c r="C158" s="51">
        <v>44634</v>
      </c>
      <c r="D158" s="51">
        <v>44636</v>
      </c>
      <c r="E158" s="49">
        <v>2</v>
      </c>
      <c r="F158" s="52" t="s">
        <v>22</v>
      </c>
      <c r="G158" s="53" t="s">
        <v>721</v>
      </c>
      <c r="H158" s="53" t="s">
        <v>24</v>
      </c>
      <c r="I158" s="53" t="s">
        <v>721</v>
      </c>
      <c r="J158" s="51">
        <v>44636</v>
      </c>
      <c r="K158" s="51">
        <v>44636</v>
      </c>
      <c r="L158" s="54">
        <f t="shared" si="4"/>
        <v>0</v>
      </c>
      <c r="M158" s="59" t="s">
        <v>2715</v>
      </c>
      <c r="N158" s="53" t="s">
        <v>26</v>
      </c>
      <c r="O158" s="53" t="s">
        <v>2716</v>
      </c>
      <c r="P158" s="53" t="s">
        <v>2717</v>
      </c>
      <c r="Q158" s="53" t="str">
        <f t="shared" si="5"/>
        <v>DENTRO DEL TIEMPO</v>
      </c>
      <c r="R158" s="56"/>
    </row>
    <row r="159" spans="1:18" ht="51" x14ac:dyDescent="0.25">
      <c r="A159" s="49">
        <v>153</v>
      </c>
      <c r="B159" s="50" t="s">
        <v>2718</v>
      </c>
      <c r="C159" s="51">
        <v>44634</v>
      </c>
      <c r="D159" s="51">
        <v>44636</v>
      </c>
      <c r="E159" s="49">
        <v>2</v>
      </c>
      <c r="F159" s="52" t="s">
        <v>22</v>
      </c>
      <c r="G159" s="53" t="s">
        <v>721</v>
      </c>
      <c r="H159" s="53" t="s">
        <v>24</v>
      </c>
      <c r="I159" s="53" t="s">
        <v>721</v>
      </c>
      <c r="J159" s="51">
        <v>44636</v>
      </c>
      <c r="K159" s="51">
        <v>44636</v>
      </c>
      <c r="L159" s="54">
        <f t="shared" si="4"/>
        <v>0</v>
      </c>
      <c r="M159" s="59" t="s">
        <v>2719</v>
      </c>
      <c r="N159" s="53" t="s">
        <v>26</v>
      </c>
      <c r="O159" s="53" t="s">
        <v>2720</v>
      </c>
      <c r="P159" s="53" t="s">
        <v>2721</v>
      </c>
      <c r="Q159" s="53" t="str">
        <f t="shared" si="5"/>
        <v>DENTRO DEL TIEMPO</v>
      </c>
      <c r="R159" s="56"/>
    </row>
    <row r="160" spans="1:18" ht="38.25" x14ac:dyDescent="0.25">
      <c r="A160" s="49">
        <v>154</v>
      </c>
      <c r="B160" s="50" t="s">
        <v>2722</v>
      </c>
      <c r="C160" s="51">
        <v>44634</v>
      </c>
      <c r="D160" s="51">
        <v>44636</v>
      </c>
      <c r="E160" s="49">
        <v>2</v>
      </c>
      <c r="F160" s="52" t="s">
        <v>22</v>
      </c>
      <c r="G160" s="53" t="s">
        <v>721</v>
      </c>
      <c r="H160" s="53" t="s">
        <v>24</v>
      </c>
      <c r="I160" s="53" t="s">
        <v>721</v>
      </c>
      <c r="J160" s="51">
        <v>44636</v>
      </c>
      <c r="K160" s="51">
        <v>44636</v>
      </c>
      <c r="L160" s="54">
        <f t="shared" si="4"/>
        <v>0</v>
      </c>
      <c r="M160" s="59" t="s">
        <v>2723</v>
      </c>
      <c r="N160" s="53" t="s">
        <v>26</v>
      </c>
      <c r="O160" s="53" t="s">
        <v>2724</v>
      </c>
      <c r="P160" s="53" t="s">
        <v>2725</v>
      </c>
      <c r="Q160" s="53" t="str">
        <f t="shared" si="5"/>
        <v>DENTRO DEL TIEMPO</v>
      </c>
      <c r="R160" s="56"/>
    </row>
    <row r="161" spans="1:18" ht="51" x14ac:dyDescent="0.25">
      <c r="A161" s="49">
        <v>155</v>
      </c>
      <c r="B161" s="50" t="s">
        <v>2726</v>
      </c>
      <c r="C161" s="51">
        <v>44634</v>
      </c>
      <c r="D161" s="51">
        <v>44636</v>
      </c>
      <c r="E161" s="49">
        <v>2</v>
      </c>
      <c r="F161" s="52" t="s">
        <v>22</v>
      </c>
      <c r="G161" s="53" t="s">
        <v>721</v>
      </c>
      <c r="H161" s="53" t="s">
        <v>24</v>
      </c>
      <c r="I161" s="53" t="s">
        <v>721</v>
      </c>
      <c r="J161" s="51">
        <v>44636</v>
      </c>
      <c r="K161" s="51">
        <v>44636</v>
      </c>
      <c r="L161" s="54">
        <f t="shared" si="4"/>
        <v>0</v>
      </c>
      <c r="M161" s="59" t="s">
        <v>2727</v>
      </c>
      <c r="N161" s="53" t="s">
        <v>26</v>
      </c>
      <c r="O161" s="53" t="s">
        <v>2407</v>
      </c>
      <c r="P161" s="53" t="s">
        <v>2728</v>
      </c>
      <c r="Q161" s="53" t="str">
        <f t="shared" si="5"/>
        <v>DENTRO DEL TIEMPO</v>
      </c>
      <c r="R161" s="56"/>
    </row>
    <row r="162" spans="1:18" ht="51" x14ac:dyDescent="0.25">
      <c r="A162" s="49">
        <v>156</v>
      </c>
      <c r="B162" s="50" t="s">
        <v>2729</v>
      </c>
      <c r="C162" s="51">
        <v>44634</v>
      </c>
      <c r="D162" s="51">
        <v>44636</v>
      </c>
      <c r="E162" s="49">
        <v>2</v>
      </c>
      <c r="F162" s="52" t="s">
        <v>22</v>
      </c>
      <c r="G162" s="53" t="s">
        <v>721</v>
      </c>
      <c r="H162" s="53" t="s">
        <v>24</v>
      </c>
      <c r="I162" s="53" t="s">
        <v>721</v>
      </c>
      <c r="J162" s="51">
        <v>44636</v>
      </c>
      <c r="K162" s="51">
        <v>44636</v>
      </c>
      <c r="L162" s="54">
        <f t="shared" si="4"/>
        <v>0</v>
      </c>
      <c r="M162" s="59" t="s">
        <v>2730</v>
      </c>
      <c r="N162" s="53" t="s">
        <v>26</v>
      </c>
      <c r="O162" s="53" t="s">
        <v>2731</v>
      </c>
      <c r="P162" s="53" t="s">
        <v>2732</v>
      </c>
      <c r="Q162" s="53" t="str">
        <f t="shared" si="5"/>
        <v>DENTRO DEL TIEMPO</v>
      </c>
      <c r="R162" s="56"/>
    </row>
    <row r="163" spans="1:18" ht="51" x14ac:dyDescent="0.25">
      <c r="A163" s="49">
        <v>157</v>
      </c>
      <c r="B163" s="50" t="s">
        <v>2733</v>
      </c>
      <c r="C163" s="51">
        <v>44634</v>
      </c>
      <c r="D163" s="51">
        <v>44634</v>
      </c>
      <c r="E163" s="49">
        <v>2</v>
      </c>
      <c r="F163" s="52" t="s">
        <v>22</v>
      </c>
      <c r="G163" s="53" t="s">
        <v>1256</v>
      </c>
      <c r="H163" s="53" t="s">
        <v>24</v>
      </c>
      <c r="I163" s="53" t="s">
        <v>1256</v>
      </c>
      <c r="J163" s="51">
        <v>44634</v>
      </c>
      <c r="K163" s="51">
        <v>44634</v>
      </c>
      <c r="L163" s="54">
        <f t="shared" si="4"/>
        <v>0</v>
      </c>
      <c r="M163" s="59" t="s">
        <v>2734</v>
      </c>
      <c r="N163" s="53" t="s">
        <v>26</v>
      </c>
      <c r="O163" s="53" t="s">
        <v>2735</v>
      </c>
      <c r="P163" s="53" t="s">
        <v>2736</v>
      </c>
      <c r="Q163" s="53" t="str">
        <f t="shared" si="5"/>
        <v>DENTRO DEL TIEMPO</v>
      </c>
      <c r="R163" s="56"/>
    </row>
    <row r="164" spans="1:18" ht="51" x14ac:dyDescent="0.25">
      <c r="A164" s="49">
        <v>158</v>
      </c>
      <c r="B164" s="50" t="s">
        <v>2737</v>
      </c>
      <c r="C164" s="51">
        <v>44634</v>
      </c>
      <c r="D164" s="51">
        <v>44636</v>
      </c>
      <c r="E164" s="49">
        <v>2</v>
      </c>
      <c r="F164" s="52" t="s">
        <v>22</v>
      </c>
      <c r="G164" s="53" t="s">
        <v>721</v>
      </c>
      <c r="H164" s="53" t="s">
        <v>24</v>
      </c>
      <c r="I164" s="53" t="s">
        <v>721</v>
      </c>
      <c r="J164" s="51">
        <v>44636</v>
      </c>
      <c r="K164" s="51">
        <v>44636</v>
      </c>
      <c r="L164" s="54">
        <f t="shared" si="4"/>
        <v>0</v>
      </c>
      <c r="M164" s="59" t="s">
        <v>2738</v>
      </c>
      <c r="N164" s="53" t="s">
        <v>26</v>
      </c>
      <c r="O164" s="53" t="s">
        <v>2739</v>
      </c>
      <c r="P164" s="53" t="s">
        <v>2740</v>
      </c>
      <c r="Q164" s="53" t="str">
        <f t="shared" si="5"/>
        <v>DENTRO DEL TIEMPO</v>
      </c>
      <c r="R164" s="56"/>
    </row>
    <row r="165" spans="1:18" ht="51" x14ac:dyDescent="0.25">
      <c r="A165" s="49">
        <v>159</v>
      </c>
      <c r="B165" s="50" t="s">
        <v>2741</v>
      </c>
      <c r="C165" s="51">
        <v>44634</v>
      </c>
      <c r="D165" s="51">
        <v>44637</v>
      </c>
      <c r="E165" s="49">
        <v>2</v>
      </c>
      <c r="F165" s="52" t="s">
        <v>22</v>
      </c>
      <c r="G165" s="53" t="s">
        <v>721</v>
      </c>
      <c r="H165" s="53" t="s">
        <v>24</v>
      </c>
      <c r="I165" s="53" t="s">
        <v>721</v>
      </c>
      <c r="J165" s="51">
        <v>44637</v>
      </c>
      <c r="K165" s="51">
        <v>44637</v>
      </c>
      <c r="L165" s="54">
        <f t="shared" si="4"/>
        <v>0</v>
      </c>
      <c r="M165" s="59" t="s">
        <v>2742</v>
      </c>
      <c r="N165" s="53" t="s">
        <v>26</v>
      </c>
      <c r="O165" s="53" t="s">
        <v>2743</v>
      </c>
      <c r="P165" s="53" t="s">
        <v>1784</v>
      </c>
      <c r="Q165" s="53" t="str">
        <f t="shared" si="5"/>
        <v>DENTRO DEL TIEMPO</v>
      </c>
      <c r="R165" s="56"/>
    </row>
    <row r="166" spans="1:18" ht="51" x14ac:dyDescent="0.25">
      <c r="A166" s="49">
        <v>160</v>
      </c>
      <c r="B166" s="50" t="s">
        <v>2744</v>
      </c>
      <c r="C166" s="51">
        <v>44634</v>
      </c>
      <c r="D166" s="51">
        <v>44637</v>
      </c>
      <c r="E166" s="49">
        <v>2</v>
      </c>
      <c r="F166" s="52" t="s">
        <v>22</v>
      </c>
      <c r="G166" s="53" t="s">
        <v>721</v>
      </c>
      <c r="H166" s="53" t="s">
        <v>24</v>
      </c>
      <c r="I166" s="53" t="s">
        <v>721</v>
      </c>
      <c r="J166" s="51">
        <v>44637</v>
      </c>
      <c r="K166" s="51">
        <v>44637</v>
      </c>
      <c r="L166" s="54">
        <f t="shared" si="4"/>
        <v>0</v>
      </c>
      <c r="M166" s="59" t="s">
        <v>2745</v>
      </c>
      <c r="N166" s="53" t="s">
        <v>26</v>
      </c>
      <c r="O166" s="53" t="s">
        <v>2320</v>
      </c>
      <c r="P166" s="53" t="s">
        <v>2746</v>
      </c>
      <c r="Q166" s="53" t="str">
        <f t="shared" si="5"/>
        <v>DENTRO DEL TIEMPO</v>
      </c>
      <c r="R166" s="56"/>
    </row>
    <row r="167" spans="1:18" ht="38.25" x14ac:dyDescent="0.25">
      <c r="A167" s="49">
        <v>161</v>
      </c>
      <c r="B167" s="50" t="s">
        <v>2747</v>
      </c>
      <c r="C167" s="51">
        <v>44635</v>
      </c>
      <c r="D167" s="51">
        <v>44637</v>
      </c>
      <c r="E167" s="49">
        <v>2</v>
      </c>
      <c r="F167" s="52" t="s">
        <v>22</v>
      </c>
      <c r="G167" s="53" t="s">
        <v>721</v>
      </c>
      <c r="H167" s="53" t="s">
        <v>24</v>
      </c>
      <c r="I167" s="53" t="s">
        <v>721</v>
      </c>
      <c r="J167" s="51">
        <v>44637</v>
      </c>
      <c r="K167" s="51">
        <v>44637</v>
      </c>
      <c r="L167" s="54">
        <f t="shared" si="4"/>
        <v>0</v>
      </c>
      <c r="M167" s="59" t="s">
        <v>2748</v>
      </c>
      <c r="N167" s="53" t="s">
        <v>26</v>
      </c>
      <c r="O167" s="53" t="s">
        <v>2275</v>
      </c>
      <c r="P167" s="53" t="s">
        <v>2749</v>
      </c>
      <c r="Q167" s="53" t="str">
        <f t="shared" si="5"/>
        <v>DENTRO DEL TIEMPO</v>
      </c>
      <c r="R167" s="56"/>
    </row>
    <row r="168" spans="1:18" ht="51" x14ac:dyDescent="0.25">
      <c r="A168" s="49">
        <v>162</v>
      </c>
      <c r="B168" s="50" t="s">
        <v>2750</v>
      </c>
      <c r="C168" s="51">
        <v>44635</v>
      </c>
      <c r="D168" s="51">
        <v>44641</v>
      </c>
      <c r="E168" s="49">
        <v>15</v>
      </c>
      <c r="F168" s="52" t="s">
        <v>22</v>
      </c>
      <c r="G168" s="53" t="s">
        <v>1256</v>
      </c>
      <c r="H168" s="53" t="s">
        <v>24</v>
      </c>
      <c r="I168" s="53" t="s">
        <v>1256</v>
      </c>
      <c r="J168" s="51">
        <v>44641</v>
      </c>
      <c r="K168" s="51">
        <v>44641</v>
      </c>
      <c r="L168" s="54">
        <f t="shared" si="4"/>
        <v>0</v>
      </c>
      <c r="M168" s="59" t="s">
        <v>2751</v>
      </c>
      <c r="N168" s="53" t="s">
        <v>26</v>
      </c>
      <c r="O168" s="53" t="s">
        <v>2752</v>
      </c>
      <c r="P168" s="53" t="s">
        <v>2753</v>
      </c>
      <c r="Q168" s="53" t="str">
        <f t="shared" si="5"/>
        <v>DENTRO DEL TIEMPO</v>
      </c>
      <c r="R168" s="56"/>
    </row>
    <row r="169" spans="1:18" ht="38.25" x14ac:dyDescent="0.25">
      <c r="A169" s="49">
        <v>163</v>
      </c>
      <c r="B169" s="50" t="s">
        <v>2754</v>
      </c>
      <c r="C169" s="51">
        <v>44635</v>
      </c>
      <c r="D169" s="51">
        <v>44637</v>
      </c>
      <c r="E169" s="49">
        <v>2</v>
      </c>
      <c r="F169" s="52" t="s">
        <v>22</v>
      </c>
      <c r="G169" s="53" t="s">
        <v>721</v>
      </c>
      <c r="H169" s="53" t="s">
        <v>24</v>
      </c>
      <c r="I169" s="53" t="s">
        <v>721</v>
      </c>
      <c r="J169" s="51">
        <v>44637</v>
      </c>
      <c r="K169" s="51">
        <v>44637</v>
      </c>
      <c r="L169" s="54">
        <f t="shared" si="4"/>
        <v>0</v>
      </c>
      <c r="M169" s="59" t="s">
        <v>2755</v>
      </c>
      <c r="N169" s="53" t="s">
        <v>26</v>
      </c>
      <c r="O169" s="53" t="s">
        <v>2756</v>
      </c>
      <c r="P169" s="53" t="s">
        <v>2757</v>
      </c>
      <c r="Q169" s="53" t="str">
        <f t="shared" si="5"/>
        <v>DENTRO DEL TIEMPO</v>
      </c>
      <c r="R169" s="56"/>
    </row>
    <row r="170" spans="1:18" ht="51" x14ac:dyDescent="0.25">
      <c r="A170" s="49">
        <v>164</v>
      </c>
      <c r="B170" s="50" t="s">
        <v>2758</v>
      </c>
      <c r="C170" s="51">
        <v>44635</v>
      </c>
      <c r="D170" s="51">
        <v>44637</v>
      </c>
      <c r="E170" s="49">
        <v>4</v>
      </c>
      <c r="F170" s="52" t="s">
        <v>22</v>
      </c>
      <c r="G170" s="53" t="s">
        <v>721</v>
      </c>
      <c r="H170" s="53" t="s">
        <v>24</v>
      </c>
      <c r="I170" s="53" t="s">
        <v>721</v>
      </c>
      <c r="J170" s="51">
        <v>44637</v>
      </c>
      <c r="K170" s="51">
        <v>44637</v>
      </c>
      <c r="L170" s="54">
        <f t="shared" si="4"/>
        <v>0</v>
      </c>
      <c r="M170" s="59" t="s">
        <v>2759</v>
      </c>
      <c r="N170" s="53" t="s">
        <v>26</v>
      </c>
      <c r="O170" s="53" t="s">
        <v>2614</v>
      </c>
      <c r="P170" s="53" t="s">
        <v>2760</v>
      </c>
      <c r="Q170" s="53" t="str">
        <f t="shared" si="5"/>
        <v>DENTRO DEL TIEMPO</v>
      </c>
      <c r="R170" s="56"/>
    </row>
    <row r="171" spans="1:18" ht="51" x14ac:dyDescent="0.25">
      <c r="A171" s="49">
        <v>165</v>
      </c>
      <c r="B171" s="50" t="s">
        <v>2761</v>
      </c>
      <c r="C171" s="51">
        <v>44635</v>
      </c>
      <c r="D171" s="51">
        <v>44637</v>
      </c>
      <c r="E171" s="49"/>
      <c r="F171" s="52" t="s">
        <v>22</v>
      </c>
      <c r="G171" s="53" t="s">
        <v>721</v>
      </c>
      <c r="H171" s="53" t="s">
        <v>24</v>
      </c>
      <c r="I171" s="53" t="s">
        <v>721</v>
      </c>
      <c r="J171" s="51">
        <v>44637</v>
      </c>
      <c r="K171" s="51">
        <v>44637</v>
      </c>
      <c r="L171" s="54">
        <f t="shared" si="4"/>
        <v>0</v>
      </c>
      <c r="M171" s="59" t="s">
        <v>2762</v>
      </c>
      <c r="N171" s="53" t="s">
        <v>26</v>
      </c>
      <c r="O171" s="53" t="s">
        <v>2763</v>
      </c>
      <c r="P171" s="53" t="s">
        <v>1036</v>
      </c>
      <c r="Q171" s="53" t="str">
        <f t="shared" si="5"/>
        <v>DENTRO DEL TIEMPO</v>
      </c>
      <c r="R171" s="56"/>
    </row>
    <row r="172" spans="1:18" ht="51" x14ac:dyDescent="0.25">
      <c r="A172" s="49">
        <v>166</v>
      </c>
      <c r="B172" s="50" t="s">
        <v>2764</v>
      </c>
      <c r="C172" s="51">
        <v>44635</v>
      </c>
      <c r="D172" s="51">
        <v>44637</v>
      </c>
      <c r="E172" s="49">
        <v>4</v>
      </c>
      <c r="F172" s="52" t="s">
        <v>22</v>
      </c>
      <c r="G172" s="53" t="s">
        <v>721</v>
      </c>
      <c r="H172" s="53" t="s">
        <v>24</v>
      </c>
      <c r="I172" s="53" t="s">
        <v>721</v>
      </c>
      <c r="J172" s="51">
        <v>44637</v>
      </c>
      <c r="K172" s="51">
        <v>44637</v>
      </c>
      <c r="L172" s="54">
        <f t="shared" si="4"/>
        <v>0</v>
      </c>
      <c r="M172" s="59" t="s">
        <v>2765</v>
      </c>
      <c r="N172" s="53" t="s">
        <v>26</v>
      </c>
      <c r="O172" s="53" t="s">
        <v>2766</v>
      </c>
      <c r="P172" s="53" t="s">
        <v>2767</v>
      </c>
      <c r="Q172" s="53" t="str">
        <f t="shared" si="5"/>
        <v>DENTRO DEL TIEMPO</v>
      </c>
      <c r="R172" s="56"/>
    </row>
    <row r="173" spans="1:18" ht="51" x14ac:dyDescent="0.25">
      <c r="A173" s="49">
        <v>167</v>
      </c>
      <c r="B173" s="50" t="s">
        <v>2768</v>
      </c>
      <c r="C173" s="51">
        <v>44635</v>
      </c>
      <c r="D173" s="51">
        <v>44635</v>
      </c>
      <c r="E173" s="49">
        <v>0</v>
      </c>
      <c r="F173" s="52" t="s">
        <v>2769</v>
      </c>
      <c r="G173" s="53" t="s">
        <v>2770</v>
      </c>
      <c r="H173" s="53" t="s">
        <v>24</v>
      </c>
      <c r="I173" s="53" t="s">
        <v>2770</v>
      </c>
      <c r="J173" s="51"/>
      <c r="K173" s="51"/>
      <c r="L173" s="54">
        <f t="shared" si="4"/>
        <v>-31883</v>
      </c>
      <c r="M173" s="61"/>
      <c r="N173" s="53" t="s">
        <v>26</v>
      </c>
      <c r="O173" s="53" t="s">
        <v>2771</v>
      </c>
      <c r="P173" s="8"/>
      <c r="Q173" s="53" t="str">
        <f t="shared" si="5"/>
        <v>DENTRO DEL TIEMPO</v>
      </c>
      <c r="R173" s="56"/>
    </row>
    <row r="174" spans="1:18" ht="51" x14ac:dyDescent="0.25">
      <c r="A174" s="49">
        <v>168</v>
      </c>
      <c r="B174" s="50" t="s">
        <v>2772</v>
      </c>
      <c r="C174" s="51">
        <v>44635</v>
      </c>
      <c r="D174" s="51">
        <v>44635</v>
      </c>
      <c r="E174" s="49">
        <v>2</v>
      </c>
      <c r="F174" s="52" t="s">
        <v>22</v>
      </c>
      <c r="G174" s="53" t="s">
        <v>1256</v>
      </c>
      <c r="H174" s="53" t="s">
        <v>24</v>
      </c>
      <c r="I174" s="53" t="s">
        <v>1256</v>
      </c>
      <c r="J174" s="51">
        <v>44635</v>
      </c>
      <c r="K174" s="51">
        <v>44635</v>
      </c>
      <c r="L174" s="54">
        <f t="shared" si="4"/>
        <v>0</v>
      </c>
      <c r="M174" s="59" t="s">
        <v>2773</v>
      </c>
      <c r="N174" s="53" t="s">
        <v>26</v>
      </c>
      <c r="O174" s="53" t="s">
        <v>2774</v>
      </c>
      <c r="P174" s="53" t="s">
        <v>2775</v>
      </c>
      <c r="Q174" s="53" t="str">
        <f t="shared" si="5"/>
        <v>DENTRO DEL TIEMPO</v>
      </c>
      <c r="R174" s="56"/>
    </row>
    <row r="175" spans="1:18" ht="51" x14ac:dyDescent="0.25">
      <c r="A175" s="49">
        <v>169</v>
      </c>
      <c r="B175" s="50" t="s">
        <v>2776</v>
      </c>
      <c r="C175" s="51">
        <v>44636</v>
      </c>
      <c r="D175" s="51">
        <v>44637</v>
      </c>
      <c r="E175" s="49">
        <v>2</v>
      </c>
      <c r="F175" s="52" t="s">
        <v>22</v>
      </c>
      <c r="G175" s="53" t="s">
        <v>721</v>
      </c>
      <c r="H175" s="53" t="s">
        <v>24</v>
      </c>
      <c r="I175" s="53" t="s">
        <v>721</v>
      </c>
      <c r="J175" s="51">
        <v>44637</v>
      </c>
      <c r="K175" s="51">
        <v>44637</v>
      </c>
      <c r="L175" s="54">
        <f t="shared" si="4"/>
        <v>0</v>
      </c>
      <c r="M175" s="59" t="s">
        <v>2777</v>
      </c>
      <c r="N175" s="53" t="s">
        <v>26</v>
      </c>
      <c r="O175" s="53" t="s">
        <v>2396</v>
      </c>
      <c r="P175" s="53" t="s">
        <v>1315</v>
      </c>
      <c r="Q175" s="53" t="str">
        <f t="shared" si="5"/>
        <v>DENTRO DEL TIEMPO</v>
      </c>
      <c r="R175" s="56"/>
    </row>
    <row r="176" spans="1:18" ht="51" x14ac:dyDescent="0.25">
      <c r="A176" s="49">
        <v>170</v>
      </c>
      <c r="B176" s="50" t="s">
        <v>2778</v>
      </c>
      <c r="C176" s="51">
        <v>44636</v>
      </c>
      <c r="D176" s="51">
        <v>44637</v>
      </c>
      <c r="E176" s="49">
        <v>2</v>
      </c>
      <c r="F176" s="52" t="s">
        <v>22</v>
      </c>
      <c r="G176" s="53" t="s">
        <v>721</v>
      </c>
      <c r="H176" s="53" t="s">
        <v>24</v>
      </c>
      <c r="I176" s="53" t="s">
        <v>721</v>
      </c>
      <c r="J176" s="51">
        <v>44637</v>
      </c>
      <c r="K176" s="51">
        <v>44637</v>
      </c>
      <c r="L176" s="54">
        <f t="shared" si="4"/>
        <v>0</v>
      </c>
      <c r="M176" s="59" t="s">
        <v>2779</v>
      </c>
      <c r="N176" s="53" t="s">
        <v>26</v>
      </c>
      <c r="O176" s="53" t="s">
        <v>2396</v>
      </c>
      <c r="P176" s="53" t="s">
        <v>1315</v>
      </c>
      <c r="Q176" s="53" t="str">
        <f t="shared" si="5"/>
        <v>DENTRO DEL TIEMPO</v>
      </c>
      <c r="R176" s="56"/>
    </row>
    <row r="177" spans="1:18" ht="51" x14ac:dyDescent="0.25">
      <c r="A177" s="49">
        <v>171</v>
      </c>
      <c r="B177" s="50" t="s">
        <v>2780</v>
      </c>
      <c r="C177" s="51">
        <v>44636</v>
      </c>
      <c r="D177" s="51">
        <v>44637</v>
      </c>
      <c r="E177" s="49">
        <v>2</v>
      </c>
      <c r="F177" s="52" t="s">
        <v>22</v>
      </c>
      <c r="G177" s="53" t="s">
        <v>721</v>
      </c>
      <c r="H177" s="53" t="s">
        <v>24</v>
      </c>
      <c r="I177" s="53" t="s">
        <v>721</v>
      </c>
      <c r="J177" s="51">
        <v>44637</v>
      </c>
      <c r="K177" s="51">
        <v>44637</v>
      </c>
      <c r="L177" s="54">
        <f t="shared" si="4"/>
        <v>0</v>
      </c>
      <c r="M177" s="59" t="s">
        <v>2781</v>
      </c>
      <c r="N177" s="53" t="s">
        <v>26</v>
      </c>
      <c r="O177" s="53" t="s">
        <v>2396</v>
      </c>
      <c r="P177" s="53" t="s">
        <v>1315</v>
      </c>
      <c r="Q177" s="53" t="str">
        <f t="shared" si="5"/>
        <v>DENTRO DEL TIEMPO</v>
      </c>
      <c r="R177" s="56"/>
    </row>
    <row r="178" spans="1:18" ht="51" x14ac:dyDescent="0.25">
      <c r="A178" s="49">
        <v>172</v>
      </c>
      <c r="B178" s="50" t="s">
        <v>2782</v>
      </c>
      <c r="C178" s="51">
        <v>44636</v>
      </c>
      <c r="D178" s="51">
        <v>44643</v>
      </c>
      <c r="E178" s="49">
        <v>19</v>
      </c>
      <c r="F178" s="52" t="s">
        <v>22</v>
      </c>
      <c r="G178" s="53" t="s">
        <v>1256</v>
      </c>
      <c r="H178" s="53" t="s">
        <v>24</v>
      </c>
      <c r="I178" s="53" t="s">
        <v>1256</v>
      </c>
      <c r="J178" s="51">
        <v>44645</v>
      </c>
      <c r="K178" s="51">
        <v>44645</v>
      </c>
      <c r="L178" s="54">
        <f t="shared" si="4"/>
        <v>2</v>
      </c>
      <c r="M178" s="59" t="s">
        <v>2783</v>
      </c>
      <c r="N178" s="53" t="s">
        <v>26</v>
      </c>
      <c r="O178" s="53" t="s">
        <v>2784</v>
      </c>
      <c r="P178" s="53" t="s">
        <v>2785</v>
      </c>
      <c r="Q178" s="53" t="str">
        <f t="shared" si="5"/>
        <v>DENTRO DEL TIEMPO</v>
      </c>
      <c r="R178" s="56"/>
    </row>
    <row r="179" spans="1:18" ht="38.25" x14ac:dyDescent="0.25">
      <c r="A179" s="49">
        <v>173</v>
      </c>
      <c r="B179" s="50" t="s">
        <v>2786</v>
      </c>
      <c r="C179" s="51">
        <v>44636</v>
      </c>
      <c r="D179" s="51">
        <v>44637</v>
      </c>
      <c r="E179" s="49">
        <v>2</v>
      </c>
      <c r="F179" s="52" t="s">
        <v>22</v>
      </c>
      <c r="G179" s="53" t="s">
        <v>721</v>
      </c>
      <c r="H179" s="53" t="s">
        <v>24</v>
      </c>
      <c r="I179" s="53" t="s">
        <v>721</v>
      </c>
      <c r="J179" s="51">
        <v>44637</v>
      </c>
      <c r="K179" s="51">
        <v>44637</v>
      </c>
      <c r="L179" s="54">
        <f t="shared" si="4"/>
        <v>0</v>
      </c>
      <c r="M179" s="59" t="s">
        <v>2787</v>
      </c>
      <c r="N179" s="53" t="s">
        <v>26</v>
      </c>
      <c r="O179" s="53" t="s">
        <v>2788</v>
      </c>
      <c r="P179" s="53" t="s">
        <v>2789</v>
      </c>
      <c r="Q179" s="53" t="str">
        <f t="shared" si="5"/>
        <v>DENTRO DEL TIEMPO</v>
      </c>
      <c r="R179" s="56"/>
    </row>
    <row r="180" spans="1:18" ht="38.25" x14ac:dyDescent="0.25">
      <c r="A180" s="49">
        <v>174</v>
      </c>
      <c r="B180" s="50" t="s">
        <v>2790</v>
      </c>
      <c r="C180" s="51">
        <v>44636</v>
      </c>
      <c r="D180" s="51">
        <v>44638</v>
      </c>
      <c r="E180" s="49">
        <v>2</v>
      </c>
      <c r="F180" s="52" t="s">
        <v>22</v>
      </c>
      <c r="G180" s="53" t="s">
        <v>721</v>
      </c>
      <c r="H180" s="53" t="s">
        <v>24</v>
      </c>
      <c r="I180" s="53" t="s">
        <v>721</v>
      </c>
      <c r="J180" s="51">
        <v>44638</v>
      </c>
      <c r="K180" s="51">
        <v>44638</v>
      </c>
      <c r="L180" s="54">
        <f t="shared" si="4"/>
        <v>0</v>
      </c>
      <c r="M180" s="59" t="s">
        <v>2791</v>
      </c>
      <c r="N180" s="53" t="s">
        <v>26</v>
      </c>
      <c r="O180" s="53" t="s">
        <v>2792</v>
      </c>
      <c r="P180" s="53" t="s">
        <v>2793</v>
      </c>
      <c r="Q180" s="53" t="str">
        <f t="shared" si="5"/>
        <v>DENTRO DEL TIEMPO</v>
      </c>
      <c r="R180" s="56"/>
    </row>
    <row r="181" spans="1:18" ht="38.25" x14ac:dyDescent="0.25">
      <c r="A181" s="49">
        <v>175</v>
      </c>
      <c r="B181" s="50" t="s">
        <v>2794</v>
      </c>
      <c r="C181" s="51">
        <v>44636</v>
      </c>
      <c r="D181" s="51">
        <v>44638</v>
      </c>
      <c r="E181" s="49">
        <v>2</v>
      </c>
      <c r="F181" s="52" t="s">
        <v>22</v>
      </c>
      <c r="G181" s="53" t="s">
        <v>721</v>
      </c>
      <c r="H181" s="53" t="s">
        <v>24</v>
      </c>
      <c r="I181" s="53" t="s">
        <v>721</v>
      </c>
      <c r="J181" s="51">
        <v>44638</v>
      </c>
      <c r="K181" s="51">
        <v>44638</v>
      </c>
      <c r="L181" s="54">
        <f t="shared" si="4"/>
        <v>0</v>
      </c>
      <c r="M181" s="59" t="s">
        <v>2795</v>
      </c>
      <c r="N181" s="53" t="s">
        <v>26</v>
      </c>
      <c r="O181" s="53" t="s">
        <v>2796</v>
      </c>
      <c r="P181" s="53" t="s">
        <v>2797</v>
      </c>
      <c r="Q181" s="53" t="str">
        <f t="shared" si="5"/>
        <v>DENTRO DEL TIEMPO</v>
      </c>
      <c r="R181" s="56"/>
    </row>
    <row r="182" spans="1:18" ht="38.25" x14ac:dyDescent="0.25">
      <c r="A182" s="49">
        <v>176</v>
      </c>
      <c r="B182" s="50" t="s">
        <v>2798</v>
      </c>
      <c r="C182" s="51">
        <v>44636</v>
      </c>
      <c r="D182" s="51">
        <v>44638</v>
      </c>
      <c r="E182" s="49">
        <v>2</v>
      </c>
      <c r="F182" s="52" t="s">
        <v>22</v>
      </c>
      <c r="G182" s="53" t="s">
        <v>721</v>
      </c>
      <c r="H182" s="53" t="s">
        <v>24</v>
      </c>
      <c r="I182" s="53" t="s">
        <v>721</v>
      </c>
      <c r="J182" s="51">
        <v>44638</v>
      </c>
      <c r="K182" s="51">
        <v>44638</v>
      </c>
      <c r="L182" s="54">
        <f t="shared" si="4"/>
        <v>0</v>
      </c>
      <c r="M182" s="59" t="s">
        <v>2799</v>
      </c>
      <c r="N182" s="53" t="s">
        <v>26</v>
      </c>
      <c r="O182" s="53" t="s">
        <v>2327</v>
      </c>
      <c r="P182" s="53" t="s">
        <v>2321</v>
      </c>
      <c r="Q182" s="53" t="str">
        <f t="shared" si="5"/>
        <v>DENTRO DEL TIEMPO</v>
      </c>
      <c r="R182" s="56"/>
    </row>
    <row r="183" spans="1:18" ht="38.25" x14ac:dyDescent="0.25">
      <c r="A183" s="49">
        <v>177</v>
      </c>
      <c r="B183" s="50" t="s">
        <v>2800</v>
      </c>
      <c r="C183" s="51">
        <v>44636</v>
      </c>
      <c r="D183" s="51">
        <v>44638</v>
      </c>
      <c r="E183" s="49">
        <v>2</v>
      </c>
      <c r="F183" s="52" t="s">
        <v>22</v>
      </c>
      <c r="G183" s="53" t="s">
        <v>721</v>
      </c>
      <c r="H183" s="53" t="s">
        <v>24</v>
      </c>
      <c r="I183" s="53" t="s">
        <v>721</v>
      </c>
      <c r="J183" s="51">
        <v>44638</v>
      </c>
      <c r="K183" s="51">
        <v>44638</v>
      </c>
      <c r="L183" s="54">
        <f t="shared" si="4"/>
        <v>0</v>
      </c>
      <c r="M183" s="59" t="s">
        <v>2801</v>
      </c>
      <c r="N183" s="53" t="s">
        <v>26</v>
      </c>
      <c r="O183" s="53" t="s">
        <v>2411</v>
      </c>
      <c r="P183" s="53" t="s">
        <v>2802</v>
      </c>
      <c r="Q183" s="53" t="str">
        <f t="shared" si="5"/>
        <v>DENTRO DEL TIEMPO</v>
      </c>
      <c r="R183" s="56"/>
    </row>
    <row r="184" spans="1:18" ht="51" x14ac:dyDescent="0.25">
      <c r="A184" s="49">
        <v>178</v>
      </c>
      <c r="B184" s="50" t="s">
        <v>2803</v>
      </c>
      <c r="C184" s="51">
        <v>44636</v>
      </c>
      <c r="D184" s="51">
        <v>44638</v>
      </c>
      <c r="E184" s="49">
        <v>2</v>
      </c>
      <c r="F184" s="52" t="s">
        <v>22</v>
      </c>
      <c r="G184" s="53" t="s">
        <v>721</v>
      </c>
      <c r="H184" s="53" t="s">
        <v>24</v>
      </c>
      <c r="I184" s="53" t="s">
        <v>721</v>
      </c>
      <c r="J184" s="51">
        <v>44638</v>
      </c>
      <c r="K184" s="51">
        <v>44638</v>
      </c>
      <c r="L184" s="54">
        <f t="shared" si="4"/>
        <v>0</v>
      </c>
      <c r="M184" s="59" t="s">
        <v>2804</v>
      </c>
      <c r="N184" s="53" t="s">
        <v>26</v>
      </c>
      <c r="O184" s="53" t="s">
        <v>2683</v>
      </c>
      <c r="P184" s="53" t="s">
        <v>1404</v>
      </c>
      <c r="Q184" s="53" t="str">
        <f t="shared" si="5"/>
        <v>DENTRO DEL TIEMPO</v>
      </c>
      <c r="R184" s="56"/>
    </row>
    <row r="185" spans="1:18" ht="51" x14ac:dyDescent="0.25">
      <c r="A185" s="49">
        <v>179</v>
      </c>
      <c r="B185" s="50" t="s">
        <v>2805</v>
      </c>
      <c r="C185" s="51">
        <v>44636</v>
      </c>
      <c r="D185" s="51">
        <v>44638</v>
      </c>
      <c r="E185" s="49">
        <v>2</v>
      </c>
      <c r="F185" s="52" t="s">
        <v>22</v>
      </c>
      <c r="G185" s="53" t="s">
        <v>721</v>
      </c>
      <c r="H185" s="53" t="s">
        <v>24</v>
      </c>
      <c r="I185" s="53" t="s">
        <v>721</v>
      </c>
      <c r="J185" s="51">
        <v>44638</v>
      </c>
      <c r="K185" s="51">
        <v>44638</v>
      </c>
      <c r="L185" s="54">
        <f t="shared" si="4"/>
        <v>0</v>
      </c>
      <c r="M185" s="59" t="s">
        <v>2806</v>
      </c>
      <c r="N185" s="53" t="s">
        <v>26</v>
      </c>
      <c r="O185" s="53" t="s">
        <v>2683</v>
      </c>
      <c r="P185" s="53" t="s">
        <v>1404</v>
      </c>
      <c r="Q185" s="53" t="str">
        <f t="shared" si="5"/>
        <v>DENTRO DEL TIEMPO</v>
      </c>
      <c r="R185" s="56"/>
    </row>
    <row r="186" spans="1:18" ht="51" x14ac:dyDescent="0.25">
      <c r="A186" s="49">
        <v>180</v>
      </c>
      <c r="B186" s="50" t="s">
        <v>2807</v>
      </c>
      <c r="C186" s="51">
        <v>44636</v>
      </c>
      <c r="D186" s="51">
        <v>44638</v>
      </c>
      <c r="E186" s="49">
        <v>2</v>
      </c>
      <c r="F186" s="52" t="s">
        <v>22</v>
      </c>
      <c r="G186" s="53" t="s">
        <v>721</v>
      </c>
      <c r="H186" s="53" t="s">
        <v>24</v>
      </c>
      <c r="I186" s="53" t="s">
        <v>721</v>
      </c>
      <c r="J186" s="51">
        <v>44638</v>
      </c>
      <c r="K186" s="51">
        <v>44638</v>
      </c>
      <c r="L186" s="54">
        <f t="shared" si="4"/>
        <v>0</v>
      </c>
      <c r="M186" s="59" t="s">
        <v>2808</v>
      </c>
      <c r="N186" s="53" t="s">
        <v>26</v>
      </c>
      <c r="O186" s="53" t="s">
        <v>2809</v>
      </c>
      <c r="P186" s="53" t="s">
        <v>1582</v>
      </c>
      <c r="Q186" s="53" t="str">
        <f t="shared" si="5"/>
        <v>DENTRO DEL TIEMPO</v>
      </c>
      <c r="R186" s="56"/>
    </row>
    <row r="187" spans="1:18" ht="51" x14ac:dyDescent="0.25">
      <c r="A187" s="49">
        <v>181</v>
      </c>
      <c r="B187" s="50" t="s">
        <v>2810</v>
      </c>
      <c r="C187" s="51">
        <v>44636</v>
      </c>
      <c r="D187" s="51">
        <v>44638</v>
      </c>
      <c r="E187" s="49">
        <v>2</v>
      </c>
      <c r="F187" s="52" t="s">
        <v>22</v>
      </c>
      <c r="G187" s="53" t="s">
        <v>721</v>
      </c>
      <c r="H187" s="53" t="s">
        <v>24</v>
      </c>
      <c r="I187" s="53" t="s">
        <v>721</v>
      </c>
      <c r="J187" s="51">
        <v>44638</v>
      </c>
      <c r="K187" s="51">
        <v>44638</v>
      </c>
      <c r="L187" s="54">
        <f t="shared" si="4"/>
        <v>0</v>
      </c>
      <c r="M187" s="59" t="s">
        <v>2811</v>
      </c>
      <c r="N187" s="53" t="s">
        <v>26</v>
      </c>
      <c r="O187" s="53" t="s">
        <v>2812</v>
      </c>
      <c r="P187" s="53" t="s">
        <v>2813</v>
      </c>
      <c r="Q187" s="53" t="str">
        <f t="shared" si="5"/>
        <v>DENTRO DEL TIEMPO</v>
      </c>
      <c r="R187" s="56"/>
    </row>
    <row r="188" spans="1:18" ht="51" x14ac:dyDescent="0.25">
      <c r="A188" s="49">
        <v>182</v>
      </c>
      <c r="B188" s="50" t="s">
        <v>2814</v>
      </c>
      <c r="C188" s="51">
        <v>44636</v>
      </c>
      <c r="D188" s="51">
        <v>44638</v>
      </c>
      <c r="E188" s="49">
        <v>2</v>
      </c>
      <c r="F188" s="52" t="s">
        <v>22</v>
      </c>
      <c r="G188" s="53" t="s">
        <v>721</v>
      </c>
      <c r="H188" s="53" t="s">
        <v>24</v>
      </c>
      <c r="I188" s="53" t="s">
        <v>721</v>
      </c>
      <c r="J188" s="51">
        <v>44638</v>
      </c>
      <c r="K188" s="51">
        <v>44638</v>
      </c>
      <c r="L188" s="54">
        <f t="shared" si="4"/>
        <v>0</v>
      </c>
      <c r="M188" s="59" t="s">
        <v>2815</v>
      </c>
      <c r="N188" s="53" t="s">
        <v>26</v>
      </c>
      <c r="O188" s="53" t="s">
        <v>2816</v>
      </c>
      <c r="P188" s="53" t="s">
        <v>2817</v>
      </c>
      <c r="Q188" s="53" t="str">
        <f t="shared" si="5"/>
        <v>DENTRO DEL TIEMPO</v>
      </c>
      <c r="R188" s="56"/>
    </row>
    <row r="189" spans="1:18" ht="51" x14ac:dyDescent="0.25">
      <c r="A189" s="49">
        <v>183</v>
      </c>
      <c r="B189" s="50" t="s">
        <v>2818</v>
      </c>
      <c r="C189" s="51">
        <v>44636</v>
      </c>
      <c r="D189" s="51">
        <v>44638</v>
      </c>
      <c r="E189" s="49">
        <v>2</v>
      </c>
      <c r="F189" s="52" t="s">
        <v>22</v>
      </c>
      <c r="G189" s="53" t="s">
        <v>721</v>
      </c>
      <c r="H189" s="53" t="s">
        <v>24</v>
      </c>
      <c r="I189" s="53" t="s">
        <v>721</v>
      </c>
      <c r="J189" s="51">
        <v>44638</v>
      </c>
      <c r="K189" s="51">
        <v>44638</v>
      </c>
      <c r="L189" s="54">
        <f t="shared" si="4"/>
        <v>0</v>
      </c>
      <c r="M189" s="59" t="s">
        <v>2819</v>
      </c>
      <c r="N189" s="53" t="s">
        <v>26</v>
      </c>
      <c r="O189" s="53" t="s">
        <v>2683</v>
      </c>
      <c r="P189" s="53" t="s">
        <v>1404</v>
      </c>
      <c r="Q189" s="53" t="str">
        <f t="shared" si="5"/>
        <v>DENTRO DEL TIEMPO</v>
      </c>
      <c r="R189" s="56"/>
    </row>
    <row r="190" spans="1:18" ht="38.25" x14ac:dyDescent="0.25">
      <c r="A190" s="49">
        <v>184</v>
      </c>
      <c r="B190" s="50" t="s">
        <v>2820</v>
      </c>
      <c r="C190" s="51">
        <v>44637</v>
      </c>
      <c r="D190" s="51">
        <v>44638</v>
      </c>
      <c r="E190" s="49">
        <v>2</v>
      </c>
      <c r="F190" s="52" t="s">
        <v>22</v>
      </c>
      <c r="G190" s="53" t="s">
        <v>721</v>
      </c>
      <c r="H190" s="53" t="s">
        <v>24</v>
      </c>
      <c r="I190" s="53" t="s">
        <v>721</v>
      </c>
      <c r="J190" s="51">
        <v>44638</v>
      </c>
      <c r="K190" s="51">
        <v>44638</v>
      </c>
      <c r="L190" s="54">
        <f t="shared" si="4"/>
        <v>0</v>
      </c>
      <c r="M190" s="59" t="s">
        <v>2821</v>
      </c>
      <c r="N190" s="53" t="s">
        <v>26</v>
      </c>
      <c r="O190" s="53" t="s">
        <v>2327</v>
      </c>
      <c r="P190" s="53" t="s">
        <v>2321</v>
      </c>
      <c r="Q190" s="53" t="str">
        <f t="shared" si="5"/>
        <v>DENTRO DEL TIEMPO</v>
      </c>
      <c r="R190" s="56"/>
    </row>
    <row r="191" spans="1:18" ht="51" x14ac:dyDescent="0.25">
      <c r="A191" s="49">
        <v>185</v>
      </c>
      <c r="B191" s="50" t="s">
        <v>2822</v>
      </c>
      <c r="C191" s="51">
        <v>44637</v>
      </c>
      <c r="D191" s="51">
        <v>44638</v>
      </c>
      <c r="E191" s="49">
        <v>4</v>
      </c>
      <c r="F191" s="52" t="s">
        <v>22</v>
      </c>
      <c r="G191" s="53" t="s">
        <v>721</v>
      </c>
      <c r="H191" s="53" t="s">
        <v>24</v>
      </c>
      <c r="I191" s="53" t="s">
        <v>721</v>
      </c>
      <c r="J191" s="51">
        <v>44638</v>
      </c>
      <c r="K191" s="51">
        <v>44638</v>
      </c>
      <c r="L191" s="54">
        <f t="shared" si="4"/>
        <v>0</v>
      </c>
      <c r="M191" s="59" t="s">
        <v>2823</v>
      </c>
      <c r="N191" s="53" t="s">
        <v>26</v>
      </c>
      <c r="O191" s="53" t="s">
        <v>2407</v>
      </c>
      <c r="P191" s="53" t="s">
        <v>2321</v>
      </c>
      <c r="Q191" s="53" t="str">
        <f t="shared" si="5"/>
        <v>DENTRO DEL TIEMPO</v>
      </c>
      <c r="R191" s="56"/>
    </row>
    <row r="192" spans="1:18" ht="38.25" x14ac:dyDescent="0.25">
      <c r="A192" s="49">
        <v>186</v>
      </c>
      <c r="B192" s="50" t="s">
        <v>2824</v>
      </c>
      <c r="C192" s="51">
        <v>44637</v>
      </c>
      <c r="D192" s="51">
        <v>44638</v>
      </c>
      <c r="E192" s="49">
        <v>2</v>
      </c>
      <c r="F192" s="52" t="s">
        <v>22</v>
      </c>
      <c r="G192" s="53" t="s">
        <v>721</v>
      </c>
      <c r="H192" s="53" t="s">
        <v>24</v>
      </c>
      <c r="I192" s="53" t="s">
        <v>721</v>
      </c>
      <c r="J192" s="51">
        <v>44638</v>
      </c>
      <c r="K192" s="51">
        <v>44638</v>
      </c>
      <c r="L192" s="54">
        <f t="shared" si="4"/>
        <v>0</v>
      </c>
      <c r="M192" s="59" t="s">
        <v>2825</v>
      </c>
      <c r="N192" s="53" t="s">
        <v>26</v>
      </c>
      <c r="O192" s="53" t="s">
        <v>2826</v>
      </c>
      <c r="P192" s="53" t="s">
        <v>2321</v>
      </c>
      <c r="Q192" s="53" t="str">
        <f t="shared" si="5"/>
        <v>DENTRO DEL TIEMPO</v>
      </c>
      <c r="R192" s="56"/>
    </row>
    <row r="193" spans="1:18" ht="51" x14ac:dyDescent="0.25">
      <c r="A193" s="49">
        <v>187</v>
      </c>
      <c r="B193" s="50" t="s">
        <v>2827</v>
      </c>
      <c r="C193" s="51">
        <v>44637</v>
      </c>
      <c r="D193" s="51">
        <v>44638</v>
      </c>
      <c r="E193" s="49">
        <v>4</v>
      </c>
      <c r="F193" s="52" t="s">
        <v>22</v>
      </c>
      <c r="G193" s="53" t="s">
        <v>721</v>
      </c>
      <c r="H193" s="53" t="s">
        <v>24</v>
      </c>
      <c r="I193" s="53" t="s">
        <v>721</v>
      </c>
      <c r="J193" s="51">
        <v>44638</v>
      </c>
      <c r="K193" s="51">
        <v>44638</v>
      </c>
      <c r="L193" s="54">
        <f t="shared" si="4"/>
        <v>0</v>
      </c>
      <c r="M193" s="59" t="s">
        <v>2828</v>
      </c>
      <c r="N193" s="53" t="s">
        <v>26</v>
      </c>
      <c r="O193" s="53" t="s">
        <v>2320</v>
      </c>
      <c r="P193" s="53" t="s">
        <v>2321</v>
      </c>
      <c r="Q193" s="53" t="str">
        <f t="shared" si="5"/>
        <v>DENTRO DEL TIEMPO</v>
      </c>
      <c r="R193" s="56"/>
    </row>
    <row r="194" spans="1:18" ht="38.25" x14ac:dyDescent="0.25">
      <c r="A194" s="49">
        <v>188</v>
      </c>
      <c r="B194" s="50" t="s">
        <v>2829</v>
      </c>
      <c r="C194" s="51">
        <v>44637</v>
      </c>
      <c r="D194" s="51">
        <v>44638</v>
      </c>
      <c r="E194" s="49">
        <v>2</v>
      </c>
      <c r="F194" s="52" t="s">
        <v>22</v>
      </c>
      <c r="G194" s="53" t="s">
        <v>721</v>
      </c>
      <c r="H194" s="53" t="s">
        <v>24</v>
      </c>
      <c r="I194" s="53" t="s">
        <v>721</v>
      </c>
      <c r="J194" s="51">
        <v>44638</v>
      </c>
      <c r="K194" s="51">
        <v>44638</v>
      </c>
      <c r="L194" s="54">
        <f t="shared" si="4"/>
        <v>0</v>
      </c>
      <c r="M194" s="59" t="s">
        <v>2830</v>
      </c>
      <c r="N194" s="53" t="s">
        <v>26</v>
      </c>
      <c r="O194" s="53" t="s">
        <v>2275</v>
      </c>
      <c r="P194" s="53" t="s">
        <v>2321</v>
      </c>
      <c r="Q194" s="53" t="str">
        <f t="shared" si="5"/>
        <v>DENTRO DEL TIEMPO</v>
      </c>
      <c r="R194" s="56"/>
    </row>
    <row r="195" spans="1:18" ht="51" x14ac:dyDescent="0.25">
      <c r="A195" s="49">
        <v>189</v>
      </c>
      <c r="B195" s="50" t="s">
        <v>2831</v>
      </c>
      <c r="C195" s="51">
        <v>44637</v>
      </c>
      <c r="D195" s="51">
        <v>44638</v>
      </c>
      <c r="E195" s="49">
        <v>5</v>
      </c>
      <c r="F195" s="52" t="s">
        <v>22</v>
      </c>
      <c r="G195" s="53" t="s">
        <v>721</v>
      </c>
      <c r="H195" s="53" t="s">
        <v>24</v>
      </c>
      <c r="I195" s="53" t="s">
        <v>721</v>
      </c>
      <c r="J195" s="51">
        <v>44638</v>
      </c>
      <c r="K195" s="51">
        <v>44638</v>
      </c>
      <c r="L195" s="54">
        <f t="shared" si="4"/>
        <v>0</v>
      </c>
      <c r="M195" s="59" t="s">
        <v>2832</v>
      </c>
      <c r="N195" s="53" t="s">
        <v>26</v>
      </c>
      <c r="O195" s="53" t="s">
        <v>2320</v>
      </c>
      <c r="P195" s="53" t="s">
        <v>2321</v>
      </c>
      <c r="Q195" s="53" t="str">
        <f t="shared" si="5"/>
        <v>DENTRO DEL TIEMPO</v>
      </c>
      <c r="R195" s="56"/>
    </row>
    <row r="196" spans="1:18" ht="51" x14ac:dyDescent="0.25">
      <c r="A196" s="49">
        <v>190</v>
      </c>
      <c r="B196" s="50" t="s">
        <v>2833</v>
      </c>
      <c r="C196" s="51">
        <v>44637</v>
      </c>
      <c r="D196" s="51">
        <v>44641</v>
      </c>
      <c r="E196" s="49">
        <v>2</v>
      </c>
      <c r="F196" s="52" t="s">
        <v>22</v>
      </c>
      <c r="G196" s="53" t="s">
        <v>721</v>
      </c>
      <c r="H196" s="53" t="s">
        <v>24</v>
      </c>
      <c r="I196" s="53" t="s">
        <v>721</v>
      </c>
      <c r="J196" s="51">
        <v>44641</v>
      </c>
      <c r="K196" s="51">
        <v>44641</v>
      </c>
      <c r="L196" s="54">
        <f t="shared" si="4"/>
        <v>0</v>
      </c>
      <c r="M196" s="59" t="s">
        <v>2834</v>
      </c>
      <c r="N196" s="53" t="s">
        <v>26</v>
      </c>
      <c r="O196" s="53" t="s">
        <v>2614</v>
      </c>
      <c r="P196" s="53" t="s">
        <v>2321</v>
      </c>
      <c r="Q196" s="53" t="str">
        <f t="shared" si="5"/>
        <v>DENTRO DEL TIEMPO</v>
      </c>
      <c r="R196" s="56"/>
    </row>
    <row r="197" spans="1:18" ht="51" x14ac:dyDescent="0.25">
      <c r="A197" s="49">
        <v>191</v>
      </c>
      <c r="B197" s="50" t="s">
        <v>2835</v>
      </c>
      <c r="C197" s="51">
        <v>44637</v>
      </c>
      <c r="D197" s="51">
        <v>44641</v>
      </c>
      <c r="E197" s="49">
        <v>2</v>
      </c>
      <c r="F197" s="52" t="s">
        <v>22</v>
      </c>
      <c r="G197" s="53" t="s">
        <v>721</v>
      </c>
      <c r="H197" s="53" t="s">
        <v>24</v>
      </c>
      <c r="I197" s="53" t="s">
        <v>721</v>
      </c>
      <c r="J197" s="51">
        <v>44641</v>
      </c>
      <c r="K197" s="51">
        <v>44641</v>
      </c>
      <c r="L197" s="54">
        <f t="shared" si="4"/>
        <v>0</v>
      </c>
      <c r="M197" s="59" t="s">
        <v>2836</v>
      </c>
      <c r="N197" s="53" t="s">
        <v>26</v>
      </c>
      <c r="O197" s="53" t="s">
        <v>2614</v>
      </c>
      <c r="P197" s="53" t="s">
        <v>2321</v>
      </c>
      <c r="Q197" s="53" t="str">
        <f t="shared" si="5"/>
        <v>DENTRO DEL TIEMPO</v>
      </c>
      <c r="R197" s="56"/>
    </row>
    <row r="198" spans="1:18" ht="51" x14ac:dyDescent="0.25">
      <c r="A198" s="49">
        <v>192</v>
      </c>
      <c r="B198" s="50" t="s">
        <v>2837</v>
      </c>
      <c r="C198" s="51">
        <v>44637</v>
      </c>
      <c r="D198" s="51">
        <v>44641</v>
      </c>
      <c r="E198" s="49">
        <v>2</v>
      </c>
      <c r="F198" s="52" t="s">
        <v>22</v>
      </c>
      <c r="G198" s="53" t="s">
        <v>721</v>
      </c>
      <c r="H198" s="53" t="s">
        <v>24</v>
      </c>
      <c r="I198" s="53" t="s">
        <v>721</v>
      </c>
      <c r="J198" s="51">
        <v>44641</v>
      </c>
      <c r="K198" s="51">
        <v>44641</v>
      </c>
      <c r="L198" s="54">
        <f t="shared" si="4"/>
        <v>0</v>
      </c>
      <c r="M198" s="59" t="s">
        <v>2838</v>
      </c>
      <c r="N198" s="53" t="s">
        <v>26</v>
      </c>
      <c r="O198" s="53" t="s">
        <v>2614</v>
      </c>
      <c r="P198" s="53" t="s">
        <v>2321</v>
      </c>
      <c r="Q198" s="53" t="str">
        <f t="shared" si="5"/>
        <v>DENTRO DEL TIEMPO</v>
      </c>
      <c r="R198" s="56"/>
    </row>
    <row r="199" spans="1:18" ht="51" x14ac:dyDescent="0.25">
      <c r="A199" s="49">
        <v>193</v>
      </c>
      <c r="B199" s="50" t="s">
        <v>2839</v>
      </c>
      <c r="C199" s="51">
        <v>44637</v>
      </c>
      <c r="D199" s="51">
        <v>44641</v>
      </c>
      <c r="E199" s="49">
        <v>2</v>
      </c>
      <c r="F199" s="52" t="s">
        <v>22</v>
      </c>
      <c r="G199" s="53" t="s">
        <v>721</v>
      </c>
      <c r="H199" s="53" t="s">
        <v>24</v>
      </c>
      <c r="I199" s="53" t="s">
        <v>721</v>
      </c>
      <c r="J199" s="51">
        <v>44641</v>
      </c>
      <c r="K199" s="51">
        <v>44641</v>
      </c>
      <c r="L199" s="54">
        <f t="shared" si="4"/>
        <v>0</v>
      </c>
      <c r="M199" s="59" t="s">
        <v>2840</v>
      </c>
      <c r="N199" s="53" t="s">
        <v>26</v>
      </c>
      <c r="O199" s="53" t="s">
        <v>2841</v>
      </c>
      <c r="P199" s="53" t="s">
        <v>2842</v>
      </c>
      <c r="Q199" s="53" t="str">
        <f t="shared" si="5"/>
        <v>DENTRO DEL TIEMPO</v>
      </c>
      <c r="R199" s="56"/>
    </row>
    <row r="200" spans="1:18" ht="51" x14ac:dyDescent="0.25">
      <c r="A200" s="49">
        <v>194</v>
      </c>
      <c r="B200" s="50" t="s">
        <v>2843</v>
      </c>
      <c r="C200" s="51">
        <v>44637</v>
      </c>
      <c r="D200" s="51">
        <v>44641</v>
      </c>
      <c r="E200" s="49">
        <v>2</v>
      </c>
      <c r="F200" s="52" t="s">
        <v>22</v>
      </c>
      <c r="G200" s="53" t="s">
        <v>721</v>
      </c>
      <c r="H200" s="53" t="s">
        <v>24</v>
      </c>
      <c r="I200" s="53" t="s">
        <v>721</v>
      </c>
      <c r="J200" s="51">
        <v>44641</v>
      </c>
      <c r="K200" s="51">
        <v>44641</v>
      </c>
      <c r="L200" s="54">
        <f t="shared" ref="L200:L263" si="6">+NETWORKDAYS(D200,K200,$R$7:$R$10)-1</f>
        <v>0</v>
      </c>
      <c r="M200" s="59" t="s">
        <v>2844</v>
      </c>
      <c r="N200" s="53" t="s">
        <v>26</v>
      </c>
      <c r="O200" s="53" t="s">
        <v>2845</v>
      </c>
      <c r="P200" s="53" t="s">
        <v>2842</v>
      </c>
      <c r="Q200" s="53" t="str">
        <f t="shared" ref="Q200:Q263" si="7">IF(L200&gt;15,"FUERA DE TIEMPO","DENTRO DEL TIEMPO")</f>
        <v>DENTRO DEL TIEMPO</v>
      </c>
      <c r="R200" s="56"/>
    </row>
    <row r="201" spans="1:18" ht="38.25" x14ac:dyDescent="0.25">
      <c r="A201" s="49">
        <v>195</v>
      </c>
      <c r="B201" s="50" t="s">
        <v>2846</v>
      </c>
      <c r="C201" s="51">
        <v>44637</v>
      </c>
      <c r="D201" s="51">
        <v>44641</v>
      </c>
      <c r="E201" s="49">
        <v>2</v>
      </c>
      <c r="F201" s="52" t="s">
        <v>22</v>
      </c>
      <c r="G201" s="53" t="s">
        <v>721</v>
      </c>
      <c r="H201" s="53" t="s">
        <v>24</v>
      </c>
      <c r="I201" s="53" t="s">
        <v>721</v>
      </c>
      <c r="J201" s="51">
        <v>44655</v>
      </c>
      <c r="K201" s="51">
        <v>44655</v>
      </c>
      <c r="L201" s="54">
        <f t="shared" si="6"/>
        <v>10</v>
      </c>
      <c r="M201" s="59" t="s">
        <v>2847</v>
      </c>
      <c r="N201" s="53" t="s">
        <v>26</v>
      </c>
      <c r="O201" s="53" t="s">
        <v>2848</v>
      </c>
      <c r="P201" s="53" t="s">
        <v>2849</v>
      </c>
      <c r="Q201" s="53" t="str">
        <f t="shared" si="7"/>
        <v>DENTRO DEL TIEMPO</v>
      </c>
      <c r="R201" s="56"/>
    </row>
    <row r="202" spans="1:18" ht="51" hidden="1" x14ac:dyDescent="0.25">
      <c r="A202" s="49">
        <v>196</v>
      </c>
      <c r="B202" s="50" t="s">
        <v>2850</v>
      </c>
      <c r="C202" s="51">
        <v>44637</v>
      </c>
      <c r="D202" s="51">
        <v>44643</v>
      </c>
      <c r="E202" s="49">
        <v>2</v>
      </c>
      <c r="F202" s="52" t="s">
        <v>790</v>
      </c>
      <c r="G202" s="53" t="s">
        <v>2851</v>
      </c>
      <c r="H202" s="53" t="s">
        <v>2852</v>
      </c>
      <c r="I202" s="53" t="s">
        <v>2851</v>
      </c>
      <c r="J202" s="51">
        <v>44643</v>
      </c>
      <c r="K202" s="51">
        <v>44643</v>
      </c>
      <c r="L202" s="54">
        <f t="shared" si="6"/>
        <v>0</v>
      </c>
      <c r="M202" s="58" t="s">
        <v>2853</v>
      </c>
      <c r="N202" s="53" t="s">
        <v>26</v>
      </c>
      <c r="O202" s="53" t="s">
        <v>2683</v>
      </c>
      <c r="P202" s="53" t="s">
        <v>1404</v>
      </c>
      <c r="Q202" s="53" t="str">
        <f t="shared" si="7"/>
        <v>DENTRO DEL TIEMPO</v>
      </c>
      <c r="R202" s="56"/>
    </row>
    <row r="203" spans="1:18" ht="51" x14ac:dyDescent="0.25">
      <c r="A203" s="49">
        <v>197</v>
      </c>
      <c r="B203" s="50" t="s">
        <v>2854</v>
      </c>
      <c r="C203" s="51">
        <v>44637</v>
      </c>
      <c r="D203" s="51">
        <v>44641</v>
      </c>
      <c r="E203" s="49">
        <v>2</v>
      </c>
      <c r="F203" s="52" t="s">
        <v>22</v>
      </c>
      <c r="G203" s="53" t="s">
        <v>721</v>
      </c>
      <c r="H203" s="53" t="s">
        <v>24</v>
      </c>
      <c r="I203" s="53" t="s">
        <v>721</v>
      </c>
      <c r="J203" s="51">
        <v>44641</v>
      </c>
      <c r="K203" s="51">
        <v>44641</v>
      </c>
      <c r="L203" s="54">
        <f t="shared" si="6"/>
        <v>0</v>
      </c>
      <c r="M203" s="59" t="s">
        <v>2855</v>
      </c>
      <c r="N203" s="53" t="s">
        <v>26</v>
      </c>
      <c r="O203" s="53" t="s">
        <v>2856</v>
      </c>
      <c r="P203" s="53" t="s">
        <v>2857</v>
      </c>
      <c r="Q203" s="53" t="str">
        <f t="shared" si="7"/>
        <v>DENTRO DEL TIEMPO</v>
      </c>
      <c r="R203" s="56"/>
    </row>
    <row r="204" spans="1:18" ht="51" x14ac:dyDescent="0.25">
      <c r="A204" s="49">
        <v>198</v>
      </c>
      <c r="B204" s="50" t="s">
        <v>2858</v>
      </c>
      <c r="C204" s="51">
        <v>44637</v>
      </c>
      <c r="D204" s="51">
        <v>44641</v>
      </c>
      <c r="E204" s="49">
        <v>2</v>
      </c>
      <c r="F204" s="52" t="s">
        <v>22</v>
      </c>
      <c r="G204" s="53" t="s">
        <v>721</v>
      </c>
      <c r="H204" s="53" t="s">
        <v>24</v>
      </c>
      <c r="I204" s="53" t="s">
        <v>721</v>
      </c>
      <c r="J204" s="51">
        <v>44641</v>
      </c>
      <c r="K204" s="51">
        <v>44641</v>
      </c>
      <c r="L204" s="54">
        <f t="shared" si="6"/>
        <v>0</v>
      </c>
      <c r="M204" s="59" t="s">
        <v>2859</v>
      </c>
      <c r="N204" s="53" t="s">
        <v>26</v>
      </c>
      <c r="O204" s="53" t="s">
        <v>2860</v>
      </c>
      <c r="P204" s="53" t="s">
        <v>1673</v>
      </c>
      <c r="Q204" s="53" t="str">
        <f t="shared" si="7"/>
        <v>DENTRO DEL TIEMPO</v>
      </c>
      <c r="R204" s="56"/>
    </row>
    <row r="205" spans="1:18" ht="38.25" x14ac:dyDescent="0.25">
      <c r="A205" s="49">
        <v>199</v>
      </c>
      <c r="B205" s="50" t="s">
        <v>2861</v>
      </c>
      <c r="C205" s="51">
        <v>44637</v>
      </c>
      <c r="D205" s="51">
        <v>44641</v>
      </c>
      <c r="E205" s="49">
        <v>2</v>
      </c>
      <c r="F205" s="52" t="s">
        <v>22</v>
      </c>
      <c r="G205" s="53" t="s">
        <v>721</v>
      </c>
      <c r="H205" s="53" t="s">
        <v>24</v>
      </c>
      <c r="I205" s="53" t="s">
        <v>721</v>
      </c>
      <c r="J205" s="51">
        <v>44641</v>
      </c>
      <c r="K205" s="51">
        <v>44641</v>
      </c>
      <c r="L205" s="54">
        <f t="shared" si="6"/>
        <v>0</v>
      </c>
      <c r="M205" s="59" t="s">
        <v>2862</v>
      </c>
      <c r="N205" s="53" t="s">
        <v>26</v>
      </c>
      <c r="O205" s="53" t="s">
        <v>2275</v>
      </c>
      <c r="P205" s="53" t="s">
        <v>2863</v>
      </c>
      <c r="Q205" s="53" t="str">
        <f t="shared" si="7"/>
        <v>DENTRO DEL TIEMPO</v>
      </c>
      <c r="R205" s="56"/>
    </row>
    <row r="206" spans="1:18" ht="38.25" x14ac:dyDescent="0.25">
      <c r="A206" s="49">
        <v>200</v>
      </c>
      <c r="B206" s="50" t="s">
        <v>2864</v>
      </c>
      <c r="C206" s="51">
        <v>44637</v>
      </c>
      <c r="D206" s="51">
        <v>44641</v>
      </c>
      <c r="E206" s="49">
        <v>2</v>
      </c>
      <c r="F206" s="52" t="s">
        <v>22</v>
      </c>
      <c r="G206" s="53" t="s">
        <v>721</v>
      </c>
      <c r="H206" s="53" t="s">
        <v>24</v>
      </c>
      <c r="I206" s="53" t="s">
        <v>721</v>
      </c>
      <c r="J206" s="51">
        <v>44641</v>
      </c>
      <c r="K206" s="51">
        <v>44641</v>
      </c>
      <c r="L206" s="54">
        <f t="shared" si="6"/>
        <v>0</v>
      </c>
      <c r="M206" s="59" t="s">
        <v>2865</v>
      </c>
      <c r="N206" s="53" t="s">
        <v>26</v>
      </c>
      <c r="O206" s="53" t="s">
        <v>2275</v>
      </c>
      <c r="P206" s="53" t="s">
        <v>2863</v>
      </c>
      <c r="Q206" s="53" t="str">
        <f t="shared" si="7"/>
        <v>DENTRO DEL TIEMPO</v>
      </c>
      <c r="R206" s="56"/>
    </row>
    <row r="207" spans="1:18" ht="51" x14ac:dyDescent="0.25">
      <c r="A207" s="49">
        <v>201</v>
      </c>
      <c r="B207" s="50" t="s">
        <v>2866</v>
      </c>
      <c r="C207" s="51">
        <v>44637</v>
      </c>
      <c r="D207" s="51">
        <v>44637</v>
      </c>
      <c r="E207" s="49">
        <v>2</v>
      </c>
      <c r="F207" s="52" t="s">
        <v>22</v>
      </c>
      <c r="G207" s="53" t="s">
        <v>721</v>
      </c>
      <c r="H207" s="53" t="s">
        <v>24</v>
      </c>
      <c r="I207" s="53" t="s">
        <v>721</v>
      </c>
      <c r="J207" s="51">
        <v>44637</v>
      </c>
      <c r="K207" s="51">
        <v>44637</v>
      </c>
      <c r="L207" s="54">
        <f t="shared" si="6"/>
        <v>0</v>
      </c>
      <c r="M207" s="59" t="s">
        <v>2867</v>
      </c>
      <c r="N207" s="53" t="s">
        <v>26</v>
      </c>
      <c r="O207" s="53" t="s">
        <v>2868</v>
      </c>
      <c r="P207" s="53" t="s">
        <v>2869</v>
      </c>
      <c r="Q207" s="53" t="str">
        <f t="shared" si="7"/>
        <v>DENTRO DEL TIEMPO</v>
      </c>
      <c r="R207" s="56"/>
    </row>
    <row r="208" spans="1:18" ht="51" x14ac:dyDescent="0.25">
      <c r="A208" s="49">
        <v>202</v>
      </c>
      <c r="B208" s="50" t="s">
        <v>2870</v>
      </c>
      <c r="C208" s="51">
        <v>44637</v>
      </c>
      <c r="D208" s="51">
        <v>44638</v>
      </c>
      <c r="E208" s="49">
        <v>22</v>
      </c>
      <c r="F208" s="52" t="s">
        <v>22</v>
      </c>
      <c r="G208" s="53" t="s">
        <v>1256</v>
      </c>
      <c r="H208" s="53" t="s">
        <v>24</v>
      </c>
      <c r="I208" s="53" t="s">
        <v>1256</v>
      </c>
      <c r="J208" s="51">
        <v>44638</v>
      </c>
      <c r="K208" s="51">
        <v>44638</v>
      </c>
      <c r="L208" s="54">
        <f t="shared" si="6"/>
        <v>0</v>
      </c>
      <c r="M208" s="55" t="s">
        <v>2871</v>
      </c>
      <c r="N208" s="53" t="s">
        <v>26</v>
      </c>
      <c r="O208" s="53" t="s">
        <v>2872</v>
      </c>
      <c r="P208" s="53" t="s">
        <v>2873</v>
      </c>
      <c r="Q208" s="53" t="str">
        <f t="shared" si="7"/>
        <v>DENTRO DEL TIEMPO</v>
      </c>
      <c r="R208" s="56"/>
    </row>
    <row r="209" spans="1:18" ht="38.25" x14ac:dyDescent="0.25">
      <c r="A209" s="49">
        <v>203</v>
      </c>
      <c r="B209" s="50" t="s">
        <v>2874</v>
      </c>
      <c r="C209" s="51">
        <v>44638</v>
      </c>
      <c r="D209" s="51">
        <v>44642</v>
      </c>
      <c r="E209" s="49">
        <v>4</v>
      </c>
      <c r="F209" s="52" t="s">
        <v>22</v>
      </c>
      <c r="G209" s="53" t="s">
        <v>721</v>
      </c>
      <c r="H209" s="53" t="s">
        <v>24</v>
      </c>
      <c r="I209" s="53" t="s">
        <v>721</v>
      </c>
      <c r="J209" s="51">
        <v>44642</v>
      </c>
      <c r="K209" s="51">
        <v>44642</v>
      </c>
      <c r="L209" s="54">
        <f t="shared" si="6"/>
        <v>0</v>
      </c>
      <c r="M209" s="55" t="s">
        <v>2875</v>
      </c>
      <c r="N209" s="53" t="s">
        <v>26</v>
      </c>
      <c r="O209" s="53" t="s">
        <v>2876</v>
      </c>
      <c r="P209" s="53" t="s">
        <v>2877</v>
      </c>
      <c r="Q209" s="53" t="str">
        <f t="shared" si="7"/>
        <v>DENTRO DEL TIEMPO</v>
      </c>
      <c r="R209" s="56"/>
    </row>
    <row r="210" spans="1:18" ht="51" x14ac:dyDescent="0.25">
      <c r="A210" s="49">
        <v>204</v>
      </c>
      <c r="B210" s="50" t="s">
        <v>2878</v>
      </c>
      <c r="C210" s="51">
        <v>44638</v>
      </c>
      <c r="D210" s="51">
        <v>44642</v>
      </c>
      <c r="E210" s="49">
        <v>4</v>
      </c>
      <c r="F210" s="52" t="s">
        <v>22</v>
      </c>
      <c r="G210" s="53" t="s">
        <v>721</v>
      </c>
      <c r="H210" s="53" t="s">
        <v>24</v>
      </c>
      <c r="I210" s="53" t="s">
        <v>721</v>
      </c>
      <c r="J210" s="51">
        <v>44642</v>
      </c>
      <c r="K210" s="51">
        <v>44642</v>
      </c>
      <c r="L210" s="54">
        <f t="shared" si="6"/>
        <v>0</v>
      </c>
      <c r="M210" s="55" t="s">
        <v>2879</v>
      </c>
      <c r="N210" s="53" t="s">
        <v>26</v>
      </c>
      <c r="O210" s="53" t="s">
        <v>2880</v>
      </c>
      <c r="P210" s="53" t="s">
        <v>2877</v>
      </c>
      <c r="Q210" s="53" t="str">
        <f t="shared" si="7"/>
        <v>DENTRO DEL TIEMPO</v>
      </c>
      <c r="R210" s="56"/>
    </row>
    <row r="211" spans="1:18" ht="51" x14ac:dyDescent="0.25">
      <c r="A211" s="49">
        <v>205</v>
      </c>
      <c r="B211" s="50" t="s">
        <v>2881</v>
      </c>
      <c r="C211" s="51">
        <v>44638</v>
      </c>
      <c r="D211" s="51">
        <v>44642</v>
      </c>
      <c r="E211" s="49">
        <v>2</v>
      </c>
      <c r="F211" s="52" t="s">
        <v>22</v>
      </c>
      <c r="G211" s="53" t="s">
        <v>721</v>
      </c>
      <c r="H211" s="53" t="s">
        <v>24</v>
      </c>
      <c r="I211" s="53" t="s">
        <v>721</v>
      </c>
      <c r="J211" s="51">
        <v>44642</v>
      </c>
      <c r="K211" s="51">
        <v>44642</v>
      </c>
      <c r="L211" s="54">
        <f t="shared" si="6"/>
        <v>0</v>
      </c>
      <c r="M211" s="55" t="s">
        <v>2882</v>
      </c>
      <c r="N211" s="53" t="s">
        <v>26</v>
      </c>
      <c r="O211" s="53" t="s">
        <v>2683</v>
      </c>
      <c r="P211" s="53" t="s">
        <v>1404</v>
      </c>
      <c r="Q211" s="53" t="str">
        <f t="shared" si="7"/>
        <v>DENTRO DEL TIEMPO</v>
      </c>
      <c r="R211" s="56"/>
    </row>
    <row r="212" spans="1:18" ht="51" x14ac:dyDescent="0.25">
      <c r="A212" s="49">
        <v>206</v>
      </c>
      <c r="B212" s="50" t="s">
        <v>2883</v>
      </c>
      <c r="C212" s="51">
        <v>44638</v>
      </c>
      <c r="D212" s="51">
        <v>44642</v>
      </c>
      <c r="E212" s="49">
        <v>2</v>
      </c>
      <c r="F212" s="52" t="s">
        <v>22</v>
      </c>
      <c r="G212" s="53" t="s">
        <v>721</v>
      </c>
      <c r="H212" s="53" t="s">
        <v>24</v>
      </c>
      <c r="I212" s="53" t="s">
        <v>721</v>
      </c>
      <c r="J212" s="51">
        <v>44642</v>
      </c>
      <c r="K212" s="51">
        <v>44642</v>
      </c>
      <c r="L212" s="54">
        <f t="shared" si="6"/>
        <v>0</v>
      </c>
      <c r="M212" s="55" t="s">
        <v>2884</v>
      </c>
      <c r="N212" s="53" t="s">
        <v>26</v>
      </c>
      <c r="O212" s="53" t="s">
        <v>2683</v>
      </c>
      <c r="P212" s="53" t="s">
        <v>1404</v>
      </c>
      <c r="Q212" s="53" t="str">
        <f t="shared" si="7"/>
        <v>DENTRO DEL TIEMPO</v>
      </c>
      <c r="R212" s="56"/>
    </row>
    <row r="213" spans="1:18" ht="51" x14ac:dyDescent="0.25">
      <c r="A213" s="49">
        <v>207</v>
      </c>
      <c r="B213" s="50" t="s">
        <v>2885</v>
      </c>
      <c r="C213" s="51">
        <v>44638</v>
      </c>
      <c r="D213" s="51">
        <v>44642</v>
      </c>
      <c r="E213" s="49">
        <v>2</v>
      </c>
      <c r="F213" s="52" t="s">
        <v>22</v>
      </c>
      <c r="G213" s="53" t="s">
        <v>721</v>
      </c>
      <c r="H213" s="53" t="s">
        <v>24</v>
      </c>
      <c r="I213" s="53" t="s">
        <v>721</v>
      </c>
      <c r="J213" s="51">
        <v>44642</v>
      </c>
      <c r="K213" s="51">
        <v>44642</v>
      </c>
      <c r="L213" s="54">
        <f t="shared" si="6"/>
        <v>0</v>
      </c>
      <c r="M213" s="55" t="s">
        <v>2886</v>
      </c>
      <c r="N213" s="53" t="s">
        <v>26</v>
      </c>
      <c r="O213" s="53" t="s">
        <v>2683</v>
      </c>
      <c r="P213" s="53" t="s">
        <v>1404</v>
      </c>
      <c r="Q213" s="53" t="str">
        <f t="shared" si="7"/>
        <v>DENTRO DEL TIEMPO</v>
      </c>
      <c r="R213" s="56"/>
    </row>
    <row r="214" spans="1:18" ht="51" x14ac:dyDescent="0.25">
      <c r="A214" s="49">
        <v>208</v>
      </c>
      <c r="B214" s="50" t="s">
        <v>2887</v>
      </c>
      <c r="C214" s="51">
        <v>44638</v>
      </c>
      <c r="D214" s="51">
        <v>44642</v>
      </c>
      <c r="E214" s="49">
        <v>2</v>
      </c>
      <c r="F214" s="52" t="s">
        <v>22</v>
      </c>
      <c r="G214" s="53" t="s">
        <v>721</v>
      </c>
      <c r="H214" s="53" t="s">
        <v>24</v>
      </c>
      <c r="I214" s="53" t="s">
        <v>721</v>
      </c>
      <c r="J214" s="51">
        <v>44642</v>
      </c>
      <c r="K214" s="51">
        <v>44642</v>
      </c>
      <c r="L214" s="54">
        <f t="shared" si="6"/>
        <v>0</v>
      </c>
      <c r="M214" s="55" t="s">
        <v>2888</v>
      </c>
      <c r="N214" s="53" t="s">
        <v>26</v>
      </c>
      <c r="O214" s="53" t="s">
        <v>2683</v>
      </c>
      <c r="P214" s="53" t="s">
        <v>1404</v>
      </c>
      <c r="Q214" s="53" t="str">
        <f t="shared" si="7"/>
        <v>DENTRO DEL TIEMPO</v>
      </c>
      <c r="R214" s="56"/>
    </row>
    <row r="215" spans="1:18" ht="51" x14ac:dyDescent="0.25">
      <c r="A215" s="49">
        <v>209</v>
      </c>
      <c r="B215" s="50" t="s">
        <v>2889</v>
      </c>
      <c r="C215" s="51">
        <v>44638</v>
      </c>
      <c r="D215" s="51">
        <v>44642</v>
      </c>
      <c r="E215" s="49">
        <v>2</v>
      </c>
      <c r="F215" s="52" t="s">
        <v>22</v>
      </c>
      <c r="G215" s="53" t="s">
        <v>721</v>
      </c>
      <c r="H215" s="53" t="s">
        <v>24</v>
      </c>
      <c r="I215" s="53" t="s">
        <v>721</v>
      </c>
      <c r="J215" s="51">
        <v>44642</v>
      </c>
      <c r="K215" s="51">
        <v>44642</v>
      </c>
      <c r="L215" s="54">
        <f t="shared" si="6"/>
        <v>0</v>
      </c>
      <c r="M215" s="55" t="s">
        <v>2890</v>
      </c>
      <c r="N215" s="53" t="s">
        <v>26</v>
      </c>
      <c r="O215" s="53" t="s">
        <v>2683</v>
      </c>
      <c r="P215" s="53" t="s">
        <v>1404</v>
      </c>
      <c r="Q215" s="53" t="str">
        <f t="shared" si="7"/>
        <v>DENTRO DEL TIEMPO</v>
      </c>
      <c r="R215" s="56"/>
    </row>
    <row r="216" spans="1:18" ht="51" x14ac:dyDescent="0.25">
      <c r="A216" s="49">
        <v>210</v>
      </c>
      <c r="B216" s="50" t="s">
        <v>2891</v>
      </c>
      <c r="C216" s="51">
        <v>44638</v>
      </c>
      <c r="D216" s="51">
        <v>44642</v>
      </c>
      <c r="E216" s="49">
        <v>2</v>
      </c>
      <c r="F216" s="52" t="s">
        <v>22</v>
      </c>
      <c r="G216" s="53" t="s">
        <v>721</v>
      </c>
      <c r="H216" s="53" t="s">
        <v>24</v>
      </c>
      <c r="I216" s="53" t="s">
        <v>721</v>
      </c>
      <c r="J216" s="51">
        <v>44642</v>
      </c>
      <c r="K216" s="51">
        <v>44642</v>
      </c>
      <c r="L216" s="54">
        <f t="shared" si="6"/>
        <v>0</v>
      </c>
      <c r="M216" s="55" t="s">
        <v>2892</v>
      </c>
      <c r="N216" s="53" t="s">
        <v>26</v>
      </c>
      <c r="O216" s="53" t="s">
        <v>2683</v>
      </c>
      <c r="P216" s="53" t="s">
        <v>1404</v>
      </c>
      <c r="Q216" s="53" t="str">
        <f t="shared" si="7"/>
        <v>DENTRO DEL TIEMPO</v>
      </c>
      <c r="R216" s="56"/>
    </row>
    <row r="217" spans="1:18" ht="51" x14ac:dyDescent="0.25">
      <c r="A217" s="49">
        <v>211</v>
      </c>
      <c r="B217" s="50" t="s">
        <v>2893</v>
      </c>
      <c r="C217" s="51">
        <v>44638</v>
      </c>
      <c r="D217" s="51">
        <v>44642</v>
      </c>
      <c r="E217" s="49">
        <v>2</v>
      </c>
      <c r="F217" s="52" t="s">
        <v>22</v>
      </c>
      <c r="G217" s="53" t="s">
        <v>721</v>
      </c>
      <c r="H217" s="53" t="s">
        <v>24</v>
      </c>
      <c r="I217" s="53" t="s">
        <v>721</v>
      </c>
      <c r="J217" s="51">
        <v>44642</v>
      </c>
      <c r="K217" s="51">
        <v>44642</v>
      </c>
      <c r="L217" s="54">
        <f t="shared" si="6"/>
        <v>0</v>
      </c>
      <c r="M217" s="55" t="s">
        <v>2894</v>
      </c>
      <c r="N217" s="53" t="s">
        <v>26</v>
      </c>
      <c r="O217" s="53" t="s">
        <v>2683</v>
      </c>
      <c r="P217" s="53" t="s">
        <v>1404</v>
      </c>
      <c r="Q217" s="53" t="str">
        <f t="shared" si="7"/>
        <v>DENTRO DEL TIEMPO</v>
      </c>
      <c r="R217" s="56"/>
    </row>
    <row r="218" spans="1:18" ht="51" x14ac:dyDescent="0.25">
      <c r="A218" s="49">
        <v>212</v>
      </c>
      <c r="B218" s="50" t="s">
        <v>2895</v>
      </c>
      <c r="C218" s="51">
        <v>44638</v>
      </c>
      <c r="D218" s="51">
        <v>44642</v>
      </c>
      <c r="E218" s="49">
        <v>2</v>
      </c>
      <c r="F218" s="52" t="s">
        <v>22</v>
      </c>
      <c r="G218" s="53" t="s">
        <v>721</v>
      </c>
      <c r="H218" s="53" t="s">
        <v>24</v>
      </c>
      <c r="I218" s="53" t="s">
        <v>721</v>
      </c>
      <c r="J218" s="51">
        <v>44642</v>
      </c>
      <c r="K218" s="51">
        <v>44642</v>
      </c>
      <c r="L218" s="54">
        <f t="shared" si="6"/>
        <v>0</v>
      </c>
      <c r="M218" s="55" t="s">
        <v>2896</v>
      </c>
      <c r="N218" s="53" t="s">
        <v>26</v>
      </c>
      <c r="O218" s="53" t="s">
        <v>2683</v>
      </c>
      <c r="P218" s="53" t="s">
        <v>1404</v>
      </c>
      <c r="Q218" s="53" t="str">
        <f t="shared" si="7"/>
        <v>DENTRO DEL TIEMPO</v>
      </c>
      <c r="R218" s="56"/>
    </row>
    <row r="219" spans="1:18" ht="51" x14ac:dyDescent="0.25">
      <c r="A219" s="49">
        <v>213</v>
      </c>
      <c r="B219" s="50" t="s">
        <v>2897</v>
      </c>
      <c r="C219" s="51">
        <v>44638</v>
      </c>
      <c r="D219" s="51">
        <v>44642</v>
      </c>
      <c r="E219" s="49">
        <v>2</v>
      </c>
      <c r="F219" s="52" t="s">
        <v>22</v>
      </c>
      <c r="G219" s="53" t="s">
        <v>721</v>
      </c>
      <c r="H219" s="53" t="s">
        <v>24</v>
      </c>
      <c r="I219" s="53" t="s">
        <v>721</v>
      </c>
      <c r="J219" s="51">
        <v>44642</v>
      </c>
      <c r="K219" s="51">
        <v>44642</v>
      </c>
      <c r="L219" s="54">
        <f t="shared" si="6"/>
        <v>0</v>
      </c>
      <c r="M219" s="55" t="s">
        <v>2898</v>
      </c>
      <c r="N219" s="53" t="s">
        <v>26</v>
      </c>
      <c r="O219" s="53" t="s">
        <v>2683</v>
      </c>
      <c r="P219" s="53" t="s">
        <v>1404</v>
      </c>
      <c r="Q219" s="53" t="str">
        <f t="shared" si="7"/>
        <v>DENTRO DEL TIEMPO</v>
      </c>
      <c r="R219" s="56"/>
    </row>
    <row r="220" spans="1:18" ht="51" x14ac:dyDescent="0.25">
      <c r="A220" s="49">
        <v>214</v>
      </c>
      <c r="B220" s="50" t="s">
        <v>2899</v>
      </c>
      <c r="C220" s="51">
        <v>44638</v>
      </c>
      <c r="D220" s="51">
        <v>44643</v>
      </c>
      <c r="E220" s="49">
        <v>2</v>
      </c>
      <c r="F220" s="52" t="s">
        <v>22</v>
      </c>
      <c r="G220" s="53" t="s">
        <v>721</v>
      </c>
      <c r="H220" s="53" t="s">
        <v>24</v>
      </c>
      <c r="I220" s="53" t="s">
        <v>721</v>
      </c>
      <c r="J220" s="51">
        <v>44643</v>
      </c>
      <c r="K220" s="51">
        <v>44643</v>
      </c>
      <c r="L220" s="54">
        <f t="shared" si="6"/>
        <v>0</v>
      </c>
      <c r="M220" s="55" t="s">
        <v>2900</v>
      </c>
      <c r="N220" s="53" t="s">
        <v>26</v>
      </c>
      <c r="O220" s="53" t="s">
        <v>2683</v>
      </c>
      <c r="P220" s="53" t="s">
        <v>1404</v>
      </c>
      <c r="Q220" s="53" t="str">
        <f t="shared" si="7"/>
        <v>DENTRO DEL TIEMPO</v>
      </c>
      <c r="R220" s="56"/>
    </row>
    <row r="221" spans="1:18" ht="51" x14ac:dyDescent="0.25">
      <c r="A221" s="49">
        <v>215</v>
      </c>
      <c r="B221" s="50" t="s">
        <v>2901</v>
      </c>
      <c r="C221" s="51">
        <v>44638</v>
      </c>
      <c r="D221" s="51">
        <v>44643</v>
      </c>
      <c r="E221" s="49">
        <v>2</v>
      </c>
      <c r="F221" s="52" t="s">
        <v>22</v>
      </c>
      <c r="G221" s="53" t="s">
        <v>721</v>
      </c>
      <c r="H221" s="53" t="s">
        <v>24</v>
      </c>
      <c r="I221" s="53" t="s">
        <v>721</v>
      </c>
      <c r="J221" s="51">
        <v>44643</v>
      </c>
      <c r="K221" s="51">
        <v>44643</v>
      </c>
      <c r="L221" s="54">
        <f t="shared" si="6"/>
        <v>0</v>
      </c>
      <c r="M221" s="55" t="s">
        <v>2902</v>
      </c>
      <c r="N221" s="53" t="s">
        <v>26</v>
      </c>
      <c r="O221" s="53" t="s">
        <v>2683</v>
      </c>
      <c r="P221" s="53" t="s">
        <v>1404</v>
      </c>
      <c r="Q221" s="53" t="str">
        <f t="shared" si="7"/>
        <v>DENTRO DEL TIEMPO</v>
      </c>
      <c r="R221" s="56"/>
    </row>
    <row r="222" spans="1:18" ht="51" x14ac:dyDescent="0.25">
      <c r="A222" s="49">
        <v>216</v>
      </c>
      <c r="B222" s="50" t="s">
        <v>2903</v>
      </c>
      <c r="C222" s="51">
        <v>44638</v>
      </c>
      <c r="D222" s="51">
        <v>44643</v>
      </c>
      <c r="E222" s="49">
        <v>2</v>
      </c>
      <c r="F222" s="52" t="s">
        <v>22</v>
      </c>
      <c r="G222" s="53" t="s">
        <v>721</v>
      </c>
      <c r="H222" s="53" t="s">
        <v>24</v>
      </c>
      <c r="I222" s="53" t="s">
        <v>721</v>
      </c>
      <c r="J222" s="51">
        <v>44643</v>
      </c>
      <c r="K222" s="51">
        <v>44643</v>
      </c>
      <c r="L222" s="54">
        <f t="shared" si="6"/>
        <v>0</v>
      </c>
      <c r="M222" s="55" t="s">
        <v>2904</v>
      </c>
      <c r="N222" s="53" t="s">
        <v>26</v>
      </c>
      <c r="O222" s="53" t="s">
        <v>2905</v>
      </c>
      <c r="P222" s="53" t="s">
        <v>2906</v>
      </c>
      <c r="Q222" s="53" t="str">
        <f t="shared" si="7"/>
        <v>DENTRO DEL TIEMPO</v>
      </c>
      <c r="R222" s="56"/>
    </row>
    <row r="223" spans="1:18" ht="38.25" x14ac:dyDescent="0.25">
      <c r="A223" s="49">
        <v>217</v>
      </c>
      <c r="B223" s="50" t="s">
        <v>2907</v>
      </c>
      <c r="C223" s="51">
        <v>44638</v>
      </c>
      <c r="D223" s="51">
        <v>44642</v>
      </c>
      <c r="E223" s="49">
        <v>2</v>
      </c>
      <c r="F223" s="52" t="s">
        <v>22</v>
      </c>
      <c r="G223" s="53" t="s">
        <v>721</v>
      </c>
      <c r="H223" s="53" t="s">
        <v>24</v>
      </c>
      <c r="I223" s="53" t="s">
        <v>721</v>
      </c>
      <c r="J223" s="51">
        <v>44642</v>
      </c>
      <c r="K223" s="51">
        <v>44642</v>
      </c>
      <c r="L223" s="54">
        <f t="shared" si="6"/>
        <v>0</v>
      </c>
      <c r="M223" s="55" t="s">
        <v>2908</v>
      </c>
      <c r="N223" s="53" t="s">
        <v>26</v>
      </c>
      <c r="O223" s="53" t="s">
        <v>2909</v>
      </c>
      <c r="P223" s="53" t="s">
        <v>2910</v>
      </c>
      <c r="Q223" s="53" t="str">
        <f t="shared" si="7"/>
        <v>DENTRO DEL TIEMPO</v>
      </c>
      <c r="R223" s="56"/>
    </row>
    <row r="224" spans="1:18" ht="63.75" x14ac:dyDescent="0.25">
      <c r="A224" s="49">
        <v>218</v>
      </c>
      <c r="B224" s="50" t="s">
        <v>2911</v>
      </c>
      <c r="C224" s="51">
        <v>44638</v>
      </c>
      <c r="D224" s="51">
        <v>44638</v>
      </c>
      <c r="E224" s="49">
        <v>14</v>
      </c>
      <c r="F224" s="52" t="s">
        <v>22</v>
      </c>
      <c r="G224" s="53" t="s">
        <v>1256</v>
      </c>
      <c r="H224" s="53" t="s">
        <v>24</v>
      </c>
      <c r="I224" s="53" t="s">
        <v>1256</v>
      </c>
      <c r="J224" s="51">
        <v>44638</v>
      </c>
      <c r="K224" s="51">
        <v>44638</v>
      </c>
      <c r="L224" s="54">
        <f t="shared" si="6"/>
        <v>0</v>
      </c>
      <c r="M224" s="55" t="s">
        <v>2912</v>
      </c>
      <c r="N224" s="53" t="s">
        <v>26</v>
      </c>
      <c r="O224" s="53" t="s">
        <v>2257</v>
      </c>
      <c r="P224" s="53" t="s">
        <v>2775</v>
      </c>
      <c r="Q224" s="53" t="str">
        <f t="shared" si="7"/>
        <v>DENTRO DEL TIEMPO</v>
      </c>
      <c r="R224" s="56"/>
    </row>
    <row r="225" spans="1:18" ht="38.25" x14ac:dyDescent="0.25">
      <c r="A225" s="49">
        <v>219</v>
      </c>
      <c r="B225" s="50" t="s">
        <v>2913</v>
      </c>
      <c r="C225" s="51">
        <v>44638</v>
      </c>
      <c r="D225" s="51">
        <v>44643</v>
      </c>
      <c r="E225" s="49">
        <v>2</v>
      </c>
      <c r="F225" s="52" t="s">
        <v>22</v>
      </c>
      <c r="G225" s="53" t="s">
        <v>721</v>
      </c>
      <c r="H225" s="53" t="s">
        <v>24</v>
      </c>
      <c r="I225" s="53" t="s">
        <v>721</v>
      </c>
      <c r="J225" s="51">
        <v>44643</v>
      </c>
      <c r="K225" s="51">
        <v>44643</v>
      </c>
      <c r="L225" s="54">
        <f t="shared" si="6"/>
        <v>0</v>
      </c>
      <c r="M225" s="55" t="s">
        <v>2914</v>
      </c>
      <c r="N225" s="53" t="s">
        <v>26</v>
      </c>
      <c r="O225" s="53" t="s">
        <v>2915</v>
      </c>
      <c r="P225" s="53" t="s">
        <v>2916</v>
      </c>
      <c r="Q225" s="53" t="str">
        <f t="shared" si="7"/>
        <v>DENTRO DEL TIEMPO</v>
      </c>
      <c r="R225" s="56"/>
    </row>
    <row r="226" spans="1:18" ht="38.25" x14ac:dyDescent="0.25">
      <c r="A226" s="49">
        <v>220</v>
      </c>
      <c r="B226" s="50" t="s">
        <v>2917</v>
      </c>
      <c r="C226" s="51">
        <v>44638</v>
      </c>
      <c r="D226" s="51">
        <v>44643</v>
      </c>
      <c r="E226" s="49">
        <v>2</v>
      </c>
      <c r="F226" s="52" t="s">
        <v>22</v>
      </c>
      <c r="G226" s="53" t="s">
        <v>721</v>
      </c>
      <c r="H226" s="53" t="s">
        <v>24</v>
      </c>
      <c r="I226" s="53" t="s">
        <v>721</v>
      </c>
      <c r="J226" s="51">
        <v>44643</v>
      </c>
      <c r="K226" s="51">
        <v>44643</v>
      </c>
      <c r="L226" s="54">
        <f t="shared" si="6"/>
        <v>0</v>
      </c>
      <c r="M226" s="55" t="s">
        <v>2918</v>
      </c>
      <c r="N226" s="53" t="s">
        <v>26</v>
      </c>
      <c r="O226" s="53" t="s">
        <v>2919</v>
      </c>
      <c r="P226" s="53" t="s">
        <v>2920</v>
      </c>
      <c r="Q226" s="53" t="str">
        <f t="shared" si="7"/>
        <v>DENTRO DEL TIEMPO</v>
      </c>
      <c r="R226" s="56"/>
    </row>
    <row r="227" spans="1:18" ht="38.25" x14ac:dyDescent="0.25">
      <c r="A227" s="49">
        <v>221</v>
      </c>
      <c r="B227" s="50" t="s">
        <v>2921</v>
      </c>
      <c r="C227" s="51">
        <v>44641</v>
      </c>
      <c r="D227" s="51">
        <v>44643</v>
      </c>
      <c r="E227" s="49">
        <v>2</v>
      </c>
      <c r="F227" s="52" t="s">
        <v>22</v>
      </c>
      <c r="G227" s="53" t="s">
        <v>721</v>
      </c>
      <c r="H227" s="53" t="s">
        <v>24</v>
      </c>
      <c r="I227" s="53" t="s">
        <v>721</v>
      </c>
      <c r="J227" s="51">
        <v>44643</v>
      </c>
      <c r="K227" s="51">
        <v>44643</v>
      </c>
      <c r="L227" s="54">
        <f t="shared" si="6"/>
        <v>0</v>
      </c>
      <c r="M227" s="59" t="s">
        <v>2922</v>
      </c>
      <c r="N227" s="53" t="s">
        <v>26</v>
      </c>
      <c r="O227" s="53" t="s">
        <v>2923</v>
      </c>
      <c r="P227" s="53" t="s">
        <v>2924</v>
      </c>
      <c r="Q227" s="53" t="str">
        <f t="shared" si="7"/>
        <v>DENTRO DEL TIEMPO</v>
      </c>
      <c r="R227" s="56"/>
    </row>
    <row r="228" spans="1:18" ht="38.25" x14ac:dyDescent="0.25">
      <c r="A228" s="49">
        <v>222</v>
      </c>
      <c r="B228" s="50" t="s">
        <v>2925</v>
      </c>
      <c r="C228" s="51">
        <v>44641</v>
      </c>
      <c r="D228" s="51">
        <v>44643</v>
      </c>
      <c r="E228" s="49">
        <v>2</v>
      </c>
      <c r="F228" s="52" t="s">
        <v>22</v>
      </c>
      <c r="G228" s="53" t="s">
        <v>721</v>
      </c>
      <c r="H228" s="53" t="s">
        <v>24</v>
      </c>
      <c r="I228" s="53" t="s">
        <v>721</v>
      </c>
      <c r="J228" s="51">
        <v>44643</v>
      </c>
      <c r="K228" s="51">
        <v>44643</v>
      </c>
      <c r="L228" s="54">
        <f t="shared" si="6"/>
        <v>0</v>
      </c>
      <c r="M228" s="59" t="s">
        <v>2926</v>
      </c>
      <c r="N228" s="53" t="s">
        <v>26</v>
      </c>
      <c r="O228" s="53" t="s">
        <v>2557</v>
      </c>
      <c r="P228" s="53" t="s">
        <v>1487</v>
      </c>
      <c r="Q228" s="53" t="str">
        <f t="shared" si="7"/>
        <v>DENTRO DEL TIEMPO</v>
      </c>
      <c r="R228" s="56"/>
    </row>
    <row r="229" spans="1:18" ht="51" x14ac:dyDescent="0.25">
      <c r="A229" s="49">
        <v>223</v>
      </c>
      <c r="B229" s="50" t="s">
        <v>2927</v>
      </c>
      <c r="C229" s="51">
        <v>44641</v>
      </c>
      <c r="D229" s="51">
        <v>44643</v>
      </c>
      <c r="E229" s="49">
        <v>2</v>
      </c>
      <c r="F229" s="52" t="s">
        <v>22</v>
      </c>
      <c r="G229" s="53" t="s">
        <v>721</v>
      </c>
      <c r="H229" s="53" t="s">
        <v>24</v>
      </c>
      <c r="I229" s="53" t="s">
        <v>721</v>
      </c>
      <c r="J229" s="51">
        <v>44643</v>
      </c>
      <c r="K229" s="51">
        <v>44643</v>
      </c>
      <c r="L229" s="54">
        <f t="shared" si="6"/>
        <v>0</v>
      </c>
      <c r="M229" s="59" t="s">
        <v>2928</v>
      </c>
      <c r="N229" s="53" t="s">
        <v>26</v>
      </c>
      <c r="O229" s="53" t="s">
        <v>2929</v>
      </c>
      <c r="P229" s="53" t="s">
        <v>2930</v>
      </c>
      <c r="Q229" s="53" t="str">
        <f t="shared" si="7"/>
        <v>DENTRO DEL TIEMPO</v>
      </c>
      <c r="R229" s="56"/>
    </row>
    <row r="230" spans="1:18" ht="38.25" x14ac:dyDescent="0.25">
      <c r="A230" s="49">
        <v>224</v>
      </c>
      <c r="B230" s="50" t="s">
        <v>2931</v>
      </c>
      <c r="C230" s="51">
        <v>44641</v>
      </c>
      <c r="D230" s="51">
        <v>44643</v>
      </c>
      <c r="E230" s="49">
        <v>2</v>
      </c>
      <c r="F230" s="52" t="s">
        <v>22</v>
      </c>
      <c r="G230" s="53" t="s">
        <v>721</v>
      </c>
      <c r="H230" s="53" t="s">
        <v>24</v>
      </c>
      <c r="I230" s="53" t="s">
        <v>721</v>
      </c>
      <c r="J230" s="51">
        <v>44643</v>
      </c>
      <c r="K230" s="51">
        <v>44643</v>
      </c>
      <c r="L230" s="54">
        <f t="shared" si="6"/>
        <v>0</v>
      </c>
      <c r="M230" s="59" t="s">
        <v>2932</v>
      </c>
      <c r="N230" s="53" t="s">
        <v>26</v>
      </c>
      <c r="O230" s="53" t="s">
        <v>2933</v>
      </c>
      <c r="P230" s="53" t="s">
        <v>2934</v>
      </c>
      <c r="Q230" s="53" t="str">
        <f t="shared" si="7"/>
        <v>DENTRO DEL TIEMPO</v>
      </c>
      <c r="R230" s="56"/>
    </row>
    <row r="231" spans="1:18" ht="51" x14ac:dyDescent="0.25">
      <c r="A231" s="49">
        <v>225</v>
      </c>
      <c r="B231" s="50" t="s">
        <v>2935</v>
      </c>
      <c r="C231" s="51">
        <v>44641</v>
      </c>
      <c r="D231" s="51">
        <v>44643</v>
      </c>
      <c r="E231" s="49">
        <v>2</v>
      </c>
      <c r="F231" s="52" t="s">
        <v>22</v>
      </c>
      <c r="G231" s="53" t="s">
        <v>721</v>
      </c>
      <c r="H231" s="53" t="s">
        <v>24</v>
      </c>
      <c r="I231" s="53" t="s">
        <v>721</v>
      </c>
      <c r="J231" s="51">
        <v>44643</v>
      </c>
      <c r="K231" s="51">
        <v>44643</v>
      </c>
      <c r="L231" s="54">
        <f t="shared" si="6"/>
        <v>0</v>
      </c>
      <c r="M231" s="59" t="s">
        <v>2936</v>
      </c>
      <c r="N231" s="53" t="s">
        <v>26</v>
      </c>
      <c r="O231" s="53" t="s">
        <v>2937</v>
      </c>
      <c r="P231" s="53" t="s">
        <v>2934</v>
      </c>
      <c r="Q231" s="53" t="str">
        <f t="shared" si="7"/>
        <v>DENTRO DEL TIEMPO</v>
      </c>
      <c r="R231" s="56"/>
    </row>
    <row r="232" spans="1:18" ht="51" x14ac:dyDescent="0.25">
      <c r="A232" s="49">
        <v>226</v>
      </c>
      <c r="B232" s="50" t="s">
        <v>2938</v>
      </c>
      <c r="C232" s="51">
        <v>44641</v>
      </c>
      <c r="D232" s="51">
        <v>44643</v>
      </c>
      <c r="E232" s="49">
        <v>2</v>
      </c>
      <c r="F232" s="52" t="s">
        <v>22</v>
      </c>
      <c r="G232" s="53" t="s">
        <v>721</v>
      </c>
      <c r="H232" s="53" t="s">
        <v>24</v>
      </c>
      <c r="I232" s="53" t="s">
        <v>721</v>
      </c>
      <c r="J232" s="51">
        <v>44643</v>
      </c>
      <c r="K232" s="51">
        <v>44643</v>
      </c>
      <c r="L232" s="54">
        <f t="shared" si="6"/>
        <v>0</v>
      </c>
      <c r="M232" s="59" t="s">
        <v>2939</v>
      </c>
      <c r="N232" s="53" t="s">
        <v>26</v>
      </c>
      <c r="O232" s="53" t="s">
        <v>2940</v>
      </c>
      <c r="P232" s="53" t="s">
        <v>1327</v>
      </c>
      <c r="Q232" s="53" t="str">
        <f t="shared" si="7"/>
        <v>DENTRO DEL TIEMPO</v>
      </c>
      <c r="R232" s="56"/>
    </row>
    <row r="233" spans="1:18" ht="51" x14ac:dyDescent="0.25">
      <c r="A233" s="49">
        <v>227</v>
      </c>
      <c r="B233" s="50" t="s">
        <v>2941</v>
      </c>
      <c r="C233" s="51">
        <v>44641</v>
      </c>
      <c r="D233" s="51">
        <v>44643</v>
      </c>
      <c r="E233" s="49">
        <v>2</v>
      </c>
      <c r="F233" s="52" t="s">
        <v>22</v>
      </c>
      <c r="G233" s="53" t="s">
        <v>721</v>
      </c>
      <c r="H233" s="53" t="s">
        <v>24</v>
      </c>
      <c r="I233" s="53" t="s">
        <v>721</v>
      </c>
      <c r="J233" s="51">
        <v>44643</v>
      </c>
      <c r="K233" s="51">
        <v>44643</v>
      </c>
      <c r="L233" s="54">
        <f t="shared" si="6"/>
        <v>0</v>
      </c>
      <c r="M233" s="59" t="s">
        <v>2942</v>
      </c>
      <c r="N233" s="53" t="s">
        <v>26</v>
      </c>
      <c r="O233" s="53" t="s">
        <v>2940</v>
      </c>
      <c r="P233" s="53" t="s">
        <v>1327</v>
      </c>
      <c r="Q233" s="53" t="str">
        <f t="shared" si="7"/>
        <v>DENTRO DEL TIEMPO</v>
      </c>
      <c r="R233" s="56"/>
    </row>
    <row r="234" spans="1:18" ht="51" x14ac:dyDescent="0.25">
      <c r="A234" s="49">
        <v>228</v>
      </c>
      <c r="B234" s="50" t="s">
        <v>2943</v>
      </c>
      <c r="C234" s="51">
        <v>44641</v>
      </c>
      <c r="D234" s="51">
        <v>44643</v>
      </c>
      <c r="E234" s="49">
        <v>2</v>
      </c>
      <c r="F234" s="52" t="s">
        <v>22</v>
      </c>
      <c r="G234" s="53" t="s">
        <v>721</v>
      </c>
      <c r="H234" s="53" t="s">
        <v>24</v>
      </c>
      <c r="I234" s="53" t="s">
        <v>721</v>
      </c>
      <c r="J234" s="51">
        <v>44643</v>
      </c>
      <c r="K234" s="51">
        <v>44643</v>
      </c>
      <c r="L234" s="54">
        <f t="shared" si="6"/>
        <v>0</v>
      </c>
      <c r="M234" s="59" t="s">
        <v>2944</v>
      </c>
      <c r="N234" s="53" t="s">
        <v>26</v>
      </c>
      <c r="O234" s="53" t="s">
        <v>2945</v>
      </c>
      <c r="P234" s="53" t="s">
        <v>2946</v>
      </c>
      <c r="Q234" s="53" t="str">
        <f t="shared" si="7"/>
        <v>DENTRO DEL TIEMPO</v>
      </c>
      <c r="R234" s="56"/>
    </row>
    <row r="235" spans="1:18" ht="38.25" x14ac:dyDescent="0.25">
      <c r="A235" s="49">
        <v>229</v>
      </c>
      <c r="B235" s="50" t="s">
        <v>2947</v>
      </c>
      <c r="C235" s="51">
        <v>44641</v>
      </c>
      <c r="D235" s="51">
        <v>44643</v>
      </c>
      <c r="E235" s="49">
        <v>2</v>
      </c>
      <c r="F235" s="52" t="s">
        <v>22</v>
      </c>
      <c r="G235" s="53" t="s">
        <v>721</v>
      </c>
      <c r="H235" s="53" t="s">
        <v>24</v>
      </c>
      <c r="I235" s="53" t="s">
        <v>721</v>
      </c>
      <c r="J235" s="51">
        <v>44643</v>
      </c>
      <c r="K235" s="51">
        <v>44643</v>
      </c>
      <c r="L235" s="54">
        <f t="shared" si="6"/>
        <v>0</v>
      </c>
      <c r="M235" s="59" t="s">
        <v>2948</v>
      </c>
      <c r="N235" s="53" t="s">
        <v>26</v>
      </c>
      <c r="O235" s="53" t="s">
        <v>2949</v>
      </c>
      <c r="P235" s="53" t="s">
        <v>2728</v>
      </c>
      <c r="Q235" s="53" t="str">
        <f t="shared" si="7"/>
        <v>DENTRO DEL TIEMPO</v>
      </c>
      <c r="R235" s="56"/>
    </row>
    <row r="236" spans="1:18" ht="51" x14ac:dyDescent="0.25">
      <c r="A236" s="49">
        <v>230</v>
      </c>
      <c r="B236" s="50" t="s">
        <v>2950</v>
      </c>
      <c r="C236" s="51">
        <v>44641</v>
      </c>
      <c r="D236" s="51">
        <v>44644</v>
      </c>
      <c r="E236" s="49">
        <v>2</v>
      </c>
      <c r="F236" s="52" t="s">
        <v>22</v>
      </c>
      <c r="G236" s="53" t="s">
        <v>721</v>
      </c>
      <c r="H236" s="53" t="s">
        <v>24</v>
      </c>
      <c r="I236" s="53" t="s">
        <v>721</v>
      </c>
      <c r="J236" s="51">
        <v>44644</v>
      </c>
      <c r="K236" s="51">
        <v>44644</v>
      </c>
      <c r="L236" s="54">
        <f t="shared" si="6"/>
        <v>0</v>
      </c>
      <c r="M236" s="59" t="s">
        <v>2951</v>
      </c>
      <c r="N236" s="53" t="s">
        <v>26</v>
      </c>
      <c r="O236" s="53" t="s">
        <v>2952</v>
      </c>
      <c r="P236" s="53" t="s">
        <v>2953</v>
      </c>
      <c r="Q236" s="53" t="str">
        <f t="shared" si="7"/>
        <v>DENTRO DEL TIEMPO</v>
      </c>
      <c r="R236" s="56"/>
    </row>
    <row r="237" spans="1:18" ht="38.25" hidden="1" x14ac:dyDescent="0.25">
      <c r="A237" s="49">
        <v>231</v>
      </c>
      <c r="B237" s="50" t="s">
        <v>2954</v>
      </c>
      <c r="C237" s="51">
        <v>44641</v>
      </c>
      <c r="D237" s="51">
        <v>44641</v>
      </c>
      <c r="E237" s="49">
        <v>2</v>
      </c>
      <c r="F237" s="52" t="s">
        <v>790</v>
      </c>
      <c r="G237" s="53" t="s">
        <v>2955</v>
      </c>
      <c r="H237" s="53" t="s">
        <v>2956</v>
      </c>
      <c r="I237" s="53" t="s">
        <v>2955</v>
      </c>
      <c r="J237" s="51"/>
      <c r="K237" s="51"/>
      <c r="L237" s="54">
        <f t="shared" si="6"/>
        <v>-31887</v>
      </c>
      <c r="N237" s="53" t="s">
        <v>26</v>
      </c>
      <c r="O237" s="53" t="s">
        <v>2957</v>
      </c>
      <c r="P237" s="53"/>
      <c r="Q237" s="53" t="str">
        <f t="shared" si="7"/>
        <v>DENTRO DEL TIEMPO</v>
      </c>
      <c r="R237" s="56"/>
    </row>
    <row r="238" spans="1:18" ht="51" x14ac:dyDescent="0.25">
      <c r="A238" s="49">
        <v>232</v>
      </c>
      <c r="B238" s="50" t="s">
        <v>2958</v>
      </c>
      <c r="C238" s="51">
        <v>44641</v>
      </c>
      <c r="D238" s="51">
        <v>44642</v>
      </c>
      <c r="E238" s="49">
        <v>2</v>
      </c>
      <c r="F238" s="52" t="s">
        <v>22</v>
      </c>
      <c r="G238" s="53" t="s">
        <v>1256</v>
      </c>
      <c r="H238" s="53" t="s">
        <v>24</v>
      </c>
      <c r="I238" s="53" t="s">
        <v>1256</v>
      </c>
      <c r="J238" s="51">
        <v>44642</v>
      </c>
      <c r="K238" s="51">
        <v>44642</v>
      </c>
      <c r="L238" s="54">
        <f t="shared" si="6"/>
        <v>0</v>
      </c>
      <c r="M238" s="59" t="s">
        <v>2959</v>
      </c>
      <c r="N238" s="53" t="s">
        <v>26</v>
      </c>
      <c r="O238" s="53" t="s">
        <v>2960</v>
      </c>
      <c r="P238" s="53" t="s">
        <v>2961</v>
      </c>
      <c r="Q238" s="53" t="str">
        <f t="shared" si="7"/>
        <v>DENTRO DEL TIEMPO</v>
      </c>
      <c r="R238" s="56"/>
    </row>
    <row r="239" spans="1:18" ht="51" x14ac:dyDescent="0.25">
      <c r="A239" s="49">
        <v>233</v>
      </c>
      <c r="B239" s="50" t="s">
        <v>2962</v>
      </c>
      <c r="C239" s="51">
        <v>44641</v>
      </c>
      <c r="D239" s="51">
        <v>44644</v>
      </c>
      <c r="E239" s="49">
        <v>2</v>
      </c>
      <c r="F239" s="52" t="s">
        <v>22</v>
      </c>
      <c r="G239" s="53" t="s">
        <v>721</v>
      </c>
      <c r="H239" s="53" t="s">
        <v>24</v>
      </c>
      <c r="I239" s="53" t="s">
        <v>721</v>
      </c>
      <c r="J239" s="51">
        <v>44644</v>
      </c>
      <c r="K239" s="51">
        <v>44644</v>
      </c>
      <c r="L239" s="54">
        <f t="shared" si="6"/>
        <v>0</v>
      </c>
      <c r="M239" s="59" t="s">
        <v>2963</v>
      </c>
      <c r="N239" s="53" t="s">
        <v>26</v>
      </c>
      <c r="O239" s="53" t="s">
        <v>2964</v>
      </c>
      <c r="P239" s="53" t="s">
        <v>2965</v>
      </c>
      <c r="Q239" s="53" t="str">
        <f t="shared" si="7"/>
        <v>DENTRO DEL TIEMPO</v>
      </c>
      <c r="R239" s="56"/>
    </row>
    <row r="240" spans="1:18" ht="51" x14ac:dyDescent="0.25">
      <c r="A240" s="49">
        <v>234</v>
      </c>
      <c r="B240" s="50" t="s">
        <v>2966</v>
      </c>
      <c r="C240" s="51">
        <v>44641</v>
      </c>
      <c r="D240" s="51">
        <v>44650</v>
      </c>
      <c r="E240" s="49">
        <v>2</v>
      </c>
      <c r="F240" s="52" t="s">
        <v>22</v>
      </c>
      <c r="G240" s="53" t="s">
        <v>1256</v>
      </c>
      <c r="H240" s="53" t="s">
        <v>24</v>
      </c>
      <c r="I240" s="53" t="s">
        <v>2967</v>
      </c>
      <c r="J240" s="51">
        <v>44655</v>
      </c>
      <c r="K240" s="51">
        <v>44655</v>
      </c>
      <c r="L240" s="54">
        <f t="shared" si="6"/>
        <v>3</v>
      </c>
      <c r="M240" s="59" t="s">
        <v>2847</v>
      </c>
      <c r="N240" s="53" t="s">
        <v>26</v>
      </c>
      <c r="O240" s="53" t="s">
        <v>2968</v>
      </c>
      <c r="P240" s="53" t="s">
        <v>2849</v>
      </c>
      <c r="Q240" s="53" t="str">
        <f t="shared" si="7"/>
        <v>DENTRO DEL TIEMPO</v>
      </c>
      <c r="R240" s="56"/>
    </row>
    <row r="241" spans="1:18" ht="38.25" x14ac:dyDescent="0.25">
      <c r="A241" s="49">
        <v>235</v>
      </c>
      <c r="B241" s="50" t="s">
        <v>2969</v>
      </c>
      <c r="C241" s="51">
        <v>44641</v>
      </c>
      <c r="D241" s="51">
        <v>44644</v>
      </c>
      <c r="E241" s="49">
        <v>2</v>
      </c>
      <c r="F241" s="52" t="s">
        <v>22</v>
      </c>
      <c r="G241" s="53" t="s">
        <v>721</v>
      </c>
      <c r="H241" s="53" t="s">
        <v>24</v>
      </c>
      <c r="I241" s="53" t="s">
        <v>721</v>
      </c>
      <c r="J241" s="51">
        <v>44644</v>
      </c>
      <c r="K241" s="51">
        <v>44644</v>
      </c>
      <c r="L241" s="54">
        <f t="shared" si="6"/>
        <v>0</v>
      </c>
      <c r="M241" s="59" t="s">
        <v>2970</v>
      </c>
      <c r="N241" s="53" t="s">
        <v>26</v>
      </c>
      <c r="O241" s="53" t="s">
        <v>2483</v>
      </c>
      <c r="P241" s="53" t="s">
        <v>1784</v>
      </c>
      <c r="Q241" s="53" t="str">
        <f t="shared" si="7"/>
        <v>DENTRO DEL TIEMPO</v>
      </c>
      <c r="R241" s="56"/>
    </row>
    <row r="242" spans="1:18" ht="51" x14ac:dyDescent="0.25">
      <c r="A242" s="49">
        <v>236</v>
      </c>
      <c r="B242" s="50" t="s">
        <v>2971</v>
      </c>
      <c r="C242" s="51">
        <v>44642</v>
      </c>
      <c r="D242" s="51">
        <v>44642</v>
      </c>
      <c r="E242" s="49">
        <v>498</v>
      </c>
      <c r="F242" s="52" t="s">
        <v>22</v>
      </c>
      <c r="G242" s="53" t="s">
        <v>1256</v>
      </c>
      <c r="H242" s="53" t="s">
        <v>24</v>
      </c>
      <c r="I242" s="53" t="s">
        <v>1256</v>
      </c>
      <c r="J242" s="51">
        <v>44642</v>
      </c>
      <c r="K242" s="51">
        <v>44642</v>
      </c>
      <c r="L242" s="54">
        <f t="shared" si="6"/>
        <v>0</v>
      </c>
      <c r="M242" s="59" t="s">
        <v>2972</v>
      </c>
      <c r="N242" s="53" t="s">
        <v>26</v>
      </c>
      <c r="O242" s="53" t="s">
        <v>2309</v>
      </c>
      <c r="P242" s="53" t="s">
        <v>2310</v>
      </c>
      <c r="Q242" s="53" t="str">
        <f t="shared" si="7"/>
        <v>DENTRO DEL TIEMPO</v>
      </c>
      <c r="R242" s="56"/>
    </row>
    <row r="243" spans="1:18" ht="51" x14ac:dyDescent="0.25">
      <c r="A243" s="49">
        <v>237</v>
      </c>
      <c r="B243" s="50" t="s">
        <v>2973</v>
      </c>
      <c r="C243" s="51">
        <v>44642</v>
      </c>
      <c r="D243" s="51">
        <v>44645</v>
      </c>
      <c r="E243" s="49">
        <v>153</v>
      </c>
      <c r="F243" s="52" t="s">
        <v>22</v>
      </c>
      <c r="G243" s="53" t="s">
        <v>1256</v>
      </c>
      <c r="H243" s="53" t="s">
        <v>24</v>
      </c>
      <c r="I243" s="53" t="s">
        <v>1256</v>
      </c>
      <c r="J243" s="51">
        <v>44645</v>
      </c>
      <c r="K243" s="51">
        <v>44645</v>
      </c>
      <c r="L243" s="54">
        <f t="shared" si="6"/>
        <v>0</v>
      </c>
      <c r="M243" s="59" t="s">
        <v>2974</v>
      </c>
      <c r="N243" s="53" t="s">
        <v>26</v>
      </c>
      <c r="O243" s="53" t="s">
        <v>2975</v>
      </c>
      <c r="P243" s="53" t="s">
        <v>2976</v>
      </c>
      <c r="Q243" s="53" t="str">
        <f t="shared" si="7"/>
        <v>DENTRO DEL TIEMPO</v>
      </c>
      <c r="R243" s="56"/>
    </row>
    <row r="244" spans="1:18" ht="51" x14ac:dyDescent="0.25">
      <c r="A244" s="49">
        <v>238</v>
      </c>
      <c r="B244" s="50" t="s">
        <v>2977</v>
      </c>
      <c r="C244" s="51">
        <v>44642</v>
      </c>
      <c r="D244" s="51">
        <v>44644</v>
      </c>
      <c r="E244" s="49">
        <v>2</v>
      </c>
      <c r="F244" s="52" t="s">
        <v>22</v>
      </c>
      <c r="G244" s="53" t="s">
        <v>721</v>
      </c>
      <c r="H244" s="53" t="s">
        <v>24</v>
      </c>
      <c r="I244" s="53" t="s">
        <v>721</v>
      </c>
      <c r="J244" s="51">
        <v>44644</v>
      </c>
      <c r="K244" s="51">
        <v>44644</v>
      </c>
      <c r="L244" s="54">
        <f t="shared" si="6"/>
        <v>0</v>
      </c>
      <c r="M244" s="59" t="s">
        <v>2978</v>
      </c>
      <c r="N244" s="53" t="s">
        <v>26</v>
      </c>
      <c r="O244" s="53" t="s">
        <v>2979</v>
      </c>
      <c r="P244" s="53" t="s">
        <v>2038</v>
      </c>
      <c r="Q244" s="53" t="str">
        <f t="shared" si="7"/>
        <v>DENTRO DEL TIEMPO</v>
      </c>
      <c r="R244" s="56"/>
    </row>
    <row r="245" spans="1:18" ht="51" x14ac:dyDescent="0.25">
      <c r="A245" s="49">
        <v>239</v>
      </c>
      <c r="B245" s="50" t="s">
        <v>2980</v>
      </c>
      <c r="C245" s="51">
        <v>44642</v>
      </c>
      <c r="D245" s="51">
        <v>44644</v>
      </c>
      <c r="E245" s="49">
        <v>2</v>
      </c>
      <c r="F245" s="52" t="s">
        <v>22</v>
      </c>
      <c r="G245" s="53" t="s">
        <v>721</v>
      </c>
      <c r="H245" s="53" t="s">
        <v>24</v>
      </c>
      <c r="I245" s="53" t="s">
        <v>721</v>
      </c>
      <c r="J245" s="51">
        <v>44644</v>
      </c>
      <c r="K245" s="51">
        <v>44644</v>
      </c>
      <c r="L245" s="54">
        <f t="shared" si="6"/>
        <v>0</v>
      </c>
      <c r="M245" s="59" t="s">
        <v>2981</v>
      </c>
      <c r="N245" s="53" t="s">
        <v>26</v>
      </c>
      <c r="O245" s="53" t="s">
        <v>2982</v>
      </c>
      <c r="P245" s="53" t="s">
        <v>2965</v>
      </c>
      <c r="Q245" s="53" t="str">
        <f t="shared" si="7"/>
        <v>DENTRO DEL TIEMPO</v>
      </c>
      <c r="R245" s="56"/>
    </row>
    <row r="246" spans="1:18" ht="38.25" x14ac:dyDescent="0.25">
      <c r="A246" s="49">
        <v>240</v>
      </c>
      <c r="B246" s="50" t="s">
        <v>2983</v>
      </c>
      <c r="C246" s="51">
        <v>44642</v>
      </c>
      <c r="D246" s="51">
        <v>44644</v>
      </c>
      <c r="E246" s="49">
        <v>2</v>
      </c>
      <c r="F246" s="52" t="s">
        <v>22</v>
      </c>
      <c r="G246" s="53" t="s">
        <v>721</v>
      </c>
      <c r="H246" s="53" t="s">
        <v>24</v>
      </c>
      <c r="I246" s="53" t="s">
        <v>721</v>
      </c>
      <c r="J246" s="51">
        <v>44644</v>
      </c>
      <c r="K246" s="51">
        <v>44644</v>
      </c>
      <c r="L246" s="54">
        <f t="shared" si="6"/>
        <v>0</v>
      </c>
      <c r="M246" s="59" t="s">
        <v>2984</v>
      </c>
      <c r="N246" s="53" t="s">
        <v>26</v>
      </c>
      <c r="O246" s="53" t="s">
        <v>2985</v>
      </c>
      <c r="P246" s="53" t="s">
        <v>2986</v>
      </c>
      <c r="Q246" s="53" t="str">
        <f t="shared" si="7"/>
        <v>DENTRO DEL TIEMPO</v>
      </c>
      <c r="R246" s="56"/>
    </row>
    <row r="247" spans="1:18" ht="51" x14ac:dyDescent="0.25">
      <c r="A247" s="49">
        <v>241</v>
      </c>
      <c r="B247" s="50" t="s">
        <v>2987</v>
      </c>
      <c r="C247" s="51">
        <v>44642</v>
      </c>
      <c r="D247" s="51">
        <v>44644</v>
      </c>
      <c r="E247" s="49">
        <v>2</v>
      </c>
      <c r="F247" s="52" t="s">
        <v>22</v>
      </c>
      <c r="G247" s="53" t="s">
        <v>721</v>
      </c>
      <c r="H247" s="53" t="s">
        <v>24</v>
      </c>
      <c r="I247" s="53" t="s">
        <v>721</v>
      </c>
      <c r="J247" s="51">
        <v>44644</v>
      </c>
      <c r="K247" s="51">
        <v>44644</v>
      </c>
      <c r="L247" s="54">
        <f t="shared" si="6"/>
        <v>0</v>
      </c>
      <c r="M247" s="59" t="s">
        <v>2988</v>
      </c>
      <c r="N247" s="53" t="s">
        <v>26</v>
      </c>
      <c r="O247" s="53" t="s">
        <v>2989</v>
      </c>
      <c r="P247" s="53" t="s">
        <v>2990</v>
      </c>
      <c r="Q247" s="53" t="str">
        <f t="shared" si="7"/>
        <v>DENTRO DEL TIEMPO</v>
      </c>
      <c r="R247" s="56"/>
    </row>
    <row r="248" spans="1:18" ht="38.25" x14ac:dyDescent="0.25">
      <c r="A248" s="49">
        <v>242</v>
      </c>
      <c r="B248" s="50" t="s">
        <v>2991</v>
      </c>
      <c r="C248" s="51">
        <v>44642</v>
      </c>
      <c r="D248" s="51">
        <v>44644</v>
      </c>
      <c r="E248" s="49">
        <v>2</v>
      </c>
      <c r="F248" s="52" t="s">
        <v>22</v>
      </c>
      <c r="G248" s="53" t="s">
        <v>721</v>
      </c>
      <c r="H248" s="53" t="s">
        <v>24</v>
      </c>
      <c r="I248" s="53" t="s">
        <v>721</v>
      </c>
      <c r="J248" s="51">
        <v>44644</v>
      </c>
      <c r="K248" s="51">
        <v>44644</v>
      </c>
      <c r="L248" s="54">
        <f t="shared" si="6"/>
        <v>0</v>
      </c>
      <c r="M248" s="59" t="s">
        <v>2992</v>
      </c>
      <c r="N248" s="53" t="s">
        <v>26</v>
      </c>
      <c r="O248" s="53" t="s">
        <v>2330</v>
      </c>
      <c r="P248" s="53" t="s">
        <v>2484</v>
      </c>
      <c r="Q248" s="53" t="str">
        <f t="shared" si="7"/>
        <v>DENTRO DEL TIEMPO</v>
      </c>
      <c r="R248" s="56"/>
    </row>
    <row r="249" spans="1:18" ht="51" x14ac:dyDescent="0.25">
      <c r="A249" s="49">
        <v>243</v>
      </c>
      <c r="B249" s="50" t="s">
        <v>2993</v>
      </c>
      <c r="C249" s="51">
        <v>44642</v>
      </c>
      <c r="D249" s="51">
        <v>44644</v>
      </c>
      <c r="E249" s="49">
        <v>2</v>
      </c>
      <c r="F249" s="52" t="s">
        <v>22</v>
      </c>
      <c r="G249" s="53" t="s">
        <v>721</v>
      </c>
      <c r="H249" s="53" t="s">
        <v>24</v>
      </c>
      <c r="I249" s="53" t="s">
        <v>721</v>
      </c>
      <c r="J249" s="51">
        <v>44644</v>
      </c>
      <c r="K249" s="51">
        <v>44644</v>
      </c>
      <c r="L249" s="54">
        <f t="shared" si="6"/>
        <v>0</v>
      </c>
      <c r="M249" s="59" t="s">
        <v>2994</v>
      </c>
      <c r="N249" s="53" t="s">
        <v>26</v>
      </c>
      <c r="O249" s="53" t="s">
        <v>2995</v>
      </c>
      <c r="P249" s="53" t="s">
        <v>2996</v>
      </c>
      <c r="Q249" s="53" t="str">
        <f t="shared" si="7"/>
        <v>DENTRO DEL TIEMPO</v>
      </c>
      <c r="R249" s="56"/>
    </row>
    <row r="250" spans="1:18" ht="38.25" x14ac:dyDescent="0.25">
      <c r="A250" s="49">
        <v>244</v>
      </c>
      <c r="B250" s="50" t="s">
        <v>2997</v>
      </c>
      <c r="C250" s="51">
        <v>44642</v>
      </c>
      <c r="D250" s="51">
        <v>44644</v>
      </c>
      <c r="E250" s="49">
        <v>2</v>
      </c>
      <c r="F250" s="52" t="s">
        <v>22</v>
      </c>
      <c r="G250" s="53" t="s">
        <v>721</v>
      </c>
      <c r="H250" s="53" t="s">
        <v>24</v>
      </c>
      <c r="I250" s="53" t="s">
        <v>721</v>
      </c>
      <c r="J250" s="51">
        <v>44644</v>
      </c>
      <c r="K250" s="51">
        <v>44644</v>
      </c>
      <c r="L250" s="54">
        <f t="shared" si="6"/>
        <v>0</v>
      </c>
      <c r="M250" s="59" t="s">
        <v>2998</v>
      </c>
      <c r="N250" s="53" t="s">
        <v>26</v>
      </c>
      <c r="O250" s="53" t="s">
        <v>2999</v>
      </c>
      <c r="P250" s="53" t="s">
        <v>3000</v>
      </c>
      <c r="Q250" s="53" t="str">
        <f t="shared" si="7"/>
        <v>DENTRO DEL TIEMPO</v>
      </c>
      <c r="R250" s="56"/>
    </row>
    <row r="251" spans="1:18" ht="38.25" x14ac:dyDescent="0.25">
      <c r="A251" s="49">
        <v>245</v>
      </c>
      <c r="B251" s="50" t="s">
        <v>3001</v>
      </c>
      <c r="C251" s="51">
        <v>44642</v>
      </c>
      <c r="D251" s="51">
        <v>44644</v>
      </c>
      <c r="E251" s="49">
        <v>2</v>
      </c>
      <c r="F251" s="52" t="s">
        <v>22</v>
      </c>
      <c r="G251" s="53" t="s">
        <v>721</v>
      </c>
      <c r="H251" s="53" t="s">
        <v>24</v>
      </c>
      <c r="I251" s="53" t="s">
        <v>721</v>
      </c>
      <c r="J251" s="51">
        <v>44644</v>
      </c>
      <c r="K251" s="51">
        <v>44644</v>
      </c>
      <c r="L251" s="54">
        <f t="shared" si="6"/>
        <v>0</v>
      </c>
      <c r="M251" s="59" t="s">
        <v>3002</v>
      </c>
      <c r="N251" s="53" t="s">
        <v>26</v>
      </c>
      <c r="O251" s="53" t="s">
        <v>3003</v>
      </c>
      <c r="P251" s="53" t="s">
        <v>3004</v>
      </c>
      <c r="Q251" s="53" t="str">
        <f t="shared" si="7"/>
        <v>DENTRO DEL TIEMPO</v>
      </c>
      <c r="R251" s="56"/>
    </row>
    <row r="252" spans="1:18" ht="51" x14ac:dyDescent="0.25">
      <c r="A252" s="49">
        <v>246</v>
      </c>
      <c r="B252" s="50" t="s">
        <v>3005</v>
      </c>
      <c r="C252" s="51">
        <v>44642</v>
      </c>
      <c r="D252" s="51">
        <v>44644</v>
      </c>
      <c r="E252" s="49">
        <v>2</v>
      </c>
      <c r="F252" s="52" t="s">
        <v>22</v>
      </c>
      <c r="G252" s="53" t="s">
        <v>721</v>
      </c>
      <c r="H252" s="53" t="s">
        <v>24</v>
      </c>
      <c r="I252" s="53" t="s">
        <v>721</v>
      </c>
      <c r="J252" s="51">
        <v>44644</v>
      </c>
      <c r="K252" s="51">
        <v>44644</v>
      </c>
      <c r="L252" s="54">
        <f t="shared" si="6"/>
        <v>0</v>
      </c>
      <c r="M252" s="59" t="s">
        <v>3006</v>
      </c>
      <c r="N252" s="53" t="s">
        <v>26</v>
      </c>
      <c r="O252" s="53" t="s">
        <v>3007</v>
      </c>
      <c r="P252" s="53" t="s">
        <v>3008</v>
      </c>
      <c r="Q252" s="53" t="str">
        <f t="shared" si="7"/>
        <v>DENTRO DEL TIEMPO</v>
      </c>
      <c r="R252" s="56"/>
    </row>
    <row r="253" spans="1:18" ht="38.25" x14ac:dyDescent="0.25">
      <c r="A253" s="49">
        <v>247</v>
      </c>
      <c r="B253" s="50" t="s">
        <v>3009</v>
      </c>
      <c r="C253" s="51">
        <v>44642</v>
      </c>
      <c r="D253" s="51">
        <v>44644</v>
      </c>
      <c r="E253" s="49">
        <v>2</v>
      </c>
      <c r="F253" s="52" t="s">
        <v>22</v>
      </c>
      <c r="G253" s="53" t="s">
        <v>721</v>
      </c>
      <c r="H253" s="53" t="s">
        <v>24</v>
      </c>
      <c r="I253" s="53" t="s">
        <v>721</v>
      </c>
      <c r="J253" s="51">
        <v>44644</v>
      </c>
      <c r="K253" s="51">
        <v>44644</v>
      </c>
      <c r="L253" s="54">
        <f t="shared" si="6"/>
        <v>0</v>
      </c>
      <c r="M253" s="59" t="s">
        <v>3010</v>
      </c>
      <c r="N253" s="53" t="s">
        <v>26</v>
      </c>
      <c r="O253" s="53" t="s">
        <v>3011</v>
      </c>
      <c r="P253" s="53" t="s">
        <v>1673</v>
      </c>
      <c r="Q253" s="53" t="str">
        <f t="shared" si="7"/>
        <v>DENTRO DEL TIEMPO</v>
      </c>
      <c r="R253" s="56"/>
    </row>
    <row r="254" spans="1:18" ht="51" x14ac:dyDescent="0.25">
      <c r="A254" s="49">
        <v>248</v>
      </c>
      <c r="B254" s="50" t="s">
        <v>3012</v>
      </c>
      <c r="C254" s="51">
        <v>44642</v>
      </c>
      <c r="D254" s="51">
        <v>44644</v>
      </c>
      <c r="E254" s="49">
        <v>2</v>
      </c>
      <c r="F254" s="52" t="s">
        <v>22</v>
      </c>
      <c r="G254" s="53" t="s">
        <v>721</v>
      </c>
      <c r="H254" s="53" t="s">
        <v>24</v>
      </c>
      <c r="I254" s="53" t="s">
        <v>721</v>
      </c>
      <c r="J254" s="51">
        <v>44644</v>
      </c>
      <c r="K254" s="51">
        <v>44644</v>
      </c>
      <c r="L254" s="54">
        <f t="shared" si="6"/>
        <v>0</v>
      </c>
      <c r="M254" s="59" t="s">
        <v>3013</v>
      </c>
      <c r="N254" s="53" t="s">
        <v>26</v>
      </c>
      <c r="O254" s="53" t="s">
        <v>3014</v>
      </c>
      <c r="P254" s="53" t="s">
        <v>3015</v>
      </c>
      <c r="Q254" s="53" t="str">
        <f t="shared" si="7"/>
        <v>DENTRO DEL TIEMPO</v>
      </c>
      <c r="R254" s="56"/>
    </row>
    <row r="255" spans="1:18" ht="38.25" x14ac:dyDescent="0.25">
      <c r="A255" s="49">
        <v>249</v>
      </c>
      <c r="B255" s="50" t="s">
        <v>3016</v>
      </c>
      <c r="C255" s="51">
        <v>44642</v>
      </c>
      <c r="D255" s="51">
        <v>44644</v>
      </c>
      <c r="E255" s="49">
        <v>2</v>
      </c>
      <c r="F255" s="52" t="s">
        <v>22</v>
      </c>
      <c r="G255" s="53" t="s">
        <v>721</v>
      </c>
      <c r="H255" s="53" t="s">
        <v>24</v>
      </c>
      <c r="I255" s="53" t="s">
        <v>721</v>
      </c>
      <c r="J255" s="51">
        <v>44644</v>
      </c>
      <c r="K255" s="51">
        <v>44644</v>
      </c>
      <c r="L255" s="54">
        <f t="shared" si="6"/>
        <v>0</v>
      </c>
      <c r="M255" s="59" t="s">
        <v>3017</v>
      </c>
      <c r="N255" s="53" t="s">
        <v>26</v>
      </c>
      <c r="O255" s="53" t="s">
        <v>3018</v>
      </c>
      <c r="P255" s="53" t="s">
        <v>3019</v>
      </c>
      <c r="Q255" s="53" t="str">
        <f t="shared" si="7"/>
        <v>DENTRO DEL TIEMPO</v>
      </c>
      <c r="R255" s="56"/>
    </row>
    <row r="256" spans="1:18" ht="38.25" x14ac:dyDescent="0.25">
      <c r="A256" s="49">
        <v>250</v>
      </c>
      <c r="B256" s="50" t="s">
        <v>3020</v>
      </c>
      <c r="C256" s="51">
        <v>44642</v>
      </c>
      <c r="D256" s="51">
        <v>44644</v>
      </c>
      <c r="E256" s="49">
        <v>2</v>
      </c>
      <c r="F256" s="52" t="s">
        <v>22</v>
      </c>
      <c r="G256" s="53" t="s">
        <v>721</v>
      </c>
      <c r="H256" s="53" t="s">
        <v>24</v>
      </c>
      <c r="I256" s="53" t="s">
        <v>721</v>
      </c>
      <c r="J256" s="51">
        <v>44644</v>
      </c>
      <c r="K256" s="51">
        <v>44644</v>
      </c>
      <c r="L256" s="54">
        <f t="shared" si="6"/>
        <v>0</v>
      </c>
      <c r="M256" s="59" t="s">
        <v>3021</v>
      </c>
      <c r="N256" s="53" t="s">
        <v>26</v>
      </c>
      <c r="O256" s="53" t="s">
        <v>2483</v>
      </c>
      <c r="P256" s="53" t="s">
        <v>3022</v>
      </c>
      <c r="Q256" s="53" t="str">
        <f t="shared" si="7"/>
        <v>DENTRO DEL TIEMPO</v>
      </c>
      <c r="R256" s="56"/>
    </row>
    <row r="257" spans="1:18" ht="38.25" x14ac:dyDescent="0.25">
      <c r="A257" s="49">
        <v>251</v>
      </c>
      <c r="B257" s="50" t="s">
        <v>3023</v>
      </c>
      <c r="C257" s="51">
        <v>44643</v>
      </c>
      <c r="D257" s="51">
        <v>44644</v>
      </c>
      <c r="E257" s="49">
        <v>2</v>
      </c>
      <c r="F257" s="52" t="s">
        <v>22</v>
      </c>
      <c r="G257" s="53" t="s">
        <v>721</v>
      </c>
      <c r="H257" s="53" t="s">
        <v>24</v>
      </c>
      <c r="I257" s="53" t="s">
        <v>721</v>
      </c>
      <c r="J257" s="51">
        <v>44644</v>
      </c>
      <c r="K257" s="51">
        <v>44644</v>
      </c>
      <c r="L257" s="54">
        <f t="shared" si="6"/>
        <v>0</v>
      </c>
      <c r="M257" s="59" t="s">
        <v>3024</v>
      </c>
      <c r="N257" s="53" t="s">
        <v>26</v>
      </c>
      <c r="O257" s="53" t="s">
        <v>3025</v>
      </c>
      <c r="P257" s="53" t="s">
        <v>3026</v>
      </c>
      <c r="Q257" s="53" t="str">
        <f t="shared" si="7"/>
        <v>DENTRO DEL TIEMPO</v>
      </c>
      <c r="R257" s="56"/>
    </row>
    <row r="258" spans="1:18" ht="38.25" x14ac:dyDescent="0.25">
      <c r="A258" s="49">
        <v>252</v>
      </c>
      <c r="B258" s="50" t="s">
        <v>3027</v>
      </c>
      <c r="C258" s="51">
        <v>44643</v>
      </c>
      <c r="D258" s="51">
        <v>44645</v>
      </c>
      <c r="E258" s="49">
        <v>2</v>
      </c>
      <c r="F258" s="52" t="s">
        <v>22</v>
      </c>
      <c r="G258" s="53" t="s">
        <v>721</v>
      </c>
      <c r="H258" s="53" t="s">
        <v>24</v>
      </c>
      <c r="I258" s="53" t="s">
        <v>721</v>
      </c>
      <c r="J258" s="51">
        <v>44645</v>
      </c>
      <c r="K258" s="51">
        <v>44645</v>
      </c>
      <c r="L258" s="54">
        <f t="shared" si="6"/>
        <v>0</v>
      </c>
      <c r="M258" s="59" t="s">
        <v>3028</v>
      </c>
      <c r="N258" s="53" t="s">
        <v>26</v>
      </c>
      <c r="O258" s="53" t="s">
        <v>3029</v>
      </c>
      <c r="P258" s="53" t="s">
        <v>3030</v>
      </c>
      <c r="Q258" s="53" t="str">
        <f t="shared" si="7"/>
        <v>DENTRO DEL TIEMPO</v>
      </c>
      <c r="R258" s="56"/>
    </row>
    <row r="259" spans="1:18" ht="51" x14ac:dyDescent="0.25">
      <c r="A259" s="49">
        <v>253</v>
      </c>
      <c r="B259" s="50" t="s">
        <v>3031</v>
      </c>
      <c r="C259" s="51">
        <v>44643</v>
      </c>
      <c r="D259" s="51">
        <v>44645</v>
      </c>
      <c r="E259" s="49">
        <v>2</v>
      </c>
      <c r="F259" s="52" t="s">
        <v>22</v>
      </c>
      <c r="G259" s="53" t="s">
        <v>721</v>
      </c>
      <c r="H259" s="53" t="s">
        <v>24</v>
      </c>
      <c r="I259" s="53" t="s">
        <v>721</v>
      </c>
      <c r="J259" s="51">
        <v>44645</v>
      </c>
      <c r="K259" s="51">
        <v>44645</v>
      </c>
      <c r="L259" s="54">
        <f t="shared" si="6"/>
        <v>0</v>
      </c>
      <c r="M259" s="59" t="s">
        <v>3032</v>
      </c>
      <c r="N259" s="53" t="s">
        <v>26</v>
      </c>
      <c r="O259" s="53" t="s">
        <v>2652</v>
      </c>
      <c r="P259" s="53" t="s">
        <v>1585</v>
      </c>
      <c r="Q259" s="53" t="str">
        <f t="shared" si="7"/>
        <v>DENTRO DEL TIEMPO</v>
      </c>
      <c r="R259" s="56"/>
    </row>
    <row r="260" spans="1:18" ht="51" x14ac:dyDescent="0.25">
      <c r="A260" s="49">
        <v>254</v>
      </c>
      <c r="B260" s="50" t="s">
        <v>3033</v>
      </c>
      <c r="C260" s="51">
        <v>44643</v>
      </c>
      <c r="D260" s="51">
        <v>44649</v>
      </c>
      <c r="E260" s="49">
        <v>2</v>
      </c>
      <c r="F260" s="52" t="s">
        <v>22</v>
      </c>
      <c r="G260" s="53" t="s">
        <v>721</v>
      </c>
      <c r="H260" s="53" t="s">
        <v>24</v>
      </c>
      <c r="I260" s="53" t="s">
        <v>721</v>
      </c>
      <c r="J260" s="51">
        <v>44649</v>
      </c>
      <c r="K260" s="51">
        <v>44649</v>
      </c>
      <c r="L260" s="54">
        <f t="shared" si="6"/>
        <v>0</v>
      </c>
      <c r="M260" s="59" t="s">
        <v>3034</v>
      </c>
      <c r="N260" s="53" t="s">
        <v>26</v>
      </c>
      <c r="O260" s="53" t="s">
        <v>3035</v>
      </c>
      <c r="P260" s="53" t="s">
        <v>3036</v>
      </c>
      <c r="Q260" s="53" t="str">
        <f t="shared" si="7"/>
        <v>DENTRO DEL TIEMPO</v>
      </c>
      <c r="R260" s="56"/>
    </row>
    <row r="261" spans="1:18" ht="51" x14ac:dyDescent="0.25">
      <c r="A261" s="49">
        <v>255</v>
      </c>
      <c r="B261" s="50" t="s">
        <v>3037</v>
      </c>
      <c r="C261" s="51">
        <v>44643</v>
      </c>
      <c r="D261" s="51">
        <v>44651</v>
      </c>
      <c r="E261" s="49">
        <v>158</v>
      </c>
      <c r="F261" s="52" t="s">
        <v>22</v>
      </c>
      <c r="G261" s="53" t="s">
        <v>1256</v>
      </c>
      <c r="H261" s="53" t="s">
        <v>24</v>
      </c>
      <c r="I261" s="53" t="s">
        <v>1256</v>
      </c>
      <c r="J261" s="51">
        <v>44651</v>
      </c>
      <c r="K261" s="51">
        <v>44651</v>
      </c>
      <c r="L261" s="54">
        <f t="shared" si="6"/>
        <v>0</v>
      </c>
      <c r="M261" s="59" t="s">
        <v>3038</v>
      </c>
      <c r="N261" s="53" t="s">
        <v>26</v>
      </c>
      <c r="O261" s="53" t="s">
        <v>3039</v>
      </c>
      <c r="P261" s="53" t="s">
        <v>3040</v>
      </c>
      <c r="Q261" s="53" t="str">
        <f t="shared" si="7"/>
        <v>DENTRO DEL TIEMPO</v>
      </c>
      <c r="R261" s="56"/>
    </row>
    <row r="262" spans="1:18" ht="38.25" x14ac:dyDescent="0.25">
      <c r="A262" s="49">
        <v>256</v>
      </c>
      <c r="B262" s="50" t="s">
        <v>3041</v>
      </c>
      <c r="C262" s="51">
        <v>44643</v>
      </c>
      <c r="D262" s="51">
        <v>44643</v>
      </c>
      <c r="E262" s="49">
        <v>2</v>
      </c>
      <c r="F262" s="52" t="s">
        <v>22</v>
      </c>
      <c r="G262" s="53" t="s">
        <v>721</v>
      </c>
      <c r="H262" s="53" t="s">
        <v>24</v>
      </c>
      <c r="I262" s="53" t="s">
        <v>721</v>
      </c>
      <c r="J262" s="51">
        <v>44649</v>
      </c>
      <c r="K262" s="51">
        <v>44649</v>
      </c>
      <c r="L262" s="54">
        <f t="shared" si="6"/>
        <v>4</v>
      </c>
      <c r="M262" s="59" t="s">
        <v>3042</v>
      </c>
      <c r="N262" s="53" t="s">
        <v>26</v>
      </c>
      <c r="O262" s="53" t="s">
        <v>3025</v>
      </c>
      <c r="P262" s="53" t="s">
        <v>1480</v>
      </c>
      <c r="Q262" s="53" t="str">
        <f t="shared" si="7"/>
        <v>DENTRO DEL TIEMPO</v>
      </c>
      <c r="R262" s="56"/>
    </row>
    <row r="263" spans="1:18" ht="38.25" x14ac:dyDescent="0.25">
      <c r="A263" s="49">
        <v>257</v>
      </c>
      <c r="B263" s="50" t="s">
        <v>3043</v>
      </c>
      <c r="C263" s="51">
        <v>44643</v>
      </c>
      <c r="D263" s="51">
        <v>44645</v>
      </c>
      <c r="E263" s="49">
        <v>2</v>
      </c>
      <c r="F263" s="52" t="s">
        <v>22</v>
      </c>
      <c r="G263" s="53" t="s">
        <v>721</v>
      </c>
      <c r="H263" s="53" t="s">
        <v>24</v>
      </c>
      <c r="I263" s="53" t="s">
        <v>721</v>
      </c>
      <c r="J263" s="51">
        <v>44645</v>
      </c>
      <c r="K263" s="51">
        <v>44645</v>
      </c>
      <c r="L263" s="54">
        <f t="shared" si="6"/>
        <v>0</v>
      </c>
      <c r="M263" s="59" t="s">
        <v>3044</v>
      </c>
      <c r="N263" s="53" t="s">
        <v>26</v>
      </c>
      <c r="O263" s="53" t="s">
        <v>2327</v>
      </c>
      <c r="P263" s="53" t="s">
        <v>2027</v>
      </c>
      <c r="Q263" s="53" t="str">
        <f t="shared" si="7"/>
        <v>DENTRO DEL TIEMPO</v>
      </c>
      <c r="R263" s="56"/>
    </row>
    <row r="264" spans="1:18" ht="51" x14ac:dyDescent="0.25">
      <c r="A264" s="49">
        <v>258</v>
      </c>
      <c r="B264" s="50" t="s">
        <v>3045</v>
      </c>
      <c r="C264" s="51">
        <v>44643</v>
      </c>
      <c r="D264" s="51">
        <v>44645</v>
      </c>
      <c r="E264" s="49">
        <v>2</v>
      </c>
      <c r="F264" s="52" t="s">
        <v>22</v>
      </c>
      <c r="G264" s="53" t="s">
        <v>721</v>
      </c>
      <c r="H264" s="53" t="s">
        <v>24</v>
      </c>
      <c r="I264" s="53" t="s">
        <v>721</v>
      </c>
      <c r="J264" s="51">
        <v>44645</v>
      </c>
      <c r="K264" s="51">
        <v>44645</v>
      </c>
      <c r="L264" s="54">
        <f t="shared" ref="L264:L327" si="8">+NETWORKDAYS(D264,K264,$R$7:$R$10)-1</f>
        <v>0</v>
      </c>
      <c r="M264" s="59" t="s">
        <v>3046</v>
      </c>
      <c r="N264" s="53" t="s">
        <v>26</v>
      </c>
      <c r="O264" s="53" t="s">
        <v>3047</v>
      </c>
      <c r="P264" s="53" t="s">
        <v>3048</v>
      </c>
      <c r="Q264" s="53" t="str">
        <f t="shared" ref="Q264:Q327" si="9">IF(L264&gt;15,"FUERA DE TIEMPO","DENTRO DEL TIEMPO")</f>
        <v>DENTRO DEL TIEMPO</v>
      </c>
      <c r="R264" s="56"/>
    </row>
    <row r="265" spans="1:18" ht="51" x14ac:dyDescent="0.25">
      <c r="A265" s="49">
        <v>259</v>
      </c>
      <c r="B265" s="50" t="s">
        <v>3049</v>
      </c>
      <c r="C265" s="51">
        <v>44643</v>
      </c>
      <c r="D265" s="51">
        <v>44645</v>
      </c>
      <c r="E265" s="49">
        <v>2</v>
      </c>
      <c r="F265" s="52" t="s">
        <v>22</v>
      </c>
      <c r="G265" s="53" t="s">
        <v>721</v>
      </c>
      <c r="H265" s="53" t="s">
        <v>24</v>
      </c>
      <c r="I265" s="53" t="s">
        <v>721</v>
      </c>
      <c r="J265" s="51">
        <v>44645</v>
      </c>
      <c r="K265" s="51">
        <v>44645</v>
      </c>
      <c r="L265" s="54">
        <f t="shared" si="8"/>
        <v>0</v>
      </c>
      <c r="M265" s="59" t="s">
        <v>3050</v>
      </c>
      <c r="N265" s="53" t="s">
        <v>26</v>
      </c>
      <c r="O265" s="53" t="s">
        <v>2396</v>
      </c>
      <c r="P265" s="53" t="s">
        <v>1315</v>
      </c>
      <c r="Q265" s="53" t="str">
        <f t="shared" si="9"/>
        <v>DENTRO DEL TIEMPO</v>
      </c>
      <c r="R265" s="56"/>
    </row>
    <row r="266" spans="1:18" ht="51" x14ac:dyDescent="0.25">
      <c r="A266" s="49">
        <v>260</v>
      </c>
      <c r="B266" s="50" t="s">
        <v>3051</v>
      </c>
      <c r="C266" s="51">
        <v>44643</v>
      </c>
      <c r="D266" s="51">
        <v>44645</v>
      </c>
      <c r="E266" s="49">
        <v>2</v>
      </c>
      <c r="F266" s="52" t="s">
        <v>22</v>
      </c>
      <c r="G266" s="53" t="s">
        <v>721</v>
      </c>
      <c r="H266" s="53" t="s">
        <v>24</v>
      </c>
      <c r="I266" s="53" t="s">
        <v>721</v>
      </c>
      <c r="J266" s="51">
        <v>44645</v>
      </c>
      <c r="K266" s="51">
        <v>44645</v>
      </c>
      <c r="L266" s="54">
        <f t="shared" si="8"/>
        <v>0</v>
      </c>
      <c r="M266" s="59" t="s">
        <v>3052</v>
      </c>
      <c r="N266" s="53" t="s">
        <v>26</v>
      </c>
      <c r="O266" s="53" t="s">
        <v>2396</v>
      </c>
      <c r="P266" s="53" t="s">
        <v>1315</v>
      </c>
      <c r="Q266" s="53" t="str">
        <f t="shared" si="9"/>
        <v>DENTRO DEL TIEMPO</v>
      </c>
      <c r="R266" s="56"/>
    </row>
    <row r="267" spans="1:18" ht="51" x14ac:dyDescent="0.25">
      <c r="A267" s="49">
        <v>261</v>
      </c>
      <c r="B267" s="50" t="s">
        <v>3053</v>
      </c>
      <c r="C267" s="51">
        <v>44643</v>
      </c>
      <c r="D267" s="51">
        <v>44645</v>
      </c>
      <c r="E267" s="49">
        <v>2</v>
      </c>
      <c r="F267" s="52" t="s">
        <v>22</v>
      </c>
      <c r="G267" s="53" t="s">
        <v>721</v>
      </c>
      <c r="H267" s="53" t="s">
        <v>24</v>
      </c>
      <c r="I267" s="53" t="s">
        <v>721</v>
      </c>
      <c r="J267" s="51">
        <v>44645</v>
      </c>
      <c r="K267" s="51">
        <v>44645</v>
      </c>
      <c r="L267" s="54">
        <f t="shared" si="8"/>
        <v>0</v>
      </c>
      <c r="M267" s="59" t="s">
        <v>3054</v>
      </c>
      <c r="N267" s="53" t="s">
        <v>26</v>
      </c>
      <c r="O267" s="53" t="s">
        <v>2396</v>
      </c>
      <c r="P267" s="53" t="s">
        <v>1315</v>
      </c>
      <c r="Q267" s="53" t="str">
        <f t="shared" si="9"/>
        <v>DENTRO DEL TIEMPO</v>
      </c>
      <c r="R267" s="56"/>
    </row>
    <row r="268" spans="1:18" ht="51" x14ac:dyDescent="0.25">
      <c r="A268" s="49">
        <v>262</v>
      </c>
      <c r="B268" s="50" t="s">
        <v>3055</v>
      </c>
      <c r="C268" s="51">
        <v>44643</v>
      </c>
      <c r="D268" s="51">
        <v>44645</v>
      </c>
      <c r="E268" s="49">
        <v>2</v>
      </c>
      <c r="F268" s="52" t="s">
        <v>22</v>
      </c>
      <c r="G268" s="53" t="s">
        <v>721</v>
      </c>
      <c r="H268" s="53" t="s">
        <v>24</v>
      </c>
      <c r="I268" s="53" t="s">
        <v>721</v>
      </c>
      <c r="J268" s="51">
        <v>44645</v>
      </c>
      <c r="K268" s="51">
        <v>44645</v>
      </c>
      <c r="L268" s="54">
        <f t="shared" si="8"/>
        <v>0</v>
      </c>
      <c r="M268" s="59" t="s">
        <v>3056</v>
      </c>
      <c r="N268" s="53" t="s">
        <v>26</v>
      </c>
      <c r="O268" s="53" t="s">
        <v>2396</v>
      </c>
      <c r="P268" s="53" t="s">
        <v>1315</v>
      </c>
      <c r="Q268" s="53" t="str">
        <f t="shared" si="9"/>
        <v>DENTRO DEL TIEMPO</v>
      </c>
      <c r="R268" s="56"/>
    </row>
    <row r="269" spans="1:18" ht="51" x14ac:dyDescent="0.25">
      <c r="A269" s="49">
        <v>263</v>
      </c>
      <c r="B269" s="50" t="s">
        <v>3057</v>
      </c>
      <c r="C269" s="51">
        <v>44643</v>
      </c>
      <c r="D269" s="51">
        <v>44643</v>
      </c>
      <c r="E269" s="49">
        <v>2</v>
      </c>
      <c r="F269" s="52" t="s">
        <v>22</v>
      </c>
      <c r="G269" s="53" t="s">
        <v>721</v>
      </c>
      <c r="H269" s="53" t="s">
        <v>24</v>
      </c>
      <c r="I269" s="53" t="s">
        <v>721</v>
      </c>
      <c r="J269" s="51">
        <v>44649</v>
      </c>
      <c r="K269" s="51">
        <v>44649</v>
      </c>
      <c r="L269" s="54">
        <f t="shared" si="8"/>
        <v>4</v>
      </c>
      <c r="M269" s="59" t="s">
        <v>3058</v>
      </c>
      <c r="N269" s="53" t="s">
        <v>26</v>
      </c>
      <c r="O269" s="53" t="s">
        <v>2396</v>
      </c>
      <c r="P269" s="53" t="s">
        <v>1315</v>
      </c>
      <c r="Q269" s="53" t="str">
        <f t="shared" si="9"/>
        <v>DENTRO DEL TIEMPO</v>
      </c>
      <c r="R269" s="56"/>
    </row>
    <row r="270" spans="1:18" ht="51" x14ac:dyDescent="0.25">
      <c r="A270" s="49">
        <v>264</v>
      </c>
      <c r="B270" s="50" t="s">
        <v>3059</v>
      </c>
      <c r="C270" s="51">
        <v>44643</v>
      </c>
      <c r="D270" s="51">
        <v>44643</v>
      </c>
      <c r="E270" s="49">
        <v>2</v>
      </c>
      <c r="F270" s="52" t="s">
        <v>22</v>
      </c>
      <c r="G270" s="53" t="s">
        <v>721</v>
      </c>
      <c r="H270" s="53" t="s">
        <v>24</v>
      </c>
      <c r="I270" s="53" t="s">
        <v>721</v>
      </c>
      <c r="J270" s="51">
        <v>44649</v>
      </c>
      <c r="K270" s="51">
        <v>44649</v>
      </c>
      <c r="L270" s="54">
        <f t="shared" si="8"/>
        <v>4</v>
      </c>
      <c r="M270" s="59" t="s">
        <v>3060</v>
      </c>
      <c r="N270" s="53" t="s">
        <v>26</v>
      </c>
      <c r="O270" s="53" t="s">
        <v>2396</v>
      </c>
      <c r="P270" s="53" t="s">
        <v>1315</v>
      </c>
      <c r="Q270" s="53" t="str">
        <f t="shared" si="9"/>
        <v>DENTRO DEL TIEMPO</v>
      </c>
      <c r="R270" s="56"/>
    </row>
    <row r="271" spans="1:18" ht="51" x14ac:dyDescent="0.25">
      <c r="A271" s="49">
        <v>265</v>
      </c>
      <c r="B271" s="50" t="s">
        <v>3061</v>
      </c>
      <c r="C271" s="51">
        <v>44643</v>
      </c>
      <c r="D271" s="51">
        <v>44645</v>
      </c>
      <c r="E271" s="49">
        <v>2</v>
      </c>
      <c r="F271" s="52" t="s">
        <v>22</v>
      </c>
      <c r="G271" s="53" t="s">
        <v>721</v>
      </c>
      <c r="H271" s="53" t="s">
        <v>24</v>
      </c>
      <c r="I271" s="53" t="s">
        <v>721</v>
      </c>
      <c r="J271" s="51">
        <v>44645</v>
      </c>
      <c r="K271" s="51">
        <v>44645</v>
      </c>
      <c r="L271" s="54">
        <f t="shared" si="8"/>
        <v>0</v>
      </c>
      <c r="M271" s="59" t="s">
        <v>3062</v>
      </c>
      <c r="N271" s="53" t="s">
        <v>26</v>
      </c>
      <c r="O271" s="53" t="s">
        <v>2396</v>
      </c>
      <c r="P271" s="53" t="s">
        <v>1315</v>
      </c>
      <c r="Q271" s="53" t="str">
        <f t="shared" si="9"/>
        <v>DENTRO DEL TIEMPO</v>
      </c>
      <c r="R271" s="56"/>
    </row>
    <row r="272" spans="1:18" ht="51" x14ac:dyDescent="0.25">
      <c r="A272" s="49">
        <v>266</v>
      </c>
      <c r="B272" s="50" t="s">
        <v>3063</v>
      </c>
      <c r="C272" s="51">
        <v>44643</v>
      </c>
      <c r="D272" s="51">
        <v>44645</v>
      </c>
      <c r="E272" s="49">
        <v>2</v>
      </c>
      <c r="F272" s="52" t="s">
        <v>22</v>
      </c>
      <c r="G272" s="53" t="s">
        <v>1256</v>
      </c>
      <c r="H272" s="53" t="s">
        <v>24</v>
      </c>
      <c r="I272" s="53" t="s">
        <v>1256</v>
      </c>
      <c r="J272" s="51">
        <v>44645</v>
      </c>
      <c r="K272" s="51">
        <v>44645</v>
      </c>
      <c r="L272" s="54">
        <f t="shared" si="8"/>
        <v>0</v>
      </c>
      <c r="M272" s="59" t="s">
        <v>3064</v>
      </c>
      <c r="N272" s="53" t="s">
        <v>26</v>
      </c>
      <c r="O272" s="53" t="s">
        <v>3065</v>
      </c>
      <c r="P272" s="53" t="s">
        <v>3066</v>
      </c>
      <c r="Q272" s="53" t="str">
        <f t="shared" si="9"/>
        <v>DENTRO DEL TIEMPO</v>
      </c>
      <c r="R272" s="56"/>
    </row>
    <row r="273" spans="1:18" ht="51" x14ac:dyDescent="0.25">
      <c r="A273" s="49">
        <v>267</v>
      </c>
      <c r="B273" s="50" t="s">
        <v>3067</v>
      </c>
      <c r="C273" s="51">
        <v>44643</v>
      </c>
      <c r="D273" s="51">
        <v>44648</v>
      </c>
      <c r="E273" s="49">
        <v>2</v>
      </c>
      <c r="F273" s="52" t="s">
        <v>22</v>
      </c>
      <c r="G273" s="53" t="s">
        <v>721</v>
      </c>
      <c r="H273" s="53" t="s">
        <v>24</v>
      </c>
      <c r="I273" s="53" t="s">
        <v>721</v>
      </c>
      <c r="J273" s="51">
        <v>44648</v>
      </c>
      <c r="K273" s="51">
        <v>44648</v>
      </c>
      <c r="L273" s="54">
        <f t="shared" si="8"/>
        <v>0</v>
      </c>
      <c r="M273" s="59" t="s">
        <v>3068</v>
      </c>
      <c r="N273" s="53" t="s">
        <v>26</v>
      </c>
      <c r="O273" s="53" t="s">
        <v>2720</v>
      </c>
      <c r="P273" s="53" t="s">
        <v>3069</v>
      </c>
      <c r="Q273" s="53" t="str">
        <f t="shared" si="9"/>
        <v>DENTRO DEL TIEMPO</v>
      </c>
      <c r="R273" s="56"/>
    </row>
    <row r="274" spans="1:18" ht="51" x14ac:dyDescent="0.25">
      <c r="A274" s="49">
        <v>268</v>
      </c>
      <c r="B274" s="50" t="s">
        <v>3070</v>
      </c>
      <c r="C274" s="51">
        <v>44643</v>
      </c>
      <c r="D274" s="51">
        <v>44648</v>
      </c>
      <c r="E274" s="49">
        <v>2</v>
      </c>
      <c r="F274" s="52" t="s">
        <v>22</v>
      </c>
      <c r="G274" s="53" t="s">
        <v>721</v>
      </c>
      <c r="H274" s="53" t="s">
        <v>24</v>
      </c>
      <c r="I274" s="53" t="s">
        <v>721</v>
      </c>
      <c r="J274" s="51">
        <v>44648</v>
      </c>
      <c r="K274" s="51">
        <v>44648</v>
      </c>
      <c r="L274" s="54">
        <f t="shared" si="8"/>
        <v>0</v>
      </c>
      <c r="M274" s="59" t="s">
        <v>3071</v>
      </c>
      <c r="N274" s="53" t="s">
        <v>26</v>
      </c>
      <c r="O274" s="53" t="s">
        <v>3072</v>
      </c>
      <c r="P274" s="53" t="s">
        <v>3073</v>
      </c>
      <c r="Q274" s="53" t="str">
        <f t="shared" si="9"/>
        <v>DENTRO DEL TIEMPO</v>
      </c>
      <c r="R274" s="56"/>
    </row>
    <row r="275" spans="1:18" ht="51" x14ac:dyDescent="0.25">
      <c r="A275" s="49">
        <v>269</v>
      </c>
      <c r="B275" s="50" t="s">
        <v>3074</v>
      </c>
      <c r="C275" s="51">
        <v>44644</v>
      </c>
      <c r="D275" s="51">
        <v>44644</v>
      </c>
      <c r="E275" s="49">
        <v>2</v>
      </c>
      <c r="F275" s="52" t="s">
        <v>22</v>
      </c>
      <c r="G275" s="53" t="s">
        <v>721</v>
      </c>
      <c r="H275" s="53" t="s">
        <v>24</v>
      </c>
      <c r="I275" s="53" t="s">
        <v>721</v>
      </c>
      <c r="J275" s="51">
        <v>44649</v>
      </c>
      <c r="K275" s="51">
        <v>44649</v>
      </c>
      <c r="L275" s="54">
        <f t="shared" si="8"/>
        <v>3</v>
      </c>
      <c r="M275" s="59" t="s">
        <v>3075</v>
      </c>
      <c r="N275" s="53" t="s">
        <v>26</v>
      </c>
      <c r="O275" s="53" t="s">
        <v>3076</v>
      </c>
      <c r="P275" s="53" t="s">
        <v>3077</v>
      </c>
      <c r="Q275" s="53" t="str">
        <f t="shared" si="9"/>
        <v>DENTRO DEL TIEMPO</v>
      </c>
      <c r="R275" s="56"/>
    </row>
    <row r="276" spans="1:18" ht="51" x14ac:dyDescent="0.25">
      <c r="A276" s="49">
        <v>270</v>
      </c>
      <c r="B276" s="50" t="s">
        <v>3078</v>
      </c>
      <c r="C276" s="51">
        <v>44644</v>
      </c>
      <c r="D276" s="51">
        <v>44648</v>
      </c>
      <c r="E276" s="49">
        <v>2</v>
      </c>
      <c r="F276" s="52" t="s">
        <v>22</v>
      </c>
      <c r="G276" s="53" t="s">
        <v>721</v>
      </c>
      <c r="H276" s="53" t="s">
        <v>24</v>
      </c>
      <c r="I276" s="53" t="s">
        <v>721</v>
      </c>
      <c r="J276" s="51">
        <v>44648</v>
      </c>
      <c r="K276" s="51">
        <v>44648</v>
      </c>
      <c r="L276" s="54">
        <f t="shared" si="8"/>
        <v>0</v>
      </c>
      <c r="M276" s="59" t="s">
        <v>3079</v>
      </c>
      <c r="N276" s="53" t="s">
        <v>26</v>
      </c>
      <c r="O276" s="53" t="s">
        <v>3080</v>
      </c>
      <c r="P276" s="53" t="s">
        <v>3081</v>
      </c>
      <c r="Q276" s="53" t="str">
        <f t="shared" si="9"/>
        <v>DENTRO DEL TIEMPO</v>
      </c>
      <c r="R276" s="56"/>
    </row>
    <row r="277" spans="1:18" ht="51" x14ac:dyDescent="0.25">
      <c r="A277" s="49">
        <v>271</v>
      </c>
      <c r="B277" s="50" t="s">
        <v>3082</v>
      </c>
      <c r="C277" s="51">
        <v>44644</v>
      </c>
      <c r="D277" s="51">
        <v>44648</v>
      </c>
      <c r="E277" s="49">
        <v>2</v>
      </c>
      <c r="F277" s="52" t="s">
        <v>22</v>
      </c>
      <c r="G277" s="53" t="s">
        <v>721</v>
      </c>
      <c r="H277" s="53" t="s">
        <v>24</v>
      </c>
      <c r="I277" s="53" t="s">
        <v>721</v>
      </c>
      <c r="J277" s="51">
        <v>44648</v>
      </c>
      <c r="K277" s="51">
        <v>44648</v>
      </c>
      <c r="L277" s="54">
        <f t="shared" si="8"/>
        <v>0</v>
      </c>
      <c r="M277" s="59" t="s">
        <v>3083</v>
      </c>
      <c r="N277" s="53" t="s">
        <v>26</v>
      </c>
      <c r="O277" s="53" t="s">
        <v>3080</v>
      </c>
      <c r="P277" s="53" t="s">
        <v>3081</v>
      </c>
      <c r="Q277" s="53" t="str">
        <f t="shared" si="9"/>
        <v>DENTRO DEL TIEMPO</v>
      </c>
      <c r="R277" s="56"/>
    </row>
    <row r="278" spans="1:18" ht="51" x14ac:dyDescent="0.25">
      <c r="A278" s="49">
        <v>272</v>
      </c>
      <c r="B278" s="50" t="s">
        <v>3084</v>
      </c>
      <c r="C278" s="51">
        <v>44644</v>
      </c>
      <c r="D278" s="51">
        <v>44648</v>
      </c>
      <c r="E278" s="49">
        <v>2</v>
      </c>
      <c r="F278" s="52" t="s">
        <v>22</v>
      </c>
      <c r="G278" s="53" t="s">
        <v>721</v>
      </c>
      <c r="H278" s="53" t="s">
        <v>24</v>
      </c>
      <c r="I278" s="53" t="s">
        <v>721</v>
      </c>
      <c r="J278" s="51">
        <v>44648</v>
      </c>
      <c r="K278" s="51">
        <v>44648</v>
      </c>
      <c r="L278" s="54">
        <f t="shared" si="8"/>
        <v>0</v>
      </c>
      <c r="M278" s="59" t="s">
        <v>3085</v>
      </c>
      <c r="N278" s="53" t="s">
        <v>26</v>
      </c>
      <c r="O278" s="53" t="s">
        <v>3080</v>
      </c>
      <c r="P278" s="53" t="s">
        <v>3081</v>
      </c>
      <c r="Q278" s="53" t="str">
        <f t="shared" si="9"/>
        <v>DENTRO DEL TIEMPO</v>
      </c>
      <c r="R278" s="56"/>
    </row>
    <row r="279" spans="1:18" ht="51" x14ac:dyDescent="0.25">
      <c r="A279" s="49">
        <v>273</v>
      </c>
      <c r="B279" s="50" t="s">
        <v>3086</v>
      </c>
      <c r="C279" s="51">
        <v>44644</v>
      </c>
      <c r="D279" s="51">
        <v>44648</v>
      </c>
      <c r="E279" s="49">
        <v>2</v>
      </c>
      <c r="F279" s="52" t="s">
        <v>22</v>
      </c>
      <c r="G279" s="53" t="s">
        <v>721</v>
      </c>
      <c r="H279" s="53" t="s">
        <v>24</v>
      </c>
      <c r="I279" s="53" t="s">
        <v>721</v>
      </c>
      <c r="J279" s="51">
        <v>44648</v>
      </c>
      <c r="K279" s="51">
        <v>44648</v>
      </c>
      <c r="L279" s="54">
        <f t="shared" si="8"/>
        <v>0</v>
      </c>
      <c r="M279" s="59" t="s">
        <v>3087</v>
      </c>
      <c r="N279" s="53" t="s">
        <v>26</v>
      </c>
      <c r="O279" s="53" t="s">
        <v>3080</v>
      </c>
      <c r="P279" s="53" t="s">
        <v>3081</v>
      </c>
      <c r="Q279" s="53" t="str">
        <f t="shared" si="9"/>
        <v>DENTRO DEL TIEMPO</v>
      </c>
      <c r="R279" s="56"/>
    </row>
    <row r="280" spans="1:18" ht="38.25" x14ac:dyDescent="0.25">
      <c r="A280" s="49">
        <v>274</v>
      </c>
      <c r="B280" s="50" t="s">
        <v>3088</v>
      </c>
      <c r="C280" s="51">
        <v>44644</v>
      </c>
      <c r="D280" s="51">
        <v>44648</v>
      </c>
      <c r="E280" s="49">
        <v>2</v>
      </c>
      <c r="F280" s="52" t="s">
        <v>22</v>
      </c>
      <c r="G280" s="53" t="s">
        <v>721</v>
      </c>
      <c r="H280" s="53" t="s">
        <v>24</v>
      </c>
      <c r="I280" s="53" t="s">
        <v>721</v>
      </c>
      <c r="J280" s="51">
        <v>44648</v>
      </c>
      <c r="K280" s="51">
        <v>44648</v>
      </c>
      <c r="L280" s="54">
        <f t="shared" si="8"/>
        <v>0</v>
      </c>
      <c r="M280" s="59" t="s">
        <v>3089</v>
      </c>
      <c r="N280" s="53" t="s">
        <v>26</v>
      </c>
      <c r="O280" s="53" t="s">
        <v>2350</v>
      </c>
      <c r="P280" s="53" t="s">
        <v>1423</v>
      </c>
      <c r="Q280" s="53" t="str">
        <f t="shared" si="9"/>
        <v>DENTRO DEL TIEMPO</v>
      </c>
      <c r="R280" s="56"/>
    </row>
    <row r="281" spans="1:18" ht="38.25" x14ac:dyDescent="0.25">
      <c r="A281" s="49">
        <v>275</v>
      </c>
      <c r="B281" s="50" t="s">
        <v>3090</v>
      </c>
      <c r="C281" s="51">
        <v>44644</v>
      </c>
      <c r="D281" s="51">
        <v>44648</v>
      </c>
      <c r="E281" s="49">
        <v>2</v>
      </c>
      <c r="F281" s="52" t="s">
        <v>22</v>
      </c>
      <c r="G281" s="53" t="s">
        <v>721</v>
      </c>
      <c r="H281" s="53" t="s">
        <v>24</v>
      </c>
      <c r="I281" s="53" t="s">
        <v>721</v>
      </c>
      <c r="J281" s="51">
        <v>44648</v>
      </c>
      <c r="K281" s="51">
        <v>44648</v>
      </c>
      <c r="L281" s="54">
        <f t="shared" si="8"/>
        <v>0</v>
      </c>
      <c r="M281" s="59" t="s">
        <v>3091</v>
      </c>
      <c r="N281" s="53" t="s">
        <v>26</v>
      </c>
      <c r="O281" s="53" t="s">
        <v>2350</v>
      </c>
      <c r="P281" s="53" t="s">
        <v>1423</v>
      </c>
      <c r="Q281" s="53" t="str">
        <f t="shared" si="9"/>
        <v>DENTRO DEL TIEMPO</v>
      </c>
      <c r="R281" s="56"/>
    </row>
    <row r="282" spans="1:18" ht="51" x14ac:dyDescent="0.25">
      <c r="A282" s="49">
        <v>276</v>
      </c>
      <c r="B282" s="50" t="s">
        <v>3092</v>
      </c>
      <c r="C282" s="51">
        <v>44644</v>
      </c>
      <c r="D282" s="51">
        <v>44648</v>
      </c>
      <c r="E282" s="49">
        <v>2</v>
      </c>
      <c r="F282" s="52" t="s">
        <v>22</v>
      </c>
      <c r="G282" s="53" t="s">
        <v>721</v>
      </c>
      <c r="H282" s="53" t="s">
        <v>24</v>
      </c>
      <c r="I282" s="53" t="s">
        <v>721</v>
      </c>
      <c r="J282" s="51">
        <v>44648</v>
      </c>
      <c r="K282" s="51">
        <v>44648</v>
      </c>
      <c r="L282" s="54">
        <f t="shared" si="8"/>
        <v>0</v>
      </c>
      <c r="M282" s="59" t="s">
        <v>3093</v>
      </c>
      <c r="N282" s="53" t="s">
        <v>26</v>
      </c>
      <c r="O282" s="53" t="s">
        <v>2743</v>
      </c>
      <c r="P282" s="53" t="s">
        <v>1619</v>
      </c>
      <c r="Q282" s="53" t="str">
        <f t="shared" si="9"/>
        <v>DENTRO DEL TIEMPO</v>
      </c>
      <c r="R282" s="56"/>
    </row>
    <row r="283" spans="1:18" ht="38.25" x14ac:dyDescent="0.25">
      <c r="A283" s="49">
        <v>277</v>
      </c>
      <c r="B283" s="50" t="s">
        <v>3094</v>
      </c>
      <c r="C283" s="51">
        <v>44644</v>
      </c>
      <c r="D283" s="51">
        <v>44648</v>
      </c>
      <c r="E283" s="49">
        <v>2</v>
      </c>
      <c r="F283" s="52" t="s">
        <v>22</v>
      </c>
      <c r="G283" s="53" t="s">
        <v>721</v>
      </c>
      <c r="H283" s="53" t="s">
        <v>24</v>
      </c>
      <c r="I283" s="53" t="s">
        <v>721</v>
      </c>
      <c r="J283" s="51">
        <v>44648</v>
      </c>
      <c r="K283" s="51">
        <v>44648</v>
      </c>
      <c r="L283" s="54">
        <f t="shared" si="8"/>
        <v>0</v>
      </c>
      <c r="M283" s="59" t="s">
        <v>3095</v>
      </c>
      <c r="N283" s="53" t="s">
        <v>26</v>
      </c>
      <c r="O283" s="53" t="s">
        <v>2411</v>
      </c>
      <c r="P283" s="53" t="s">
        <v>1619</v>
      </c>
      <c r="Q283" s="53" t="str">
        <f t="shared" si="9"/>
        <v>DENTRO DEL TIEMPO</v>
      </c>
      <c r="R283" s="56"/>
    </row>
    <row r="284" spans="1:18" ht="51" x14ac:dyDescent="0.25">
      <c r="A284" s="49">
        <v>278</v>
      </c>
      <c r="B284" s="50" t="s">
        <v>3096</v>
      </c>
      <c r="C284" s="51">
        <v>44644</v>
      </c>
      <c r="D284" s="51">
        <v>44648</v>
      </c>
      <c r="E284" s="49">
        <v>2</v>
      </c>
      <c r="F284" s="52" t="s">
        <v>22</v>
      </c>
      <c r="G284" s="53" t="s">
        <v>721</v>
      </c>
      <c r="H284" s="53" t="s">
        <v>24</v>
      </c>
      <c r="I284" s="53" t="s">
        <v>721</v>
      </c>
      <c r="J284" s="51">
        <v>44648</v>
      </c>
      <c r="K284" s="51">
        <v>44648</v>
      </c>
      <c r="L284" s="54">
        <f t="shared" si="8"/>
        <v>0</v>
      </c>
      <c r="M284" s="59" t="s">
        <v>3097</v>
      </c>
      <c r="N284" s="53" t="s">
        <v>26</v>
      </c>
      <c r="O284" s="53" t="s">
        <v>2743</v>
      </c>
      <c r="P284" s="53" t="s">
        <v>1619</v>
      </c>
      <c r="Q284" s="53" t="str">
        <f t="shared" si="9"/>
        <v>DENTRO DEL TIEMPO</v>
      </c>
      <c r="R284" s="56"/>
    </row>
    <row r="285" spans="1:18" ht="38.25" x14ac:dyDescent="0.25">
      <c r="A285" s="49">
        <v>279</v>
      </c>
      <c r="B285" s="50" t="s">
        <v>3098</v>
      </c>
      <c r="C285" s="51">
        <v>44644</v>
      </c>
      <c r="D285" s="51">
        <v>44648</v>
      </c>
      <c r="E285" s="49">
        <v>2</v>
      </c>
      <c r="F285" s="52" t="s">
        <v>22</v>
      </c>
      <c r="G285" s="53" t="s">
        <v>721</v>
      </c>
      <c r="H285" s="53" t="s">
        <v>24</v>
      </c>
      <c r="I285" s="53" t="s">
        <v>721</v>
      </c>
      <c r="J285" s="51">
        <v>44648</v>
      </c>
      <c r="K285" s="51">
        <v>44648</v>
      </c>
      <c r="L285" s="54">
        <f t="shared" si="8"/>
        <v>0</v>
      </c>
      <c r="M285" s="59" t="s">
        <v>3099</v>
      </c>
      <c r="N285" s="53" t="s">
        <v>26</v>
      </c>
      <c r="O285" s="53" t="s">
        <v>3100</v>
      </c>
      <c r="P285" s="53" t="s">
        <v>1619</v>
      </c>
      <c r="Q285" s="53" t="str">
        <f t="shared" si="9"/>
        <v>DENTRO DEL TIEMPO</v>
      </c>
      <c r="R285" s="56"/>
    </row>
    <row r="286" spans="1:18" ht="38.25" x14ac:dyDescent="0.25">
      <c r="A286" s="49">
        <v>280</v>
      </c>
      <c r="B286" s="50" t="s">
        <v>3101</v>
      </c>
      <c r="C286" s="51">
        <v>44644</v>
      </c>
      <c r="D286" s="51">
        <v>44648</v>
      </c>
      <c r="E286" s="49">
        <v>2</v>
      </c>
      <c r="F286" s="52" t="s">
        <v>22</v>
      </c>
      <c r="G286" s="53" t="s">
        <v>721</v>
      </c>
      <c r="H286" s="53" t="s">
        <v>24</v>
      </c>
      <c r="I286" s="53" t="s">
        <v>721</v>
      </c>
      <c r="J286" s="51">
        <v>44648</v>
      </c>
      <c r="K286" s="51">
        <v>44648</v>
      </c>
      <c r="L286" s="54">
        <f t="shared" si="8"/>
        <v>0</v>
      </c>
      <c r="M286" s="59" t="s">
        <v>3102</v>
      </c>
      <c r="N286" s="53" t="s">
        <v>26</v>
      </c>
      <c r="O286" s="53" t="s">
        <v>3100</v>
      </c>
      <c r="P286" s="53" t="s">
        <v>1619</v>
      </c>
      <c r="Q286" s="53" t="str">
        <f t="shared" si="9"/>
        <v>DENTRO DEL TIEMPO</v>
      </c>
      <c r="R286" s="56"/>
    </row>
    <row r="287" spans="1:18" ht="38.25" x14ac:dyDescent="0.25">
      <c r="A287" s="49">
        <v>281</v>
      </c>
      <c r="B287" s="50" t="s">
        <v>3103</v>
      </c>
      <c r="C287" s="51">
        <v>44644</v>
      </c>
      <c r="D287" s="51">
        <v>44648</v>
      </c>
      <c r="E287" s="49">
        <v>2</v>
      </c>
      <c r="F287" s="52" t="s">
        <v>22</v>
      </c>
      <c r="G287" s="53" t="s">
        <v>721</v>
      </c>
      <c r="H287" s="53" t="s">
        <v>24</v>
      </c>
      <c r="I287" s="53" t="s">
        <v>721</v>
      </c>
      <c r="J287" s="51">
        <v>44648</v>
      </c>
      <c r="K287" s="51">
        <v>44648</v>
      </c>
      <c r="L287" s="54">
        <f t="shared" si="8"/>
        <v>0</v>
      </c>
      <c r="M287" s="59" t="s">
        <v>3104</v>
      </c>
      <c r="N287" s="53" t="s">
        <v>26</v>
      </c>
      <c r="O287" s="53" t="s">
        <v>3100</v>
      </c>
      <c r="P287" s="53" t="s">
        <v>1619</v>
      </c>
      <c r="Q287" s="53" t="str">
        <f t="shared" si="9"/>
        <v>DENTRO DEL TIEMPO</v>
      </c>
      <c r="R287" s="56"/>
    </row>
    <row r="288" spans="1:18" ht="38.25" x14ac:dyDescent="0.25">
      <c r="A288" s="49">
        <v>282</v>
      </c>
      <c r="B288" s="50" t="s">
        <v>3105</v>
      </c>
      <c r="C288" s="51">
        <v>44644</v>
      </c>
      <c r="D288" s="51">
        <v>44648</v>
      </c>
      <c r="E288" s="49">
        <v>2</v>
      </c>
      <c r="F288" s="52" t="s">
        <v>22</v>
      </c>
      <c r="G288" s="53" t="s">
        <v>721</v>
      </c>
      <c r="H288" s="53" t="s">
        <v>24</v>
      </c>
      <c r="I288" s="53" t="s">
        <v>721</v>
      </c>
      <c r="J288" s="51">
        <v>44648</v>
      </c>
      <c r="K288" s="51">
        <v>44648</v>
      </c>
      <c r="L288" s="54">
        <f t="shared" si="8"/>
        <v>0</v>
      </c>
      <c r="M288" s="59" t="s">
        <v>3106</v>
      </c>
      <c r="N288" s="53" t="s">
        <v>26</v>
      </c>
      <c r="O288" s="53" t="s">
        <v>3100</v>
      </c>
      <c r="P288" s="53" t="s">
        <v>1619</v>
      </c>
      <c r="Q288" s="53" t="str">
        <f t="shared" si="9"/>
        <v>DENTRO DEL TIEMPO</v>
      </c>
      <c r="R288" s="56"/>
    </row>
    <row r="289" spans="1:18" ht="38.25" x14ac:dyDescent="0.25">
      <c r="A289" s="49">
        <v>283</v>
      </c>
      <c r="B289" s="50" t="s">
        <v>3107</v>
      </c>
      <c r="C289" s="51">
        <v>44644</v>
      </c>
      <c r="D289" s="51">
        <v>44649</v>
      </c>
      <c r="E289" s="49">
        <v>2</v>
      </c>
      <c r="F289" s="52" t="s">
        <v>22</v>
      </c>
      <c r="G289" s="53" t="s">
        <v>721</v>
      </c>
      <c r="H289" s="53" t="s">
        <v>24</v>
      </c>
      <c r="I289" s="53" t="s">
        <v>721</v>
      </c>
      <c r="J289" s="51">
        <v>44649</v>
      </c>
      <c r="K289" s="51">
        <v>44649</v>
      </c>
      <c r="L289" s="54">
        <f t="shared" si="8"/>
        <v>0</v>
      </c>
      <c r="M289" s="59" t="s">
        <v>3106</v>
      </c>
      <c r="N289" s="53" t="s">
        <v>26</v>
      </c>
      <c r="O289" s="53" t="s">
        <v>3108</v>
      </c>
      <c r="P289" s="53" t="s">
        <v>3109</v>
      </c>
      <c r="Q289" s="53" t="str">
        <f t="shared" si="9"/>
        <v>DENTRO DEL TIEMPO</v>
      </c>
      <c r="R289" s="56"/>
    </row>
    <row r="290" spans="1:18" ht="38.25" x14ac:dyDescent="0.25">
      <c r="A290" s="49">
        <v>284</v>
      </c>
      <c r="B290" s="50" t="s">
        <v>3110</v>
      </c>
      <c r="C290" s="51">
        <v>44644</v>
      </c>
      <c r="D290" s="51">
        <v>44649</v>
      </c>
      <c r="E290" s="49">
        <v>2</v>
      </c>
      <c r="F290" s="52" t="s">
        <v>22</v>
      </c>
      <c r="G290" s="53" t="s">
        <v>721</v>
      </c>
      <c r="H290" s="53" t="s">
        <v>24</v>
      </c>
      <c r="I290" s="53" t="s">
        <v>721</v>
      </c>
      <c r="J290" s="51">
        <v>44649</v>
      </c>
      <c r="K290" s="51">
        <v>44649</v>
      </c>
      <c r="L290" s="54">
        <f t="shared" si="8"/>
        <v>0</v>
      </c>
      <c r="M290" s="59" t="s">
        <v>3111</v>
      </c>
      <c r="N290" s="53" t="s">
        <v>26</v>
      </c>
      <c r="O290" s="53" t="s">
        <v>3108</v>
      </c>
      <c r="P290" s="53" t="s">
        <v>3109</v>
      </c>
      <c r="Q290" s="53" t="str">
        <f t="shared" si="9"/>
        <v>DENTRO DEL TIEMPO</v>
      </c>
      <c r="R290" s="56"/>
    </row>
    <row r="291" spans="1:18" ht="38.25" x14ac:dyDescent="0.25">
      <c r="A291" s="49">
        <v>285</v>
      </c>
      <c r="B291" s="50" t="s">
        <v>3112</v>
      </c>
      <c r="C291" s="51">
        <v>44644</v>
      </c>
      <c r="D291" s="51">
        <v>44649</v>
      </c>
      <c r="E291" s="49">
        <v>2</v>
      </c>
      <c r="F291" s="52" t="s">
        <v>22</v>
      </c>
      <c r="G291" s="53" t="s">
        <v>721</v>
      </c>
      <c r="H291" s="53" t="s">
        <v>24</v>
      </c>
      <c r="I291" s="53" t="s">
        <v>721</v>
      </c>
      <c r="J291" s="51">
        <v>44649</v>
      </c>
      <c r="K291" s="51">
        <v>44649</v>
      </c>
      <c r="L291" s="54">
        <f t="shared" si="8"/>
        <v>0</v>
      </c>
      <c r="M291" s="59" t="s">
        <v>3113</v>
      </c>
      <c r="N291" s="53" t="s">
        <v>26</v>
      </c>
      <c r="O291" s="53" t="s">
        <v>3108</v>
      </c>
      <c r="P291" s="53" t="s">
        <v>3109</v>
      </c>
      <c r="Q291" s="53" t="str">
        <f t="shared" si="9"/>
        <v>DENTRO DEL TIEMPO</v>
      </c>
      <c r="R291" s="56"/>
    </row>
    <row r="292" spans="1:18" ht="38.25" x14ac:dyDescent="0.25">
      <c r="A292" s="49">
        <v>286</v>
      </c>
      <c r="B292" s="50" t="s">
        <v>3114</v>
      </c>
      <c r="C292" s="51">
        <v>44644</v>
      </c>
      <c r="D292" s="51">
        <v>44649</v>
      </c>
      <c r="E292" s="49">
        <v>2</v>
      </c>
      <c r="F292" s="52" t="s">
        <v>22</v>
      </c>
      <c r="G292" s="53" t="s">
        <v>721</v>
      </c>
      <c r="H292" s="53" t="s">
        <v>24</v>
      </c>
      <c r="I292" s="53" t="s">
        <v>721</v>
      </c>
      <c r="J292" s="51">
        <v>44649</v>
      </c>
      <c r="K292" s="51">
        <v>44649</v>
      </c>
      <c r="L292" s="54">
        <f t="shared" si="8"/>
        <v>0</v>
      </c>
      <c r="M292" s="59" t="s">
        <v>3115</v>
      </c>
      <c r="N292" s="53" t="s">
        <v>26</v>
      </c>
      <c r="O292" s="53" t="s">
        <v>3108</v>
      </c>
      <c r="P292" s="53" t="s">
        <v>3109</v>
      </c>
      <c r="Q292" s="53" t="str">
        <f t="shared" si="9"/>
        <v>DENTRO DEL TIEMPO</v>
      </c>
      <c r="R292" s="56"/>
    </row>
    <row r="293" spans="1:18" ht="38.25" x14ac:dyDescent="0.25">
      <c r="A293" s="49">
        <v>287</v>
      </c>
      <c r="B293" s="50" t="s">
        <v>3116</v>
      </c>
      <c r="C293" s="51">
        <v>44644</v>
      </c>
      <c r="D293" s="51">
        <v>44649</v>
      </c>
      <c r="E293" s="49">
        <v>2</v>
      </c>
      <c r="F293" s="52" t="s">
        <v>22</v>
      </c>
      <c r="G293" s="53" t="s">
        <v>721</v>
      </c>
      <c r="H293" s="53" t="s">
        <v>24</v>
      </c>
      <c r="I293" s="53" t="s">
        <v>721</v>
      </c>
      <c r="J293" s="51">
        <v>44649</v>
      </c>
      <c r="K293" s="51">
        <v>44649</v>
      </c>
      <c r="L293" s="54">
        <f t="shared" si="8"/>
        <v>0</v>
      </c>
      <c r="M293" s="59" t="s">
        <v>3117</v>
      </c>
      <c r="N293" s="53" t="s">
        <v>26</v>
      </c>
      <c r="O293" s="53" t="s">
        <v>3108</v>
      </c>
      <c r="P293" s="53" t="s">
        <v>3109</v>
      </c>
      <c r="Q293" s="53" t="str">
        <f t="shared" si="9"/>
        <v>DENTRO DEL TIEMPO</v>
      </c>
      <c r="R293" s="56"/>
    </row>
    <row r="294" spans="1:18" ht="38.25" x14ac:dyDescent="0.25">
      <c r="A294" s="49">
        <v>288</v>
      </c>
      <c r="B294" s="50" t="s">
        <v>3118</v>
      </c>
      <c r="C294" s="51">
        <v>44644</v>
      </c>
      <c r="D294" s="51">
        <v>44649</v>
      </c>
      <c r="E294" s="49">
        <v>2</v>
      </c>
      <c r="F294" s="52" t="s">
        <v>22</v>
      </c>
      <c r="G294" s="53" t="s">
        <v>721</v>
      </c>
      <c r="H294" s="53" t="s">
        <v>24</v>
      </c>
      <c r="I294" s="53" t="s">
        <v>721</v>
      </c>
      <c r="J294" s="51">
        <v>44649</v>
      </c>
      <c r="K294" s="51">
        <v>44649</v>
      </c>
      <c r="L294" s="54">
        <f t="shared" si="8"/>
        <v>0</v>
      </c>
      <c r="M294" s="59" t="s">
        <v>3119</v>
      </c>
      <c r="N294" s="53" t="s">
        <v>26</v>
      </c>
      <c r="O294" s="53" t="s">
        <v>3108</v>
      </c>
      <c r="P294" s="53" t="s">
        <v>3109</v>
      </c>
      <c r="Q294" s="53" t="str">
        <f t="shared" si="9"/>
        <v>DENTRO DEL TIEMPO</v>
      </c>
      <c r="R294" s="56"/>
    </row>
    <row r="295" spans="1:18" ht="38.25" x14ac:dyDescent="0.25">
      <c r="A295" s="49">
        <v>289</v>
      </c>
      <c r="B295" s="50" t="s">
        <v>3120</v>
      </c>
      <c r="C295" s="51">
        <v>44644</v>
      </c>
      <c r="D295" s="51">
        <v>44649</v>
      </c>
      <c r="E295" s="49">
        <v>2</v>
      </c>
      <c r="F295" s="52" t="s">
        <v>22</v>
      </c>
      <c r="G295" s="53" t="s">
        <v>721</v>
      </c>
      <c r="H295" s="53" t="s">
        <v>24</v>
      </c>
      <c r="I295" s="53" t="s">
        <v>721</v>
      </c>
      <c r="J295" s="51">
        <v>44649</v>
      </c>
      <c r="K295" s="51">
        <v>44649</v>
      </c>
      <c r="L295" s="54">
        <f t="shared" si="8"/>
        <v>0</v>
      </c>
      <c r="M295" s="59" t="s">
        <v>3121</v>
      </c>
      <c r="N295" s="53" t="s">
        <v>26</v>
      </c>
      <c r="O295" s="53" t="s">
        <v>3108</v>
      </c>
      <c r="P295" s="53" t="s">
        <v>3109</v>
      </c>
      <c r="Q295" s="53" t="str">
        <f t="shared" si="9"/>
        <v>DENTRO DEL TIEMPO</v>
      </c>
      <c r="R295" s="56"/>
    </row>
    <row r="296" spans="1:18" ht="38.25" x14ac:dyDescent="0.25">
      <c r="A296" s="49">
        <v>290</v>
      </c>
      <c r="B296" s="50" t="s">
        <v>3122</v>
      </c>
      <c r="C296" s="51">
        <v>44644</v>
      </c>
      <c r="D296" s="51">
        <v>44649</v>
      </c>
      <c r="E296" s="49">
        <v>2</v>
      </c>
      <c r="F296" s="52" t="s">
        <v>22</v>
      </c>
      <c r="G296" s="53" t="s">
        <v>721</v>
      </c>
      <c r="H296" s="53" t="s">
        <v>24</v>
      </c>
      <c r="I296" s="53" t="s">
        <v>721</v>
      </c>
      <c r="J296" s="51">
        <v>44649</v>
      </c>
      <c r="K296" s="51">
        <v>44649</v>
      </c>
      <c r="L296" s="54">
        <f t="shared" si="8"/>
        <v>0</v>
      </c>
      <c r="M296" s="59" t="s">
        <v>3123</v>
      </c>
      <c r="N296" s="53" t="s">
        <v>26</v>
      </c>
      <c r="O296" s="53" t="s">
        <v>3108</v>
      </c>
      <c r="P296" s="53" t="s">
        <v>3109</v>
      </c>
      <c r="Q296" s="53" t="str">
        <f t="shared" si="9"/>
        <v>DENTRO DEL TIEMPO</v>
      </c>
      <c r="R296" s="56"/>
    </row>
    <row r="297" spans="1:18" ht="38.25" x14ac:dyDescent="0.25">
      <c r="A297" s="49">
        <v>291</v>
      </c>
      <c r="B297" s="50" t="s">
        <v>3124</v>
      </c>
      <c r="C297" s="51">
        <v>44644</v>
      </c>
      <c r="D297" s="51">
        <v>44648</v>
      </c>
      <c r="E297" s="49">
        <v>2</v>
      </c>
      <c r="F297" s="52" t="s">
        <v>22</v>
      </c>
      <c r="G297" s="53" t="s">
        <v>721</v>
      </c>
      <c r="H297" s="53" t="s">
        <v>24</v>
      </c>
      <c r="I297" s="53" t="s">
        <v>721</v>
      </c>
      <c r="J297" s="51">
        <v>44648</v>
      </c>
      <c r="K297" s="51">
        <v>44648</v>
      </c>
      <c r="L297" s="54">
        <f t="shared" si="8"/>
        <v>0</v>
      </c>
      <c r="M297" s="59" t="s">
        <v>3125</v>
      </c>
      <c r="N297" s="53" t="s">
        <v>26</v>
      </c>
      <c r="O297" s="53" t="s">
        <v>3126</v>
      </c>
      <c r="P297" s="53" t="s">
        <v>3127</v>
      </c>
      <c r="Q297" s="53" t="str">
        <f t="shared" si="9"/>
        <v>DENTRO DEL TIEMPO</v>
      </c>
      <c r="R297" s="56"/>
    </row>
    <row r="298" spans="1:18" ht="38.25" x14ac:dyDescent="0.25">
      <c r="A298" s="49">
        <v>292</v>
      </c>
      <c r="B298" s="50" t="s">
        <v>3128</v>
      </c>
      <c r="C298" s="51">
        <v>44644</v>
      </c>
      <c r="D298" s="51">
        <v>44650</v>
      </c>
      <c r="E298" s="49">
        <v>2</v>
      </c>
      <c r="F298" s="52" t="s">
        <v>22</v>
      </c>
      <c r="G298" s="53" t="s">
        <v>721</v>
      </c>
      <c r="H298" s="53" t="s">
        <v>24</v>
      </c>
      <c r="I298" s="53" t="s">
        <v>721</v>
      </c>
      <c r="J298" s="51">
        <v>44650</v>
      </c>
      <c r="K298" s="51">
        <v>44650</v>
      </c>
      <c r="L298" s="54">
        <f t="shared" si="8"/>
        <v>0</v>
      </c>
      <c r="M298" s="59" t="s">
        <v>3129</v>
      </c>
      <c r="N298" s="53" t="s">
        <v>26</v>
      </c>
      <c r="O298" s="53" t="s">
        <v>3130</v>
      </c>
      <c r="P298" s="53" t="s">
        <v>3131</v>
      </c>
      <c r="Q298" s="53" t="str">
        <f t="shared" si="9"/>
        <v>DENTRO DEL TIEMPO</v>
      </c>
      <c r="R298" s="56"/>
    </row>
    <row r="299" spans="1:18" ht="51" x14ac:dyDescent="0.25">
      <c r="A299" s="49">
        <v>293</v>
      </c>
      <c r="B299" s="50" t="s">
        <v>3132</v>
      </c>
      <c r="C299" s="51">
        <v>44644</v>
      </c>
      <c r="D299" s="51">
        <v>44650</v>
      </c>
      <c r="E299" s="49">
        <v>2</v>
      </c>
      <c r="F299" s="52" t="s">
        <v>22</v>
      </c>
      <c r="G299" s="53" t="s">
        <v>721</v>
      </c>
      <c r="H299" s="53" t="s">
        <v>24</v>
      </c>
      <c r="I299" s="53" t="s">
        <v>721</v>
      </c>
      <c r="J299" s="51">
        <v>44650</v>
      </c>
      <c r="K299" s="51">
        <v>44650</v>
      </c>
      <c r="L299" s="54">
        <f t="shared" si="8"/>
        <v>0</v>
      </c>
      <c r="M299" s="59" t="s">
        <v>3133</v>
      </c>
      <c r="N299" s="53" t="s">
        <v>26</v>
      </c>
      <c r="O299" s="53" t="s">
        <v>3134</v>
      </c>
      <c r="P299" s="53" t="s">
        <v>3135</v>
      </c>
      <c r="Q299" s="53" t="str">
        <f t="shared" si="9"/>
        <v>DENTRO DEL TIEMPO</v>
      </c>
      <c r="R299" s="56"/>
    </row>
    <row r="300" spans="1:18" ht="51" x14ac:dyDescent="0.25">
      <c r="A300" s="49">
        <v>294</v>
      </c>
      <c r="B300" s="50" t="s">
        <v>3136</v>
      </c>
      <c r="C300" s="51">
        <v>44644</v>
      </c>
      <c r="D300" s="51">
        <v>44650</v>
      </c>
      <c r="E300" s="49">
        <v>2</v>
      </c>
      <c r="F300" s="52" t="s">
        <v>22</v>
      </c>
      <c r="G300" s="53" t="s">
        <v>721</v>
      </c>
      <c r="H300" s="53" t="s">
        <v>24</v>
      </c>
      <c r="I300" s="53" t="s">
        <v>721</v>
      </c>
      <c r="J300" s="51">
        <v>44650</v>
      </c>
      <c r="K300" s="51">
        <v>44650</v>
      </c>
      <c r="L300" s="54">
        <f t="shared" si="8"/>
        <v>0</v>
      </c>
      <c r="M300" s="59" t="s">
        <v>3137</v>
      </c>
      <c r="N300" s="53" t="s">
        <v>26</v>
      </c>
      <c r="O300" s="53" t="s">
        <v>3138</v>
      </c>
      <c r="P300" s="53" t="s">
        <v>3139</v>
      </c>
      <c r="Q300" s="53" t="str">
        <f t="shared" si="9"/>
        <v>DENTRO DEL TIEMPO</v>
      </c>
      <c r="R300" s="56"/>
    </row>
    <row r="301" spans="1:18" ht="38.25" x14ac:dyDescent="0.25">
      <c r="A301" s="49">
        <v>295</v>
      </c>
      <c r="B301" s="50" t="s">
        <v>3140</v>
      </c>
      <c r="C301" s="51">
        <v>44645</v>
      </c>
      <c r="D301" s="51">
        <v>44650</v>
      </c>
      <c r="E301" s="49">
        <v>2</v>
      </c>
      <c r="F301" s="52" t="s">
        <v>22</v>
      </c>
      <c r="G301" s="53" t="s">
        <v>721</v>
      </c>
      <c r="H301" s="53" t="s">
        <v>24</v>
      </c>
      <c r="I301" s="53" t="s">
        <v>721</v>
      </c>
      <c r="J301" s="51">
        <v>44650</v>
      </c>
      <c r="K301" s="51">
        <v>44650</v>
      </c>
      <c r="L301" s="54">
        <f t="shared" si="8"/>
        <v>0</v>
      </c>
      <c r="M301" s="59" t="s">
        <v>3141</v>
      </c>
      <c r="N301" s="53" t="s">
        <v>26</v>
      </c>
      <c r="O301" s="53" t="s">
        <v>2327</v>
      </c>
      <c r="P301" s="53" t="s">
        <v>2321</v>
      </c>
      <c r="Q301" s="53" t="str">
        <f t="shared" si="9"/>
        <v>DENTRO DEL TIEMPO</v>
      </c>
      <c r="R301" s="56"/>
    </row>
    <row r="302" spans="1:18" ht="38.25" x14ac:dyDescent="0.25">
      <c r="A302" s="49">
        <v>296</v>
      </c>
      <c r="B302" s="50" t="s">
        <v>3142</v>
      </c>
      <c r="C302" s="51">
        <v>44645</v>
      </c>
      <c r="D302" s="51">
        <v>44645</v>
      </c>
      <c r="E302" s="49">
        <v>2</v>
      </c>
      <c r="F302" s="52" t="s">
        <v>22</v>
      </c>
      <c r="G302" s="53" t="s">
        <v>721</v>
      </c>
      <c r="H302" s="53" t="s">
        <v>24</v>
      </c>
      <c r="I302" s="53" t="s">
        <v>721</v>
      </c>
      <c r="J302" s="51">
        <v>44650</v>
      </c>
      <c r="K302" s="51">
        <v>44650</v>
      </c>
      <c r="L302" s="54">
        <f t="shared" si="8"/>
        <v>3</v>
      </c>
      <c r="M302" s="59" t="s">
        <v>3143</v>
      </c>
      <c r="N302" s="53" t="s">
        <v>26</v>
      </c>
      <c r="O302" s="53" t="s">
        <v>3144</v>
      </c>
      <c r="P302" s="53" t="s">
        <v>3145</v>
      </c>
      <c r="Q302" s="53" t="str">
        <f t="shared" si="9"/>
        <v>DENTRO DEL TIEMPO</v>
      </c>
      <c r="R302" s="56"/>
    </row>
    <row r="303" spans="1:18" ht="38.25" x14ac:dyDescent="0.25">
      <c r="A303" s="49">
        <v>297</v>
      </c>
      <c r="B303" s="50" t="s">
        <v>3146</v>
      </c>
      <c r="C303" s="51">
        <v>44645</v>
      </c>
      <c r="D303" s="51">
        <v>44650</v>
      </c>
      <c r="E303" s="49">
        <v>2</v>
      </c>
      <c r="F303" s="52" t="s">
        <v>22</v>
      </c>
      <c r="G303" s="53" t="s">
        <v>721</v>
      </c>
      <c r="H303" s="53" t="s">
        <v>24</v>
      </c>
      <c r="I303" s="53" t="s">
        <v>721</v>
      </c>
      <c r="J303" s="51">
        <v>44650</v>
      </c>
      <c r="K303" s="51">
        <v>44650</v>
      </c>
      <c r="L303" s="54">
        <f t="shared" si="8"/>
        <v>0</v>
      </c>
      <c r="M303" s="59" t="s">
        <v>3147</v>
      </c>
      <c r="N303" s="53" t="s">
        <v>26</v>
      </c>
      <c r="O303" s="53" t="s">
        <v>3148</v>
      </c>
      <c r="P303" s="53" t="s">
        <v>3149</v>
      </c>
      <c r="Q303" s="53" t="str">
        <f t="shared" si="9"/>
        <v>DENTRO DEL TIEMPO</v>
      </c>
      <c r="R303" s="56"/>
    </row>
    <row r="304" spans="1:18" ht="38.25" x14ac:dyDescent="0.25">
      <c r="A304" s="49">
        <v>298</v>
      </c>
      <c r="B304" s="50" t="s">
        <v>3150</v>
      </c>
      <c r="C304" s="51">
        <v>44645</v>
      </c>
      <c r="D304" s="51">
        <v>44650</v>
      </c>
      <c r="E304" s="49">
        <v>2</v>
      </c>
      <c r="F304" s="52" t="s">
        <v>22</v>
      </c>
      <c r="G304" s="53" t="s">
        <v>721</v>
      </c>
      <c r="H304" s="53" t="s">
        <v>24</v>
      </c>
      <c r="I304" s="53" t="s">
        <v>721</v>
      </c>
      <c r="J304" s="51">
        <v>44650</v>
      </c>
      <c r="K304" s="51">
        <v>44650</v>
      </c>
      <c r="L304" s="54">
        <f t="shared" si="8"/>
        <v>0</v>
      </c>
      <c r="M304" s="59" t="s">
        <v>3151</v>
      </c>
      <c r="N304" s="53" t="s">
        <v>26</v>
      </c>
      <c r="O304" s="53" t="s">
        <v>2327</v>
      </c>
      <c r="P304" s="53" t="s">
        <v>3152</v>
      </c>
      <c r="Q304" s="53" t="str">
        <f t="shared" si="9"/>
        <v>DENTRO DEL TIEMPO</v>
      </c>
      <c r="R304" s="56"/>
    </row>
    <row r="305" spans="1:18" ht="51" x14ac:dyDescent="0.25">
      <c r="A305" s="49">
        <v>299</v>
      </c>
      <c r="B305" s="50" t="s">
        <v>3153</v>
      </c>
      <c r="C305" s="51">
        <v>44645</v>
      </c>
      <c r="D305" s="51">
        <v>44650</v>
      </c>
      <c r="E305" s="49">
        <v>2</v>
      </c>
      <c r="F305" s="52" t="s">
        <v>22</v>
      </c>
      <c r="G305" s="53" t="s">
        <v>721</v>
      </c>
      <c r="H305" s="53" t="s">
        <v>24</v>
      </c>
      <c r="I305" s="53" t="s">
        <v>721</v>
      </c>
      <c r="J305" s="51">
        <v>44650</v>
      </c>
      <c r="K305" s="51">
        <v>44650</v>
      </c>
      <c r="L305" s="54">
        <f t="shared" si="8"/>
        <v>0</v>
      </c>
      <c r="M305" s="59" t="s">
        <v>3154</v>
      </c>
      <c r="N305" s="53" t="s">
        <v>26</v>
      </c>
      <c r="O305" s="53" t="s">
        <v>3155</v>
      </c>
      <c r="P305" s="53" t="s">
        <v>3156</v>
      </c>
      <c r="Q305" s="53" t="str">
        <f t="shared" si="9"/>
        <v>DENTRO DEL TIEMPO</v>
      </c>
      <c r="R305" s="56"/>
    </row>
    <row r="306" spans="1:18" ht="51" x14ac:dyDescent="0.25">
      <c r="A306" s="49">
        <v>300</v>
      </c>
      <c r="B306" s="50" t="s">
        <v>3157</v>
      </c>
      <c r="C306" s="51">
        <v>44645</v>
      </c>
      <c r="D306" s="51">
        <v>44650</v>
      </c>
      <c r="E306" s="49">
        <v>2</v>
      </c>
      <c r="F306" s="52" t="s">
        <v>22</v>
      </c>
      <c r="G306" s="53" t="s">
        <v>721</v>
      </c>
      <c r="H306" s="53" t="s">
        <v>24</v>
      </c>
      <c r="I306" s="53" t="s">
        <v>721</v>
      </c>
      <c r="J306" s="51">
        <v>44650</v>
      </c>
      <c r="K306" s="51">
        <v>44650</v>
      </c>
      <c r="L306" s="54">
        <f t="shared" si="8"/>
        <v>0</v>
      </c>
      <c r="M306" s="59" t="s">
        <v>3158</v>
      </c>
      <c r="N306" s="53" t="s">
        <v>26</v>
      </c>
      <c r="O306" s="53" t="s">
        <v>3159</v>
      </c>
      <c r="P306" s="53" t="s">
        <v>3160</v>
      </c>
      <c r="Q306" s="53" t="str">
        <f t="shared" si="9"/>
        <v>DENTRO DEL TIEMPO</v>
      </c>
      <c r="R306" s="56"/>
    </row>
    <row r="307" spans="1:18" ht="51" x14ac:dyDescent="0.25">
      <c r="A307" s="49">
        <v>301</v>
      </c>
      <c r="B307" s="50" t="s">
        <v>3161</v>
      </c>
      <c r="C307" s="51">
        <v>44645</v>
      </c>
      <c r="D307" s="51">
        <v>44645</v>
      </c>
      <c r="E307" s="49">
        <v>2</v>
      </c>
      <c r="F307" s="52" t="s">
        <v>22</v>
      </c>
      <c r="G307" s="53" t="s">
        <v>721</v>
      </c>
      <c r="H307" s="53" t="s">
        <v>24</v>
      </c>
      <c r="I307" s="53" t="s">
        <v>721</v>
      </c>
      <c r="J307" s="51">
        <v>44651</v>
      </c>
      <c r="K307" s="51">
        <v>44651</v>
      </c>
      <c r="L307" s="54">
        <f t="shared" si="8"/>
        <v>4</v>
      </c>
      <c r="M307" s="59" t="s">
        <v>3162</v>
      </c>
      <c r="N307" s="53" t="s">
        <v>26</v>
      </c>
      <c r="O307" s="53" t="s">
        <v>3163</v>
      </c>
      <c r="P307" s="53" t="s">
        <v>2030</v>
      </c>
      <c r="Q307" s="53" t="str">
        <f t="shared" si="9"/>
        <v>DENTRO DEL TIEMPO</v>
      </c>
      <c r="R307" s="56"/>
    </row>
    <row r="308" spans="1:18" ht="38.25" x14ac:dyDescent="0.25">
      <c r="A308" s="49">
        <v>302</v>
      </c>
      <c r="B308" s="50" t="s">
        <v>3164</v>
      </c>
      <c r="C308" s="51">
        <v>44645</v>
      </c>
      <c r="D308" s="51">
        <v>44650</v>
      </c>
      <c r="E308" s="49">
        <v>2</v>
      </c>
      <c r="F308" s="52" t="s">
        <v>22</v>
      </c>
      <c r="G308" s="53" t="s">
        <v>721</v>
      </c>
      <c r="H308" s="53" t="s">
        <v>24</v>
      </c>
      <c r="I308" s="53" t="s">
        <v>721</v>
      </c>
      <c r="J308" s="51">
        <v>44650</v>
      </c>
      <c r="K308" s="51">
        <v>44650</v>
      </c>
      <c r="L308" s="54">
        <f t="shared" si="8"/>
        <v>0</v>
      </c>
      <c r="M308" s="59" t="s">
        <v>3165</v>
      </c>
      <c r="N308" s="53" t="s">
        <v>26</v>
      </c>
      <c r="O308" s="53" t="s">
        <v>2557</v>
      </c>
      <c r="P308" s="53" t="s">
        <v>3166</v>
      </c>
      <c r="Q308" s="53" t="str">
        <f t="shared" si="9"/>
        <v>DENTRO DEL TIEMPO</v>
      </c>
      <c r="R308" s="56"/>
    </row>
    <row r="309" spans="1:18" ht="51" x14ac:dyDescent="0.25">
      <c r="A309" s="49">
        <v>303</v>
      </c>
      <c r="B309" s="50" t="s">
        <v>3167</v>
      </c>
      <c r="C309" s="51">
        <v>44645</v>
      </c>
      <c r="D309" s="51">
        <v>44650</v>
      </c>
      <c r="E309" s="49">
        <v>2</v>
      </c>
      <c r="F309" s="52" t="s">
        <v>22</v>
      </c>
      <c r="G309" s="53" t="s">
        <v>721</v>
      </c>
      <c r="H309" s="53" t="s">
        <v>24</v>
      </c>
      <c r="I309" s="53" t="s">
        <v>721</v>
      </c>
      <c r="J309" s="51">
        <v>44650</v>
      </c>
      <c r="K309" s="51">
        <v>44650</v>
      </c>
      <c r="L309" s="54">
        <f t="shared" si="8"/>
        <v>0</v>
      </c>
      <c r="M309" s="59" t="s">
        <v>3168</v>
      </c>
      <c r="N309" s="53" t="s">
        <v>26</v>
      </c>
      <c r="O309" s="53" t="s">
        <v>3169</v>
      </c>
      <c r="P309" s="53" t="s">
        <v>3170</v>
      </c>
      <c r="Q309" s="53" t="str">
        <f t="shared" si="9"/>
        <v>DENTRO DEL TIEMPO</v>
      </c>
      <c r="R309" s="56"/>
    </row>
    <row r="310" spans="1:18" ht="38.25" x14ac:dyDescent="0.25">
      <c r="A310" s="49">
        <v>304</v>
      </c>
      <c r="B310" s="50" t="s">
        <v>3171</v>
      </c>
      <c r="C310" s="51">
        <v>44645</v>
      </c>
      <c r="D310" s="51">
        <v>44645</v>
      </c>
      <c r="E310" s="49">
        <v>2</v>
      </c>
      <c r="F310" s="52" t="s">
        <v>22</v>
      </c>
      <c r="G310" s="53" t="s">
        <v>721</v>
      </c>
      <c r="H310" s="53" t="s">
        <v>24</v>
      </c>
      <c r="I310" s="53" t="s">
        <v>721</v>
      </c>
      <c r="J310" s="51">
        <v>44651</v>
      </c>
      <c r="K310" s="51">
        <v>44651</v>
      </c>
      <c r="L310" s="54">
        <f t="shared" si="8"/>
        <v>4</v>
      </c>
      <c r="M310" s="59" t="s">
        <v>3172</v>
      </c>
      <c r="N310" s="53" t="s">
        <v>26</v>
      </c>
      <c r="O310" s="53" t="s">
        <v>3173</v>
      </c>
      <c r="P310" s="53" t="s">
        <v>3174</v>
      </c>
      <c r="Q310" s="53" t="str">
        <f t="shared" si="9"/>
        <v>DENTRO DEL TIEMPO</v>
      </c>
      <c r="R310" s="56"/>
    </row>
    <row r="311" spans="1:18" ht="38.25" x14ac:dyDescent="0.25">
      <c r="A311" s="49">
        <v>305</v>
      </c>
      <c r="B311" s="50" t="s">
        <v>3175</v>
      </c>
      <c r="C311" s="51">
        <v>44645</v>
      </c>
      <c r="D311" s="51">
        <v>44650</v>
      </c>
      <c r="E311" s="49">
        <v>2</v>
      </c>
      <c r="F311" s="52" t="s">
        <v>22</v>
      </c>
      <c r="G311" s="53" t="s">
        <v>721</v>
      </c>
      <c r="H311" s="53" t="s">
        <v>24</v>
      </c>
      <c r="I311" s="53" t="s">
        <v>721</v>
      </c>
      <c r="J311" s="51">
        <v>44650</v>
      </c>
      <c r="K311" s="51">
        <v>44650</v>
      </c>
      <c r="L311" s="54">
        <f t="shared" si="8"/>
        <v>0</v>
      </c>
      <c r="M311" s="59" t="s">
        <v>3176</v>
      </c>
      <c r="N311" s="53" t="s">
        <v>26</v>
      </c>
      <c r="O311" s="53" t="s">
        <v>3177</v>
      </c>
      <c r="P311" s="53" t="s">
        <v>3178</v>
      </c>
      <c r="Q311" s="53" t="str">
        <f t="shared" si="9"/>
        <v>DENTRO DEL TIEMPO</v>
      </c>
      <c r="R311" s="56"/>
    </row>
    <row r="312" spans="1:18" ht="51" x14ac:dyDescent="0.25">
      <c r="A312" s="49">
        <v>306</v>
      </c>
      <c r="B312" s="50" t="s">
        <v>3179</v>
      </c>
      <c r="C312" s="51">
        <v>44645</v>
      </c>
      <c r="D312" s="51">
        <v>44645</v>
      </c>
      <c r="E312" s="49">
        <v>0</v>
      </c>
      <c r="F312" s="52" t="s">
        <v>2769</v>
      </c>
      <c r="G312" s="53" t="s">
        <v>2770</v>
      </c>
      <c r="H312" s="53" t="s">
        <v>24</v>
      </c>
      <c r="I312" s="53" t="s">
        <v>2770</v>
      </c>
      <c r="J312" s="51"/>
      <c r="K312" s="51"/>
      <c r="L312" s="54">
        <f t="shared" si="8"/>
        <v>-31891</v>
      </c>
      <c r="M312" s="58"/>
      <c r="N312" s="53" t="s">
        <v>26</v>
      </c>
      <c r="O312" s="53" t="s">
        <v>2771</v>
      </c>
      <c r="P312" s="53"/>
      <c r="Q312" s="53" t="str">
        <f t="shared" si="9"/>
        <v>DENTRO DEL TIEMPO</v>
      </c>
      <c r="R312" s="56"/>
    </row>
    <row r="313" spans="1:18" ht="51" x14ac:dyDescent="0.25">
      <c r="A313" s="49">
        <v>307</v>
      </c>
      <c r="B313" s="50" t="s">
        <v>3180</v>
      </c>
      <c r="C313" s="51">
        <v>44645</v>
      </c>
      <c r="D313" s="51">
        <v>44645</v>
      </c>
      <c r="E313" s="49">
        <v>2</v>
      </c>
      <c r="F313" s="52" t="s">
        <v>22</v>
      </c>
      <c r="G313" s="53" t="s">
        <v>721</v>
      </c>
      <c r="H313" s="53" t="s">
        <v>24</v>
      </c>
      <c r="I313" s="53" t="s">
        <v>721</v>
      </c>
      <c r="J313" s="51">
        <v>44651</v>
      </c>
      <c r="K313" s="51">
        <v>44651</v>
      </c>
      <c r="L313" s="54">
        <f t="shared" si="8"/>
        <v>4</v>
      </c>
      <c r="M313" s="59" t="s">
        <v>3181</v>
      </c>
      <c r="N313" s="53" t="s">
        <v>26</v>
      </c>
      <c r="O313" s="53" t="s">
        <v>2456</v>
      </c>
      <c r="P313" s="53" t="s">
        <v>1605</v>
      </c>
      <c r="Q313" s="53" t="str">
        <f t="shared" si="9"/>
        <v>DENTRO DEL TIEMPO</v>
      </c>
      <c r="R313" s="56"/>
    </row>
    <row r="314" spans="1:18" ht="51" x14ac:dyDescent="0.25">
      <c r="A314" s="49">
        <v>308</v>
      </c>
      <c r="B314" s="50" t="s">
        <v>3182</v>
      </c>
      <c r="C314" s="51">
        <v>44645</v>
      </c>
      <c r="D314" s="51">
        <v>44650</v>
      </c>
      <c r="E314" s="49">
        <v>2</v>
      </c>
      <c r="F314" s="52" t="s">
        <v>22</v>
      </c>
      <c r="G314" s="53" t="s">
        <v>721</v>
      </c>
      <c r="H314" s="53" t="s">
        <v>24</v>
      </c>
      <c r="I314" s="53" t="s">
        <v>721</v>
      </c>
      <c r="J314" s="51">
        <v>44650</v>
      </c>
      <c r="K314" s="51">
        <v>44650</v>
      </c>
      <c r="L314" s="54">
        <f t="shared" si="8"/>
        <v>0</v>
      </c>
      <c r="M314" s="59" t="s">
        <v>3183</v>
      </c>
      <c r="N314" s="53" t="s">
        <v>26</v>
      </c>
      <c r="O314" s="53" t="s">
        <v>2880</v>
      </c>
      <c r="P314" s="53" t="s">
        <v>2877</v>
      </c>
      <c r="Q314" s="53" t="str">
        <f t="shared" si="9"/>
        <v>DENTRO DEL TIEMPO</v>
      </c>
      <c r="R314" s="56"/>
    </row>
    <row r="315" spans="1:18" ht="51" x14ac:dyDescent="0.25">
      <c r="A315" s="49">
        <v>309</v>
      </c>
      <c r="B315" s="50" t="s">
        <v>3184</v>
      </c>
      <c r="C315" s="51">
        <v>44645</v>
      </c>
      <c r="D315" s="51">
        <v>44645</v>
      </c>
      <c r="E315" s="49">
        <v>2</v>
      </c>
      <c r="F315" s="52" t="s">
        <v>22</v>
      </c>
      <c r="G315" s="53" t="s">
        <v>721</v>
      </c>
      <c r="H315" s="53" t="s">
        <v>24</v>
      </c>
      <c r="I315" s="53" t="s">
        <v>721</v>
      </c>
      <c r="J315" s="51">
        <v>44655</v>
      </c>
      <c r="K315" s="51">
        <v>44655</v>
      </c>
      <c r="L315" s="54">
        <f t="shared" si="8"/>
        <v>6</v>
      </c>
      <c r="M315" s="59" t="s">
        <v>3185</v>
      </c>
      <c r="N315" s="53" t="s">
        <v>26</v>
      </c>
      <c r="O315" s="53" t="s">
        <v>2720</v>
      </c>
      <c r="P315" s="53" t="s">
        <v>3186</v>
      </c>
      <c r="Q315" s="53" t="str">
        <f t="shared" si="9"/>
        <v>DENTRO DEL TIEMPO</v>
      </c>
      <c r="R315" s="56"/>
    </row>
    <row r="316" spans="1:18" ht="38.25" x14ac:dyDescent="0.25">
      <c r="A316" s="49">
        <v>310</v>
      </c>
      <c r="B316" s="50" t="s">
        <v>3187</v>
      </c>
      <c r="C316" s="51">
        <v>44648</v>
      </c>
      <c r="D316" s="51">
        <v>44651</v>
      </c>
      <c r="E316" s="49">
        <v>2</v>
      </c>
      <c r="F316" s="52" t="s">
        <v>22</v>
      </c>
      <c r="G316" s="53" t="s">
        <v>721</v>
      </c>
      <c r="H316" s="53" t="s">
        <v>24</v>
      </c>
      <c r="I316" s="53" t="s">
        <v>721</v>
      </c>
      <c r="J316" s="51">
        <v>44651</v>
      </c>
      <c r="K316" s="51">
        <v>44651</v>
      </c>
      <c r="L316" s="54">
        <f t="shared" si="8"/>
        <v>0</v>
      </c>
      <c r="M316" s="59" t="s">
        <v>3188</v>
      </c>
      <c r="N316" s="53" t="s">
        <v>26</v>
      </c>
      <c r="O316" s="53" t="s">
        <v>2350</v>
      </c>
      <c r="P316" s="53" t="s">
        <v>1423</v>
      </c>
      <c r="Q316" s="53" t="str">
        <f t="shared" si="9"/>
        <v>DENTRO DEL TIEMPO</v>
      </c>
      <c r="R316" s="56"/>
    </row>
    <row r="317" spans="1:18" ht="51" x14ac:dyDescent="0.25">
      <c r="A317" s="49">
        <v>311</v>
      </c>
      <c r="B317" s="50" t="s">
        <v>3189</v>
      </c>
      <c r="C317" s="51">
        <v>44648</v>
      </c>
      <c r="D317" s="51">
        <v>44648</v>
      </c>
      <c r="E317" s="49">
        <v>2</v>
      </c>
      <c r="F317" s="52" t="s">
        <v>22</v>
      </c>
      <c r="G317" s="53" t="s">
        <v>721</v>
      </c>
      <c r="H317" s="53" t="s">
        <v>24</v>
      </c>
      <c r="I317" s="53" t="s">
        <v>721</v>
      </c>
      <c r="J317" s="51">
        <v>44651</v>
      </c>
      <c r="K317" s="51">
        <v>44651</v>
      </c>
      <c r="L317" s="54">
        <f t="shared" si="8"/>
        <v>3</v>
      </c>
      <c r="M317" s="59" t="s">
        <v>3190</v>
      </c>
      <c r="N317" s="53" t="s">
        <v>26</v>
      </c>
      <c r="O317" s="53" t="s">
        <v>2333</v>
      </c>
      <c r="P317" s="53" t="s">
        <v>3191</v>
      </c>
      <c r="Q317" s="53" t="str">
        <f t="shared" si="9"/>
        <v>DENTRO DEL TIEMPO</v>
      </c>
      <c r="R317" s="56"/>
    </row>
    <row r="318" spans="1:18" ht="51" x14ac:dyDescent="0.25">
      <c r="A318" s="49">
        <v>312</v>
      </c>
      <c r="B318" s="50" t="s">
        <v>3192</v>
      </c>
      <c r="C318" s="51">
        <v>44648</v>
      </c>
      <c r="D318" s="51">
        <v>44648</v>
      </c>
      <c r="E318" s="49">
        <v>2</v>
      </c>
      <c r="F318" s="52" t="s">
        <v>22</v>
      </c>
      <c r="G318" s="53" t="s">
        <v>721</v>
      </c>
      <c r="H318" s="53" t="s">
        <v>24</v>
      </c>
      <c r="I318" s="53" t="s">
        <v>721</v>
      </c>
      <c r="J318" s="51">
        <v>44652</v>
      </c>
      <c r="K318" s="51">
        <v>44652</v>
      </c>
      <c r="L318" s="54">
        <f t="shared" si="8"/>
        <v>4</v>
      </c>
      <c r="M318" s="59" t="s">
        <v>3193</v>
      </c>
      <c r="N318" s="53" t="s">
        <v>26</v>
      </c>
      <c r="O318" s="53" t="s">
        <v>2467</v>
      </c>
      <c r="P318" s="53" t="s">
        <v>2468</v>
      </c>
      <c r="Q318" s="53" t="str">
        <f t="shared" si="9"/>
        <v>DENTRO DEL TIEMPO</v>
      </c>
      <c r="R318" s="56"/>
    </row>
    <row r="319" spans="1:18" ht="38.25" x14ac:dyDescent="0.25">
      <c r="A319" s="49">
        <v>313</v>
      </c>
      <c r="B319" s="50" t="s">
        <v>3194</v>
      </c>
      <c r="C319" s="51">
        <v>44648</v>
      </c>
      <c r="D319" s="51">
        <v>44651</v>
      </c>
      <c r="E319" s="49">
        <v>2</v>
      </c>
      <c r="F319" s="52" t="s">
        <v>22</v>
      </c>
      <c r="G319" s="53" t="s">
        <v>721</v>
      </c>
      <c r="H319" s="53" t="s">
        <v>24</v>
      </c>
      <c r="I319" s="53" t="s">
        <v>721</v>
      </c>
      <c r="J319" s="51">
        <v>44651</v>
      </c>
      <c r="K319" s="51">
        <v>44651</v>
      </c>
      <c r="L319" s="54">
        <f t="shared" si="8"/>
        <v>0</v>
      </c>
      <c r="M319" s="59" t="s">
        <v>3195</v>
      </c>
      <c r="N319" s="53" t="s">
        <v>26</v>
      </c>
      <c r="O319" s="53" t="s">
        <v>3196</v>
      </c>
      <c r="P319" s="53" t="s">
        <v>3197</v>
      </c>
      <c r="Q319" s="53" t="str">
        <f t="shared" si="9"/>
        <v>DENTRO DEL TIEMPO</v>
      </c>
      <c r="R319" s="56"/>
    </row>
    <row r="320" spans="1:18" ht="38.25" x14ac:dyDescent="0.25">
      <c r="A320" s="49">
        <v>314</v>
      </c>
      <c r="B320" s="50" t="s">
        <v>3198</v>
      </c>
      <c r="C320" s="51">
        <v>44648</v>
      </c>
      <c r="D320" s="51">
        <v>44651</v>
      </c>
      <c r="E320" s="49">
        <v>2</v>
      </c>
      <c r="F320" s="52" t="s">
        <v>22</v>
      </c>
      <c r="G320" s="53" t="s">
        <v>721</v>
      </c>
      <c r="H320" s="53" t="s">
        <v>24</v>
      </c>
      <c r="I320" s="53" t="s">
        <v>721</v>
      </c>
      <c r="J320" s="51">
        <v>44651</v>
      </c>
      <c r="K320" s="51">
        <v>44651</v>
      </c>
      <c r="L320" s="54">
        <f t="shared" si="8"/>
        <v>0</v>
      </c>
      <c r="M320" s="59" t="s">
        <v>3199</v>
      </c>
      <c r="N320" s="53" t="s">
        <v>26</v>
      </c>
      <c r="O320" s="53" t="s">
        <v>3200</v>
      </c>
      <c r="P320" s="53" t="s">
        <v>3201</v>
      </c>
      <c r="Q320" s="53" t="str">
        <f t="shared" si="9"/>
        <v>DENTRO DEL TIEMPO</v>
      </c>
      <c r="R320" s="56"/>
    </row>
    <row r="321" spans="1:18" ht="38.25" x14ac:dyDescent="0.25">
      <c r="A321" s="49">
        <v>315</v>
      </c>
      <c r="B321" s="50" t="s">
        <v>3202</v>
      </c>
      <c r="C321" s="51">
        <v>44648</v>
      </c>
      <c r="D321" s="51">
        <v>44648</v>
      </c>
      <c r="E321" s="49">
        <v>2</v>
      </c>
      <c r="F321" s="52" t="s">
        <v>22</v>
      </c>
      <c r="G321" s="53" t="s">
        <v>2064</v>
      </c>
      <c r="H321" s="53" t="s">
        <v>24</v>
      </c>
      <c r="I321" s="53" t="s">
        <v>2064</v>
      </c>
      <c r="J321" s="51">
        <v>44659</v>
      </c>
      <c r="K321" s="51">
        <v>44659</v>
      </c>
      <c r="L321" s="54">
        <f t="shared" si="8"/>
        <v>9</v>
      </c>
      <c r="M321" s="59" t="s">
        <v>3203</v>
      </c>
      <c r="N321" s="53" t="s">
        <v>26</v>
      </c>
      <c r="O321" s="53" t="s">
        <v>3204</v>
      </c>
      <c r="P321" s="53" t="s">
        <v>3205</v>
      </c>
      <c r="Q321" s="53" t="str">
        <f t="shared" si="9"/>
        <v>DENTRO DEL TIEMPO</v>
      </c>
      <c r="R321" s="56"/>
    </row>
    <row r="322" spans="1:18" ht="38.25" x14ac:dyDescent="0.25">
      <c r="A322" s="49">
        <v>316</v>
      </c>
      <c r="B322" s="50" t="s">
        <v>3206</v>
      </c>
      <c r="C322" s="51">
        <v>44648</v>
      </c>
      <c r="D322" s="51">
        <v>44651</v>
      </c>
      <c r="E322" s="49">
        <v>2</v>
      </c>
      <c r="F322" s="52" t="s">
        <v>22</v>
      </c>
      <c r="G322" s="53" t="s">
        <v>721</v>
      </c>
      <c r="H322" s="53" t="s">
        <v>24</v>
      </c>
      <c r="I322" s="53" t="s">
        <v>721</v>
      </c>
      <c r="J322" s="51">
        <v>44651</v>
      </c>
      <c r="K322" s="51">
        <v>44651</v>
      </c>
      <c r="L322" s="54">
        <f t="shared" si="8"/>
        <v>0</v>
      </c>
      <c r="M322" s="59" t="s">
        <v>3207</v>
      </c>
      <c r="N322" s="53" t="s">
        <v>26</v>
      </c>
      <c r="O322" s="53" t="s">
        <v>3208</v>
      </c>
      <c r="P322" s="53" t="s">
        <v>3209</v>
      </c>
      <c r="Q322" s="53" t="str">
        <f t="shared" si="9"/>
        <v>DENTRO DEL TIEMPO</v>
      </c>
      <c r="R322" s="56"/>
    </row>
    <row r="323" spans="1:18" ht="38.25" x14ac:dyDescent="0.25">
      <c r="A323" s="49">
        <v>317</v>
      </c>
      <c r="B323" s="50" t="s">
        <v>3210</v>
      </c>
      <c r="C323" s="51">
        <v>44648</v>
      </c>
      <c r="D323" s="51">
        <v>44651</v>
      </c>
      <c r="E323" s="49">
        <v>2</v>
      </c>
      <c r="F323" s="52" t="s">
        <v>22</v>
      </c>
      <c r="G323" s="53" t="s">
        <v>721</v>
      </c>
      <c r="H323" s="53" t="s">
        <v>24</v>
      </c>
      <c r="I323" s="53" t="s">
        <v>721</v>
      </c>
      <c r="J323" s="51">
        <v>44651</v>
      </c>
      <c r="K323" s="51">
        <v>44651</v>
      </c>
      <c r="L323" s="54">
        <f t="shared" si="8"/>
        <v>0</v>
      </c>
      <c r="M323" s="59" t="s">
        <v>3211</v>
      </c>
      <c r="N323" s="53" t="s">
        <v>26</v>
      </c>
      <c r="O323" s="53" t="s">
        <v>2557</v>
      </c>
      <c r="P323" s="53" t="s">
        <v>1033</v>
      </c>
      <c r="Q323" s="53" t="str">
        <f t="shared" si="9"/>
        <v>DENTRO DEL TIEMPO</v>
      </c>
      <c r="R323" s="56"/>
    </row>
    <row r="324" spans="1:18" ht="51" x14ac:dyDescent="0.25">
      <c r="A324" s="49">
        <v>318</v>
      </c>
      <c r="B324" s="50" t="s">
        <v>3212</v>
      </c>
      <c r="C324" s="51">
        <v>44648</v>
      </c>
      <c r="D324" s="51">
        <v>44651</v>
      </c>
      <c r="E324" s="49">
        <v>2</v>
      </c>
      <c r="F324" s="52" t="s">
        <v>22</v>
      </c>
      <c r="G324" s="53" t="s">
        <v>721</v>
      </c>
      <c r="H324" s="53" t="s">
        <v>24</v>
      </c>
      <c r="I324" s="53" t="s">
        <v>721</v>
      </c>
      <c r="J324" s="51">
        <v>44651</v>
      </c>
      <c r="K324" s="51">
        <v>44651</v>
      </c>
      <c r="L324" s="54">
        <f t="shared" si="8"/>
        <v>0</v>
      </c>
      <c r="M324" s="59" t="s">
        <v>3213</v>
      </c>
      <c r="N324" s="53" t="s">
        <v>26</v>
      </c>
      <c r="O324" s="53" t="s">
        <v>3214</v>
      </c>
      <c r="P324" s="53" t="s">
        <v>3215</v>
      </c>
      <c r="Q324" s="53" t="str">
        <f t="shared" si="9"/>
        <v>DENTRO DEL TIEMPO</v>
      </c>
      <c r="R324" s="56"/>
    </row>
    <row r="325" spans="1:18" ht="51" x14ac:dyDescent="0.25">
      <c r="A325" s="49">
        <v>319</v>
      </c>
      <c r="B325" s="50" t="s">
        <v>3216</v>
      </c>
      <c r="C325" s="51">
        <v>44648</v>
      </c>
      <c r="D325" s="51">
        <v>44651</v>
      </c>
      <c r="E325" s="49">
        <v>2</v>
      </c>
      <c r="F325" s="52" t="s">
        <v>22</v>
      </c>
      <c r="G325" s="53" t="s">
        <v>721</v>
      </c>
      <c r="H325" s="53" t="s">
        <v>24</v>
      </c>
      <c r="I325" s="53" t="s">
        <v>721</v>
      </c>
      <c r="J325" s="51">
        <v>44651</v>
      </c>
      <c r="K325" s="51">
        <v>44651</v>
      </c>
      <c r="L325" s="54">
        <f t="shared" si="8"/>
        <v>0</v>
      </c>
      <c r="M325" s="59" t="s">
        <v>3217</v>
      </c>
      <c r="N325" s="53" t="s">
        <v>26</v>
      </c>
      <c r="O325" s="53" t="s">
        <v>3218</v>
      </c>
      <c r="P325" s="53" t="s">
        <v>3219</v>
      </c>
      <c r="Q325" s="53" t="str">
        <f t="shared" si="9"/>
        <v>DENTRO DEL TIEMPO</v>
      </c>
      <c r="R325" s="56"/>
    </row>
    <row r="326" spans="1:18" ht="38.25" x14ac:dyDescent="0.25">
      <c r="A326" s="49">
        <v>320</v>
      </c>
      <c r="B326" s="50" t="s">
        <v>3220</v>
      </c>
      <c r="C326" s="51">
        <v>44648</v>
      </c>
      <c r="D326" s="51">
        <v>44651</v>
      </c>
      <c r="E326" s="49">
        <v>2</v>
      </c>
      <c r="F326" s="52" t="s">
        <v>22</v>
      </c>
      <c r="G326" s="53" t="s">
        <v>721</v>
      </c>
      <c r="H326" s="53" t="s">
        <v>24</v>
      </c>
      <c r="I326" s="53" t="s">
        <v>721</v>
      </c>
      <c r="J326" s="51">
        <v>44651</v>
      </c>
      <c r="K326" s="51">
        <v>44651</v>
      </c>
      <c r="L326" s="54">
        <f t="shared" si="8"/>
        <v>0</v>
      </c>
      <c r="M326" s="59" t="s">
        <v>3221</v>
      </c>
      <c r="N326" s="53" t="s">
        <v>26</v>
      </c>
      <c r="O326" s="53" t="s">
        <v>3222</v>
      </c>
      <c r="P326" s="53" t="s">
        <v>3223</v>
      </c>
      <c r="Q326" s="53" t="str">
        <f t="shared" si="9"/>
        <v>DENTRO DEL TIEMPO</v>
      </c>
      <c r="R326" s="56"/>
    </row>
    <row r="327" spans="1:18" ht="38.25" x14ac:dyDescent="0.25">
      <c r="A327" s="49">
        <v>321</v>
      </c>
      <c r="B327" s="50" t="s">
        <v>3224</v>
      </c>
      <c r="C327" s="51">
        <v>44648</v>
      </c>
      <c r="D327" s="51">
        <v>44648</v>
      </c>
      <c r="E327" s="49">
        <v>2</v>
      </c>
      <c r="F327" s="52" t="s">
        <v>22</v>
      </c>
      <c r="G327" s="53" t="s">
        <v>721</v>
      </c>
      <c r="H327" s="53" t="s">
        <v>24</v>
      </c>
      <c r="I327" s="53" t="s">
        <v>721</v>
      </c>
      <c r="J327" s="51">
        <v>44652</v>
      </c>
      <c r="K327" s="51">
        <v>44652</v>
      </c>
      <c r="L327" s="54">
        <f t="shared" si="8"/>
        <v>4</v>
      </c>
      <c r="M327" s="59" t="s">
        <v>3225</v>
      </c>
      <c r="N327" s="53" t="s">
        <v>26</v>
      </c>
      <c r="O327" s="53" t="s">
        <v>2327</v>
      </c>
      <c r="P327" s="53" t="s">
        <v>1731</v>
      </c>
      <c r="Q327" s="53" t="str">
        <f t="shared" si="9"/>
        <v>DENTRO DEL TIEMPO</v>
      </c>
      <c r="R327" s="56"/>
    </row>
    <row r="328" spans="1:18" ht="38.25" x14ac:dyDescent="0.25">
      <c r="A328" s="49">
        <v>322</v>
      </c>
      <c r="B328" s="50" t="s">
        <v>3226</v>
      </c>
      <c r="C328" s="51">
        <v>44648</v>
      </c>
      <c r="D328" s="51">
        <v>44648</v>
      </c>
      <c r="E328" s="49">
        <v>2</v>
      </c>
      <c r="F328" s="52" t="s">
        <v>22</v>
      </c>
      <c r="G328" s="53" t="s">
        <v>721</v>
      </c>
      <c r="H328" s="53" t="s">
        <v>24</v>
      </c>
      <c r="I328" s="53" t="s">
        <v>721</v>
      </c>
      <c r="J328" s="51">
        <v>44652</v>
      </c>
      <c r="K328" s="51">
        <v>44652</v>
      </c>
      <c r="L328" s="54">
        <f t="shared" ref="L328:L391" si="10">+NETWORKDAYS(D328,K328,$R$7:$R$10)-1</f>
        <v>4</v>
      </c>
      <c r="M328" s="59" t="s">
        <v>3225</v>
      </c>
      <c r="N328" s="53" t="s">
        <v>26</v>
      </c>
      <c r="O328" s="53" t="s">
        <v>3227</v>
      </c>
      <c r="P328" s="53" t="s">
        <v>2493</v>
      </c>
      <c r="Q328" s="53" t="str">
        <f t="shared" ref="Q328:Q391" si="11">IF(L328&gt;15,"FUERA DE TIEMPO","DENTRO DEL TIEMPO")</f>
        <v>DENTRO DEL TIEMPO</v>
      </c>
      <c r="R328" s="56"/>
    </row>
    <row r="329" spans="1:18" ht="38.25" x14ac:dyDescent="0.25">
      <c r="A329" s="49">
        <v>323</v>
      </c>
      <c r="B329" s="50" t="s">
        <v>3228</v>
      </c>
      <c r="C329" s="51">
        <v>44648</v>
      </c>
      <c r="D329" s="51">
        <v>44648</v>
      </c>
      <c r="E329" s="49">
        <v>2</v>
      </c>
      <c r="F329" s="52" t="s">
        <v>22</v>
      </c>
      <c r="G329" s="53" t="s">
        <v>721</v>
      </c>
      <c r="H329" s="53" t="s">
        <v>24</v>
      </c>
      <c r="I329" s="53" t="s">
        <v>721</v>
      </c>
      <c r="J329" s="51">
        <v>44652</v>
      </c>
      <c r="K329" s="51">
        <v>44652</v>
      </c>
      <c r="L329" s="54">
        <f t="shared" si="10"/>
        <v>4</v>
      </c>
      <c r="M329" s="59" t="s">
        <v>3225</v>
      </c>
      <c r="N329" s="53" t="s">
        <v>26</v>
      </c>
      <c r="O329" s="53" t="s">
        <v>2327</v>
      </c>
      <c r="P329" s="53" t="s">
        <v>3229</v>
      </c>
      <c r="Q329" s="53" t="str">
        <f t="shared" si="11"/>
        <v>DENTRO DEL TIEMPO</v>
      </c>
      <c r="R329" s="56"/>
    </row>
    <row r="330" spans="1:18" ht="38.25" x14ac:dyDescent="0.25">
      <c r="A330" s="49">
        <v>324</v>
      </c>
      <c r="B330" s="50" t="s">
        <v>3230</v>
      </c>
      <c r="C330" s="51">
        <v>44649</v>
      </c>
      <c r="D330" s="51">
        <v>44645</v>
      </c>
      <c r="E330" s="49">
        <v>2</v>
      </c>
      <c r="F330" s="52" t="s">
        <v>22</v>
      </c>
      <c r="G330" s="53" t="s">
        <v>721</v>
      </c>
      <c r="H330" s="53" t="s">
        <v>24</v>
      </c>
      <c r="I330" s="53" t="s">
        <v>721</v>
      </c>
      <c r="J330" s="51">
        <v>44652</v>
      </c>
      <c r="K330" s="51">
        <v>44652</v>
      </c>
      <c r="L330" s="54">
        <f t="shared" si="10"/>
        <v>5</v>
      </c>
      <c r="M330" s="59" t="s">
        <v>3231</v>
      </c>
      <c r="N330" s="53" t="s">
        <v>26</v>
      </c>
      <c r="O330" s="53" t="s">
        <v>3232</v>
      </c>
      <c r="P330" s="53" t="s">
        <v>3233</v>
      </c>
      <c r="Q330" s="53" t="str">
        <f t="shared" si="11"/>
        <v>DENTRO DEL TIEMPO</v>
      </c>
      <c r="R330" s="56"/>
    </row>
    <row r="331" spans="1:18" ht="51" x14ac:dyDescent="0.25">
      <c r="A331" s="49">
        <v>325</v>
      </c>
      <c r="B331" s="50" t="s">
        <v>3234</v>
      </c>
      <c r="C331" s="51">
        <v>44649</v>
      </c>
      <c r="D331" s="51">
        <v>44651</v>
      </c>
      <c r="E331" s="49">
        <v>2</v>
      </c>
      <c r="F331" s="52" t="s">
        <v>22</v>
      </c>
      <c r="G331" s="53" t="s">
        <v>1256</v>
      </c>
      <c r="H331" s="53" t="s">
        <v>24</v>
      </c>
      <c r="I331" s="53" t="s">
        <v>1256</v>
      </c>
      <c r="J331" s="51">
        <v>44651</v>
      </c>
      <c r="K331" s="51">
        <v>44651</v>
      </c>
      <c r="L331" s="54">
        <f t="shared" si="10"/>
        <v>0</v>
      </c>
      <c r="M331" s="59" t="s">
        <v>3235</v>
      </c>
      <c r="N331" s="53" t="s">
        <v>26</v>
      </c>
      <c r="O331" s="53" t="s">
        <v>3236</v>
      </c>
      <c r="P331" s="53" t="s">
        <v>3237</v>
      </c>
      <c r="Q331" s="53" t="str">
        <f t="shared" si="11"/>
        <v>DENTRO DEL TIEMPO</v>
      </c>
      <c r="R331" s="56"/>
    </row>
    <row r="332" spans="1:18" ht="38.25" x14ac:dyDescent="0.25">
      <c r="A332" s="49">
        <v>326</v>
      </c>
      <c r="B332" s="50" t="s">
        <v>3238</v>
      </c>
      <c r="C332" s="51">
        <v>44649</v>
      </c>
      <c r="D332" s="51">
        <v>44651</v>
      </c>
      <c r="E332" s="49">
        <v>2</v>
      </c>
      <c r="F332" s="52" t="s">
        <v>22</v>
      </c>
      <c r="G332" s="53" t="s">
        <v>721</v>
      </c>
      <c r="H332" s="53" t="s">
        <v>24</v>
      </c>
      <c r="I332" s="53" t="s">
        <v>721</v>
      </c>
      <c r="J332" s="51">
        <v>44652</v>
      </c>
      <c r="K332" s="51">
        <v>44652</v>
      </c>
      <c r="L332" s="54">
        <f t="shared" si="10"/>
        <v>1</v>
      </c>
      <c r="M332" s="59" t="s">
        <v>3239</v>
      </c>
      <c r="N332" s="53" t="s">
        <v>26</v>
      </c>
      <c r="O332" s="53" t="s">
        <v>3240</v>
      </c>
      <c r="P332" s="53" t="s">
        <v>2813</v>
      </c>
      <c r="Q332" s="53" t="str">
        <f t="shared" si="11"/>
        <v>DENTRO DEL TIEMPO</v>
      </c>
      <c r="R332" s="56"/>
    </row>
    <row r="333" spans="1:18" ht="38.25" x14ac:dyDescent="0.25">
      <c r="A333" s="49">
        <v>327</v>
      </c>
      <c r="B333" s="50" t="s">
        <v>3241</v>
      </c>
      <c r="C333" s="51">
        <v>44649</v>
      </c>
      <c r="D333" s="51">
        <v>44649</v>
      </c>
      <c r="E333" s="49">
        <v>2</v>
      </c>
      <c r="F333" s="52" t="s">
        <v>22</v>
      </c>
      <c r="G333" s="53" t="s">
        <v>721</v>
      </c>
      <c r="H333" s="53" t="s">
        <v>24</v>
      </c>
      <c r="I333" s="53" t="s">
        <v>721</v>
      </c>
      <c r="J333" s="51">
        <v>44652</v>
      </c>
      <c r="K333" s="51">
        <v>44652</v>
      </c>
      <c r="L333" s="54">
        <f t="shared" si="10"/>
        <v>3</v>
      </c>
      <c r="M333" s="59" t="s">
        <v>3242</v>
      </c>
      <c r="N333" s="53" t="s">
        <v>26</v>
      </c>
      <c r="O333" s="53" t="s">
        <v>2381</v>
      </c>
      <c r="P333" s="53" t="s">
        <v>1033</v>
      </c>
      <c r="Q333" s="53" t="str">
        <f t="shared" si="11"/>
        <v>DENTRO DEL TIEMPO</v>
      </c>
      <c r="R333" s="56"/>
    </row>
    <row r="334" spans="1:18" ht="51" x14ac:dyDescent="0.25">
      <c r="A334" s="49">
        <v>328</v>
      </c>
      <c r="B334" s="50" t="s">
        <v>3243</v>
      </c>
      <c r="C334" s="51">
        <v>44649</v>
      </c>
      <c r="D334" s="51">
        <v>44649</v>
      </c>
      <c r="E334" s="49">
        <v>2</v>
      </c>
      <c r="F334" s="52" t="s">
        <v>22</v>
      </c>
      <c r="G334" s="53" t="s">
        <v>721</v>
      </c>
      <c r="H334" s="53" t="s">
        <v>24</v>
      </c>
      <c r="I334" s="53" t="s">
        <v>721</v>
      </c>
      <c r="J334" s="51">
        <v>44652</v>
      </c>
      <c r="K334" s="51">
        <v>44652</v>
      </c>
      <c r="L334" s="54">
        <f t="shared" si="10"/>
        <v>3</v>
      </c>
      <c r="M334" s="59" t="s">
        <v>3244</v>
      </c>
      <c r="N334" s="53" t="s">
        <v>26</v>
      </c>
      <c r="O334" s="53" t="s">
        <v>3245</v>
      </c>
      <c r="P334" s="53" t="s">
        <v>3246</v>
      </c>
      <c r="Q334" s="53" t="str">
        <f t="shared" si="11"/>
        <v>DENTRO DEL TIEMPO</v>
      </c>
      <c r="R334" s="56"/>
    </row>
    <row r="335" spans="1:18" ht="51" x14ac:dyDescent="0.25">
      <c r="A335" s="49">
        <v>329</v>
      </c>
      <c r="B335" s="50" t="s">
        <v>3247</v>
      </c>
      <c r="C335" s="51">
        <v>44649</v>
      </c>
      <c r="D335" s="51">
        <v>44649</v>
      </c>
      <c r="E335" s="49">
        <v>2</v>
      </c>
      <c r="F335" s="52" t="s">
        <v>22</v>
      </c>
      <c r="G335" s="53" t="s">
        <v>721</v>
      </c>
      <c r="H335" s="53" t="s">
        <v>24</v>
      </c>
      <c r="I335" s="53" t="s">
        <v>721</v>
      </c>
      <c r="J335" s="51">
        <v>44652</v>
      </c>
      <c r="K335" s="51">
        <v>44652</v>
      </c>
      <c r="L335" s="54">
        <f t="shared" si="10"/>
        <v>3</v>
      </c>
      <c r="M335" s="59" t="s">
        <v>3248</v>
      </c>
      <c r="N335" s="53" t="s">
        <v>26</v>
      </c>
      <c r="O335" s="53" t="s">
        <v>3249</v>
      </c>
      <c r="P335" s="53" t="s">
        <v>2643</v>
      </c>
      <c r="Q335" s="53" t="str">
        <f t="shared" si="11"/>
        <v>DENTRO DEL TIEMPO</v>
      </c>
      <c r="R335" s="56"/>
    </row>
    <row r="336" spans="1:18" ht="51" x14ac:dyDescent="0.25">
      <c r="A336" s="49">
        <v>330</v>
      </c>
      <c r="B336" s="50" t="s">
        <v>3250</v>
      </c>
      <c r="C336" s="51">
        <v>44649</v>
      </c>
      <c r="D336" s="51">
        <v>44650</v>
      </c>
      <c r="E336" s="49">
        <v>150</v>
      </c>
      <c r="F336" s="52" t="s">
        <v>22</v>
      </c>
      <c r="G336" s="53" t="s">
        <v>1256</v>
      </c>
      <c r="H336" s="53" t="s">
        <v>24</v>
      </c>
      <c r="I336" s="53" t="s">
        <v>1256</v>
      </c>
      <c r="J336" s="51">
        <v>44650</v>
      </c>
      <c r="K336" s="51">
        <v>44650</v>
      </c>
      <c r="L336" s="54">
        <f t="shared" si="10"/>
        <v>0</v>
      </c>
      <c r="M336" s="59" t="s">
        <v>3251</v>
      </c>
      <c r="N336" s="53" t="s">
        <v>26</v>
      </c>
      <c r="O336" s="53" t="s">
        <v>3252</v>
      </c>
      <c r="P336" s="53" t="s">
        <v>2961</v>
      </c>
      <c r="Q336" s="53" t="str">
        <f t="shared" si="11"/>
        <v>DENTRO DEL TIEMPO</v>
      </c>
      <c r="R336" s="56"/>
    </row>
    <row r="337" spans="1:18" ht="51" x14ac:dyDescent="0.25">
      <c r="A337" s="49">
        <v>331</v>
      </c>
      <c r="B337" s="50" t="s">
        <v>3253</v>
      </c>
      <c r="C337" s="51">
        <v>44649</v>
      </c>
      <c r="D337" s="51">
        <v>44649</v>
      </c>
      <c r="E337" s="49">
        <v>2</v>
      </c>
      <c r="F337" s="52" t="s">
        <v>22</v>
      </c>
      <c r="G337" s="53" t="s">
        <v>721</v>
      </c>
      <c r="H337" s="53" t="s">
        <v>24</v>
      </c>
      <c r="I337" s="53" t="s">
        <v>721</v>
      </c>
      <c r="J337" s="51">
        <v>44652</v>
      </c>
      <c r="K337" s="51">
        <v>44652</v>
      </c>
      <c r="L337" s="54">
        <f t="shared" si="10"/>
        <v>3</v>
      </c>
      <c r="M337" s="59" t="s">
        <v>3254</v>
      </c>
      <c r="N337" s="53" t="s">
        <v>26</v>
      </c>
      <c r="O337" s="53" t="s">
        <v>2407</v>
      </c>
      <c r="P337" s="53" t="s">
        <v>3255</v>
      </c>
      <c r="Q337" s="53" t="str">
        <f t="shared" si="11"/>
        <v>DENTRO DEL TIEMPO</v>
      </c>
      <c r="R337" s="56"/>
    </row>
    <row r="338" spans="1:18" ht="51" x14ac:dyDescent="0.25">
      <c r="A338" s="49">
        <v>332</v>
      </c>
      <c r="B338" s="50" t="s">
        <v>3256</v>
      </c>
      <c r="C338" s="51">
        <v>44649</v>
      </c>
      <c r="D338" s="51">
        <v>44649</v>
      </c>
      <c r="E338" s="49">
        <v>2</v>
      </c>
      <c r="F338" s="52" t="s">
        <v>22</v>
      </c>
      <c r="G338" s="53" t="s">
        <v>721</v>
      </c>
      <c r="H338" s="53" t="s">
        <v>24</v>
      </c>
      <c r="I338" s="53" t="s">
        <v>721</v>
      </c>
      <c r="J338" s="51">
        <v>44655</v>
      </c>
      <c r="K338" s="51">
        <v>44655</v>
      </c>
      <c r="L338" s="54">
        <f t="shared" si="10"/>
        <v>4</v>
      </c>
      <c r="M338" s="59" t="s">
        <v>3257</v>
      </c>
      <c r="N338" s="53" t="s">
        <v>26</v>
      </c>
      <c r="O338" s="53" t="s">
        <v>3258</v>
      </c>
      <c r="P338" s="53" t="s">
        <v>3259</v>
      </c>
      <c r="Q338" s="53" t="str">
        <f t="shared" si="11"/>
        <v>DENTRO DEL TIEMPO</v>
      </c>
      <c r="R338" s="56"/>
    </row>
    <row r="339" spans="1:18" ht="38.25" x14ac:dyDescent="0.25">
      <c r="A339" s="49">
        <v>333</v>
      </c>
      <c r="B339" s="50" t="s">
        <v>3260</v>
      </c>
      <c r="C339" s="51">
        <v>44649</v>
      </c>
      <c r="D339" s="51">
        <v>44649</v>
      </c>
      <c r="E339" s="49">
        <v>2</v>
      </c>
      <c r="F339" s="52" t="s">
        <v>22</v>
      </c>
      <c r="G339" s="53" t="s">
        <v>721</v>
      </c>
      <c r="H339" s="53" t="s">
        <v>24</v>
      </c>
      <c r="I339" s="53" t="s">
        <v>721</v>
      </c>
      <c r="J339" s="51">
        <v>44655</v>
      </c>
      <c r="K339" s="51">
        <v>44655</v>
      </c>
      <c r="L339" s="54">
        <f t="shared" si="10"/>
        <v>4</v>
      </c>
      <c r="M339" s="59" t="s">
        <v>3261</v>
      </c>
      <c r="N339" s="53" t="s">
        <v>26</v>
      </c>
      <c r="O339" s="53" t="s">
        <v>3262</v>
      </c>
      <c r="P339" s="53" t="s">
        <v>3263</v>
      </c>
      <c r="Q339" s="53" t="str">
        <f t="shared" si="11"/>
        <v>DENTRO DEL TIEMPO</v>
      </c>
      <c r="R339" s="56"/>
    </row>
    <row r="340" spans="1:18" ht="51" x14ac:dyDescent="0.25">
      <c r="A340" s="49">
        <v>334</v>
      </c>
      <c r="B340" s="50" t="s">
        <v>3264</v>
      </c>
      <c r="C340" s="51">
        <v>44649</v>
      </c>
      <c r="D340" s="51">
        <v>44649</v>
      </c>
      <c r="E340" s="49">
        <v>2</v>
      </c>
      <c r="F340" s="52" t="s">
        <v>22</v>
      </c>
      <c r="G340" s="53" t="s">
        <v>721</v>
      </c>
      <c r="H340" s="53" t="s">
        <v>24</v>
      </c>
      <c r="I340" s="53" t="s">
        <v>721</v>
      </c>
      <c r="J340" s="51">
        <v>44655</v>
      </c>
      <c r="K340" s="51">
        <v>44655</v>
      </c>
      <c r="L340" s="54">
        <f t="shared" si="10"/>
        <v>4</v>
      </c>
      <c r="M340" s="59" t="s">
        <v>3265</v>
      </c>
      <c r="N340" s="53" t="s">
        <v>26</v>
      </c>
      <c r="O340" s="53" t="s">
        <v>3266</v>
      </c>
      <c r="P340" s="53" t="s">
        <v>3267</v>
      </c>
      <c r="Q340" s="53" t="str">
        <f t="shared" si="11"/>
        <v>DENTRO DEL TIEMPO</v>
      </c>
      <c r="R340" s="56"/>
    </row>
    <row r="341" spans="1:18" ht="51" x14ac:dyDescent="0.25">
      <c r="A341" s="49">
        <v>335</v>
      </c>
      <c r="B341" s="50" t="s">
        <v>3268</v>
      </c>
      <c r="C341" s="51">
        <v>44649</v>
      </c>
      <c r="D341" s="51">
        <v>44649</v>
      </c>
      <c r="E341" s="49">
        <v>2</v>
      </c>
      <c r="F341" s="52" t="s">
        <v>22</v>
      </c>
      <c r="G341" s="53" t="s">
        <v>721</v>
      </c>
      <c r="H341" s="53" t="s">
        <v>24</v>
      </c>
      <c r="I341" s="53" t="s">
        <v>721</v>
      </c>
      <c r="J341" s="51">
        <v>44655</v>
      </c>
      <c r="K341" s="51">
        <v>44655</v>
      </c>
      <c r="L341" s="54">
        <f t="shared" si="10"/>
        <v>4</v>
      </c>
      <c r="M341" s="59" t="s">
        <v>3269</v>
      </c>
      <c r="N341" s="53" t="s">
        <v>26</v>
      </c>
      <c r="O341" s="53" t="s">
        <v>3163</v>
      </c>
      <c r="P341" s="53" t="s">
        <v>2030</v>
      </c>
      <c r="Q341" s="53" t="str">
        <f t="shared" si="11"/>
        <v>DENTRO DEL TIEMPO</v>
      </c>
      <c r="R341" s="56"/>
    </row>
    <row r="342" spans="1:18" ht="51" x14ac:dyDescent="0.25">
      <c r="A342" s="49">
        <v>336</v>
      </c>
      <c r="B342" s="50" t="s">
        <v>3270</v>
      </c>
      <c r="C342" s="51">
        <v>44649</v>
      </c>
      <c r="D342" s="51">
        <v>44651</v>
      </c>
      <c r="E342" s="49">
        <v>2</v>
      </c>
      <c r="F342" s="52" t="s">
        <v>22</v>
      </c>
      <c r="G342" s="53" t="s">
        <v>721</v>
      </c>
      <c r="H342" s="53" t="s">
        <v>24</v>
      </c>
      <c r="I342" s="53" t="s">
        <v>721</v>
      </c>
      <c r="J342" s="51">
        <v>44651</v>
      </c>
      <c r="K342" s="51">
        <v>44651</v>
      </c>
      <c r="L342" s="54">
        <f t="shared" si="10"/>
        <v>0</v>
      </c>
      <c r="M342" s="59" t="s">
        <v>3271</v>
      </c>
      <c r="N342" s="53" t="s">
        <v>26</v>
      </c>
      <c r="O342" s="53" t="s">
        <v>3272</v>
      </c>
      <c r="P342" s="53" t="s">
        <v>2869</v>
      </c>
      <c r="Q342" s="53" t="str">
        <f t="shared" si="11"/>
        <v>DENTRO DEL TIEMPO</v>
      </c>
      <c r="R342" s="56"/>
    </row>
    <row r="343" spans="1:18" ht="38.25" x14ac:dyDescent="0.25">
      <c r="A343" s="49">
        <v>337</v>
      </c>
      <c r="B343" s="50" t="s">
        <v>3273</v>
      </c>
      <c r="C343" s="51">
        <v>44649</v>
      </c>
      <c r="D343" s="51">
        <v>44649</v>
      </c>
      <c r="E343" s="49">
        <v>2</v>
      </c>
      <c r="F343" s="52" t="s">
        <v>22</v>
      </c>
      <c r="G343" s="53" t="s">
        <v>721</v>
      </c>
      <c r="H343" s="53" t="s">
        <v>24</v>
      </c>
      <c r="I343" s="53" t="s">
        <v>721</v>
      </c>
      <c r="J343" s="51">
        <v>44655</v>
      </c>
      <c r="K343" s="51">
        <v>44655</v>
      </c>
      <c r="L343" s="54">
        <f t="shared" si="10"/>
        <v>4</v>
      </c>
      <c r="M343" s="59" t="s">
        <v>3274</v>
      </c>
      <c r="N343" s="53" t="s">
        <v>26</v>
      </c>
      <c r="O343" s="53" t="s">
        <v>3275</v>
      </c>
      <c r="P343" s="53" t="s">
        <v>1541</v>
      </c>
      <c r="Q343" s="53" t="str">
        <f t="shared" si="11"/>
        <v>DENTRO DEL TIEMPO</v>
      </c>
      <c r="R343" s="56"/>
    </row>
    <row r="344" spans="1:18" ht="51" hidden="1" x14ac:dyDescent="0.25">
      <c r="A344" s="49">
        <v>338</v>
      </c>
      <c r="B344" s="50" t="s">
        <v>3276</v>
      </c>
      <c r="C344" s="51">
        <v>44650</v>
      </c>
      <c r="D344" s="51">
        <v>44650</v>
      </c>
      <c r="E344" s="49">
        <v>2</v>
      </c>
      <c r="F344" s="52" t="s">
        <v>790</v>
      </c>
      <c r="G344" s="53" t="s">
        <v>3277</v>
      </c>
      <c r="H344" s="53" t="s">
        <v>3278</v>
      </c>
      <c r="I344" s="53" t="s">
        <v>3277</v>
      </c>
      <c r="J344" s="51"/>
      <c r="K344" s="51"/>
      <c r="L344" s="54">
        <f t="shared" si="10"/>
        <v>-31894</v>
      </c>
      <c r="N344" s="53" t="s">
        <v>26</v>
      </c>
      <c r="O344" s="53" t="s">
        <v>3279</v>
      </c>
      <c r="P344" s="53"/>
      <c r="Q344" s="53" t="str">
        <f t="shared" si="11"/>
        <v>DENTRO DEL TIEMPO</v>
      </c>
      <c r="R344" s="56"/>
    </row>
    <row r="345" spans="1:18" ht="51" x14ac:dyDescent="0.25">
      <c r="A345" s="49">
        <v>339</v>
      </c>
      <c r="B345" s="50" t="s">
        <v>3280</v>
      </c>
      <c r="C345" s="51">
        <v>44650</v>
      </c>
      <c r="D345" s="51">
        <v>44650</v>
      </c>
      <c r="E345" s="49">
        <v>2</v>
      </c>
      <c r="F345" s="52" t="s">
        <v>22</v>
      </c>
      <c r="G345" s="53" t="s">
        <v>721</v>
      </c>
      <c r="H345" s="53" t="s">
        <v>24</v>
      </c>
      <c r="I345" s="53" t="s">
        <v>721</v>
      </c>
      <c r="J345" s="51">
        <v>44655</v>
      </c>
      <c r="K345" s="51">
        <v>44655</v>
      </c>
      <c r="L345" s="54">
        <f t="shared" si="10"/>
        <v>3</v>
      </c>
      <c r="M345" s="59" t="s">
        <v>3281</v>
      </c>
      <c r="N345" s="53" t="s">
        <v>26</v>
      </c>
      <c r="O345" s="53" t="s">
        <v>2407</v>
      </c>
      <c r="P345" s="53" t="s">
        <v>3282</v>
      </c>
      <c r="Q345" s="53" t="str">
        <f t="shared" si="11"/>
        <v>DENTRO DEL TIEMPO</v>
      </c>
      <c r="R345" s="56"/>
    </row>
    <row r="346" spans="1:18" ht="38.25" x14ac:dyDescent="0.25">
      <c r="A346" s="49">
        <v>340</v>
      </c>
      <c r="B346" s="50" t="s">
        <v>3283</v>
      </c>
      <c r="C346" s="51">
        <v>44650</v>
      </c>
      <c r="D346" s="51">
        <v>44650</v>
      </c>
      <c r="E346" s="49">
        <v>2</v>
      </c>
      <c r="F346" s="52" t="s">
        <v>22</v>
      </c>
      <c r="G346" s="53" t="s">
        <v>721</v>
      </c>
      <c r="H346" s="53" t="s">
        <v>24</v>
      </c>
      <c r="I346" s="53" t="s">
        <v>721</v>
      </c>
      <c r="J346" s="51">
        <v>44655</v>
      </c>
      <c r="K346" s="51">
        <v>44655</v>
      </c>
      <c r="L346" s="54">
        <f t="shared" si="10"/>
        <v>3</v>
      </c>
      <c r="M346" s="59" t="s">
        <v>3284</v>
      </c>
      <c r="N346" s="53" t="s">
        <v>26</v>
      </c>
      <c r="O346" s="53" t="s">
        <v>2411</v>
      </c>
      <c r="P346" s="53" t="s">
        <v>3285</v>
      </c>
      <c r="Q346" s="53" t="str">
        <f t="shared" si="11"/>
        <v>DENTRO DEL TIEMPO</v>
      </c>
      <c r="R346" s="56"/>
    </row>
    <row r="347" spans="1:18" ht="51" x14ac:dyDescent="0.25">
      <c r="A347" s="49">
        <v>341</v>
      </c>
      <c r="B347" s="50" t="s">
        <v>3286</v>
      </c>
      <c r="C347" s="51">
        <v>44650</v>
      </c>
      <c r="D347" s="51">
        <v>44650</v>
      </c>
      <c r="E347" s="49">
        <v>2</v>
      </c>
      <c r="F347" s="52" t="s">
        <v>22</v>
      </c>
      <c r="G347" s="53" t="s">
        <v>721</v>
      </c>
      <c r="H347" s="53" t="s">
        <v>24</v>
      </c>
      <c r="I347" s="53" t="s">
        <v>721</v>
      </c>
      <c r="J347" s="51">
        <v>44655</v>
      </c>
      <c r="K347" s="51">
        <v>44655</v>
      </c>
      <c r="L347" s="54">
        <f t="shared" si="10"/>
        <v>3</v>
      </c>
      <c r="M347" s="59" t="s">
        <v>3287</v>
      </c>
      <c r="N347" s="53" t="s">
        <v>26</v>
      </c>
      <c r="O347" s="53" t="s">
        <v>2614</v>
      </c>
      <c r="P347" s="53" t="s">
        <v>2321</v>
      </c>
      <c r="Q347" s="53" t="str">
        <f t="shared" si="11"/>
        <v>DENTRO DEL TIEMPO</v>
      </c>
      <c r="R347" s="56"/>
    </row>
    <row r="348" spans="1:18" ht="51" x14ac:dyDescent="0.25">
      <c r="A348" s="49">
        <v>342</v>
      </c>
      <c r="B348" s="50" t="s">
        <v>3288</v>
      </c>
      <c r="C348" s="51">
        <v>44650</v>
      </c>
      <c r="D348" s="51">
        <v>44650</v>
      </c>
      <c r="E348" s="49">
        <v>2</v>
      </c>
      <c r="F348" s="52" t="s">
        <v>22</v>
      </c>
      <c r="G348" s="53" t="s">
        <v>721</v>
      </c>
      <c r="H348" s="53" t="s">
        <v>24</v>
      </c>
      <c r="I348" s="53" t="s">
        <v>721</v>
      </c>
      <c r="J348" s="51">
        <v>44655</v>
      </c>
      <c r="K348" s="51">
        <v>44655</v>
      </c>
      <c r="L348" s="54">
        <f t="shared" si="10"/>
        <v>3</v>
      </c>
      <c r="M348" s="59" t="s">
        <v>3289</v>
      </c>
      <c r="N348" s="53" t="s">
        <v>26</v>
      </c>
      <c r="O348" s="53" t="s">
        <v>2434</v>
      </c>
      <c r="P348" s="53" t="s">
        <v>3290</v>
      </c>
      <c r="Q348" s="53" t="str">
        <f t="shared" si="11"/>
        <v>DENTRO DEL TIEMPO</v>
      </c>
      <c r="R348" s="56"/>
    </row>
    <row r="349" spans="1:18" ht="51" x14ac:dyDescent="0.25">
      <c r="A349" s="49">
        <v>343</v>
      </c>
      <c r="B349" s="50" t="s">
        <v>3291</v>
      </c>
      <c r="C349" s="51">
        <v>44650</v>
      </c>
      <c r="D349" s="51">
        <v>44650</v>
      </c>
      <c r="E349" s="49">
        <v>2</v>
      </c>
      <c r="F349" s="52" t="s">
        <v>22</v>
      </c>
      <c r="G349" s="53" t="s">
        <v>721</v>
      </c>
      <c r="H349" s="53" t="s">
        <v>24</v>
      </c>
      <c r="I349" s="53" t="s">
        <v>721</v>
      </c>
      <c r="J349" s="51">
        <v>44655</v>
      </c>
      <c r="K349" s="51">
        <v>44655</v>
      </c>
      <c r="L349" s="54">
        <f t="shared" si="10"/>
        <v>3</v>
      </c>
      <c r="M349" s="59" t="s">
        <v>3292</v>
      </c>
      <c r="N349" s="53" t="s">
        <v>26</v>
      </c>
      <c r="O349" s="53" t="s">
        <v>2434</v>
      </c>
      <c r="P349" s="53" t="s">
        <v>1551</v>
      </c>
      <c r="Q349" s="53" t="str">
        <f t="shared" si="11"/>
        <v>DENTRO DEL TIEMPO</v>
      </c>
      <c r="R349" s="56"/>
    </row>
    <row r="350" spans="1:18" ht="51" x14ac:dyDescent="0.25">
      <c r="A350" s="49">
        <v>344</v>
      </c>
      <c r="B350" s="50" t="s">
        <v>3293</v>
      </c>
      <c r="C350" s="51">
        <v>44650</v>
      </c>
      <c r="D350" s="51">
        <v>44650</v>
      </c>
      <c r="E350" s="49">
        <v>2</v>
      </c>
      <c r="F350" s="52" t="s">
        <v>22</v>
      </c>
      <c r="G350" s="53" t="s">
        <v>721</v>
      </c>
      <c r="H350" s="53" t="s">
        <v>24</v>
      </c>
      <c r="I350" s="53" t="s">
        <v>721</v>
      </c>
      <c r="J350" s="51">
        <v>44655</v>
      </c>
      <c r="K350" s="51">
        <v>44655</v>
      </c>
      <c r="L350" s="54">
        <f t="shared" si="10"/>
        <v>3</v>
      </c>
      <c r="M350" s="59" t="s">
        <v>3294</v>
      </c>
      <c r="N350" s="53" t="s">
        <v>26</v>
      </c>
      <c r="O350" s="53" t="s">
        <v>2434</v>
      </c>
      <c r="P350" s="53" t="s">
        <v>1551</v>
      </c>
      <c r="Q350" s="53" t="str">
        <f t="shared" si="11"/>
        <v>DENTRO DEL TIEMPO</v>
      </c>
      <c r="R350" s="56"/>
    </row>
    <row r="351" spans="1:18" ht="38.25" x14ac:dyDescent="0.25">
      <c r="A351" s="49">
        <v>345</v>
      </c>
      <c r="B351" s="50" t="s">
        <v>3295</v>
      </c>
      <c r="C351" s="51">
        <v>44650</v>
      </c>
      <c r="D351" s="51">
        <v>44650</v>
      </c>
      <c r="E351" s="49">
        <v>2</v>
      </c>
      <c r="F351" s="52" t="s">
        <v>22</v>
      </c>
      <c r="G351" s="53" t="s">
        <v>721</v>
      </c>
      <c r="H351" s="53" t="s">
        <v>24</v>
      </c>
      <c r="I351" s="53" t="s">
        <v>721</v>
      </c>
      <c r="J351" s="51">
        <v>44655</v>
      </c>
      <c r="K351" s="51">
        <v>44655</v>
      </c>
      <c r="L351" s="54">
        <f t="shared" si="10"/>
        <v>3</v>
      </c>
      <c r="M351" s="59" t="s">
        <v>3296</v>
      </c>
      <c r="N351" s="53" t="s">
        <v>26</v>
      </c>
      <c r="O351" s="53" t="s">
        <v>2544</v>
      </c>
      <c r="P351" s="53" t="s">
        <v>1551</v>
      </c>
      <c r="Q351" s="53" t="str">
        <f t="shared" si="11"/>
        <v>DENTRO DEL TIEMPO</v>
      </c>
      <c r="R351" s="56"/>
    </row>
    <row r="352" spans="1:18" ht="38.25" x14ac:dyDescent="0.25">
      <c r="A352" s="49">
        <v>346</v>
      </c>
      <c r="B352" s="50" t="s">
        <v>3297</v>
      </c>
      <c r="C352" s="51">
        <v>44650</v>
      </c>
      <c r="D352" s="51">
        <v>44650</v>
      </c>
      <c r="E352" s="49">
        <v>2</v>
      </c>
      <c r="F352" s="52" t="s">
        <v>22</v>
      </c>
      <c r="G352" s="53" t="s">
        <v>721</v>
      </c>
      <c r="H352" s="53" t="s">
        <v>24</v>
      </c>
      <c r="I352" s="53" t="s">
        <v>721</v>
      </c>
      <c r="J352" s="51">
        <v>44655</v>
      </c>
      <c r="K352" s="51">
        <v>44655</v>
      </c>
      <c r="L352" s="54">
        <f t="shared" si="10"/>
        <v>3</v>
      </c>
      <c r="M352" s="59" t="s">
        <v>3298</v>
      </c>
      <c r="N352" s="53" t="s">
        <v>26</v>
      </c>
      <c r="O352" s="53" t="s">
        <v>3299</v>
      </c>
      <c r="P352" s="53" t="s">
        <v>3300</v>
      </c>
      <c r="Q352" s="53" t="str">
        <f t="shared" si="11"/>
        <v>DENTRO DEL TIEMPO</v>
      </c>
      <c r="R352" s="56"/>
    </row>
    <row r="353" spans="1:18" ht="38.25" x14ac:dyDescent="0.25">
      <c r="A353" s="49">
        <v>347</v>
      </c>
      <c r="B353" s="50" t="s">
        <v>3301</v>
      </c>
      <c r="C353" s="51">
        <v>44650</v>
      </c>
      <c r="D353" s="51">
        <v>44650</v>
      </c>
      <c r="E353" s="49">
        <v>2</v>
      </c>
      <c r="F353" s="52" t="s">
        <v>22</v>
      </c>
      <c r="G353" s="53" t="s">
        <v>721</v>
      </c>
      <c r="H353" s="53" t="s">
        <v>24</v>
      </c>
      <c r="I353" s="53" t="s">
        <v>721</v>
      </c>
      <c r="J353" s="51">
        <v>44655</v>
      </c>
      <c r="K353" s="51">
        <v>44655</v>
      </c>
      <c r="L353" s="54">
        <f t="shared" si="10"/>
        <v>3</v>
      </c>
      <c r="M353" s="59" t="s">
        <v>3302</v>
      </c>
      <c r="N353" s="53" t="s">
        <v>26</v>
      </c>
      <c r="O353" s="53" t="s">
        <v>3303</v>
      </c>
      <c r="P353" s="53" t="s">
        <v>3304</v>
      </c>
      <c r="Q353" s="53" t="str">
        <f t="shared" si="11"/>
        <v>DENTRO DEL TIEMPO</v>
      </c>
      <c r="R353" s="56"/>
    </row>
    <row r="354" spans="1:18" ht="38.25" x14ac:dyDescent="0.25">
      <c r="A354" s="49">
        <v>348</v>
      </c>
      <c r="B354" s="50" t="s">
        <v>3305</v>
      </c>
      <c r="C354" s="51">
        <v>44650</v>
      </c>
      <c r="D354" s="51">
        <v>44650</v>
      </c>
      <c r="E354" s="49">
        <v>2</v>
      </c>
      <c r="F354" s="52" t="s">
        <v>22</v>
      </c>
      <c r="G354" s="53" t="s">
        <v>721</v>
      </c>
      <c r="H354" s="53" t="s">
        <v>24</v>
      </c>
      <c r="I354" s="53" t="s">
        <v>721</v>
      </c>
      <c r="J354" s="51">
        <v>44655</v>
      </c>
      <c r="K354" s="51">
        <v>44655</v>
      </c>
      <c r="L354" s="54">
        <f t="shared" si="10"/>
        <v>3</v>
      </c>
      <c r="M354" s="59" t="s">
        <v>3306</v>
      </c>
      <c r="N354" s="53" t="s">
        <v>26</v>
      </c>
      <c r="O354" s="53" t="s">
        <v>2483</v>
      </c>
      <c r="P354" s="53" t="s">
        <v>1784</v>
      </c>
      <c r="Q354" s="53" t="str">
        <f t="shared" si="11"/>
        <v>DENTRO DEL TIEMPO</v>
      </c>
      <c r="R354" s="56"/>
    </row>
    <row r="355" spans="1:18" ht="38.25" x14ac:dyDescent="0.25">
      <c r="A355" s="49">
        <v>349</v>
      </c>
      <c r="B355" s="50" t="s">
        <v>3307</v>
      </c>
      <c r="C355" s="51">
        <v>44650</v>
      </c>
      <c r="D355" s="51">
        <v>44650</v>
      </c>
      <c r="E355" s="49">
        <v>2</v>
      </c>
      <c r="F355" s="52" t="s">
        <v>22</v>
      </c>
      <c r="G355" s="53" t="s">
        <v>721</v>
      </c>
      <c r="H355" s="53" t="s">
        <v>24</v>
      </c>
      <c r="I355" s="53" t="s">
        <v>721</v>
      </c>
      <c r="J355" s="51">
        <v>44655</v>
      </c>
      <c r="K355" s="51">
        <v>44655</v>
      </c>
      <c r="L355" s="54">
        <f t="shared" si="10"/>
        <v>3</v>
      </c>
      <c r="M355" s="59" t="s">
        <v>3308</v>
      </c>
      <c r="N355" s="53" t="s">
        <v>26</v>
      </c>
      <c r="O355" s="53" t="s">
        <v>3309</v>
      </c>
      <c r="P355" s="53" t="s">
        <v>3310</v>
      </c>
      <c r="Q355" s="53" t="str">
        <f t="shared" si="11"/>
        <v>DENTRO DEL TIEMPO</v>
      </c>
      <c r="R355" s="56"/>
    </row>
    <row r="356" spans="1:18" ht="38.25" x14ac:dyDescent="0.25">
      <c r="A356" s="49">
        <v>350</v>
      </c>
      <c r="B356" s="50" t="s">
        <v>3311</v>
      </c>
      <c r="C356" s="51">
        <v>44650</v>
      </c>
      <c r="D356" s="51">
        <v>44650</v>
      </c>
      <c r="E356" s="49">
        <v>2</v>
      </c>
      <c r="F356" s="52" t="s">
        <v>22</v>
      </c>
      <c r="G356" s="53" t="s">
        <v>721</v>
      </c>
      <c r="H356" s="53" t="s">
        <v>24</v>
      </c>
      <c r="I356" s="53" t="s">
        <v>721</v>
      </c>
      <c r="J356" s="51">
        <v>44651</v>
      </c>
      <c r="K356" s="51">
        <v>44651</v>
      </c>
      <c r="L356" s="54">
        <f t="shared" si="10"/>
        <v>1</v>
      </c>
      <c r="M356" s="59" t="s">
        <v>3312</v>
      </c>
      <c r="N356" s="53" t="s">
        <v>26</v>
      </c>
      <c r="O356" s="53" t="s">
        <v>3313</v>
      </c>
      <c r="P356" s="53" t="s">
        <v>3314</v>
      </c>
      <c r="Q356" s="53" t="str">
        <f t="shared" si="11"/>
        <v>DENTRO DEL TIEMPO</v>
      </c>
      <c r="R356" s="56"/>
    </row>
    <row r="357" spans="1:18" ht="38.25" x14ac:dyDescent="0.25">
      <c r="A357" s="49">
        <v>351</v>
      </c>
      <c r="B357" s="50" t="s">
        <v>3315</v>
      </c>
      <c r="C357" s="51">
        <v>44650</v>
      </c>
      <c r="D357" s="51">
        <v>44650</v>
      </c>
      <c r="E357" s="49">
        <v>2</v>
      </c>
      <c r="F357" s="52" t="s">
        <v>22</v>
      </c>
      <c r="G357" s="53" t="s">
        <v>721</v>
      </c>
      <c r="H357" s="53" t="s">
        <v>24</v>
      </c>
      <c r="I357" s="53" t="s">
        <v>721</v>
      </c>
      <c r="J357" s="51">
        <v>44655</v>
      </c>
      <c r="K357" s="51">
        <v>44655</v>
      </c>
      <c r="L357" s="54">
        <f t="shared" si="10"/>
        <v>3</v>
      </c>
      <c r="M357" s="59" t="s">
        <v>3316</v>
      </c>
      <c r="N357" s="53" t="s">
        <v>26</v>
      </c>
      <c r="O357" s="53" t="s">
        <v>3317</v>
      </c>
      <c r="P357" s="53" t="s">
        <v>2797</v>
      </c>
      <c r="Q357" s="53" t="str">
        <f t="shared" si="11"/>
        <v>DENTRO DEL TIEMPO</v>
      </c>
      <c r="R357" s="56"/>
    </row>
    <row r="358" spans="1:18" ht="51" x14ac:dyDescent="0.25">
      <c r="A358" s="49">
        <v>352</v>
      </c>
      <c r="B358" s="50" t="s">
        <v>3318</v>
      </c>
      <c r="C358" s="51">
        <v>44651</v>
      </c>
      <c r="D358" s="51">
        <v>44651</v>
      </c>
      <c r="E358" s="49">
        <v>2</v>
      </c>
      <c r="F358" s="52" t="s">
        <v>22</v>
      </c>
      <c r="G358" s="53" t="s">
        <v>721</v>
      </c>
      <c r="H358" s="53" t="s">
        <v>24</v>
      </c>
      <c r="I358" s="53" t="s">
        <v>721</v>
      </c>
      <c r="J358" s="51">
        <v>44656</v>
      </c>
      <c r="K358" s="51">
        <v>44656</v>
      </c>
      <c r="L358" s="54">
        <f t="shared" si="10"/>
        <v>3</v>
      </c>
      <c r="M358" s="59" t="s">
        <v>3319</v>
      </c>
      <c r="N358" s="53" t="s">
        <v>26</v>
      </c>
      <c r="O358" s="53" t="s">
        <v>3320</v>
      </c>
      <c r="P358" s="53" t="s">
        <v>3321</v>
      </c>
      <c r="Q358" s="53" t="str">
        <f t="shared" si="11"/>
        <v>DENTRO DEL TIEMPO</v>
      </c>
      <c r="R358" s="56"/>
    </row>
    <row r="359" spans="1:18" ht="51" x14ac:dyDescent="0.25">
      <c r="A359" s="49">
        <v>353</v>
      </c>
      <c r="B359" s="50" t="s">
        <v>3322</v>
      </c>
      <c r="C359" s="51">
        <v>44651</v>
      </c>
      <c r="D359" s="51">
        <v>44651</v>
      </c>
      <c r="E359" s="49">
        <v>2</v>
      </c>
      <c r="F359" s="52" t="s">
        <v>22</v>
      </c>
      <c r="G359" s="53" t="s">
        <v>721</v>
      </c>
      <c r="H359" s="53" t="s">
        <v>24</v>
      </c>
      <c r="I359" s="53" t="s">
        <v>721</v>
      </c>
      <c r="J359" s="51">
        <v>44658</v>
      </c>
      <c r="K359" s="51">
        <v>44658</v>
      </c>
      <c r="L359" s="54">
        <f t="shared" si="10"/>
        <v>5</v>
      </c>
      <c r="M359" s="59" t="s">
        <v>3323</v>
      </c>
      <c r="N359" s="53" t="s">
        <v>26</v>
      </c>
      <c r="O359" s="53" t="s">
        <v>3324</v>
      </c>
      <c r="P359" s="53" t="s">
        <v>1354</v>
      </c>
      <c r="Q359" s="53" t="str">
        <f t="shared" si="11"/>
        <v>DENTRO DEL TIEMPO</v>
      </c>
      <c r="R359" s="56"/>
    </row>
    <row r="360" spans="1:18" ht="51" x14ac:dyDescent="0.25">
      <c r="A360" s="49">
        <v>354</v>
      </c>
      <c r="B360" s="50" t="s">
        <v>3325</v>
      </c>
      <c r="C360" s="51">
        <v>44651</v>
      </c>
      <c r="D360" s="51">
        <v>44651</v>
      </c>
      <c r="E360" s="49">
        <v>2</v>
      </c>
      <c r="F360" s="52" t="s">
        <v>22</v>
      </c>
      <c r="G360" s="53" t="s">
        <v>721</v>
      </c>
      <c r="H360" s="53" t="s">
        <v>24</v>
      </c>
      <c r="I360" s="53" t="s">
        <v>721</v>
      </c>
      <c r="J360" s="51">
        <v>44656</v>
      </c>
      <c r="K360" s="51">
        <v>44656</v>
      </c>
      <c r="L360" s="54">
        <f t="shared" si="10"/>
        <v>3</v>
      </c>
      <c r="M360" s="59" t="s">
        <v>3326</v>
      </c>
      <c r="N360" s="53" t="s">
        <v>26</v>
      </c>
      <c r="O360" s="53" t="s">
        <v>3159</v>
      </c>
      <c r="P360" s="53" t="s">
        <v>3160</v>
      </c>
      <c r="Q360" s="53" t="str">
        <f t="shared" si="11"/>
        <v>DENTRO DEL TIEMPO</v>
      </c>
      <c r="R360" s="56"/>
    </row>
    <row r="361" spans="1:18" ht="38.25" x14ac:dyDescent="0.25">
      <c r="A361" s="49">
        <v>355</v>
      </c>
      <c r="B361" s="50" t="s">
        <v>3327</v>
      </c>
      <c r="C361" s="51">
        <v>44651</v>
      </c>
      <c r="D361" s="51">
        <v>44651</v>
      </c>
      <c r="E361" s="49">
        <v>2</v>
      </c>
      <c r="F361" s="52" t="s">
        <v>22</v>
      </c>
      <c r="G361" s="53" t="s">
        <v>721</v>
      </c>
      <c r="H361" s="53" t="s">
        <v>24</v>
      </c>
      <c r="I361" s="53" t="s">
        <v>721</v>
      </c>
      <c r="J361" s="51">
        <v>44656</v>
      </c>
      <c r="K361" s="51">
        <v>44656</v>
      </c>
      <c r="L361" s="54">
        <f t="shared" si="10"/>
        <v>3</v>
      </c>
      <c r="M361" s="59" t="s">
        <v>3328</v>
      </c>
      <c r="N361" s="53" t="s">
        <v>26</v>
      </c>
      <c r="O361" s="53" t="s">
        <v>3329</v>
      </c>
      <c r="P361" s="53" t="s">
        <v>3330</v>
      </c>
      <c r="Q361" s="53" t="str">
        <f t="shared" si="11"/>
        <v>DENTRO DEL TIEMPO</v>
      </c>
      <c r="R361" s="56"/>
    </row>
    <row r="362" spans="1:18" ht="38.25" x14ac:dyDescent="0.25">
      <c r="A362" s="49">
        <v>356</v>
      </c>
      <c r="B362" s="50" t="s">
        <v>3331</v>
      </c>
      <c r="C362" s="51">
        <v>44651</v>
      </c>
      <c r="D362" s="51">
        <v>44651</v>
      </c>
      <c r="E362" s="49">
        <v>2</v>
      </c>
      <c r="F362" s="52" t="s">
        <v>22</v>
      </c>
      <c r="G362" s="53" t="s">
        <v>721</v>
      </c>
      <c r="H362" s="53" t="s">
        <v>24</v>
      </c>
      <c r="I362" s="53" t="s">
        <v>721</v>
      </c>
      <c r="J362" s="51">
        <v>44656</v>
      </c>
      <c r="K362" s="51">
        <v>44656</v>
      </c>
      <c r="L362" s="54">
        <f t="shared" si="10"/>
        <v>3</v>
      </c>
      <c r="M362" s="59" t="s">
        <v>3332</v>
      </c>
      <c r="N362" s="53" t="s">
        <v>26</v>
      </c>
      <c r="O362" s="53" t="s">
        <v>2557</v>
      </c>
      <c r="P362" s="53" t="s">
        <v>3333</v>
      </c>
      <c r="Q362" s="53" t="str">
        <f t="shared" si="11"/>
        <v>DENTRO DEL TIEMPO</v>
      </c>
      <c r="R362" s="56"/>
    </row>
    <row r="363" spans="1:18" ht="51" x14ac:dyDescent="0.25">
      <c r="A363" s="49">
        <v>357</v>
      </c>
      <c r="B363" s="50" t="s">
        <v>3334</v>
      </c>
      <c r="C363" s="51">
        <v>44651</v>
      </c>
      <c r="D363" s="51">
        <v>44651</v>
      </c>
      <c r="E363" s="49">
        <v>2</v>
      </c>
      <c r="F363" s="52" t="s">
        <v>22</v>
      </c>
      <c r="G363" s="53" t="s">
        <v>721</v>
      </c>
      <c r="H363" s="53" t="s">
        <v>24</v>
      </c>
      <c r="I363" s="53" t="s">
        <v>721</v>
      </c>
      <c r="J363" s="51">
        <v>44656</v>
      </c>
      <c r="K363" s="51">
        <v>44656</v>
      </c>
      <c r="L363" s="54">
        <f t="shared" si="10"/>
        <v>3</v>
      </c>
      <c r="M363" s="59" t="s">
        <v>3335</v>
      </c>
      <c r="N363" s="53" t="s">
        <v>26</v>
      </c>
      <c r="O363" s="53" t="s">
        <v>3134</v>
      </c>
      <c r="P363" s="53" t="s">
        <v>3333</v>
      </c>
      <c r="Q363" s="53" t="str">
        <f t="shared" si="11"/>
        <v>DENTRO DEL TIEMPO</v>
      </c>
      <c r="R363" s="56"/>
    </row>
    <row r="364" spans="1:18" ht="38.25" x14ac:dyDescent="0.25">
      <c r="A364" s="49">
        <v>358</v>
      </c>
      <c r="B364" s="50" t="s">
        <v>3336</v>
      </c>
      <c r="C364" s="51">
        <v>44651</v>
      </c>
      <c r="D364" s="51">
        <v>44651</v>
      </c>
      <c r="E364" s="49">
        <v>2</v>
      </c>
      <c r="F364" s="52" t="s">
        <v>22</v>
      </c>
      <c r="G364" s="53" t="s">
        <v>721</v>
      </c>
      <c r="H364" s="53" t="s">
        <v>24</v>
      </c>
      <c r="I364" s="53" t="s">
        <v>721</v>
      </c>
      <c r="J364" s="51">
        <v>44658</v>
      </c>
      <c r="K364" s="51">
        <v>44658</v>
      </c>
      <c r="L364" s="54">
        <f t="shared" si="10"/>
        <v>5</v>
      </c>
      <c r="M364" s="59" t="s">
        <v>3337</v>
      </c>
      <c r="N364" s="53" t="s">
        <v>26</v>
      </c>
      <c r="O364" s="53" t="s">
        <v>3275</v>
      </c>
      <c r="P364" s="53" t="s">
        <v>3338</v>
      </c>
      <c r="Q364" s="53" t="str">
        <f t="shared" si="11"/>
        <v>DENTRO DEL TIEMPO</v>
      </c>
      <c r="R364" s="56"/>
    </row>
    <row r="365" spans="1:18" ht="38.25" x14ac:dyDescent="0.25">
      <c r="A365" s="49">
        <v>359</v>
      </c>
      <c r="B365" s="50" t="s">
        <v>3339</v>
      </c>
      <c r="C365" s="51">
        <v>44651</v>
      </c>
      <c r="D365" s="51">
        <v>44651</v>
      </c>
      <c r="E365" s="49">
        <v>2</v>
      </c>
      <c r="F365" s="52" t="s">
        <v>22</v>
      </c>
      <c r="G365" s="53" t="s">
        <v>721</v>
      </c>
      <c r="H365" s="53" t="s">
        <v>24</v>
      </c>
      <c r="I365" s="53" t="s">
        <v>721</v>
      </c>
      <c r="J365" s="51">
        <v>44656</v>
      </c>
      <c r="K365" s="51">
        <v>44656</v>
      </c>
      <c r="L365" s="54">
        <f t="shared" si="10"/>
        <v>3</v>
      </c>
      <c r="M365" s="59" t="s">
        <v>3340</v>
      </c>
      <c r="N365" s="53" t="s">
        <v>26</v>
      </c>
      <c r="O365" s="53" t="s">
        <v>3341</v>
      </c>
      <c r="P365" s="53" t="s">
        <v>3342</v>
      </c>
      <c r="Q365" s="53" t="str">
        <f t="shared" si="11"/>
        <v>DENTRO DEL TIEMPO</v>
      </c>
      <c r="R365" s="56"/>
    </row>
    <row r="366" spans="1:18" ht="51" x14ac:dyDescent="0.25">
      <c r="A366" s="49">
        <v>360</v>
      </c>
      <c r="B366" s="50" t="s">
        <v>3343</v>
      </c>
      <c r="C366" s="51">
        <v>44651</v>
      </c>
      <c r="D366" s="51">
        <v>44651</v>
      </c>
      <c r="E366" s="49">
        <v>2</v>
      </c>
      <c r="F366" s="52" t="s">
        <v>22</v>
      </c>
      <c r="G366" s="53" t="s">
        <v>1256</v>
      </c>
      <c r="H366" s="53" t="s">
        <v>24</v>
      </c>
      <c r="I366" s="53" t="s">
        <v>1256</v>
      </c>
      <c r="J366" s="51">
        <v>44651</v>
      </c>
      <c r="K366" s="51">
        <v>44651</v>
      </c>
      <c r="L366" s="54">
        <f t="shared" si="10"/>
        <v>0</v>
      </c>
      <c r="M366" s="59" t="s">
        <v>3344</v>
      </c>
      <c r="N366" s="53" t="s">
        <v>26</v>
      </c>
      <c r="O366" s="53" t="s">
        <v>2286</v>
      </c>
      <c r="P366" s="53" t="s">
        <v>2287</v>
      </c>
      <c r="Q366" s="53" t="str">
        <f t="shared" si="11"/>
        <v>DENTRO DEL TIEMPO</v>
      </c>
      <c r="R366" s="56"/>
    </row>
    <row r="367" spans="1:18" ht="51" x14ac:dyDescent="0.25">
      <c r="A367" s="49">
        <v>361</v>
      </c>
      <c r="B367" s="50" t="s">
        <v>3345</v>
      </c>
      <c r="C367" s="51">
        <v>44651</v>
      </c>
      <c r="D367" s="51">
        <v>44651</v>
      </c>
      <c r="E367" s="49">
        <v>33</v>
      </c>
      <c r="F367" s="52" t="s">
        <v>22</v>
      </c>
      <c r="G367" s="53" t="s">
        <v>1256</v>
      </c>
      <c r="H367" s="53" t="s">
        <v>24</v>
      </c>
      <c r="I367" s="53" t="s">
        <v>1256</v>
      </c>
      <c r="J367" s="51">
        <v>44651</v>
      </c>
      <c r="K367" s="51">
        <v>44651</v>
      </c>
      <c r="L367" s="54">
        <f t="shared" si="10"/>
        <v>0</v>
      </c>
      <c r="M367" s="59" t="s">
        <v>3346</v>
      </c>
      <c r="N367" s="53" t="s">
        <v>26</v>
      </c>
      <c r="O367" s="53" t="s">
        <v>2282</v>
      </c>
      <c r="P367" s="53" t="s">
        <v>3347</v>
      </c>
      <c r="Q367" s="53" t="str">
        <f t="shared" si="11"/>
        <v>DENTRO DEL TIEMPO</v>
      </c>
      <c r="R367" s="56"/>
    </row>
    <row r="368" spans="1:18" ht="51" x14ac:dyDescent="0.25">
      <c r="A368" s="49">
        <v>362</v>
      </c>
      <c r="B368" s="50" t="s">
        <v>3348</v>
      </c>
      <c r="C368" s="51">
        <v>44651</v>
      </c>
      <c r="D368" s="51">
        <v>44651</v>
      </c>
      <c r="E368" s="49">
        <v>2</v>
      </c>
      <c r="F368" s="52" t="s">
        <v>22</v>
      </c>
      <c r="G368" s="53" t="s">
        <v>721</v>
      </c>
      <c r="H368" s="53" t="s">
        <v>24</v>
      </c>
      <c r="I368" s="53" t="s">
        <v>721</v>
      </c>
      <c r="J368" s="51">
        <v>44656</v>
      </c>
      <c r="K368" s="51">
        <v>44656</v>
      </c>
      <c r="L368" s="54">
        <f t="shared" si="10"/>
        <v>3</v>
      </c>
      <c r="M368" s="59" t="s">
        <v>3349</v>
      </c>
      <c r="N368" s="53" t="s">
        <v>26</v>
      </c>
      <c r="O368" s="53" t="s">
        <v>3350</v>
      </c>
      <c r="P368" s="53" t="s">
        <v>1585</v>
      </c>
      <c r="Q368" s="53" t="str">
        <f t="shared" si="11"/>
        <v>DENTRO DEL TIEMPO</v>
      </c>
      <c r="R368" s="56"/>
    </row>
    <row r="369" spans="1:18" ht="51" x14ac:dyDescent="0.25">
      <c r="A369" s="49">
        <v>363</v>
      </c>
      <c r="B369" s="50" t="s">
        <v>3351</v>
      </c>
      <c r="C369" s="51">
        <v>44651</v>
      </c>
      <c r="D369" s="51">
        <v>44651</v>
      </c>
      <c r="E369" s="49">
        <v>2</v>
      </c>
      <c r="F369" s="52" t="s">
        <v>22</v>
      </c>
      <c r="G369" s="53" t="s">
        <v>721</v>
      </c>
      <c r="H369" s="53" t="s">
        <v>24</v>
      </c>
      <c r="I369" s="53" t="s">
        <v>721</v>
      </c>
      <c r="J369" s="51">
        <v>44656</v>
      </c>
      <c r="K369" s="51">
        <v>44656</v>
      </c>
      <c r="L369" s="54">
        <f t="shared" si="10"/>
        <v>3</v>
      </c>
      <c r="M369" s="59" t="s">
        <v>3352</v>
      </c>
      <c r="N369" s="53" t="s">
        <v>26</v>
      </c>
      <c r="O369" s="53" t="s">
        <v>3350</v>
      </c>
      <c r="P369" s="53" t="s">
        <v>1585</v>
      </c>
      <c r="Q369" s="53" t="str">
        <f t="shared" si="11"/>
        <v>DENTRO DEL TIEMPO</v>
      </c>
      <c r="R369" s="56"/>
    </row>
    <row r="370" spans="1:18" ht="38.25" x14ac:dyDescent="0.25">
      <c r="A370" s="49">
        <v>364</v>
      </c>
      <c r="B370" s="50" t="s">
        <v>3353</v>
      </c>
      <c r="C370" s="51">
        <v>44651</v>
      </c>
      <c r="D370" s="51">
        <v>44651</v>
      </c>
      <c r="E370" s="49">
        <v>2</v>
      </c>
      <c r="F370" s="52" t="s">
        <v>22</v>
      </c>
      <c r="G370" s="53" t="s">
        <v>721</v>
      </c>
      <c r="H370" s="53" t="s">
        <v>24</v>
      </c>
      <c r="I370" s="53" t="s">
        <v>721</v>
      </c>
      <c r="J370" s="51">
        <v>44656</v>
      </c>
      <c r="K370" s="51">
        <v>44656</v>
      </c>
      <c r="L370" s="54">
        <f t="shared" si="10"/>
        <v>3</v>
      </c>
      <c r="M370" s="59" t="s">
        <v>3354</v>
      </c>
      <c r="N370" s="53" t="s">
        <v>26</v>
      </c>
      <c r="O370" s="53" t="s">
        <v>3355</v>
      </c>
      <c r="P370" s="53" t="s">
        <v>3356</v>
      </c>
      <c r="Q370" s="53" t="str">
        <f t="shared" si="11"/>
        <v>DENTRO DEL TIEMPO</v>
      </c>
      <c r="R370" s="56"/>
    </row>
    <row r="371" spans="1:18" ht="51" x14ac:dyDescent="0.25">
      <c r="A371" s="49">
        <v>365</v>
      </c>
      <c r="B371" s="50" t="s">
        <v>3357</v>
      </c>
      <c r="C371" s="51">
        <v>44651</v>
      </c>
      <c r="D371" s="51">
        <v>44651</v>
      </c>
      <c r="E371" s="49">
        <v>2</v>
      </c>
      <c r="F371" s="52" t="s">
        <v>22</v>
      </c>
      <c r="G371" s="53" t="s">
        <v>721</v>
      </c>
      <c r="H371" s="53" t="s">
        <v>24</v>
      </c>
      <c r="I371" s="53" t="s">
        <v>721</v>
      </c>
      <c r="J371" s="51">
        <v>44656</v>
      </c>
      <c r="K371" s="51">
        <v>44656</v>
      </c>
      <c r="L371" s="54">
        <f t="shared" si="10"/>
        <v>3</v>
      </c>
      <c r="M371" s="59" t="s">
        <v>3358</v>
      </c>
      <c r="N371" s="53" t="s">
        <v>26</v>
      </c>
      <c r="O371" s="53" t="s">
        <v>2456</v>
      </c>
      <c r="P371" s="53" t="s">
        <v>1605</v>
      </c>
      <c r="Q371" s="53" t="str">
        <f t="shared" si="11"/>
        <v>DENTRO DEL TIEMPO</v>
      </c>
      <c r="R371" s="56"/>
    </row>
    <row r="372" spans="1:18" ht="51" x14ac:dyDescent="0.25">
      <c r="A372" s="49">
        <v>366</v>
      </c>
      <c r="B372" s="50" t="s">
        <v>3359</v>
      </c>
      <c r="C372" s="51">
        <v>44651</v>
      </c>
      <c r="D372" s="51">
        <v>44651</v>
      </c>
      <c r="E372" s="49">
        <v>2</v>
      </c>
      <c r="F372" s="52" t="s">
        <v>22</v>
      </c>
      <c r="G372" s="53" t="s">
        <v>721</v>
      </c>
      <c r="H372" s="53" t="s">
        <v>24</v>
      </c>
      <c r="I372" s="53" t="s">
        <v>721</v>
      </c>
      <c r="J372" s="51">
        <v>44656</v>
      </c>
      <c r="K372" s="51">
        <v>44656</v>
      </c>
      <c r="L372" s="54">
        <f t="shared" si="10"/>
        <v>3</v>
      </c>
      <c r="M372" s="59" t="s">
        <v>3360</v>
      </c>
      <c r="N372" s="53" t="s">
        <v>26</v>
      </c>
      <c r="O372" s="53" t="s">
        <v>3072</v>
      </c>
      <c r="P372" s="53" t="s">
        <v>3361</v>
      </c>
      <c r="Q372" s="53" t="str">
        <f t="shared" si="11"/>
        <v>DENTRO DEL TIEMPO</v>
      </c>
      <c r="R372" s="56"/>
    </row>
    <row r="373" spans="1:18" ht="38.25" x14ac:dyDescent="0.25">
      <c r="A373" s="49">
        <v>367</v>
      </c>
      <c r="B373" s="50" t="s">
        <v>3362</v>
      </c>
      <c r="C373" s="51">
        <v>44651</v>
      </c>
      <c r="D373" s="51">
        <v>44651</v>
      </c>
      <c r="E373" s="49">
        <v>2</v>
      </c>
      <c r="F373" s="52" t="s">
        <v>22</v>
      </c>
      <c r="G373" s="53" t="s">
        <v>721</v>
      </c>
      <c r="H373" s="53" t="s">
        <v>24</v>
      </c>
      <c r="I373" s="53" t="s">
        <v>721</v>
      </c>
      <c r="J373" s="51">
        <v>44655</v>
      </c>
      <c r="K373" s="51">
        <v>44655</v>
      </c>
      <c r="L373" s="54">
        <f t="shared" si="10"/>
        <v>2</v>
      </c>
      <c r="M373" s="59" t="s">
        <v>3363</v>
      </c>
      <c r="N373" s="53" t="s">
        <v>26</v>
      </c>
      <c r="O373" s="53" t="s">
        <v>3364</v>
      </c>
      <c r="P373" s="53" t="s">
        <v>1289</v>
      </c>
      <c r="Q373" s="53" t="str">
        <f t="shared" si="11"/>
        <v>DENTRO DEL TIEMPO</v>
      </c>
      <c r="R373" s="56"/>
    </row>
    <row r="374" spans="1:18" ht="51" x14ac:dyDescent="0.25">
      <c r="A374" s="49">
        <v>368</v>
      </c>
      <c r="B374" s="50" t="s">
        <v>3365</v>
      </c>
      <c r="C374" s="51">
        <v>44623</v>
      </c>
      <c r="D374" s="51">
        <v>44623</v>
      </c>
      <c r="E374" s="49">
        <v>243</v>
      </c>
      <c r="F374" s="52" t="s">
        <v>22</v>
      </c>
      <c r="G374" s="53" t="s">
        <v>1256</v>
      </c>
      <c r="H374" s="53" t="s">
        <v>24</v>
      </c>
      <c r="I374" s="53" t="s">
        <v>1256</v>
      </c>
      <c r="J374" s="51">
        <v>44623</v>
      </c>
      <c r="K374" s="51">
        <v>44623</v>
      </c>
      <c r="L374" s="54">
        <f t="shared" si="10"/>
        <v>0</v>
      </c>
      <c r="M374" s="59" t="s">
        <v>3366</v>
      </c>
      <c r="N374" s="53" t="s">
        <v>26</v>
      </c>
      <c r="O374" s="53" t="s">
        <v>2064</v>
      </c>
      <c r="P374" s="53" t="s">
        <v>2065</v>
      </c>
      <c r="Q374" s="53" t="str">
        <f t="shared" si="11"/>
        <v>DENTRO DEL TIEMPO</v>
      </c>
      <c r="R374" s="56"/>
    </row>
    <row r="375" spans="1:18" ht="51" x14ac:dyDescent="0.25">
      <c r="A375" s="49">
        <v>369</v>
      </c>
      <c r="B375" s="50" t="s">
        <v>3367</v>
      </c>
      <c r="C375" s="51">
        <v>44627.657384259262</v>
      </c>
      <c r="D375" s="51">
        <v>44627</v>
      </c>
      <c r="E375" s="49">
        <v>3972</v>
      </c>
      <c r="F375" s="52" t="s">
        <v>22</v>
      </c>
      <c r="G375" s="53" t="s">
        <v>1256</v>
      </c>
      <c r="H375" s="53" t="s">
        <v>24</v>
      </c>
      <c r="I375" s="53" t="s">
        <v>1256</v>
      </c>
      <c r="J375" s="51">
        <v>44627</v>
      </c>
      <c r="K375" s="51">
        <v>44627</v>
      </c>
      <c r="L375" s="54">
        <f t="shared" si="10"/>
        <v>0</v>
      </c>
      <c r="M375" s="59" t="s">
        <v>3368</v>
      </c>
      <c r="N375" s="53" t="s">
        <v>26</v>
      </c>
      <c r="O375" s="53" t="s">
        <v>2064</v>
      </c>
      <c r="P375" s="53" t="s">
        <v>2065</v>
      </c>
      <c r="Q375" s="53" t="str">
        <f t="shared" si="11"/>
        <v>DENTRO DEL TIEMPO</v>
      </c>
      <c r="R375" s="56"/>
    </row>
    <row r="376" spans="1:18" ht="51" x14ac:dyDescent="0.25">
      <c r="A376" s="49">
        <v>370</v>
      </c>
      <c r="B376" s="50" t="s">
        <v>3369</v>
      </c>
      <c r="C376" s="51">
        <v>44627.657384259262</v>
      </c>
      <c r="D376" s="51">
        <v>44627.657384259262</v>
      </c>
      <c r="E376" s="49">
        <v>97</v>
      </c>
      <c r="F376" s="52" t="s">
        <v>22</v>
      </c>
      <c r="G376" s="53" t="s">
        <v>1256</v>
      </c>
      <c r="H376" s="53" t="s">
        <v>24</v>
      </c>
      <c r="I376" s="53" t="s">
        <v>1256</v>
      </c>
      <c r="J376" s="51">
        <v>44627.657384259262</v>
      </c>
      <c r="K376" s="51">
        <v>44627.657384259262</v>
      </c>
      <c r="L376" s="54">
        <f t="shared" si="10"/>
        <v>0</v>
      </c>
      <c r="M376" s="59" t="s">
        <v>3370</v>
      </c>
      <c r="N376" s="53" t="s">
        <v>26</v>
      </c>
      <c r="O376" s="53" t="s">
        <v>2064</v>
      </c>
      <c r="P376" s="53" t="s">
        <v>2065</v>
      </c>
      <c r="Q376" s="53" t="str">
        <f t="shared" si="11"/>
        <v>DENTRO DEL TIEMPO</v>
      </c>
      <c r="R376" s="56"/>
    </row>
    <row r="377" spans="1:18" ht="51" x14ac:dyDescent="0.25">
      <c r="A377" s="49">
        <v>371</v>
      </c>
      <c r="B377" s="50" t="s">
        <v>3371</v>
      </c>
      <c r="C377" s="51">
        <v>44628.532696759263</v>
      </c>
      <c r="D377" s="51">
        <v>44628.532696759263</v>
      </c>
      <c r="E377" s="49">
        <v>15</v>
      </c>
      <c r="F377" s="52" t="s">
        <v>22</v>
      </c>
      <c r="G377" s="53" t="s">
        <v>1256</v>
      </c>
      <c r="H377" s="53" t="s">
        <v>24</v>
      </c>
      <c r="I377" s="53" t="s">
        <v>1256</v>
      </c>
      <c r="J377" s="51">
        <v>44628.532696759263</v>
      </c>
      <c r="K377" s="51">
        <v>44628.532696759263</v>
      </c>
      <c r="L377" s="54">
        <f t="shared" si="10"/>
        <v>0</v>
      </c>
      <c r="M377" s="59" t="s">
        <v>3372</v>
      </c>
      <c r="N377" s="53" t="s">
        <v>26</v>
      </c>
      <c r="O377" s="53" t="s">
        <v>957</v>
      </c>
      <c r="P377" s="53" t="s">
        <v>2265</v>
      </c>
      <c r="Q377" s="53" t="str">
        <f t="shared" si="11"/>
        <v>DENTRO DEL TIEMPO</v>
      </c>
      <c r="R377" s="56"/>
    </row>
    <row r="378" spans="1:18" ht="51" x14ac:dyDescent="0.25">
      <c r="A378" s="49">
        <v>372</v>
      </c>
      <c r="B378" s="50" t="s">
        <v>3373</v>
      </c>
      <c r="C378" s="51">
        <v>44628.532696759263</v>
      </c>
      <c r="D378" s="51">
        <v>44628.532696759263</v>
      </c>
      <c r="E378" s="49">
        <v>58</v>
      </c>
      <c r="F378" s="52" t="s">
        <v>22</v>
      </c>
      <c r="G378" s="53" t="s">
        <v>1256</v>
      </c>
      <c r="H378" s="53" t="s">
        <v>24</v>
      </c>
      <c r="I378" s="53" t="s">
        <v>1256</v>
      </c>
      <c r="J378" s="51">
        <v>44628.532696759263</v>
      </c>
      <c r="K378" s="51">
        <v>44628.532696759263</v>
      </c>
      <c r="L378" s="54">
        <f t="shared" si="10"/>
        <v>0</v>
      </c>
      <c r="M378" s="59" t="s">
        <v>3374</v>
      </c>
      <c r="N378" s="53" t="s">
        <v>26</v>
      </c>
      <c r="O378" s="53" t="s">
        <v>2064</v>
      </c>
      <c r="P378" s="53" t="s">
        <v>2065</v>
      </c>
      <c r="Q378" s="53" t="str">
        <f t="shared" si="11"/>
        <v>DENTRO DEL TIEMPO</v>
      </c>
      <c r="R378" s="56"/>
    </row>
    <row r="379" spans="1:18" ht="51" x14ac:dyDescent="0.25">
      <c r="A379" s="49">
        <v>373</v>
      </c>
      <c r="B379" s="50" t="s">
        <v>3375</v>
      </c>
      <c r="C379" s="51">
        <v>44629.629259259258</v>
      </c>
      <c r="D379" s="51">
        <v>44629.629259259258</v>
      </c>
      <c r="E379" s="49">
        <v>31</v>
      </c>
      <c r="F379" s="52" t="s">
        <v>22</v>
      </c>
      <c r="G379" s="53" t="s">
        <v>1256</v>
      </c>
      <c r="H379" s="53" t="s">
        <v>24</v>
      </c>
      <c r="I379" s="53" t="s">
        <v>1256</v>
      </c>
      <c r="J379" s="51">
        <v>44629.629259259258</v>
      </c>
      <c r="K379" s="51">
        <v>44629.629259259258</v>
      </c>
      <c r="L379" s="54">
        <f t="shared" si="10"/>
        <v>0</v>
      </c>
      <c r="M379" s="59" t="s">
        <v>3376</v>
      </c>
      <c r="N379" s="53" t="s">
        <v>26</v>
      </c>
      <c r="O379" s="53" t="s">
        <v>2064</v>
      </c>
      <c r="P379" s="53" t="s">
        <v>2065</v>
      </c>
      <c r="Q379" s="53" t="str">
        <f t="shared" si="11"/>
        <v>DENTRO DEL TIEMPO</v>
      </c>
      <c r="R379" s="56"/>
    </row>
    <row r="380" spans="1:18" ht="51" x14ac:dyDescent="0.25">
      <c r="A380" s="49">
        <v>374</v>
      </c>
      <c r="B380" s="50" t="s">
        <v>3377</v>
      </c>
      <c r="C380" s="51">
        <v>44629.629259259258</v>
      </c>
      <c r="D380" s="51">
        <v>44629.629259259258</v>
      </c>
      <c r="E380" s="49">
        <v>80</v>
      </c>
      <c r="F380" s="52" t="s">
        <v>22</v>
      </c>
      <c r="G380" s="53" t="s">
        <v>1256</v>
      </c>
      <c r="H380" s="53" t="s">
        <v>24</v>
      </c>
      <c r="I380" s="53" t="s">
        <v>1256</v>
      </c>
      <c r="J380" s="51">
        <v>44629.629259259258</v>
      </c>
      <c r="K380" s="51">
        <v>44629.629259259258</v>
      </c>
      <c r="L380" s="54">
        <f t="shared" si="10"/>
        <v>0</v>
      </c>
      <c r="M380" s="59" t="s">
        <v>3378</v>
      </c>
      <c r="N380" s="53" t="s">
        <v>26</v>
      </c>
      <c r="O380" s="53" t="s">
        <v>957</v>
      </c>
      <c r="P380" s="53" t="s">
        <v>2265</v>
      </c>
      <c r="Q380" s="53" t="str">
        <f t="shared" si="11"/>
        <v>DENTRO DEL TIEMPO</v>
      </c>
      <c r="R380" s="56"/>
    </row>
    <row r="381" spans="1:18" ht="51" x14ac:dyDescent="0.25">
      <c r="A381" s="49">
        <v>375</v>
      </c>
      <c r="B381" s="50" t="s">
        <v>2263</v>
      </c>
      <c r="C381" s="51">
        <v>44634.492812500001</v>
      </c>
      <c r="D381" s="51">
        <v>44634.492812500001</v>
      </c>
      <c r="E381" s="49">
        <v>41</v>
      </c>
      <c r="F381" s="52" t="s">
        <v>22</v>
      </c>
      <c r="G381" s="53" t="s">
        <v>1256</v>
      </c>
      <c r="H381" s="53" t="s">
        <v>24</v>
      </c>
      <c r="I381" s="53" t="s">
        <v>1256</v>
      </c>
      <c r="J381" s="51">
        <v>44634.492812500001</v>
      </c>
      <c r="K381" s="51">
        <v>44634.492812500001</v>
      </c>
      <c r="L381" s="54">
        <f t="shared" si="10"/>
        <v>0</v>
      </c>
      <c r="M381" s="59" t="s">
        <v>2264</v>
      </c>
      <c r="N381" s="53" t="s">
        <v>26</v>
      </c>
      <c r="O381" s="53" t="s">
        <v>957</v>
      </c>
      <c r="P381" s="53" t="s">
        <v>2265</v>
      </c>
      <c r="Q381" s="53" t="str">
        <f t="shared" si="11"/>
        <v>DENTRO DEL TIEMPO</v>
      </c>
      <c r="R381" s="56"/>
    </row>
    <row r="382" spans="1:18" ht="51" x14ac:dyDescent="0.25">
      <c r="A382" s="49">
        <v>376</v>
      </c>
      <c r="B382" s="50" t="s">
        <v>3379</v>
      </c>
      <c r="C382" s="51">
        <v>44641.607071759259</v>
      </c>
      <c r="D382" s="51">
        <v>44641.607071759259</v>
      </c>
      <c r="E382" s="49">
        <v>66</v>
      </c>
      <c r="F382" s="52" t="s">
        <v>22</v>
      </c>
      <c r="G382" s="53" t="s">
        <v>1256</v>
      </c>
      <c r="H382" s="53" t="s">
        <v>24</v>
      </c>
      <c r="I382" s="53" t="s">
        <v>1256</v>
      </c>
      <c r="J382" s="51">
        <v>44641.607071759259</v>
      </c>
      <c r="K382" s="51">
        <v>44641.607071759259</v>
      </c>
      <c r="L382" s="54">
        <f t="shared" si="10"/>
        <v>0</v>
      </c>
      <c r="M382" s="59" t="s">
        <v>3380</v>
      </c>
      <c r="N382" s="53" t="s">
        <v>26</v>
      </c>
      <c r="O382" s="53" t="s">
        <v>957</v>
      </c>
      <c r="P382" s="53" t="s">
        <v>2265</v>
      </c>
      <c r="Q382" s="53" t="str">
        <f t="shared" si="11"/>
        <v>DENTRO DEL TIEMPO</v>
      </c>
      <c r="R382" s="56"/>
    </row>
    <row r="383" spans="1:18" ht="51" x14ac:dyDescent="0.25">
      <c r="A383" s="49">
        <v>377</v>
      </c>
      <c r="B383" s="50" t="s">
        <v>3381</v>
      </c>
      <c r="C383" s="51">
        <v>44641.607071759259</v>
      </c>
      <c r="D383" s="51">
        <v>44641.607071759259</v>
      </c>
      <c r="E383" s="49">
        <v>1324</v>
      </c>
      <c r="F383" s="52" t="s">
        <v>22</v>
      </c>
      <c r="G383" s="53" t="s">
        <v>1256</v>
      </c>
      <c r="H383" s="53" t="s">
        <v>24</v>
      </c>
      <c r="I383" s="53" t="s">
        <v>1256</v>
      </c>
      <c r="J383" s="51">
        <v>44641.607071759259</v>
      </c>
      <c r="K383" s="51">
        <v>44641.607071759259</v>
      </c>
      <c r="L383" s="54">
        <f t="shared" si="10"/>
        <v>0</v>
      </c>
      <c r="M383" s="59" t="s">
        <v>3382</v>
      </c>
      <c r="N383" s="53" t="s">
        <v>26</v>
      </c>
      <c r="O383" s="53" t="s">
        <v>957</v>
      </c>
      <c r="P383" s="53" t="s">
        <v>2265</v>
      </c>
      <c r="Q383" s="53" t="str">
        <f t="shared" si="11"/>
        <v>DENTRO DEL TIEMPO</v>
      </c>
      <c r="R383" s="56"/>
    </row>
    <row r="384" spans="1:18" ht="51" x14ac:dyDescent="0.25">
      <c r="A384" s="49">
        <v>378</v>
      </c>
      <c r="B384" s="50" t="s">
        <v>3383</v>
      </c>
      <c r="C384" s="51">
        <v>44643.583715277775</v>
      </c>
      <c r="D384" s="51">
        <v>44643.583715277775</v>
      </c>
      <c r="E384" s="49">
        <v>720</v>
      </c>
      <c r="F384" s="52" t="s">
        <v>22</v>
      </c>
      <c r="G384" s="53" t="s">
        <v>1256</v>
      </c>
      <c r="H384" s="53" t="s">
        <v>24</v>
      </c>
      <c r="I384" s="53" t="s">
        <v>1256</v>
      </c>
      <c r="J384" s="51">
        <v>44643.583715277775</v>
      </c>
      <c r="K384" s="51">
        <v>44643.583715277775</v>
      </c>
      <c r="L384" s="54">
        <f t="shared" si="10"/>
        <v>0</v>
      </c>
      <c r="M384" s="59" t="s">
        <v>3384</v>
      </c>
      <c r="N384" s="53" t="s">
        <v>26</v>
      </c>
      <c r="O384" s="53" t="s">
        <v>2064</v>
      </c>
      <c r="P384" s="53" t="s">
        <v>2065</v>
      </c>
      <c r="Q384" s="53" t="str">
        <f t="shared" si="11"/>
        <v>DENTRO DEL TIEMPO</v>
      </c>
      <c r="R384" s="56"/>
    </row>
    <row r="385" spans="1:18" ht="51" x14ac:dyDescent="0.25">
      <c r="A385" s="49">
        <v>379</v>
      </c>
      <c r="B385" s="50" t="s">
        <v>3385</v>
      </c>
      <c r="C385" s="51">
        <v>44644.583715277775</v>
      </c>
      <c r="D385" s="51">
        <v>44644.583715277775</v>
      </c>
      <c r="E385" s="49">
        <v>238</v>
      </c>
      <c r="F385" s="52" t="s">
        <v>22</v>
      </c>
      <c r="G385" s="53" t="s">
        <v>1256</v>
      </c>
      <c r="H385" s="53" t="s">
        <v>24</v>
      </c>
      <c r="I385" s="53" t="s">
        <v>1256</v>
      </c>
      <c r="J385" s="51">
        <v>44644.583715277775</v>
      </c>
      <c r="K385" s="51">
        <v>44644.583715277775</v>
      </c>
      <c r="L385" s="54">
        <f t="shared" si="10"/>
        <v>0</v>
      </c>
      <c r="M385" s="59" t="s">
        <v>3386</v>
      </c>
      <c r="N385" s="53" t="s">
        <v>26</v>
      </c>
      <c r="O385" s="53" t="s">
        <v>2064</v>
      </c>
      <c r="P385" s="53" t="s">
        <v>2065</v>
      </c>
      <c r="Q385" s="53" t="str">
        <f t="shared" si="11"/>
        <v>DENTRO DEL TIEMPO</v>
      </c>
      <c r="R385" s="56"/>
    </row>
    <row r="386" spans="1:18" ht="51" x14ac:dyDescent="0.25">
      <c r="A386" s="49">
        <v>380</v>
      </c>
      <c r="B386" s="50" t="s">
        <v>3387</v>
      </c>
      <c r="C386" s="51">
        <v>44651.460590277777</v>
      </c>
      <c r="D386" s="51">
        <v>44651.460590277777</v>
      </c>
      <c r="E386" s="49">
        <v>94</v>
      </c>
      <c r="F386" s="52" t="s">
        <v>22</v>
      </c>
      <c r="G386" s="53" t="s">
        <v>1256</v>
      </c>
      <c r="H386" s="53" t="s">
        <v>24</v>
      </c>
      <c r="I386" s="53" t="s">
        <v>1256</v>
      </c>
      <c r="J386" s="51">
        <v>44651.460590277777</v>
      </c>
      <c r="K386" s="51">
        <v>44651.460590277777</v>
      </c>
      <c r="L386" s="54">
        <f t="shared" si="10"/>
        <v>0</v>
      </c>
      <c r="M386" s="59" t="s">
        <v>3388</v>
      </c>
      <c r="N386" s="53" t="s">
        <v>26</v>
      </c>
      <c r="O386" s="53" t="s">
        <v>3389</v>
      </c>
      <c r="P386" s="53" t="s">
        <v>3390</v>
      </c>
      <c r="Q386" s="53" t="str">
        <f t="shared" si="11"/>
        <v>DENTRO DEL TIEMPO</v>
      </c>
      <c r="R386" s="56"/>
    </row>
    <row r="387" spans="1:18" ht="51" x14ac:dyDescent="0.25">
      <c r="A387" s="49">
        <v>381</v>
      </c>
      <c r="B387" s="50" t="s">
        <v>3391</v>
      </c>
      <c r="C387" s="51">
        <v>44651.460590277777</v>
      </c>
      <c r="D387" s="51">
        <v>44651.460590277777</v>
      </c>
      <c r="E387" s="49">
        <v>180</v>
      </c>
      <c r="F387" s="52" t="s">
        <v>22</v>
      </c>
      <c r="G387" s="53" t="s">
        <v>1256</v>
      </c>
      <c r="H387" s="53" t="s">
        <v>24</v>
      </c>
      <c r="I387" s="53" t="s">
        <v>1256</v>
      </c>
      <c r="J387" s="51">
        <v>44651.460590277777</v>
      </c>
      <c r="K387" s="51">
        <v>44651.460590277777</v>
      </c>
      <c r="L387" s="54">
        <f t="shared" si="10"/>
        <v>0</v>
      </c>
      <c r="M387" s="59" t="s">
        <v>3392</v>
      </c>
      <c r="N387" s="53" t="s">
        <v>26</v>
      </c>
      <c r="O387" s="53" t="s">
        <v>2064</v>
      </c>
      <c r="P387" s="53" t="s">
        <v>2065</v>
      </c>
      <c r="Q387" s="53" t="str">
        <f t="shared" si="11"/>
        <v>DENTRO DEL TIEMPO</v>
      </c>
      <c r="R387" s="56"/>
    </row>
    <row r="388" spans="1:18" ht="51" x14ac:dyDescent="0.25">
      <c r="A388" s="49">
        <v>382</v>
      </c>
      <c r="B388" s="50" t="s">
        <v>3393</v>
      </c>
      <c r="C388" s="51">
        <v>44645.460590277777</v>
      </c>
      <c r="D388" s="51">
        <v>44651.460590277777</v>
      </c>
      <c r="E388" s="49">
        <v>776</v>
      </c>
      <c r="F388" s="52" t="s">
        <v>22</v>
      </c>
      <c r="G388" s="53" t="s">
        <v>1256</v>
      </c>
      <c r="H388" s="53" t="s">
        <v>24</v>
      </c>
      <c r="I388" s="53" t="s">
        <v>1256</v>
      </c>
      <c r="J388" s="51">
        <v>44651.460590277777</v>
      </c>
      <c r="K388" s="51">
        <v>44651.460590277777</v>
      </c>
      <c r="L388" s="54">
        <f t="shared" si="10"/>
        <v>0</v>
      </c>
      <c r="M388" s="59" t="s">
        <v>3394</v>
      </c>
      <c r="N388" s="53" t="s">
        <v>26</v>
      </c>
      <c r="O388" s="53" t="s">
        <v>3395</v>
      </c>
      <c r="P388" s="53" t="s">
        <v>3396</v>
      </c>
      <c r="Q388" s="53" t="str">
        <f t="shared" si="11"/>
        <v>DENTRO DEL TIEMPO</v>
      </c>
      <c r="R388" s="56"/>
    </row>
    <row r="389" spans="1:18" ht="51" x14ac:dyDescent="0.25">
      <c r="A389" s="49">
        <v>383</v>
      </c>
      <c r="B389" s="50" t="s">
        <v>3397</v>
      </c>
      <c r="C389" s="51">
        <v>44624</v>
      </c>
      <c r="D389" s="51">
        <v>44624</v>
      </c>
      <c r="E389" s="49">
        <v>50</v>
      </c>
      <c r="F389" s="52" t="s">
        <v>22</v>
      </c>
      <c r="G389" s="53" t="s">
        <v>1256</v>
      </c>
      <c r="H389" s="53" t="s">
        <v>24</v>
      </c>
      <c r="I389" s="53" t="s">
        <v>1256</v>
      </c>
      <c r="J389" s="51">
        <v>44624</v>
      </c>
      <c r="K389" s="51">
        <v>44624</v>
      </c>
      <c r="L389" s="54">
        <f t="shared" si="10"/>
        <v>0</v>
      </c>
      <c r="M389" s="59" t="s">
        <v>3398</v>
      </c>
      <c r="N389" s="53" t="s">
        <v>26</v>
      </c>
      <c r="O389" s="53" t="s">
        <v>2064</v>
      </c>
      <c r="P389" s="53" t="s">
        <v>2065</v>
      </c>
      <c r="Q389" s="53" t="str">
        <f t="shared" si="11"/>
        <v>DENTRO DEL TIEMPO</v>
      </c>
      <c r="R389" s="56"/>
    </row>
    <row r="390" spans="1:18" ht="51" x14ac:dyDescent="0.25">
      <c r="A390" s="49">
        <v>384</v>
      </c>
      <c r="B390" s="50" t="s">
        <v>3367</v>
      </c>
      <c r="C390" s="51">
        <v>44627</v>
      </c>
      <c r="D390" s="51">
        <v>44627</v>
      </c>
      <c r="E390" s="49">
        <v>3972</v>
      </c>
      <c r="F390" s="52" t="s">
        <v>22</v>
      </c>
      <c r="G390" s="53" t="s">
        <v>1256</v>
      </c>
      <c r="H390" s="53" t="s">
        <v>24</v>
      </c>
      <c r="I390" s="53" t="s">
        <v>1256</v>
      </c>
      <c r="J390" s="51">
        <v>44627</v>
      </c>
      <c r="K390" s="51">
        <v>44627</v>
      </c>
      <c r="L390" s="54">
        <f t="shared" si="10"/>
        <v>0</v>
      </c>
      <c r="M390" s="59" t="s">
        <v>3368</v>
      </c>
      <c r="N390" s="53" t="s">
        <v>26</v>
      </c>
      <c r="O390" s="53" t="s">
        <v>2064</v>
      </c>
      <c r="P390" s="53" t="s">
        <v>2065</v>
      </c>
      <c r="Q390" s="53" t="str">
        <f t="shared" si="11"/>
        <v>DENTRO DEL TIEMPO</v>
      </c>
      <c r="R390" s="56"/>
    </row>
    <row r="391" spans="1:18" ht="51" x14ac:dyDescent="0.25">
      <c r="A391" s="49">
        <v>385</v>
      </c>
      <c r="B391" s="50" t="s">
        <v>3369</v>
      </c>
      <c r="C391" s="51">
        <v>44627</v>
      </c>
      <c r="D391" s="51">
        <v>44627</v>
      </c>
      <c r="E391" s="49">
        <v>97</v>
      </c>
      <c r="F391" s="52" t="s">
        <v>22</v>
      </c>
      <c r="G391" s="53" t="s">
        <v>1256</v>
      </c>
      <c r="H391" s="53" t="s">
        <v>24</v>
      </c>
      <c r="I391" s="53" t="s">
        <v>1256</v>
      </c>
      <c r="J391" s="51">
        <v>44627</v>
      </c>
      <c r="K391" s="51">
        <v>44627</v>
      </c>
      <c r="L391" s="54">
        <f t="shared" si="10"/>
        <v>0</v>
      </c>
      <c r="M391" s="59" t="s">
        <v>3370</v>
      </c>
      <c r="N391" s="53" t="s">
        <v>26</v>
      </c>
      <c r="O391" s="53" t="s">
        <v>2064</v>
      </c>
      <c r="P391" s="53" t="s">
        <v>2065</v>
      </c>
      <c r="Q391" s="53" t="str">
        <f t="shared" si="11"/>
        <v>DENTRO DEL TIEMPO</v>
      </c>
      <c r="R391" s="56"/>
    </row>
    <row r="392" spans="1:18" ht="51" x14ac:dyDescent="0.25">
      <c r="A392" s="49">
        <v>386</v>
      </c>
      <c r="B392" s="50" t="s">
        <v>3373</v>
      </c>
      <c r="C392" s="51">
        <v>44628</v>
      </c>
      <c r="D392" s="51">
        <v>44628</v>
      </c>
      <c r="E392" s="49">
        <v>58</v>
      </c>
      <c r="F392" s="52" t="s">
        <v>22</v>
      </c>
      <c r="G392" s="53" t="s">
        <v>1256</v>
      </c>
      <c r="H392" s="53" t="s">
        <v>24</v>
      </c>
      <c r="I392" s="53" t="s">
        <v>1256</v>
      </c>
      <c r="J392" s="51">
        <v>44628</v>
      </c>
      <c r="K392" s="51">
        <v>44628</v>
      </c>
      <c r="L392" s="54">
        <f t="shared" ref="L392:L460" si="12">+NETWORKDAYS(D392,K392,$R$7:$R$10)-1</f>
        <v>0</v>
      </c>
      <c r="M392" s="59" t="s">
        <v>3374</v>
      </c>
      <c r="N392" s="53" t="s">
        <v>26</v>
      </c>
      <c r="O392" s="53" t="s">
        <v>2064</v>
      </c>
      <c r="P392" s="53" t="s">
        <v>2065</v>
      </c>
      <c r="Q392" s="53" t="str">
        <f t="shared" ref="Q392:Q455" si="13">IF(L392&gt;15,"FUERA DE TIEMPO","DENTRO DEL TIEMPO")</f>
        <v>DENTRO DEL TIEMPO</v>
      </c>
      <c r="R392" s="56"/>
    </row>
    <row r="393" spans="1:18" ht="51" x14ac:dyDescent="0.25">
      <c r="A393" s="49">
        <v>387</v>
      </c>
      <c r="B393" s="50" t="s">
        <v>3399</v>
      </c>
      <c r="C393" s="51">
        <v>44629</v>
      </c>
      <c r="D393" s="51">
        <v>44629</v>
      </c>
      <c r="E393" s="49">
        <v>31</v>
      </c>
      <c r="F393" s="52" t="s">
        <v>22</v>
      </c>
      <c r="G393" s="53" t="s">
        <v>1256</v>
      </c>
      <c r="H393" s="53" t="s">
        <v>24</v>
      </c>
      <c r="I393" s="53" t="s">
        <v>1256</v>
      </c>
      <c r="J393" s="51">
        <v>44629</v>
      </c>
      <c r="K393" s="51">
        <v>44629</v>
      </c>
      <c r="L393" s="54">
        <f t="shared" si="12"/>
        <v>0</v>
      </c>
      <c r="M393" s="59" t="s">
        <v>3376</v>
      </c>
      <c r="N393" s="53" t="s">
        <v>26</v>
      </c>
      <c r="O393" s="53" t="s">
        <v>2064</v>
      </c>
      <c r="P393" s="53" t="s">
        <v>2065</v>
      </c>
      <c r="Q393" s="53" t="str">
        <f t="shared" si="13"/>
        <v>DENTRO DEL TIEMPO</v>
      </c>
      <c r="R393" s="56"/>
    </row>
    <row r="394" spans="1:18" ht="51" x14ac:dyDescent="0.25">
      <c r="A394" s="49">
        <v>388</v>
      </c>
      <c r="B394" s="50" t="s">
        <v>3377</v>
      </c>
      <c r="C394" s="51">
        <v>44629</v>
      </c>
      <c r="D394" s="51">
        <v>44629</v>
      </c>
      <c r="E394" s="49">
        <v>80</v>
      </c>
      <c r="F394" s="52" t="s">
        <v>22</v>
      </c>
      <c r="G394" s="53" t="s">
        <v>1256</v>
      </c>
      <c r="H394" s="53" t="s">
        <v>24</v>
      </c>
      <c r="I394" s="53" t="s">
        <v>1256</v>
      </c>
      <c r="J394" s="51">
        <v>44629</v>
      </c>
      <c r="K394" s="51">
        <v>44629</v>
      </c>
      <c r="L394" s="54">
        <f t="shared" si="12"/>
        <v>0</v>
      </c>
      <c r="M394" s="59" t="s">
        <v>3378</v>
      </c>
      <c r="N394" s="53" t="s">
        <v>26</v>
      </c>
      <c r="O394" s="53" t="s">
        <v>957</v>
      </c>
      <c r="P394" s="53" t="s">
        <v>2265</v>
      </c>
      <c r="Q394" s="53" t="str">
        <f t="shared" si="13"/>
        <v>DENTRO DEL TIEMPO</v>
      </c>
      <c r="R394" s="56"/>
    </row>
    <row r="395" spans="1:18" ht="51" x14ac:dyDescent="0.25">
      <c r="A395" s="49">
        <v>389</v>
      </c>
      <c r="B395" s="50" t="s">
        <v>2263</v>
      </c>
      <c r="C395" s="51">
        <v>44634</v>
      </c>
      <c r="D395" s="51">
        <v>44634</v>
      </c>
      <c r="E395" s="49">
        <v>41</v>
      </c>
      <c r="F395" s="52" t="s">
        <v>22</v>
      </c>
      <c r="G395" s="53" t="s">
        <v>1256</v>
      </c>
      <c r="H395" s="53" t="s">
        <v>24</v>
      </c>
      <c r="I395" s="53" t="s">
        <v>1256</v>
      </c>
      <c r="J395" s="51">
        <v>44634</v>
      </c>
      <c r="K395" s="51">
        <v>44634</v>
      </c>
      <c r="L395" s="54">
        <f t="shared" si="12"/>
        <v>0</v>
      </c>
      <c r="M395" s="59" t="s">
        <v>2264</v>
      </c>
      <c r="N395" s="53" t="s">
        <v>26</v>
      </c>
      <c r="O395" s="53" t="s">
        <v>957</v>
      </c>
      <c r="P395" s="53" t="s">
        <v>2265</v>
      </c>
      <c r="Q395" s="53" t="str">
        <f t="shared" si="13"/>
        <v>DENTRO DEL TIEMPO</v>
      </c>
      <c r="R395" s="56"/>
    </row>
    <row r="396" spans="1:18" ht="51" x14ac:dyDescent="0.25">
      <c r="A396" s="49">
        <v>390</v>
      </c>
      <c r="B396" s="50" t="s">
        <v>3400</v>
      </c>
      <c r="C396" s="51">
        <v>44636</v>
      </c>
      <c r="D396" s="51">
        <v>44636</v>
      </c>
      <c r="E396" s="49">
        <v>76</v>
      </c>
      <c r="F396" s="52" t="s">
        <v>22</v>
      </c>
      <c r="G396" s="53" t="s">
        <v>1256</v>
      </c>
      <c r="H396" s="53" t="s">
        <v>24</v>
      </c>
      <c r="I396" s="53" t="s">
        <v>1256</v>
      </c>
      <c r="J396" s="51">
        <v>44636</v>
      </c>
      <c r="K396" s="51">
        <v>44636</v>
      </c>
      <c r="L396" s="54">
        <f t="shared" si="12"/>
        <v>0</v>
      </c>
      <c r="M396" s="59" t="s">
        <v>3401</v>
      </c>
      <c r="N396" s="53" t="s">
        <v>26</v>
      </c>
      <c r="O396" s="53" t="s">
        <v>2064</v>
      </c>
      <c r="P396" s="53" t="s">
        <v>2065</v>
      </c>
      <c r="Q396" s="53" t="str">
        <f t="shared" si="13"/>
        <v>DENTRO DEL TIEMPO</v>
      </c>
      <c r="R396" s="56"/>
    </row>
    <row r="397" spans="1:18" ht="51" x14ac:dyDescent="0.25">
      <c r="A397" s="49">
        <v>391</v>
      </c>
      <c r="B397" s="50" t="s">
        <v>3379</v>
      </c>
      <c r="C397" s="51">
        <v>44641</v>
      </c>
      <c r="D397" s="51">
        <v>44641</v>
      </c>
      <c r="E397" s="49">
        <v>66</v>
      </c>
      <c r="F397" s="52" t="s">
        <v>22</v>
      </c>
      <c r="G397" s="53" t="s">
        <v>1256</v>
      </c>
      <c r="H397" s="53" t="s">
        <v>24</v>
      </c>
      <c r="I397" s="53" t="s">
        <v>1256</v>
      </c>
      <c r="J397" s="51">
        <v>44641</v>
      </c>
      <c r="K397" s="51">
        <v>44641</v>
      </c>
      <c r="L397" s="54">
        <f t="shared" si="12"/>
        <v>0</v>
      </c>
      <c r="M397" s="59" t="s">
        <v>3380</v>
      </c>
      <c r="N397" s="53" t="s">
        <v>26</v>
      </c>
      <c r="O397" s="53" t="s">
        <v>957</v>
      </c>
      <c r="P397" s="53" t="s">
        <v>2265</v>
      </c>
      <c r="Q397" s="53" t="str">
        <f t="shared" si="13"/>
        <v>DENTRO DEL TIEMPO</v>
      </c>
      <c r="R397" s="56"/>
    </row>
    <row r="398" spans="1:18" ht="51" x14ac:dyDescent="0.25">
      <c r="A398" s="49">
        <v>392</v>
      </c>
      <c r="B398" s="50" t="s">
        <v>3381</v>
      </c>
      <c r="C398" s="51">
        <v>44641</v>
      </c>
      <c r="D398" s="51">
        <v>44641</v>
      </c>
      <c r="E398" s="49">
        <v>1324</v>
      </c>
      <c r="F398" s="52" t="s">
        <v>22</v>
      </c>
      <c r="G398" s="53" t="s">
        <v>1256</v>
      </c>
      <c r="H398" s="53" t="s">
        <v>24</v>
      </c>
      <c r="I398" s="53" t="s">
        <v>1256</v>
      </c>
      <c r="J398" s="51">
        <v>44641</v>
      </c>
      <c r="K398" s="51">
        <v>44641</v>
      </c>
      <c r="L398" s="54">
        <f t="shared" si="12"/>
        <v>0</v>
      </c>
      <c r="M398" s="59" t="s">
        <v>3382</v>
      </c>
      <c r="N398" s="53" t="s">
        <v>26</v>
      </c>
      <c r="O398" s="53" t="s">
        <v>957</v>
      </c>
      <c r="P398" s="53" t="s">
        <v>2265</v>
      </c>
      <c r="Q398" s="53" t="str">
        <f t="shared" si="13"/>
        <v>DENTRO DEL TIEMPO</v>
      </c>
      <c r="R398" s="56"/>
    </row>
    <row r="399" spans="1:18" ht="51" x14ac:dyDescent="0.25">
      <c r="A399" s="49">
        <v>393</v>
      </c>
      <c r="B399" s="50" t="s">
        <v>3383</v>
      </c>
      <c r="C399" s="51">
        <v>44643</v>
      </c>
      <c r="D399" s="51">
        <v>44643</v>
      </c>
      <c r="E399" s="49">
        <v>720</v>
      </c>
      <c r="F399" s="52" t="s">
        <v>22</v>
      </c>
      <c r="G399" s="53" t="s">
        <v>1256</v>
      </c>
      <c r="H399" s="53" t="s">
        <v>24</v>
      </c>
      <c r="I399" s="53" t="s">
        <v>1256</v>
      </c>
      <c r="J399" s="51">
        <v>44643</v>
      </c>
      <c r="K399" s="51">
        <v>44643</v>
      </c>
      <c r="L399" s="54">
        <f t="shared" si="12"/>
        <v>0</v>
      </c>
      <c r="M399" s="59" t="s">
        <v>3384</v>
      </c>
      <c r="N399" s="53" t="s">
        <v>26</v>
      </c>
      <c r="O399" s="53" t="s">
        <v>2064</v>
      </c>
      <c r="P399" s="53" t="s">
        <v>2065</v>
      </c>
      <c r="Q399" s="53" t="str">
        <f t="shared" si="13"/>
        <v>DENTRO DEL TIEMPO</v>
      </c>
      <c r="R399" s="56"/>
    </row>
    <row r="400" spans="1:18" ht="51" x14ac:dyDescent="0.25">
      <c r="A400" s="49">
        <v>394</v>
      </c>
      <c r="B400" s="50" t="s">
        <v>3385</v>
      </c>
      <c r="C400" s="51">
        <v>44644</v>
      </c>
      <c r="D400" s="51">
        <v>44644</v>
      </c>
      <c r="E400" s="49">
        <v>268</v>
      </c>
      <c r="F400" s="52" t="s">
        <v>22</v>
      </c>
      <c r="G400" s="53" t="s">
        <v>1256</v>
      </c>
      <c r="H400" s="53" t="s">
        <v>24</v>
      </c>
      <c r="I400" s="53" t="s">
        <v>1256</v>
      </c>
      <c r="J400" s="51">
        <v>44644</v>
      </c>
      <c r="K400" s="51">
        <v>44644</v>
      </c>
      <c r="L400" s="54">
        <f t="shared" si="12"/>
        <v>0</v>
      </c>
      <c r="M400" s="59" t="s">
        <v>3386</v>
      </c>
      <c r="N400" s="53" t="s">
        <v>26</v>
      </c>
      <c r="O400" s="53" t="s">
        <v>2064</v>
      </c>
      <c r="P400" s="53" t="s">
        <v>2065</v>
      </c>
      <c r="Q400" s="53" t="str">
        <f t="shared" si="13"/>
        <v>DENTRO DEL TIEMPO</v>
      </c>
      <c r="R400" s="56"/>
    </row>
    <row r="401" spans="1:19" ht="51" x14ac:dyDescent="0.25">
      <c r="A401" s="49">
        <v>395</v>
      </c>
      <c r="B401" s="50" t="s">
        <v>3402</v>
      </c>
      <c r="C401" s="51">
        <v>44649</v>
      </c>
      <c r="D401" s="51">
        <v>44649</v>
      </c>
      <c r="E401" s="49">
        <v>10</v>
      </c>
      <c r="F401" s="52" t="s">
        <v>22</v>
      </c>
      <c r="G401" s="53" t="s">
        <v>1256</v>
      </c>
      <c r="H401" s="53" t="s">
        <v>24</v>
      </c>
      <c r="I401" s="53" t="s">
        <v>1256</v>
      </c>
      <c r="J401" s="51">
        <v>44649</v>
      </c>
      <c r="K401" s="51">
        <v>44649</v>
      </c>
      <c r="L401" s="54">
        <f t="shared" si="12"/>
        <v>0</v>
      </c>
      <c r="M401" s="59" t="s">
        <v>3403</v>
      </c>
      <c r="N401" s="53" t="s">
        <v>26</v>
      </c>
      <c r="O401" s="53" t="s">
        <v>2064</v>
      </c>
      <c r="P401" s="53" t="s">
        <v>2065</v>
      </c>
      <c r="Q401" s="53" t="str">
        <f t="shared" si="13"/>
        <v>DENTRO DEL TIEMPO</v>
      </c>
      <c r="R401" s="56"/>
    </row>
    <row r="402" spans="1:19" ht="51" x14ac:dyDescent="0.25">
      <c r="A402" s="49">
        <v>396</v>
      </c>
      <c r="B402" s="50" t="s">
        <v>3391</v>
      </c>
      <c r="C402" s="51">
        <v>44651</v>
      </c>
      <c r="D402" s="51">
        <v>44651</v>
      </c>
      <c r="E402" s="49">
        <v>180</v>
      </c>
      <c r="F402" s="52" t="s">
        <v>22</v>
      </c>
      <c r="G402" s="53" t="s">
        <v>1256</v>
      </c>
      <c r="H402" s="53" t="s">
        <v>24</v>
      </c>
      <c r="I402" s="53" t="s">
        <v>1256</v>
      </c>
      <c r="J402" s="51">
        <v>44651</v>
      </c>
      <c r="K402" s="51">
        <v>44651</v>
      </c>
      <c r="L402" s="54">
        <f t="shared" si="12"/>
        <v>0</v>
      </c>
      <c r="M402" s="59" t="s">
        <v>3392</v>
      </c>
      <c r="N402" s="53" t="s">
        <v>26</v>
      </c>
      <c r="O402" s="53" t="s">
        <v>2064</v>
      </c>
      <c r="P402" s="53" t="s">
        <v>2065</v>
      </c>
      <c r="Q402" s="53" t="str">
        <f t="shared" si="13"/>
        <v>DENTRO DEL TIEMPO</v>
      </c>
      <c r="R402" s="56"/>
    </row>
    <row r="403" spans="1:19" ht="51" x14ac:dyDescent="0.25">
      <c r="A403" s="49">
        <v>397</v>
      </c>
      <c r="B403" s="50" t="s">
        <v>3404</v>
      </c>
      <c r="C403" s="51">
        <v>44638</v>
      </c>
      <c r="D403" s="51">
        <v>44638</v>
      </c>
      <c r="E403" s="49">
        <v>2</v>
      </c>
      <c r="F403" s="52" t="s">
        <v>22</v>
      </c>
      <c r="G403" s="53" t="s">
        <v>3405</v>
      </c>
      <c r="H403" s="53" t="s">
        <v>24</v>
      </c>
      <c r="I403" s="53" t="s">
        <v>3405</v>
      </c>
      <c r="J403" s="51">
        <v>44643</v>
      </c>
      <c r="K403" s="51">
        <v>44643</v>
      </c>
      <c r="L403" s="54">
        <f t="shared" si="12"/>
        <v>3</v>
      </c>
      <c r="M403" s="59" t="s">
        <v>3406</v>
      </c>
      <c r="N403" s="53" t="s">
        <v>26</v>
      </c>
      <c r="O403" s="53" t="s">
        <v>3407</v>
      </c>
      <c r="P403" s="53" t="s">
        <v>3408</v>
      </c>
      <c r="Q403" s="53" t="str">
        <f t="shared" si="13"/>
        <v>DENTRO DEL TIEMPO</v>
      </c>
      <c r="R403" s="56"/>
    </row>
    <row r="404" spans="1:19" ht="51" x14ac:dyDescent="0.25">
      <c r="A404" s="49">
        <v>398</v>
      </c>
      <c r="B404" s="50" t="s">
        <v>3409</v>
      </c>
      <c r="C404" s="51">
        <v>44638</v>
      </c>
      <c r="D404" s="51">
        <v>44638</v>
      </c>
      <c r="E404" s="49">
        <v>2</v>
      </c>
      <c r="F404" s="52" t="s">
        <v>22</v>
      </c>
      <c r="G404" s="53" t="s">
        <v>3405</v>
      </c>
      <c r="H404" s="53" t="s">
        <v>24</v>
      </c>
      <c r="I404" s="53" t="s">
        <v>3405</v>
      </c>
      <c r="J404" s="51">
        <v>44643</v>
      </c>
      <c r="K404" s="51">
        <v>44643</v>
      </c>
      <c r="L404" s="54">
        <f t="shared" si="12"/>
        <v>3</v>
      </c>
      <c r="M404" s="59" t="s">
        <v>3410</v>
      </c>
      <c r="N404" s="53" t="s">
        <v>26</v>
      </c>
      <c r="O404" s="53" t="s">
        <v>3407</v>
      </c>
      <c r="P404" s="53" t="s">
        <v>3408</v>
      </c>
      <c r="Q404" s="53" t="str">
        <f t="shared" si="13"/>
        <v>DENTRO DEL TIEMPO</v>
      </c>
      <c r="R404" s="56"/>
    </row>
    <row r="405" spans="1:19" ht="54.75" customHeight="1" x14ac:dyDescent="0.25">
      <c r="A405" s="49">
        <v>399</v>
      </c>
      <c r="B405" s="50" t="s">
        <v>3411</v>
      </c>
      <c r="C405" s="51">
        <v>44616</v>
      </c>
      <c r="D405" s="51">
        <v>44643</v>
      </c>
      <c r="E405" s="49">
        <v>2</v>
      </c>
      <c r="F405" s="52" t="s">
        <v>22</v>
      </c>
      <c r="G405" s="53" t="s">
        <v>721</v>
      </c>
      <c r="H405" s="53" t="s">
        <v>24</v>
      </c>
      <c r="I405" s="53" t="s">
        <v>721</v>
      </c>
      <c r="J405" s="51">
        <v>44644</v>
      </c>
      <c r="K405" s="51">
        <v>44644</v>
      </c>
      <c r="L405" s="54">
        <f t="shared" si="12"/>
        <v>1</v>
      </c>
      <c r="M405" s="59" t="s">
        <v>3412</v>
      </c>
      <c r="N405" s="53" t="s">
        <v>26</v>
      </c>
      <c r="O405" s="53" t="s">
        <v>3413</v>
      </c>
      <c r="P405" s="53" t="s">
        <v>3414</v>
      </c>
      <c r="Q405" s="53" t="str">
        <f t="shared" si="13"/>
        <v>DENTRO DEL TIEMPO</v>
      </c>
      <c r="R405" s="56"/>
    </row>
    <row r="406" spans="1:19" ht="63.75" x14ac:dyDescent="0.25">
      <c r="A406" s="49">
        <v>400</v>
      </c>
      <c r="B406" s="50" t="s">
        <v>1756</v>
      </c>
      <c r="C406" s="51">
        <v>44609</v>
      </c>
      <c r="D406" s="51">
        <v>44648</v>
      </c>
      <c r="E406" s="49">
        <v>2</v>
      </c>
      <c r="F406" s="52" t="s">
        <v>22</v>
      </c>
      <c r="G406" s="53" t="s">
        <v>721</v>
      </c>
      <c r="H406" s="53" t="s">
        <v>24</v>
      </c>
      <c r="I406" s="53" t="s">
        <v>721</v>
      </c>
      <c r="J406" s="51">
        <v>44644</v>
      </c>
      <c r="K406" s="51">
        <v>44644</v>
      </c>
      <c r="L406" s="54">
        <f t="shared" si="12"/>
        <v>-4</v>
      </c>
      <c r="M406" s="59" t="s">
        <v>3415</v>
      </c>
      <c r="N406" s="53" t="s">
        <v>26</v>
      </c>
      <c r="O406" s="53" t="s">
        <v>3416</v>
      </c>
      <c r="P406" s="53" t="s">
        <v>1761</v>
      </c>
      <c r="Q406" s="53" t="str">
        <f t="shared" si="13"/>
        <v>DENTRO DEL TIEMPO</v>
      </c>
      <c r="R406" s="56"/>
    </row>
    <row r="407" spans="1:19" ht="48.75" x14ac:dyDescent="0.25">
      <c r="A407" s="49">
        <v>401</v>
      </c>
      <c r="B407" s="50" t="s">
        <v>1887</v>
      </c>
      <c r="C407" s="51">
        <v>44614</v>
      </c>
      <c r="D407" s="51">
        <v>44649</v>
      </c>
      <c r="E407" s="49">
        <v>2</v>
      </c>
      <c r="F407" s="52" t="s">
        <v>22</v>
      </c>
      <c r="G407" s="53" t="s">
        <v>721</v>
      </c>
      <c r="H407" s="53" t="s">
        <v>24</v>
      </c>
      <c r="I407" s="4" t="s">
        <v>721</v>
      </c>
      <c r="J407" s="51">
        <v>44649</v>
      </c>
      <c r="K407" s="51">
        <v>44649</v>
      </c>
      <c r="L407" s="54">
        <f t="shared" si="12"/>
        <v>0</v>
      </c>
      <c r="M407" s="59" t="s">
        <v>3417</v>
      </c>
      <c r="N407" s="53"/>
      <c r="O407" s="4" t="s">
        <v>1885</v>
      </c>
      <c r="P407" s="53" t="s">
        <v>2849</v>
      </c>
      <c r="Q407" s="53" t="str">
        <f t="shared" si="13"/>
        <v>DENTRO DEL TIEMPO</v>
      </c>
      <c r="R407" s="56"/>
    </row>
    <row r="408" spans="1:19" ht="51" x14ac:dyDescent="0.25">
      <c r="A408" s="49">
        <v>402</v>
      </c>
      <c r="B408" s="50" t="s">
        <v>3418</v>
      </c>
      <c r="C408" s="51">
        <v>44622</v>
      </c>
      <c r="D408" s="51">
        <v>44649</v>
      </c>
      <c r="E408" s="49">
        <v>15</v>
      </c>
      <c r="F408" s="52" t="s">
        <v>22</v>
      </c>
      <c r="G408" s="53" t="s">
        <v>3419</v>
      </c>
      <c r="H408" s="53" t="s">
        <v>2248</v>
      </c>
      <c r="I408" s="53" t="s">
        <v>1240</v>
      </c>
      <c r="J408" s="51">
        <v>44649</v>
      </c>
      <c r="K408" s="51">
        <v>44649</v>
      </c>
      <c r="L408" s="54">
        <f t="shared" si="12"/>
        <v>0</v>
      </c>
      <c r="M408" s="59" t="s">
        <v>3420</v>
      </c>
      <c r="N408" s="53" t="s">
        <v>1242</v>
      </c>
      <c r="O408" s="53" t="s">
        <v>3421</v>
      </c>
      <c r="P408" s="53" t="s">
        <v>3422</v>
      </c>
      <c r="Q408" s="53" t="str">
        <f t="shared" si="13"/>
        <v>DENTRO DEL TIEMPO</v>
      </c>
      <c r="R408" s="56"/>
    </row>
    <row r="409" spans="1:19" ht="51" x14ac:dyDescent="0.25">
      <c r="A409" s="49">
        <v>403</v>
      </c>
      <c r="B409" s="50" t="s">
        <v>3423</v>
      </c>
      <c r="C409" s="51">
        <v>44630</v>
      </c>
      <c r="D409" s="51">
        <v>44649</v>
      </c>
      <c r="E409" s="49">
        <v>5</v>
      </c>
      <c r="F409" s="52" t="s">
        <v>22</v>
      </c>
      <c r="G409" s="53" t="s">
        <v>3419</v>
      </c>
      <c r="H409" s="53" t="s">
        <v>2248</v>
      </c>
      <c r="I409" s="53" t="s">
        <v>1240</v>
      </c>
      <c r="J409" s="51">
        <v>44649</v>
      </c>
      <c r="K409" s="51">
        <v>44649</v>
      </c>
      <c r="L409" s="54">
        <f t="shared" si="12"/>
        <v>0</v>
      </c>
      <c r="M409" s="59" t="s">
        <v>3424</v>
      </c>
      <c r="N409" s="53" t="s">
        <v>1242</v>
      </c>
      <c r="O409" s="53" t="s">
        <v>3425</v>
      </c>
      <c r="P409" s="53" t="s">
        <v>3426</v>
      </c>
      <c r="Q409" s="53" t="str">
        <f t="shared" si="13"/>
        <v>DENTRO DEL TIEMPO</v>
      </c>
      <c r="R409" s="56"/>
    </row>
    <row r="410" spans="1:19" ht="51" x14ac:dyDescent="0.25">
      <c r="A410" s="49">
        <v>404</v>
      </c>
      <c r="B410" s="50" t="s">
        <v>3427</v>
      </c>
      <c r="C410" s="51">
        <v>44641</v>
      </c>
      <c r="D410" s="51">
        <v>44650</v>
      </c>
      <c r="E410" s="49">
        <v>1</v>
      </c>
      <c r="F410" s="52" t="s">
        <v>22</v>
      </c>
      <c r="G410" s="53" t="s">
        <v>3419</v>
      </c>
      <c r="H410" s="53" t="s">
        <v>2248</v>
      </c>
      <c r="I410" s="53" t="s">
        <v>1240</v>
      </c>
      <c r="J410" s="51">
        <v>44650</v>
      </c>
      <c r="K410" s="51">
        <v>44650</v>
      </c>
      <c r="L410" s="54">
        <f t="shared" si="12"/>
        <v>0</v>
      </c>
      <c r="M410" s="59" t="s">
        <v>3428</v>
      </c>
      <c r="N410" s="53" t="s">
        <v>1242</v>
      </c>
      <c r="O410" s="53" t="s">
        <v>3429</v>
      </c>
      <c r="P410" s="53" t="s">
        <v>3430</v>
      </c>
      <c r="Q410" s="53" t="str">
        <f t="shared" si="13"/>
        <v>DENTRO DEL TIEMPO</v>
      </c>
      <c r="R410" s="56"/>
      <c r="S410" s="62"/>
    </row>
    <row r="411" spans="1:19" ht="51" x14ac:dyDescent="0.25">
      <c r="A411" s="49">
        <v>405</v>
      </c>
      <c r="B411" s="50" t="s">
        <v>3431</v>
      </c>
      <c r="C411" s="51">
        <v>44645</v>
      </c>
      <c r="D411" s="51">
        <v>44651</v>
      </c>
      <c r="E411" s="49">
        <v>31</v>
      </c>
      <c r="F411" s="52" t="s">
        <v>22</v>
      </c>
      <c r="G411" s="53" t="s">
        <v>3419</v>
      </c>
      <c r="H411" s="53" t="s">
        <v>2248</v>
      </c>
      <c r="I411" s="53" t="s">
        <v>1240</v>
      </c>
      <c r="J411" s="51">
        <v>44669</v>
      </c>
      <c r="K411" s="51">
        <v>44669</v>
      </c>
      <c r="L411" s="54">
        <f t="shared" si="12"/>
        <v>12</v>
      </c>
      <c r="M411" s="59" t="s">
        <v>3432</v>
      </c>
      <c r="N411" s="53" t="s">
        <v>1242</v>
      </c>
      <c r="O411" s="53" t="s">
        <v>3433</v>
      </c>
      <c r="P411" s="53" t="s">
        <v>3434</v>
      </c>
      <c r="Q411" s="53" t="str">
        <f t="shared" si="13"/>
        <v>DENTRO DEL TIEMPO</v>
      </c>
      <c r="R411" s="56"/>
    </row>
    <row r="412" spans="1:19" ht="51" x14ac:dyDescent="0.25">
      <c r="A412" s="49">
        <v>406</v>
      </c>
      <c r="B412" s="50" t="s">
        <v>3435</v>
      </c>
      <c r="C412" s="51">
        <v>44623</v>
      </c>
      <c r="D412" s="51">
        <v>44623</v>
      </c>
      <c r="E412" s="49">
        <v>2</v>
      </c>
      <c r="F412" s="52" t="s">
        <v>22</v>
      </c>
      <c r="G412" s="53" t="s">
        <v>2177</v>
      </c>
      <c r="H412" s="53" t="s">
        <v>2255</v>
      </c>
      <c r="I412" s="53" t="s">
        <v>1022</v>
      </c>
      <c r="J412" s="51">
        <v>44623</v>
      </c>
      <c r="K412" s="51">
        <v>44623</v>
      </c>
      <c r="L412" s="54">
        <f t="shared" si="12"/>
        <v>0</v>
      </c>
      <c r="M412" s="59" t="s">
        <v>3436</v>
      </c>
      <c r="N412" s="53" t="s">
        <v>1025</v>
      </c>
      <c r="O412" s="53" t="s">
        <v>3437</v>
      </c>
      <c r="P412" s="53" t="s">
        <v>3438</v>
      </c>
      <c r="Q412" s="53" t="str">
        <f t="shared" si="13"/>
        <v>DENTRO DEL TIEMPO</v>
      </c>
      <c r="R412" s="56"/>
    </row>
    <row r="413" spans="1:19" ht="51" x14ac:dyDescent="0.25">
      <c r="A413" s="49">
        <v>407</v>
      </c>
      <c r="B413" s="50" t="s">
        <v>3439</v>
      </c>
      <c r="C413" s="51">
        <v>44627</v>
      </c>
      <c r="D413" s="51">
        <v>44627</v>
      </c>
      <c r="E413" s="49">
        <v>2</v>
      </c>
      <c r="F413" s="52" t="s">
        <v>22</v>
      </c>
      <c r="G413" s="53" t="s">
        <v>2171</v>
      </c>
      <c r="H413" s="53" t="s">
        <v>2255</v>
      </c>
      <c r="I413" s="53" t="s">
        <v>1072</v>
      </c>
      <c r="J413" s="51">
        <v>44627</v>
      </c>
      <c r="K413" s="51" t="s">
        <v>3440</v>
      </c>
      <c r="L413" s="54" t="e">
        <f t="shared" si="12"/>
        <v>#VALUE!</v>
      </c>
      <c r="M413" s="59" t="s">
        <v>3441</v>
      </c>
      <c r="N413" s="53" t="s">
        <v>1025</v>
      </c>
      <c r="O413" s="53" t="s">
        <v>3442</v>
      </c>
      <c r="P413" s="53" t="s">
        <v>3443</v>
      </c>
      <c r="Q413" s="53" t="e">
        <f t="shared" si="13"/>
        <v>#VALUE!</v>
      </c>
      <c r="R413" s="56"/>
    </row>
    <row r="414" spans="1:19" ht="51" x14ac:dyDescent="0.25">
      <c r="A414" s="49">
        <v>408</v>
      </c>
      <c r="B414" s="50" t="s">
        <v>3444</v>
      </c>
      <c r="C414" s="51">
        <v>44627</v>
      </c>
      <c r="D414" s="51">
        <v>44627</v>
      </c>
      <c r="E414" s="49">
        <v>2</v>
      </c>
      <c r="F414" s="52" t="s">
        <v>22</v>
      </c>
      <c r="G414" s="53" t="s">
        <v>2171</v>
      </c>
      <c r="H414" s="53" t="s">
        <v>2255</v>
      </c>
      <c r="I414" s="53" t="s">
        <v>1072</v>
      </c>
      <c r="J414" s="51">
        <v>44627</v>
      </c>
      <c r="K414" s="51" t="s">
        <v>3445</v>
      </c>
      <c r="L414" s="54" t="e">
        <f t="shared" si="12"/>
        <v>#VALUE!</v>
      </c>
      <c r="M414" s="59" t="s">
        <v>3446</v>
      </c>
      <c r="N414" s="53" t="s">
        <v>1025</v>
      </c>
      <c r="O414" s="53" t="s">
        <v>3447</v>
      </c>
      <c r="P414" s="53" t="s">
        <v>3448</v>
      </c>
      <c r="Q414" s="53" t="e">
        <f t="shared" si="13"/>
        <v>#VALUE!</v>
      </c>
      <c r="R414" s="56"/>
    </row>
    <row r="415" spans="1:19" ht="51" x14ac:dyDescent="0.25">
      <c r="A415" s="49">
        <v>409</v>
      </c>
      <c r="B415" s="50" t="s">
        <v>3449</v>
      </c>
      <c r="C415" s="51">
        <v>44627</v>
      </c>
      <c r="D415" s="51">
        <v>44627</v>
      </c>
      <c r="E415" s="49">
        <v>2</v>
      </c>
      <c r="F415" s="52" t="s">
        <v>22</v>
      </c>
      <c r="G415" s="53" t="s">
        <v>2177</v>
      </c>
      <c r="H415" s="53" t="s">
        <v>2255</v>
      </c>
      <c r="I415" s="53" t="s">
        <v>1022</v>
      </c>
      <c r="J415" s="51">
        <v>44627</v>
      </c>
      <c r="K415" s="51" t="s">
        <v>3450</v>
      </c>
      <c r="L415" s="54" t="e">
        <f t="shared" si="12"/>
        <v>#VALUE!</v>
      </c>
      <c r="M415" s="59" t="s">
        <v>3451</v>
      </c>
      <c r="N415" s="53" t="s">
        <v>1025</v>
      </c>
      <c r="O415" s="53" t="s">
        <v>3452</v>
      </c>
      <c r="P415" s="53" t="s">
        <v>3453</v>
      </c>
      <c r="Q415" s="53" t="e">
        <f t="shared" si="13"/>
        <v>#VALUE!</v>
      </c>
      <c r="R415" s="56"/>
    </row>
    <row r="416" spans="1:19" ht="51" x14ac:dyDescent="0.25">
      <c r="A416" s="49">
        <v>410</v>
      </c>
      <c r="B416" s="50" t="s">
        <v>3454</v>
      </c>
      <c r="C416" s="51">
        <v>44630</v>
      </c>
      <c r="D416" s="51">
        <v>44630</v>
      </c>
      <c r="E416" s="49">
        <v>2</v>
      </c>
      <c r="F416" s="52" t="s">
        <v>22</v>
      </c>
      <c r="G416" s="53" t="s">
        <v>2171</v>
      </c>
      <c r="H416" s="53" t="s">
        <v>2255</v>
      </c>
      <c r="I416" s="53" t="s">
        <v>1072</v>
      </c>
      <c r="J416" s="51">
        <v>44630</v>
      </c>
      <c r="K416" s="51">
        <v>44630</v>
      </c>
      <c r="L416" s="54">
        <f t="shared" si="12"/>
        <v>0</v>
      </c>
      <c r="M416" s="59" t="s">
        <v>3455</v>
      </c>
      <c r="N416" s="53" t="s">
        <v>1039</v>
      </c>
      <c r="O416" s="53" t="s">
        <v>3456</v>
      </c>
      <c r="P416" s="53" t="s">
        <v>3457</v>
      </c>
      <c r="Q416" s="53" t="str">
        <f t="shared" si="13"/>
        <v>DENTRO DEL TIEMPO</v>
      </c>
      <c r="R416" s="56"/>
    </row>
    <row r="417" spans="1:18" ht="51" x14ac:dyDescent="0.25">
      <c r="A417" s="49">
        <v>411</v>
      </c>
      <c r="B417" s="50" t="s">
        <v>3458</v>
      </c>
      <c r="C417" s="51">
        <v>44631</v>
      </c>
      <c r="D417" s="51">
        <v>44635</v>
      </c>
      <c r="E417" s="49">
        <v>2</v>
      </c>
      <c r="F417" s="52" t="s">
        <v>22</v>
      </c>
      <c r="G417" s="53" t="s">
        <v>2171</v>
      </c>
      <c r="H417" s="53" t="s">
        <v>2255</v>
      </c>
      <c r="I417" s="53" t="s">
        <v>1072</v>
      </c>
      <c r="J417" s="51">
        <v>44635</v>
      </c>
      <c r="K417" s="51">
        <v>44635</v>
      </c>
      <c r="L417" s="54">
        <f t="shared" si="12"/>
        <v>0</v>
      </c>
      <c r="M417" s="59" t="s">
        <v>3459</v>
      </c>
      <c r="N417" s="53" t="s">
        <v>1025</v>
      </c>
      <c r="O417" s="53" t="s">
        <v>3460</v>
      </c>
      <c r="P417" s="53" t="s">
        <v>3461</v>
      </c>
      <c r="Q417" s="53" t="str">
        <f t="shared" si="13"/>
        <v>DENTRO DEL TIEMPO</v>
      </c>
      <c r="R417" s="56"/>
    </row>
    <row r="418" spans="1:18" ht="51" x14ac:dyDescent="0.25">
      <c r="A418" s="49">
        <v>412</v>
      </c>
      <c r="B418" s="50" t="s">
        <v>3462</v>
      </c>
      <c r="C418" s="51">
        <v>44635</v>
      </c>
      <c r="D418" s="51">
        <v>44635</v>
      </c>
      <c r="E418" s="49">
        <v>2</v>
      </c>
      <c r="F418" s="52" t="s">
        <v>22</v>
      </c>
      <c r="G418" s="53" t="s">
        <v>2171</v>
      </c>
      <c r="H418" s="53" t="s">
        <v>2255</v>
      </c>
      <c r="I418" s="53" t="s">
        <v>1072</v>
      </c>
      <c r="J418" s="51">
        <v>44635</v>
      </c>
      <c r="K418" s="51">
        <v>44635</v>
      </c>
      <c r="L418" s="54">
        <f t="shared" si="12"/>
        <v>0</v>
      </c>
      <c r="M418" s="59" t="s">
        <v>3463</v>
      </c>
      <c r="N418" s="53" t="s">
        <v>1025</v>
      </c>
      <c r="O418" s="53" t="s">
        <v>3464</v>
      </c>
      <c r="P418" s="53" t="s">
        <v>3453</v>
      </c>
      <c r="Q418" s="53" t="str">
        <f t="shared" si="13"/>
        <v>DENTRO DEL TIEMPO</v>
      </c>
      <c r="R418" s="56"/>
    </row>
    <row r="419" spans="1:18" ht="51" x14ac:dyDescent="0.25">
      <c r="A419" s="49">
        <v>413</v>
      </c>
      <c r="B419" s="50" t="s">
        <v>3465</v>
      </c>
      <c r="C419" s="51">
        <v>44637</v>
      </c>
      <c r="D419" s="51">
        <v>44637</v>
      </c>
      <c r="E419" s="49">
        <v>2</v>
      </c>
      <c r="F419" s="52" t="s">
        <v>22</v>
      </c>
      <c r="G419" s="53" t="s">
        <v>2171</v>
      </c>
      <c r="H419" s="53" t="s">
        <v>2255</v>
      </c>
      <c r="I419" s="53" t="s">
        <v>1072</v>
      </c>
      <c r="J419" s="51">
        <v>44637</v>
      </c>
      <c r="K419" s="51">
        <v>44637</v>
      </c>
      <c r="L419" s="54">
        <f t="shared" si="12"/>
        <v>0</v>
      </c>
      <c r="M419" s="59" t="s">
        <v>3466</v>
      </c>
      <c r="N419" s="53" t="s">
        <v>1025</v>
      </c>
      <c r="O419" s="53" t="s">
        <v>3467</v>
      </c>
      <c r="P419" s="53" t="s">
        <v>3468</v>
      </c>
      <c r="Q419" s="53" t="str">
        <f t="shared" si="13"/>
        <v>DENTRO DEL TIEMPO</v>
      </c>
      <c r="R419" s="56"/>
    </row>
    <row r="420" spans="1:18" ht="51" x14ac:dyDescent="0.25">
      <c r="A420" s="49">
        <v>414</v>
      </c>
      <c r="B420" s="50" t="s">
        <v>3469</v>
      </c>
      <c r="C420" s="51">
        <v>44636</v>
      </c>
      <c r="D420" s="51">
        <v>44637</v>
      </c>
      <c r="E420" s="49">
        <v>94</v>
      </c>
      <c r="F420" s="52" t="s">
        <v>22</v>
      </c>
      <c r="G420" s="53" t="s">
        <v>2177</v>
      </c>
      <c r="H420" s="53" t="s">
        <v>2255</v>
      </c>
      <c r="I420" s="53" t="s">
        <v>1022</v>
      </c>
      <c r="J420" s="51">
        <v>44637</v>
      </c>
      <c r="K420" s="51">
        <v>44637</v>
      </c>
      <c r="L420" s="54">
        <f t="shared" si="12"/>
        <v>0</v>
      </c>
      <c r="M420" s="59" t="s">
        <v>3470</v>
      </c>
      <c r="N420" s="53" t="s">
        <v>1025</v>
      </c>
      <c r="O420" s="53" t="s">
        <v>2365</v>
      </c>
      <c r="P420" s="53" t="s">
        <v>3471</v>
      </c>
      <c r="Q420" s="53" t="str">
        <f t="shared" si="13"/>
        <v>DENTRO DEL TIEMPO</v>
      </c>
      <c r="R420" s="56"/>
    </row>
    <row r="421" spans="1:18" ht="51" x14ac:dyDescent="0.25">
      <c r="A421" s="49">
        <v>415</v>
      </c>
      <c r="B421" s="50" t="s">
        <v>3472</v>
      </c>
      <c r="C421" s="51">
        <v>44637</v>
      </c>
      <c r="D421" s="51">
        <v>44638</v>
      </c>
      <c r="E421" s="49">
        <v>2</v>
      </c>
      <c r="F421" s="52" t="s">
        <v>22</v>
      </c>
      <c r="G421" s="53" t="s">
        <v>2171</v>
      </c>
      <c r="H421" s="53" t="s">
        <v>2255</v>
      </c>
      <c r="I421" s="53" t="s">
        <v>1072</v>
      </c>
      <c r="J421" s="51" t="s">
        <v>3473</v>
      </c>
      <c r="K421" s="51">
        <v>44638</v>
      </c>
      <c r="L421" s="54">
        <f t="shared" si="12"/>
        <v>0</v>
      </c>
      <c r="M421" s="59" t="s">
        <v>3474</v>
      </c>
      <c r="N421" s="53" t="s">
        <v>1025</v>
      </c>
      <c r="O421" s="53" t="s">
        <v>3452</v>
      </c>
      <c r="P421" s="53" t="s">
        <v>3453</v>
      </c>
      <c r="Q421" s="53" t="str">
        <f t="shared" si="13"/>
        <v>DENTRO DEL TIEMPO</v>
      </c>
      <c r="R421" s="56"/>
    </row>
    <row r="422" spans="1:18" ht="51" x14ac:dyDescent="0.25">
      <c r="A422" s="49">
        <v>416</v>
      </c>
      <c r="B422" s="50" t="s">
        <v>3475</v>
      </c>
      <c r="C422" s="51">
        <v>44631</v>
      </c>
      <c r="D422" s="51">
        <v>44642</v>
      </c>
      <c r="E422" s="49">
        <v>2</v>
      </c>
      <c r="F422" s="52" t="s">
        <v>22</v>
      </c>
      <c r="G422" s="53" t="s">
        <v>2177</v>
      </c>
      <c r="H422" s="53" t="s">
        <v>2255</v>
      </c>
      <c r="I422" s="53" t="s">
        <v>1022</v>
      </c>
      <c r="J422" s="51">
        <v>44642</v>
      </c>
      <c r="K422" s="51">
        <v>44614</v>
      </c>
      <c r="L422" s="54">
        <f t="shared" si="12"/>
        <v>-22</v>
      </c>
      <c r="M422" s="59" t="s">
        <v>3476</v>
      </c>
      <c r="N422" s="53" t="s">
        <v>1025</v>
      </c>
      <c r="O422" s="53" t="s">
        <v>3477</v>
      </c>
      <c r="P422" s="53" t="s">
        <v>3478</v>
      </c>
      <c r="Q422" s="53" t="str">
        <f t="shared" si="13"/>
        <v>DENTRO DEL TIEMPO</v>
      </c>
      <c r="R422" s="56"/>
    </row>
    <row r="423" spans="1:18" ht="51" x14ac:dyDescent="0.25">
      <c r="A423" s="49">
        <v>417</v>
      </c>
      <c r="B423" s="50" t="s">
        <v>3479</v>
      </c>
      <c r="C423" s="51">
        <v>44644</v>
      </c>
      <c r="D423" s="51">
        <v>44644</v>
      </c>
      <c r="E423" s="49">
        <v>24</v>
      </c>
      <c r="F423" s="52" t="s">
        <v>22</v>
      </c>
      <c r="G423" s="53" t="s">
        <v>2177</v>
      </c>
      <c r="H423" s="53" t="s">
        <v>2255</v>
      </c>
      <c r="I423" s="53" t="s">
        <v>1022</v>
      </c>
      <c r="J423" s="51">
        <v>44644</v>
      </c>
      <c r="K423" s="51">
        <v>44644</v>
      </c>
      <c r="L423" s="54">
        <f t="shared" si="12"/>
        <v>0</v>
      </c>
      <c r="M423" s="59" t="s">
        <v>3480</v>
      </c>
      <c r="N423" s="53" t="s">
        <v>1025</v>
      </c>
      <c r="O423" s="53" t="s">
        <v>3481</v>
      </c>
      <c r="P423" s="53" t="s">
        <v>3482</v>
      </c>
      <c r="Q423" s="53" t="str">
        <f t="shared" si="13"/>
        <v>DENTRO DEL TIEMPO</v>
      </c>
      <c r="R423" s="56"/>
    </row>
    <row r="424" spans="1:18" ht="51" x14ac:dyDescent="0.25">
      <c r="A424" s="49">
        <v>418</v>
      </c>
      <c r="B424" s="50" t="s">
        <v>3483</v>
      </c>
      <c r="C424" s="51">
        <v>44643</v>
      </c>
      <c r="D424" s="51">
        <v>44643</v>
      </c>
      <c r="E424" s="49">
        <v>2</v>
      </c>
      <c r="F424" s="52" t="s">
        <v>22</v>
      </c>
      <c r="G424" s="53" t="s">
        <v>2171</v>
      </c>
      <c r="H424" s="53" t="s">
        <v>2255</v>
      </c>
      <c r="I424" s="53" t="s">
        <v>1072</v>
      </c>
      <c r="J424" s="51">
        <v>44645</v>
      </c>
      <c r="K424" s="51">
        <v>44645</v>
      </c>
      <c r="L424" s="54">
        <f t="shared" si="12"/>
        <v>2</v>
      </c>
      <c r="M424" s="59" t="s">
        <v>3484</v>
      </c>
      <c r="N424" s="53" t="s">
        <v>1025</v>
      </c>
      <c r="O424" s="53" t="s">
        <v>3485</v>
      </c>
      <c r="P424" s="53" t="s">
        <v>3453</v>
      </c>
      <c r="Q424" s="53" t="str">
        <f t="shared" si="13"/>
        <v>DENTRO DEL TIEMPO</v>
      </c>
      <c r="R424" s="56"/>
    </row>
    <row r="425" spans="1:18" ht="51" x14ac:dyDescent="0.25">
      <c r="A425" s="49">
        <v>419</v>
      </c>
      <c r="B425" s="50" t="s">
        <v>3486</v>
      </c>
      <c r="C425" s="51">
        <v>44645</v>
      </c>
      <c r="D425" s="51">
        <v>44645</v>
      </c>
      <c r="E425" s="49">
        <v>2</v>
      </c>
      <c r="F425" s="52" t="s">
        <v>22</v>
      </c>
      <c r="G425" s="53" t="s">
        <v>2171</v>
      </c>
      <c r="H425" s="53" t="s">
        <v>2255</v>
      </c>
      <c r="I425" s="53" t="s">
        <v>1072</v>
      </c>
      <c r="J425" s="51">
        <v>44645</v>
      </c>
      <c r="K425" s="51">
        <v>44645</v>
      </c>
      <c r="L425" s="54">
        <f t="shared" si="12"/>
        <v>0</v>
      </c>
      <c r="M425" s="59" t="s">
        <v>3487</v>
      </c>
      <c r="N425" s="53" t="s">
        <v>1025</v>
      </c>
      <c r="O425" s="53" t="s">
        <v>54</v>
      </c>
      <c r="P425" s="53" t="s">
        <v>1033</v>
      </c>
      <c r="Q425" s="53" t="str">
        <f t="shared" si="13"/>
        <v>DENTRO DEL TIEMPO</v>
      </c>
      <c r="R425" s="56"/>
    </row>
    <row r="426" spans="1:18" ht="51" x14ac:dyDescent="0.25">
      <c r="A426" s="49">
        <v>420</v>
      </c>
      <c r="B426" s="50" t="s">
        <v>3488</v>
      </c>
      <c r="C426" s="51">
        <v>44645</v>
      </c>
      <c r="D426" s="51">
        <v>44645</v>
      </c>
      <c r="E426" s="49">
        <v>2</v>
      </c>
      <c r="F426" s="52" t="s">
        <v>22</v>
      </c>
      <c r="G426" s="53" t="s">
        <v>2171</v>
      </c>
      <c r="H426" s="53" t="s">
        <v>2255</v>
      </c>
      <c r="I426" s="53" t="s">
        <v>1072</v>
      </c>
      <c r="J426" s="51">
        <v>44645</v>
      </c>
      <c r="K426" s="51">
        <v>44645</v>
      </c>
      <c r="L426" s="54">
        <f t="shared" si="12"/>
        <v>0</v>
      </c>
      <c r="M426" s="59" t="s">
        <v>3489</v>
      </c>
      <c r="N426" s="53" t="s">
        <v>1025</v>
      </c>
      <c r="O426" s="53" t="s">
        <v>54</v>
      </c>
      <c r="P426" s="53" t="s">
        <v>1033</v>
      </c>
      <c r="Q426" s="53" t="str">
        <f t="shared" si="13"/>
        <v>DENTRO DEL TIEMPO</v>
      </c>
      <c r="R426" s="56"/>
    </row>
    <row r="427" spans="1:18" ht="51" x14ac:dyDescent="0.25">
      <c r="A427" s="49">
        <v>421</v>
      </c>
      <c r="B427" s="50" t="s">
        <v>3490</v>
      </c>
      <c r="C427" s="51">
        <v>44649</v>
      </c>
      <c r="D427" s="51">
        <v>44649</v>
      </c>
      <c r="E427" s="49">
        <v>2</v>
      </c>
      <c r="F427" s="52" t="s">
        <v>22</v>
      </c>
      <c r="G427" s="53" t="s">
        <v>2171</v>
      </c>
      <c r="H427" s="53" t="s">
        <v>2255</v>
      </c>
      <c r="I427" s="53" t="s">
        <v>1072</v>
      </c>
      <c r="J427" s="51">
        <v>44649</v>
      </c>
      <c r="K427" s="51">
        <v>44649</v>
      </c>
      <c r="L427" s="54">
        <f t="shared" si="12"/>
        <v>0</v>
      </c>
      <c r="M427" s="59" t="s">
        <v>3491</v>
      </c>
      <c r="N427" s="53" t="s">
        <v>1025</v>
      </c>
      <c r="O427" s="53" t="s">
        <v>3464</v>
      </c>
      <c r="P427" s="53" t="s">
        <v>3453</v>
      </c>
      <c r="Q427" s="53" t="str">
        <f t="shared" si="13"/>
        <v>DENTRO DEL TIEMPO</v>
      </c>
      <c r="R427" s="56"/>
    </row>
    <row r="428" spans="1:18" ht="51" x14ac:dyDescent="0.25">
      <c r="A428" s="49">
        <v>422</v>
      </c>
      <c r="B428" s="50" t="s">
        <v>3492</v>
      </c>
      <c r="C428" s="51">
        <v>44649</v>
      </c>
      <c r="D428" s="51">
        <v>44649</v>
      </c>
      <c r="E428" s="49">
        <v>2</v>
      </c>
      <c r="F428" s="52" t="s">
        <v>22</v>
      </c>
      <c r="G428" s="53" t="s">
        <v>2171</v>
      </c>
      <c r="H428" s="53" t="s">
        <v>2255</v>
      </c>
      <c r="I428" s="53" t="s">
        <v>1072</v>
      </c>
      <c r="J428" s="51">
        <v>44649</v>
      </c>
      <c r="K428" s="51">
        <v>44649</v>
      </c>
      <c r="L428" s="54">
        <f t="shared" si="12"/>
        <v>0</v>
      </c>
      <c r="M428" s="59" t="s">
        <v>3493</v>
      </c>
      <c r="N428" s="53" t="s">
        <v>1025</v>
      </c>
      <c r="O428" s="53" t="s">
        <v>3464</v>
      </c>
      <c r="P428" s="53" t="s">
        <v>3453</v>
      </c>
      <c r="Q428" s="53" t="str">
        <f t="shared" si="13"/>
        <v>DENTRO DEL TIEMPO</v>
      </c>
      <c r="R428" s="56"/>
    </row>
    <row r="429" spans="1:18" ht="51" x14ac:dyDescent="0.25">
      <c r="A429" s="49">
        <v>423</v>
      </c>
      <c r="B429" s="50" t="s">
        <v>3494</v>
      </c>
      <c r="C429" s="51">
        <v>44649</v>
      </c>
      <c r="D429" s="51">
        <v>44649</v>
      </c>
      <c r="E429" s="49">
        <v>2</v>
      </c>
      <c r="F429" s="52" t="s">
        <v>22</v>
      </c>
      <c r="G429" s="53" t="s">
        <v>2171</v>
      </c>
      <c r="H429" s="53" t="s">
        <v>2255</v>
      </c>
      <c r="I429" s="53" t="s">
        <v>1072</v>
      </c>
      <c r="J429" s="51">
        <v>44649</v>
      </c>
      <c r="K429" s="51">
        <v>44649</v>
      </c>
      <c r="L429" s="54">
        <f t="shared" si="12"/>
        <v>0</v>
      </c>
      <c r="M429" s="59" t="s">
        <v>3495</v>
      </c>
      <c r="N429" s="53" t="s">
        <v>1025</v>
      </c>
      <c r="O429" s="53" t="s">
        <v>3464</v>
      </c>
      <c r="P429" s="53" t="s">
        <v>3453</v>
      </c>
      <c r="Q429" s="53" t="str">
        <f t="shared" si="13"/>
        <v>DENTRO DEL TIEMPO</v>
      </c>
      <c r="R429" s="56"/>
    </row>
    <row r="430" spans="1:18" ht="51" x14ac:dyDescent="0.25">
      <c r="A430" s="49">
        <v>424</v>
      </c>
      <c r="B430" s="50" t="s">
        <v>3496</v>
      </c>
      <c r="C430" s="51">
        <v>44650</v>
      </c>
      <c r="D430" s="51">
        <v>44650</v>
      </c>
      <c r="E430" s="49">
        <v>2</v>
      </c>
      <c r="F430" s="52" t="s">
        <v>22</v>
      </c>
      <c r="G430" s="53" t="s">
        <v>2171</v>
      </c>
      <c r="H430" s="53" t="s">
        <v>2255</v>
      </c>
      <c r="I430" s="53" t="s">
        <v>1072</v>
      </c>
      <c r="J430" s="51">
        <v>44650</v>
      </c>
      <c r="K430" s="51">
        <v>44650</v>
      </c>
      <c r="L430" s="54">
        <f t="shared" si="12"/>
        <v>0</v>
      </c>
      <c r="M430" s="59" t="s">
        <v>3497</v>
      </c>
      <c r="N430" s="53" t="s">
        <v>1025</v>
      </c>
      <c r="O430" s="53" t="s">
        <v>3498</v>
      </c>
      <c r="P430" s="53" t="s">
        <v>3471</v>
      </c>
      <c r="Q430" s="53" t="str">
        <f t="shared" si="13"/>
        <v>DENTRO DEL TIEMPO</v>
      </c>
      <c r="R430" s="56"/>
    </row>
    <row r="431" spans="1:18" ht="51" x14ac:dyDescent="0.25">
      <c r="A431" s="49">
        <v>425</v>
      </c>
      <c r="B431" s="50" t="s">
        <v>3499</v>
      </c>
      <c r="C431" s="51">
        <v>44650</v>
      </c>
      <c r="D431" s="51">
        <v>44650</v>
      </c>
      <c r="E431" s="49">
        <v>2</v>
      </c>
      <c r="F431" s="52" t="s">
        <v>22</v>
      </c>
      <c r="G431" s="53" t="s">
        <v>2171</v>
      </c>
      <c r="H431" s="53" t="s">
        <v>2255</v>
      </c>
      <c r="I431" s="53" t="s">
        <v>1072</v>
      </c>
      <c r="J431" s="51">
        <v>44650</v>
      </c>
      <c r="K431" s="51">
        <v>44650</v>
      </c>
      <c r="L431" s="54">
        <f t="shared" si="12"/>
        <v>0</v>
      </c>
      <c r="M431" s="59" t="s">
        <v>3500</v>
      </c>
      <c r="N431" s="53" t="s">
        <v>1025</v>
      </c>
      <c r="O431" s="53" t="s">
        <v>3501</v>
      </c>
      <c r="P431" s="53" t="s">
        <v>3502</v>
      </c>
      <c r="Q431" s="53" t="str">
        <f t="shared" si="13"/>
        <v>DENTRO DEL TIEMPO</v>
      </c>
      <c r="R431" s="56"/>
    </row>
    <row r="432" spans="1:18" ht="51" x14ac:dyDescent="0.25">
      <c r="A432" s="49">
        <v>426</v>
      </c>
      <c r="B432" s="50" t="s">
        <v>3503</v>
      </c>
      <c r="C432" s="51">
        <v>44651</v>
      </c>
      <c r="D432" s="51">
        <v>44651</v>
      </c>
      <c r="E432" s="49">
        <v>2</v>
      </c>
      <c r="F432" s="52" t="s">
        <v>22</v>
      </c>
      <c r="G432" s="53" t="s">
        <v>2171</v>
      </c>
      <c r="H432" s="53" t="s">
        <v>2255</v>
      </c>
      <c r="I432" s="53" t="s">
        <v>1072</v>
      </c>
      <c r="J432" s="51">
        <v>44651</v>
      </c>
      <c r="K432" s="51">
        <v>44651</v>
      </c>
      <c r="L432" s="54">
        <f t="shared" si="12"/>
        <v>0</v>
      </c>
      <c r="M432" s="59" t="s">
        <v>3504</v>
      </c>
      <c r="N432" s="53" t="s">
        <v>1025</v>
      </c>
      <c r="O432" s="53" t="s">
        <v>3505</v>
      </c>
      <c r="P432" s="53" t="s">
        <v>3506</v>
      </c>
      <c r="Q432" s="53" t="str">
        <f t="shared" si="13"/>
        <v>DENTRO DEL TIEMPO</v>
      </c>
      <c r="R432" s="56"/>
    </row>
    <row r="433" spans="1:18" ht="51" x14ac:dyDescent="0.25">
      <c r="A433" s="49">
        <v>427</v>
      </c>
      <c r="B433" s="50" t="s">
        <v>3507</v>
      </c>
      <c r="C433" s="51">
        <v>44651</v>
      </c>
      <c r="D433" s="51">
        <v>44651</v>
      </c>
      <c r="E433" s="49">
        <v>2</v>
      </c>
      <c r="F433" s="52" t="s">
        <v>22</v>
      </c>
      <c r="G433" s="53" t="s">
        <v>2171</v>
      </c>
      <c r="H433" s="53" t="s">
        <v>2255</v>
      </c>
      <c r="I433" s="53" t="s">
        <v>1072</v>
      </c>
      <c r="J433" s="51">
        <v>44651</v>
      </c>
      <c r="K433" s="51">
        <v>44651</v>
      </c>
      <c r="L433" s="54">
        <f t="shared" si="12"/>
        <v>0</v>
      </c>
      <c r="M433" s="59" t="s">
        <v>3508</v>
      </c>
      <c r="N433" s="53" t="s">
        <v>1025</v>
      </c>
      <c r="O433" s="53" t="s">
        <v>3509</v>
      </c>
      <c r="P433" s="53" t="s">
        <v>3453</v>
      </c>
      <c r="Q433" s="53" t="str">
        <f t="shared" si="13"/>
        <v>DENTRO DEL TIEMPO</v>
      </c>
      <c r="R433" s="56"/>
    </row>
    <row r="434" spans="1:18" ht="51" x14ac:dyDescent="0.25">
      <c r="A434" s="49">
        <v>428</v>
      </c>
      <c r="B434" s="50" t="s">
        <v>3510</v>
      </c>
      <c r="C434" s="51">
        <v>44594</v>
      </c>
      <c r="D434" s="51">
        <v>44622</v>
      </c>
      <c r="E434" s="49">
        <v>2</v>
      </c>
      <c r="F434" s="52" t="s">
        <v>22</v>
      </c>
      <c r="G434" s="53" t="s">
        <v>2242</v>
      </c>
      <c r="H434" s="53" t="s">
        <v>3511</v>
      </c>
      <c r="I434" s="53" t="s">
        <v>3512</v>
      </c>
      <c r="J434" s="51">
        <v>44628</v>
      </c>
      <c r="K434" s="51">
        <v>44628</v>
      </c>
      <c r="L434" s="54">
        <f t="shared" si="12"/>
        <v>4</v>
      </c>
      <c r="M434" s="59" t="s">
        <v>3513</v>
      </c>
      <c r="N434" s="53" t="s">
        <v>1104</v>
      </c>
      <c r="O434" s="53" t="s">
        <v>3514</v>
      </c>
      <c r="P434" s="53" t="s">
        <v>3515</v>
      </c>
      <c r="Q434" s="53" t="str">
        <f t="shared" si="13"/>
        <v>DENTRO DEL TIEMPO</v>
      </c>
      <c r="R434" s="56"/>
    </row>
    <row r="435" spans="1:18" ht="51" x14ac:dyDescent="0.25">
      <c r="A435" s="49">
        <v>429</v>
      </c>
      <c r="B435" s="50" t="s">
        <v>3516</v>
      </c>
      <c r="C435" s="51">
        <v>44600</v>
      </c>
      <c r="D435" s="51">
        <v>44622</v>
      </c>
      <c r="E435" s="49">
        <v>100</v>
      </c>
      <c r="F435" s="52" t="s">
        <v>22</v>
      </c>
      <c r="G435" s="53" t="s">
        <v>2242</v>
      </c>
      <c r="H435" s="53" t="s">
        <v>3511</v>
      </c>
      <c r="I435" s="53" t="s">
        <v>3512</v>
      </c>
      <c r="J435" s="51">
        <v>44623</v>
      </c>
      <c r="K435" s="51">
        <v>44623</v>
      </c>
      <c r="L435" s="54">
        <f t="shared" si="12"/>
        <v>1</v>
      </c>
      <c r="M435" s="59" t="s">
        <v>3517</v>
      </c>
      <c r="N435" s="53" t="s">
        <v>1104</v>
      </c>
      <c r="O435" s="53" t="s">
        <v>3518</v>
      </c>
      <c r="P435" s="53" t="s">
        <v>1105</v>
      </c>
      <c r="Q435" s="53" t="str">
        <f t="shared" si="13"/>
        <v>DENTRO DEL TIEMPO</v>
      </c>
      <c r="R435" s="56"/>
    </row>
    <row r="436" spans="1:18" ht="51" x14ac:dyDescent="0.25">
      <c r="A436" s="49">
        <v>430</v>
      </c>
      <c r="B436" s="50" t="s">
        <v>3519</v>
      </c>
      <c r="C436" s="51">
        <v>44607</v>
      </c>
      <c r="D436" s="51">
        <v>44622</v>
      </c>
      <c r="E436" s="49">
        <v>2</v>
      </c>
      <c r="F436" s="52" t="s">
        <v>22</v>
      </c>
      <c r="G436" s="53" t="s">
        <v>2242</v>
      </c>
      <c r="H436" s="53" t="s">
        <v>3511</v>
      </c>
      <c r="I436" s="53" t="s">
        <v>3520</v>
      </c>
      <c r="J436" s="51">
        <v>44630</v>
      </c>
      <c r="K436" s="51">
        <v>44630</v>
      </c>
      <c r="L436" s="54">
        <f t="shared" si="12"/>
        <v>6</v>
      </c>
      <c r="M436" s="59" t="s">
        <v>3521</v>
      </c>
      <c r="N436" s="53" t="s">
        <v>1104</v>
      </c>
      <c r="O436" s="53" t="s">
        <v>3522</v>
      </c>
      <c r="P436" s="53" t="s">
        <v>1105</v>
      </c>
      <c r="Q436" s="53" t="str">
        <f t="shared" si="13"/>
        <v>DENTRO DEL TIEMPO</v>
      </c>
      <c r="R436" s="56"/>
    </row>
    <row r="437" spans="1:18" ht="51" x14ac:dyDescent="0.25">
      <c r="A437" s="49">
        <v>431</v>
      </c>
      <c r="B437" s="50" t="s">
        <v>3523</v>
      </c>
      <c r="C437" s="51">
        <v>44609</v>
      </c>
      <c r="D437" s="51">
        <v>44645</v>
      </c>
      <c r="E437" s="49">
        <v>1</v>
      </c>
      <c r="F437" s="52" t="s">
        <v>22</v>
      </c>
      <c r="G437" s="53" t="s">
        <v>840</v>
      </c>
      <c r="H437" s="53" t="s">
        <v>3511</v>
      </c>
      <c r="I437" s="53" t="s">
        <v>1101</v>
      </c>
      <c r="J437" s="51">
        <v>44648</v>
      </c>
      <c r="K437" s="51">
        <v>44648</v>
      </c>
      <c r="L437" s="54">
        <f t="shared" si="12"/>
        <v>1</v>
      </c>
      <c r="M437" s="59" t="s">
        <v>3524</v>
      </c>
      <c r="N437" s="53" t="s">
        <v>1104</v>
      </c>
      <c r="O437" s="53" t="s">
        <v>3525</v>
      </c>
      <c r="P437" s="53" t="s">
        <v>1105</v>
      </c>
      <c r="Q437" s="53" t="str">
        <f t="shared" si="13"/>
        <v>DENTRO DEL TIEMPO</v>
      </c>
      <c r="R437" s="56"/>
    </row>
    <row r="438" spans="1:18" ht="51" x14ac:dyDescent="0.25">
      <c r="A438" s="49">
        <v>432</v>
      </c>
      <c r="B438" s="50" t="s">
        <v>3526</v>
      </c>
      <c r="C438" s="51">
        <v>44613</v>
      </c>
      <c r="D438" s="51">
        <v>44622</v>
      </c>
      <c r="E438" s="49">
        <v>24</v>
      </c>
      <c r="F438" s="52" t="s">
        <v>22</v>
      </c>
      <c r="G438" s="53" t="s">
        <v>2242</v>
      </c>
      <c r="H438" s="53" t="s">
        <v>3511</v>
      </c>
      <c r="I438" s="53" t="s">
        <v>3520</v>
      </c>
      <c r="J438" s="51">
        <v>44628</v>
      </c>
      <c r="K438" s="51">
        <v>44628</v>
      </c>
      <c r="L438" s="54">
        <f t="shared" si="12"/>
        <v>4</v>
      </c>
      <c r="M438" s="59" t="s">
        <v>3527</v>
      </c>
      <c r="N438" s="53" t="s">
        <v>1104</v>
      </c>
      <c r="O438" s="53" t="s">
        <v>3528</v>
      </c>
      <c r="P438" s="53" t="s">
        <v>1105</v>
      </c>
      <c r="Q438" s="53" t="str">
        <f t="shared" si="13"/>
        <v>DENTRO DEL TIEMPO</v>
      </c>
      <c r="R438" s="56"/>
    </row>
    <row r="439" spans="1:18" ht="51" x14ac:dyDescent="0.25">
      <c r="A439" s="49">
        <v>433</v>
      </c>
      <c r="B439" s="50" t="s">
        <v>3529</v>
      </c>
      <c r="C439" s="51">
        <v>44614</v>
      </c>
      <c r="D439" s="51">
        <v>44622</v>
      </c>
      <c r="E439" s="49">
        <v>162</v>
      </c>
      <c r="F439" s="52" t="s">
        <v>22</v>
      </c>
      <c r="G439" s="53" t="s">
        <v>2242</v>
      </c>
      <c r="H439" s="53" t="s">
        <v>3511</v>
      </c>
      <c r="I439" s="53" t="s">
        <v>3520</v>
      </c>
      <c r="J439" s="51">
        <v>44628</v>
      </c>
      <c r="K439" s="51">
        <v>44628</v>
      </c>
      <c r="L439" s="54">
        <f t="shared" si="12"/>
        <v>4</v>
      </c>
      <c r="M439" s="59" t="s">
        <v>3530</v>
      </c>
      <c r="N439" s="53" t="s">
        <v>1104</v>
      </c>
      <c r="O439" s="53" t="s">
        <v>3531</v>
      </c>
      <c r="P439" s="53" t="s">
        <v>1105</v>
      </c>
      <c r="Q439" s="53" t="str">
        <f t="shared" si="13"/>
        <v>DENTRO DEL TIEMPO</v>
      </c>
      <c r="R439" s="56"/>
    </row>
    <row r="440" spans="1:18" ht="51" x14ac:dyDescent="0.25">
      <c r="A440" s="49">
        <v>434</v>
      </c>
      <c r="B440" s="50" t="s">
        <v>3532</v>
      </c>
      <c r="C440" s="51">
        <v>44614</v>
      </c>
      <c r="D440" s="51">
        <v>44622</v>
      </c>
      <c r="E440" s="49">
        <v>3</v>
      </c>
      <c r="F440" s="52" t="s">
        <v>22</v>
      </c>
      <c r="G440" s="53" t="s">
        <v>2242</v>
      </c>
      <c r="H440" s="53" t="s">
        <v>3511</v>
      </c>
      <c r="I440" s="53" t="s">
        <v>3520</v>
      </c>
      <c r="J440" s="51">
        <v>44628</v>
      </c>
      <c r="K440" s="51">
        <v>44628</v>
      </c>
      <c r="L440" s="54">
        <f t="shared" si="12"/>
        <v>4</v>
      </c>
      <c r="M440" s="59" t="s">
        <v>3533</v>
      </c>
      <c r="N440" s="53" t="s">
        <v>1104</v>
      </c>
      <c r="O440" s="53" t="s">
        <v>3534</v>
      </c>
      <c r="P440" s="53" t="s">
        <v>1105</v>
      </c>
      <c r="Q440" s="53" t="str">
        <f t="shared" si="13"/>
        <v>DENTRO DEL TIEMPO</v>
      </c>
      <c r="R440" s="56"/>
    </row>
    <row r="441" spans="1:18" ht="51" x14ac:dyDescent="0.25">
      <c r="A441" s="49">
        <v>435</v>
      </c>
      <c r="B441" s="50" t="s">
        <v>3535</v>
      </c>
      <c r="C441" s="51">
        <v>44614</v>
      </c>
      <c r="D441" s="51">
        <v>44648</v>
      </c>
      <c r="E441" s="49">
        <v>1</v>
      </c>
      <c r="F441" s="52" t="s">
        <v>22</v>
      </c>
      <c r="G441" s="53" t="s">
        <v>840</v>
      </c>
      <c r="H441" s="53" t="s">
        <v>3511</v>
      </c>
      <c r="I441" s="53" t="s">
        <v>1101</v>
      </c>
      <c r="J441" s="51">
        <v>44648</v>
      </c>
      <c r="K441" s="51">
        <v>44648</v>
      </c>
      <c r="L441" s="54">
        <f t="shared" si="12"/>
        <v>0</v>
      </c>
      <c r="M441" s="59" t="s">
        <v>3536</v>
      </c>
      <c r="N441" s="53" t="s">
        <v>1104</v>
      </c>
      <c r="O441" s="53" t="s">
        <v>3537</v>
      </c>
      <c r="P441" s="53" t="s">
        <v>1105</v>
      </c>
      <c r="Q441" s="53" t="str">
        <f t="shared" si="13"/>
        <v>DENTRO DEL TIEMPO</v>
      </c>
      <c r="R441" s="56"/>
    </row>
    <row r="442" spans="1:18" ht="63.75" x14ac:dyDescent="0.25">
      <c r="A442" s="49">
        <v>436</v>
      </c>
      <c r="B442" s="50" t="s">
        <v>3538</v>
      </c>
      <c r="C442" s="51">
        <v>44614</v>
      </c>
      <c r="D442" s="51">
        <v>44622</v>
      </c>
      <c r="E442" s="49">
        <v>2</v>
      </c>
      <c r="F442" s="52" t="s">
        <v>22</v>
      </c>
      <c r="G442" s="53" t="s">
        <v>2242</v>
      </c>
      <c r="H442" s="53" t="s">
        <v>3511</v>
      </c>
      <c r="I442" s="53" t="s">
        <v>3512</v>
      </c>
      <c r="J442" s="51">
        <v>44628</v>
      </c>
      <c r="K442" s="51">
        <v>44628</v>
      </c>
      <c r="L442" s="54">
        <f t="shared" si="12"/>
        <v>4</v>
      </c>
      <c r="M442" s="59" t="s">
        <v>3539</v>
      </c>
      <c r="N442" s="53" t="s">
        <v>1104</v>
      </c>
      <c r="O442" s="53" t="s">
        <v>3540</v>
      </c>
      <c r="P442" s="53" t="s">
        <v>1105</v>
      </c>
      <c r="Q442" s="53" t="str">
        <f t="shared" si="13"/>
        <v>DENTRO DEL TIEMPO</v>
      </c>
      <c r="R442" s="56"/>
    </row>
    <row r="443" spans="1:18" ht="51" x14ac:dyDescent="0.25">
      <c r="A443" s="49">
        <v>437</v>
      </c>
      <c r="B443" s="50" t="s">
        <v>3541</v>
      </c>
      <c r="C443" s="51">
        <v>44615</v>
      </c>
      <c r="D443" s="51">
        <v>44622</v>
      </c>
      <c r="E443" s="49">
        <v>1</v>
      </c>
      <c r="F443" s="52" t="s">
        <v>22</v>
      </c>
      <c r="G443" s="53" t="s">
        <v>2242</v>
      </c>
      <c r="H443" s="53" t="s">
        <v>3511</v>
      </c>
      <c r="I443" s="53" t="s">
        <v>3520</v>
      </c>
      <c r="J443" s="51">
        <v>44628</v>
      </c>
      <c r="K443" s="51">
        <v>44628</v>
      </c>
      <c r="L443" s="54">
        <f t="shared" si="12"/>
        <v>4</v>
      </c>
      <c r="M443" s="59" t="s">
        <v>3542</v>
      </c>
      <c r="N443" s="53" t="s">
        <v>1104</v>
      </c>
      <c r="O443" s="53" t="s">
        <v>3543</v>
      </c>
      <c r="P443" s="53" t="s">
        <v>1105</v>
      </c>
      <c r="Q443" s="53" t="str">
        <f t="shared" si="13"/>
        <v>DENTRO DEL TIEMPO</v>
      </c>
      <c r="R443" s="56"/>
    </row>
    <row r="444" spans="1:18" ht="51" x14ac:dyDescent="0.25">
      <c r="A444" s="49">
        <v>438</v>
      </c>
      <c r="B444" s="50" t="s">
        <v>3544</v>
      </c>
      <c r="C444" s="51">
        <v>44615</v>
      </c>
      <c r="D444" s="51">
        <v>44622</v>
      </c>
      <c r="E444" s="49">
        <v>1</v>
      </c>
      <c r="F444" s="52" t="s">
        <v>22</v>
      </c>
      <c r="G444" s="53" t="s">
        <v>2242</v>
      </c>
      <c r="H444" s="53" t="s">
        <v>3511</v>
      </c>
      <c r="I444" s="53" t="s">
        <v>3520</v>
      </c>
      <c r="J444" s="51">
        <v>44628</v>
      </c>
      <c r="K444" s="51">
        <v>44628</v>
      </c>
      <c r="L444" s="54">
        <f t="shared" si="12"/>
        <v>4</v>
      </c>
      <c r="M444" s="59" t="s">
        <v>3545</v>
      </c>
      <c r="N444" s="53" t="s">
        <v>1104</v>
      </c>
      <c r="O444" s="53" t="s">
        <v>3546</v>
      </c>
      <c r="P444" s="53" t="s">
        <v>1105</v>
      </c>
      <c r="Q444" s="53" t="str">
        <f t="shared" si="13"/>
        <v>DENTRO DEL TIEMPO</v>
      </c>
      <c r="R444" s="56"/>
    </row>
    <row r="445" spans="1:18" ht="51" x14ac:dyDescent="0.25">
      <c r="A445" s="49">
        <v>439</v>
      </c>
      <c r="B445" s="50" t="s">
        <v>3547</v>
      </c>
      <c r="C445" s="51">
        <v>44616</v>
      </c>
      <c r="D445" s="51">
        <v>44622</v>
      </c>
      <c r="E445" s="49">
        <v>2</v>
      </c>
      <c r="F445" s="52" t="s">
        <v>22</v>
      </c>
      <c r="G445" s="53" t="s">
        <v>2242</v>
      </c>
      <c r="H445" s="53" t="s">
        <v>3511</v>
      </c>
      <c r="I445" s="53" t="s">
        <v>3512</v>
      </c>
      <c r="J445" s="51">
        <v>44624</v>
      </c>
      <c r="K445" s="51">
        <v>44624</v>
      </c>
      <c r="L445" s="54">
        <f t="shared" si="12"/>
        <v>2</v>
      </c>
      <c r="M445" s="59" t="s">
        <v>3548</v>
      </c>
      <c r="N445" s="53" t="s">
        <v>1104</v>
      </c>
      <c r="O445" s="53" t="s">
        <v>3549</v>
      </c>
      <c r="P445" s="53" t="s">
        <v>1105</v>
      </c>
      <c r="Q445" s="53" t="str">
        <f t="shared" si="13"/>
        <v>DENTRO DEL TIEMPO</v>
      </c>
      <c r="R445" s="56"/>
    </row>
    <row r="446" spans="1:18" ht="51" x14ac:dyDescent="0.25">
      <c r="A446" s="49">
        <v>440</v>
      </c>
      <c r="B446" s="50" t="s">
        <v>3550</v>
      </c>
      <c r="C446" s="51">
        <v>44617</v>
      </c>
      <c r="D446" s="51">
        <v>44622</v>
      </c>
      <c r="E446" s="49">
        <v>1</v>
      </c>
      <c r="F446" s="52" t="s">
        <v>22</v>
      </c>
      <c r="G446" s="53" t="s">
        <v>2242</v>
      </c>
      <c r="H446" s="53" t="s">
        <v>3511</v>
      </c>
      <c r="I446" s="53" t="s">
        <v>3520</v>
      </c>
      <c r="J446" s="51">
        <v>44630</v>
      </c>
      <c r="K446" s="51">
        <v>44630</v>
      </c>
      <c r="L446" s="54">
        <f t="shared" si="12"/>
        <v>6</v>
      </c>
      <c r="M446" s="59" t="s">
        <v>3551</v>
      </c>
      <c r="N446" s="53" t="s">
        <v>1104</v>
      </c>
      <c r="O446" s="53" t="s">
        <v>3552</v>
      </c>
      <c r="P446" s="53" t="s">
        <v>1105</v>
      </c>
      <c r="Q446" s="53" t="str">
        <f t="shared" si="13"/>
        <v>DENTRO DEL TIEMPO</v>
      </c>
      <c r="R446" s="56"/>
    </row>
    <row r="447" spans="1:18" ht="51" x14ac:dyDescent="0.25">
      <c r="A447" s="49">
        <v>441</v>
      </c>
      <c r="B447" s="50" t="s">
        <v>3553</v>
      </c>
      <c r="C447" s="51">
        <v>44617</v>
      </c>
      <c r="D447" s="51">
        <v>44648</v>
      </c>
      <c r="E447" s="49">
        <v>2</v>
      </c>
      <c r="F447" s="52" t="s">
        <v>22</v>
      </c>
      <c r="G447" s="53" t="s">
        <v>2242</v>
      </c>
      <c r="H447" s="53" t="s">
        <v>3511</v>
      </c>
      <c r="I447" s="53" t="s">
        <v>3520</v>
      </c>
      <c r="J447" s="51">
        <v>44648</v>
      </c>
      <c r="K447" s="51">
        <v>44648</v>
      </c>
      <c r="L447" s="54">
        <f t="shared" si="12"/>
        <v>0</v>
      </c>
      <c r="M447" s="59" t="s">
        <v>3554</v>
      </c>
      <c r="N447" s="53" t="s">
        <v>1104</v>
      </c>
      <c r="O447" s="53" t="s">
        <v>3555</v>
      </c>
      <c r="P447" s="53" t="s">
        <v>1105</v>
      </c>
      <c r="Q447" s="53" t="str">
        <f t="shared" si="13"/>
        <v>DENTRO DEL TIEMPO</v>
      </c>
      <c r="R447" s="56"/>
    </row>
    <row r="448" spans="1:18" ht="51" x14ac:dyDescent="0.25">
      <c r="A448" s="49">
        <v>442</v>
      </c>
      <c r="B448" s="50" t="s">
        <v>3556</v>
      </c>
      <c r="C448" s="51">
        <v>44617</v>
      </c>
      <c r="D448" s="51">
        <v>44622</v>
      </c>
      <c r="E448" s="49">
        <v>2</v>
      </c>
      <c r="F448" s="52" t="s">
        <v>22</v>
      </c>
      <c r="G448" s="53" t="s">
        <v>2242</v>
      </c>
      <c r="H448" s="53" t="s">
        <v>3511</v>
      </c>
      <c r="I448" s="53" t="s">
        <v>3520</v>
      </c>
      <c r="J448" s="51">
        <v>44630</v>
      </c>
      <c r="K448" s="51">
        <v>44630</v>
      </c>
      <c r="L448" s="54">
        <f t="shared" si="12"/>
        <v>6</v>
      </c>
      <c r="M448" s="59" t="s">
        <v>3557</v>
      </c>
      <c r="N448" s="53" t="s">
        <v>1104</v>
      </c>
      <c r="O448" s="53" t="s">
        <v>3558</v>
      </c>
      <c r="P448" s="53" t="s">
        <v>1105</v>
      </c>
      <c r="Q448" s="53" t="str">
        <f t="shared" si="13"/>
        <v>DENTRO DEL TIEMPO</v>
      </c>
      <c r="R448" s="56"/>
    </row>
    <row r="449" spans="1:18" ht="51" x14ac:dyDescent="0.25">
      <c r="A449" s="49">
        <v>443</v>
      </c>
      <c r="B449" s="50" t="s">
        <v>3559</v>
      </c>
      <c r="C449" s="51">
        <v>44617</v>
      </c>
      <c r="D449" s="51">
        <v>44622</v>
      </c>
      <c r="E449" s="49">
        <v>2</v>
      </c>
      <c r="F449" s="52" t="s">
        <v>22</v>
      </c>
      <c r="G449" s="53" t="s">
        <v>2242</v>
      </c>
      <c r="H449" s="53" t="s">
        <v>3511</v>
      </c>
      <c r="I449" s="53" t="s">
        <v>3520</v>
      </c>
      <c r="J449" s="51">
        <v>44630</v>
      </c>
      <c r="K449" s="51">
        <v>44630</v>
      </c>
      <c r="L449" s="54">
        <f t="shared" si="12"/>
        <v>6</v>
      </c>
      <c r="M449" s="59" t="s">
        <v>3560</v>
      </c>
      <c r="N449" s="53" t="s">
        <v>1104</v>
      </c>
      <c r="O449" s="53" t="s">
        <v>3558</v>
      </c>
      <c r="P449" s="53" t="s">
        <v>1105</v>
      </c>
      <c r="Q449" s="53" t="str">
        <f t="shared" si="13"/>
        <v>DENTRO DEL TIEMPO</v>
      </c>
      <c r="R449" s="56"/>
    </row>
    <row r="450" spans="1:18" ht="51" x14ac:dyDescent="0.25">
      <c r="A450" s="49">
        <v>444</v>
      </c>
      <c r="B450" s="50" t="s">
        <v>3561</v>
      </c>
      <c r="C450" s="51">
        <v>44623</v>
      </c>
      <c r="D450" s="51">
        <v>44623</v>
      </c>
      <c r="E450" s="49">
        <v>2</v>
      </c>
      <c r="F450" s="52" t="s">
        <v>22</v>
      </c>
      <c r="G450" s="53" t="s">
        <v>2242</v>
      </c>
      <c r="H450" s="53" t="s">
        <v>3511</v>
      </c>
      <c r="I450" s="53" t="s">
        <v>3520</v>
      </c>
      <c r="J450" s="51">
        <v>44624</v>
      </c>
      <c r="K450" s="51">
        <v>44624</v>
      </c>
      <c r="L450" s="54">
        <f t="shared" si="12"/>
        <v>1</v>
      </c>
      <c r="M450" s="59" t="s">
        <v>3562</v>
      </c>
      <c r="N450" s="53" t="s">
        <v>1104</v>
      </c>
      <c r="O450" s="53" t="s">
        <v>3563</v>
      </c>
      <c r="P450" s="53" t="s">
        <v>1105</v>
      </c>
      <c r="Q450" s="53" t="str">
        <f t="shared" si="13"/>
        <v>DENTRO DEL TIEMPO</v>
      </c>
      <c r="R450" s="56"/>
    </row>
    <row r="451" spans="1:18" ht="51" x14ac:dyDescent="0.25">
      <c r="A451" s="49">
        <v>445</v>
      </c>
      <c r="B451" s="50" t="s">
        <v>3564</v>
      </c>
      <c r="C451" s="51">
        <v>44623</v>
      </c>
      <c r="D451" s="51">
        <v>44623</v>
      </c>
      <c r="E451" s="49">
        <v>3</v>
      </c>
      <c r="F451" s="52" t="s">
        <v>22</v>
      </c>
      <c r="G451" s="53" t="s">
        <v>2242</v>
      </c>
      <c r="H451" s="53" t="s">
        <v>3511</v>
      </c>
      <c r="I451" s="53" t="s">
        <v>3520</v>
      </c>
      <c r="J451" s="51">
        <v>44624</v>
      </c>
      <c r="K451" s="51">
        <v>44624</v>
      </c>
      <c r="L451" s="54">
        <f t="shared" si="12"/>
        <v>1</v>
      </c>
      <c r="M451" s="59" t="s">
        <v>3565</v>
      </c>
      <c r="N451" s="53" t="s">
        <v>1104</v>
      </c>
      <c r="O451" s="53" t="s">
        <v>3566</v>
      </c>
      <c r="P451" s="53" t="s">
        <v>1105</v>
      </c>
      <c r="Q451" s="53" t="str">
        <f t="shared" si="13"/>
        <v>DENTRO DEL TIEMPO</v>
      </c>
      <c r="R451" s="56"/>
    </row>
    <row r="452" spans="1:18" ht="51" x14ac:dyDescent="0.25">
      <c r="A452" s="49">
        <v>446</v>
      </c>
      <c r="B452" s="50" t="s">
        <v>3567</v>
      </c>
      <c r="C452" s="51">
        <v>44623</v>
      </c>
      <c r="D452" s="51">
        <v>44623</v>
      </c>
      <c r="E452" s="49">
        <v>2</v>
      </c>
      <c r="F452" s="52" t="s">
        <v>22</v>
      </c>
      <c r="G452" s="53" t="s">
        <v>2242</v>
      </c>
      <c r="H452" s="53" t="s">
        <v>3511</v>
      </c>
      <c r="I452" s="53" t="s">
        <v>3520</v>
      </c>
      <c r="J452" s="51">
        <v>44624</v>
      </c>
      <c r="K452" s="51">
        <v>44624</v>
      </c>
      <c r="L452" s="54">
        <f t="shared" si="12"/>
        <v>1</v>
      </c>
      <c r="M452" s="59" t="s">
        <v>3568</v>
      </c>
      <c r="N452" s="53" t="s">
        <v>1104</v>
      </c>
      <c r="O452" s="53" t="s">
        <v>3569</v>
      </c>
      <c r="P452" s="53" t="s">
        <v>1105</v>
      </c>
      <c r="Q452" s="53" t="str">
        <f t="shared" si="13"/>
        <v>DENTRO DEL TIEMPO</v>
      </c>
      <c r="R452" s="56"/>
    </row>
    <row r="453" spans="1:18" ht="51" x14ac:dyDescent="0.25">
      <c r="A453" s="49">
        <v>447</v>
      </c>
      <c r="B453" s="50" t="s">
        <v>3570</v>
      </c>
      <c r="C453" s="51">
        <v>44624</v>
      </c>
      <c r="D453" s="51">
        <v>44627</v>
      </c>
      <c r="E453" s="49">
        <v>2</v>
      </c>
      <c r="F453" s="52" t="s">
        <v>22</v>
      </c>
      <c r="G453" s="53" t="s">
        <v>2242</v>
      </c>
      <c r="H453" s="53" t="s">
        <v>3511</v>
      </c>
      <c r="I453" s="53" t="s">
        <v>3520</v>
      </c>
      <c r="J453" s="51">
        <v>44627</v>
      </c>
      <c r="K453" s="51">
        <v>44627</v>
      </c>
      <c r="L453" s="54">
        <f t="shared" si="12"/>
        <v>0</v>
      </c>
      <c r="M453" s="59" t="s">
        <v>3571</v>
      </c>
      <c r="N453" s="53" t="s">
        <v>1104</v>
      </c>
      <c r="O453" s="53" t="s">
        <v>3572</v>
      </c>
      <c r="P453" s="53" t="s">
        <v>1105</v>
      </c>
      <c r="Q453" s="53" t="str">
        <f t="shared" si="13"/>
        <v>DENTRO DEL TIEMPO</v>
      </c>
      <c r="R453" s="56"/>
    </row>
    <row r="454" spans="1:18" ht="51" x14ac:dyDescent="0.25">
      <c r="A454" s="49">
        <v>448</v>
      </c>
      <c r="B454" s="50" t="s">
        <v>3573</v>
      </c>
      <c r="C454" s="51">
        <v>44624</v>
      </c>
      <c r="D454" s="51">
        <v>44627</v>
      </c>
      <c r="E454" s="49">
        <v>2</v>
      </c>
      <c r="F454" s="52" t="s">
        <v>22</v>
      </c>
      <c r="G454" s="53" t="s">
        <v>2242</v>
      </c>
      <c r="H454" s="53" t="s">
        <v>3511</v>
      </c>
      <c r="I454" s="53" t="s">
        <v>3520</v>
      </c>
      <c r="J454" s="51">
        <v>44627</v>
      </c>
      <c r="K454" s="51">
        <v>44627</v>
      </c>
      <c r="L454" s="54">
        <f t="shared" si="12"/>
        <v>0</v>
      </c>
      <c r="M454" s="59" t="s">
        <v>3574</v>
      </c>
      <c r="N454" s="53" t="s">
        <v>1104</v>
      </c>
      <c r="O454" s="53" t="s">
        <v>3575</v>
      </c>
      <c r="P454" s="53" t="s">
        <v>3576</v>
      </c>
      <c r="Q454" s="53" t="str">
        <f t="shared" si="13"/>
        <v>DENTRO DEL TIEMPO</v>
      </c>
      <c r="R454" s="56"/>
    </row>
    <row r="455" spans="1:18" ht="51" x14ac:dyDescent="0.25">
      <c r="A455" s="49">
        <v>449</v>
      </c>
      <c r="B455" s="50" t="s">
        <v>3577</v>
      </c>
      <c r="C455" s="51">
        <v>44627</v>
      </c>
      <c r="D455" s="51">
        <v>44629</v>
      </c>
      <c r="E455" s="49">
        <v>409</v>
      </c>
      <c r="F455" s="52" t="s">
        <v>22</v>
      </c>
      <c r="G455" s="53" t="s">
        <v>2242</v>
      </c>
      <c r="H455" s="53" t="s">
        <v>3511</v>
      </c>
      <c r="I455" s="53" t="s">
        <v>3520</v>
      </c>
      <c r="J455" s="51">
        <v>44629</v>
      </c>
      <c r="K455" s="51">
        <v>44629</v>
      </c>
      <c r="L455" s="54">
        <f t="shared" si="12"/>
        <v>0</v>
      </c>
      <c r="M455" s="59" t="s">
        <v>3578</v>
      </c>
      <c r="N455" s="53" t="s">
        <v>1104</v>
      </c>
      <c r="O455" s="53" t="s">
        <v>3537</v>
      </c>
      <c r="P455" s="53" t="s">
        <v>3579</v>
      </c>
      <c r="Q455" s="53" t="str">
        <f t="shared" si="13"/>
        <v>DENTRO DEL TIEMPO</v>
      </c>
      <c r="R455" s="56"/>
    </row>
    <row r="456" spans="1:18" ht="51" x14ac:dyDescent="0.25">
      <c r="A456" s="49">
        <v>450</v>
      </c>
      <c r="B456" s="50" t="s">
        <v>3580</v>
      </c>
      <c r="C456" s="51">
        <v>44628</v>
      </c>
      <c r="D456" s="51">
        <v>44628</v>
      </c>
      <c r="E456" s="49">
        <v>1</v>
      </c>
      <c r="F456" s="52" t="s">
        <v>22</v>
      </c>
      <c r="G456" s="53" t="s">
        <v>2242</v>
      </c>
      <c r="H456" s="53" t="s">
        <v>3511</v>
      </c>
      <c r="I456" s="53" t="s">
        <v>3520</v>
      </c>
      <c r="J456" s="51">
        <v>44630</v>
      </c>
      <c r="K456" s="51">
        <v>44630</v>
      </c>
      <c r="L456" s="54">
        <f t="shared" si="12"/>
        <v>2</v>
      </c>
      <c r="M456" s="59" t="s">
        <v>3581</v>
      </c>
      <c r="N456" s="53" t="s">
        <v>1104</v>
      </c>
      <c r="O456" s="53" t="s">
        <v>3582</v>
      </c>
      <c r="P456" s="53" t="s">
        <v>1105</v>
      </c>
      <c r="Q456" s="53" t="str">
        <f t="shared" ref="Q456:Q511" si="14">IF(L456&gt;15,"FUERA DE TIEMPO","DENTRO DEL TIEMPO")</f>
        <v>DENTRO DEL TIEMPO</v>
      </c>
      <c r="R456" s="56"/>
    </row>
    <row r="457" spans="1:18" ht="51" x14ac:dyDescent="0.25">
      <c r="A457" s="49">
        <v>451</v>
      </c>
      <c r="B457" s="50" t="s">
        <v>3583</v>
      </c>
      <c r="C457" s="51">
        <v>44628</v>
      </c>
      <c r="D457" s="51">
        <v>44628</v>
      </c>
      <c r="E457" s="49">
        <v>4</v>
      </c>
      <c r="F457" s="52" t="s">
        <v>22</v>
      </c>
      <c r="G457" s="53" t="s">
        <v>2242</v>
      </c>
      <c r="H457" s="53" t="s">
        <v>3511</v>
      </c>
      <c r="I457" s="53" t="s">
        <v>3520</v>
      </c>
      <c r="J457" s="51">
        <v>44636</v>
      </c>
      <c r="K457" s="51">
        <v>44636</v>
      </c>
      <c r="L457" s="54">
        <f t="shared" si="12"/>
        <v>6</v>
      </c>
      <c r="M457" s="59" t="s">
        <v>3584</v>
      </c>
      <c r="N457" s="53" t="s">
        <v>1104</v>
      </c>
      <c r="O457" s="53" t="s">
        <v>3585</v>
      </c>
      <c r="P457" s="53" t="s">
        <v>1105</v>
      </c>
      <c r="Q457" s="53" t="str">
        <f t="shared" si="14"/>
        <v>DENTRO DEL TIEMPO</v>
      </c>
      <c r="R457" s="56"/>
    </row>
    <row r="458" spans="1:18" ht="51" x14ac:dyDescent="0.25">
      <c r="A458" s="49">
        <v>452</v>
      </c>
      <c r="B458" s="50" t="s">
        <v>3586</v>
      </c>
      <c r="C458" s="51">
        <v>44628</v>
      </c>
      <c r="D458" s="51">
        <v>44628</v>
      </c>
      <c r="E458" s="49">
        <v>9</v>
      </c>
      <c r="F458" s="52" t="s">
        <v>22</v>
      </c>
      <c r="G458" s="53" t="s">
        <v>2242</v>
      </c>
      <c r="H458" s="53" t="s">
        <v>3511</v>
      </c>
      <c r="I458" s="53" t="s">
        <v>3520</v>
      </c>
      <c r="J458" s="51">
        <v>44636</v>
      </c>
      <c r="K458" s="51">
        <v>44636</v>
      </c>
      <c r="L458" s="54">
        <f t="shared" si="12"/>
        <v>6</v>
      </c>
      <c r="M458" s="59" t="s">
        <v>3587</v>
      </c>
      <c r="N458" s="53" t="s">
        <v>1104</v>
      </c>
      <c r="O458" s="53" t="s">
        <v>3588</v>
      </c>
      <c r="P458" s="53" t="s">
        <v>1105</v>
      </c>
      <c r="Q458" s="53" t="str">
        <f t="shared" si="14"/>
        <v>DENTRO DEL TIEMPO</v>
      </c>
      <c r="R458" s="56"/>
    </row>
    <row r="459" spans="1:18" ht="51" x14ac:dyDescent="0.25">
      <c r="A459" s="49">
        <v>453</v>
      </c>
      <c r="B459" s="50" t="s">
        <v>3589</v>
      </c>
      <c r="C459" s="51">
        <v>44628</v>
      </c>
      <c r="D459" s="51">
        <v>44628</v>
      </c>
      <c r="E459" s="49">
        <v>1</v>
      </c>
      <c r="F459" s="52" t="s">
        <v>22</v>
      </c>
      <c r="G459" s="53" t="s">
        <v>2242</v>
      </c>
      <c r="H459" s="53" t="s">
        <v>3511</v>
      </c>
      <c r="I459" s="53" t="s">
        <v>3520</v>
      </c>
      <c r="J459" s="51">
        <v>44628</v>
      </c>
      <c r="K459" s="51">
        <v>44628</v>
      </c>
      <c r="L459" s="54">
        <f t="shared" si="12"/>
        <v>0</v>
      </c>
      <c r="M459" s="59" t="s">
        <v>3590</v>
      </c>
      <c r="N459" s="53" t="s">
        <v>1104</v>
      </c>
      <c r="O459" s="53" t="s">
        <v>3591</v>
      </c>
      <c r="P459" s="53" t="s">
        <v>1105</v>
      </c>
      <c r="Q459" s="53" t="str">
        <f t="shared" si="14"/>
        <v>DENTRO DEL TIEMPO</v>
      </c>
      <c r="R459" s="56"/>
    </row>
    <row r="460" spans="1:18" ht="51" x14ac:dyDescent="0.25">
      <c r="A460" s="49">
        <v>454</v>
      </c>
      <c r="B460" s="50" t="s">
        <v>3592</v>
      </c>
      <c r="C460" s="51">
        <v>44629</v>
      </c>
      <c r="D460" s="51">
        <v>44629</v>
      </c>
      <c r="E460" s="49">
        <v>1</v>
      </c>
      <c r="F460" s="52" t="s">
        <v>22</v>
      </c>
      <c r="G460" s="53" t="s">
        <v>2242</v>
      </c>
      <c r="H460" s="53" t="s">
        <v>3511</v>
      </c>
      <c r="I460" s="53" t="s">
        <v>3520</v>
      </c>
      <c r="J460" s="51">
        <v>44636</v>
      </c>
      <c r="K460" s="51">
        <v>44636</v>
      </c>
      <c r="L460" s="54">
        <f t="shared" si="12"/>
        <v>5</v>
      </c>
      <c r="M460" s="59" t="s">
        <v>3593</v>
      </c>
      <c r="N460" s="53" t="s">
        <v>1104</v>
      </c>
      <c r="O460" s="53" t="s">
        <v>3594</v>
      </c>
      <c r="P460" s="53" t="s">
        <v>1105</v>
      </c>
      <c r="Q460" s="53" t="str">
        <f t="shared" si="14"/>
        <v>DENTRO DEL TIEMPO</v>
      </c>
      <c r="R460" s="56"/>
    </row>
    <row r="461" spans="1:18" ht="51" x14ac:dyDescent="0.25">
      <c r="A461" s="49">
        <v>455</v>
      </c>
      <c r="B461" s="50" t="s">
        <v>3595</v>
      </c>
      <c r="C461" s="51">
        <v>44630</v>
      </c>
      <c r="D461" s="51">
        <v>44630</v>
      </c>
      <c r="E461" s="49">
        <v>1</v>
      </c>
      <c r="F461" s="52" t="s">
        <v>22</v>
      </c>
      <c r="G461" s="53" t="s">
        <v>2242</v>
      </c>
      <c r="H461" s="53" t="s">
        <v>3511</v>
      </c>
      <c r="I461" s="53" t="s">
        <v>3520</v>
      </c>
      <c r="J461" s="51">
        <v>44636</v>
      </c>
      <c r="K461" s="51">
        <v>44636</v>
      </c>
      <c r="L461" s="54">
        <f t="shared" ref="L461:L511" si="15">+NETWORKDAYS(D461,K461,$R$7:$R$10)-1</f>
        <v>4</v>
      </c>
      <c r="M461" s="59" t="s">
        <v>3596</v>
      </c>
      <c r="N461" s="53" t="s">
        <v>1104</v>
      </c>
      <c r="O461" s="53" t="s">
        <v>3597</v>
      </c>
      <c r="P461" s="53" t="s">
        <v>1105</v>
      </c>
      <c r="Q461" s="53" t="str">
        <f t="shared" si="14"/>
        <v>DENTRO DEL TIEMPO</v>
      </c>
      <c r="R461" s="56"/>
    </row>
    <row r="462" spans="1:18" ht="51" x14ac:dyDescent="0.25">
      <c r="A462" s="49">
        <v>456</v>
      </c>
      <c r="B462" s="50" t="s">
        <v>3598</v>
      </c>
      <c r="C462" s="51">
        <v>44630</v>
      </c>
      <c r="D462" s="51">
        <v>44630</v>
      </c>
      <c r="E462" s="49">
        <v>340</v>
      </c>
      <c r="F462" s="52" t="s">
        <v>22</v>
      </c>
      <c r="G462" s="53" t="s">
        <v>2242</v>
      </c>
      <c r="H462" s="53" t="s">
        <v>3511</v>
      </c>
      <c r="I462" s="53" t="s">
        <v>3520</v>
      </c>
      <c r="J462" s="51">
        <v>44642</v>
      </c>
      <c r="K462" s="51">
        <v>44642</v>
      </c>
      <c r="L462" s="54">
        <f t="shared" si="15"/>
        <v>8</v>
      </c>
      <c r="M462" s="59" t="s">
        <v>3599</v>
      </c>
      <c r="N462" s="53" t="s">
        <v>1104</v>
      </c>
      <c r="O462" s="53" t="s">
        <v>1026</v>
      </c>
      <c r="P462" s="53" t="s">
        <v>1105</v>
      </c>
      <c r="Q462" s="53" t="str">
        <f t="shared" si="14"/>
        <v>DENTRO DEL TIEMPO</v>
      </c>
      <c r="R462" s="56"/>
    </row>
    <row r="463" spans="1:18" ht="51" x14ac:dyDescent="0.25">
      <c r="A463" s="49">
        <v>457</v>
      </c>
      <c r="B463" s="50" t="s">
        <v>3600</v>
      </c>
      <c r="C463" s="51">
        <v>44630</v>
      </c>
      <c r="D463" s="51">
        <v>44630</v>
      </c>
      <c r="E463" s="49">
        <v>1</v>
      </c>
      <c r="F463" s="52" t="s">
        <v>22</v>
      </c>
      <c r="G463" s="53" t="s">
        <v>2242</v>
      </c>
      <c r="H463" s="53" t="s">
        <v>3511</v>
      </c>
      <c r="I463" s="53" t="s">
        <v>3520</v>
      </c>
      <c r="J463" s="51">
        <v>44636</v>
      </c>
      <c r="K463" s="51">
        <v>44636</v>
      </c>
      <c r="L463" s="54">
        <f t="shared" si="15"/>
        <v>4</v>
      </c>
      <c r="M463" s="59" t="s">
        <v>3601</v>
      </c>
      <c r="N463" s="53" t="s">
        <v>1104</v>
      </c>
      <c r="O463" s="53" t="s">
        <v>1026</v>
      </c>
      <c r="P463" s="53" t="s">
        <v>1105</v>
      </c>
      <c r="Q463" s="53" t="str">
        <f t="shared" si="14"/>
        <v>DENTRO DEL TIEMPO</v>
      </c>
      <c r="R463" s="56"/>
    </row>
    <row r="464" spans="1:18" ht="51" x14ac:dyDescent="0.25">
      <c r="A464" s="49">
        <v>458</v>
      </c>
      <c r="B464" s="50" t="s">
        <v>3602</v>
      </c>
      <c r="C464" s="51">
        <v>44630</v>
      </c>
      <c r="D464" s="51">
        <v>44630</v>
      </c>
      <c r="E464" s="49">
        <v>1</v>
      </c>
      <c r="F464" s="52" t="s">
        <v>22</v>
      </c>
      <c r="G464" s="53" t="s">
        <v>2242</v>
      </c>
      <c r="H464" s="53" t="s">
        <v>3511</v>
      </c>
      <c r="I464" s="53" t="s">
        <v>3520</v>
      </c>
      <c r="J464" s="51">
        <v>44637</v>
      </c>
      <c r="K464" s="51">
        <v>44637</v>
      </c>
      <c r="L464" s="54">
        <f t="shared" si="15"/>
        <v>5</v>
      </c>
      <c r="M464" s="59" t="s">
        <v>3603</v>
      </c>
      <c r="N464" s="53" t="s">
        <v>1104</v>
      </c>
      <c r="O464" s="53" t="s">
        <v>2091</v>
      </c>
      <c r="P464" s="53" t="s">
        <v>1105</v>
      </c>
      <c r="Q464" s="53" t="str">
        <f t="shared" si="14"/>
        <v>DENTRO DEL TIEMPO</v>
      </c>
      <c r="R464" s="56"/>
    </row>
    <row r="465" spans="1:18" ht="51" x14ac:dyDescent="0.25">
      <c r="A465" s="49">
        <v>459</v>
      </c>
      <c r="B465" s="50" t="s">
        <v>3604</v>
      </c>
      <c r="C465" s="51">
        <v>44631</v>
      </c>
      <c r="D465" s="51">
        <v>44631</v>
      </c>
      <c r="E465" s="49">
        <v>2</v>
      </c>
      <c r="F465" s="52" t="s">
        <v>22</v>
      </c>
      <c r="G465" s="53" t="s">
        <v>2242</v>
      </c>
      <c r="H465" s="53" t="s">
        <v>3511</v>
      </c>
      <c r="I465" s="53" t="s">
        <v>3520</v>
      </c>
      <c r="J465" s="51">
        <v>44637</v>
      </c>
      <c r="K465" s="51">
        <v>44637</v>
      </c>
      <c r="L465" s="54">
        <f t="shared" si="15"/>
        <v>4</v>
      </c>
      <c r="M465" s="59" t="s">
        <v>3605</v>
      </c>
      <c r="N465" s="53" t="s">
        <v>1104</v>
      </c>
      <c r="O465" s="53" t="s">
        <v>1026</v>
      </c>
      <c r="P465" s="53" t="s">
        <v>1105</v>
      </c>
      <c r="Q465" s="53" t="str">
        <f t="shared" si="14"/>
        <v>DENTRO DEL TIEMPO</v>
      </c>
      <c r="R465" s="56"/>
    </row>
    <row r="466" spans="1:18" ht="51" x14ac:dyDescent="0.25">
      <c r="A466" s="49">
        <v>460</v>
      </c>
      <c r="B466" s="50" t="s">
        <v>3606</v>
      </c>
      <c r="C466" s="51">
        <v>44634</v>
      </c>
      <c r="D466" s="51">
        <v>44634</v>
      </c>
      <c r="E466" s="49">
        <v>3</v>
      </c>
      <c r="F466" s="52" t="s">
        <v>22</v>
      </c>
      <c r="G466" s="53" t="s">
        <v>2242</v>
      </c>
      <c r="H466" s="53" t="s">
        <v>3511</v>
      </c>
      <c r="I466" s="53" t="s">
        <v>3520</v>
      </c>
      <c r="J466" s="51">
        <v>44641</v>
      </c>
      <c r="K466" s="51">
        <v>44641</v>
      </c>
      <c r="L466" s="54">
        <f t="shared" si="15"/>
        <v>5</v>
      </c>
      <c r="M466" s="59" t="s">
        <v>3607</v>
      </c>
      <c r="N466" s="53" t="s">
        <v>1104</v>
      </c>
      <c r="O466" s="53" t="s">
        <v>1026</v>
      </c>
      <c r="P466" s="53" t="s">
        <v>1105</v>
      </c>
      <c r="Q466" s="53" t="str">
        <f t="shared" si="14"/>
        <v>DENTRO DEL TIEMPO</v>
      </c>
      <c r="R466" s="56"/>
    </row>
    <row r="467" spans="1:18" ht="51" x14ac:dyDescent="0.25">
      <c r="A467" s="49">
        <v>461</v>
      </c>
      <c r="B467" s="50" t="s">
        <v>3608</v>
      </c>
      <c r="C467" s="51">
        <v>44634</v>
      </c>
      <c r="D467" s="51">
        <v>44634</v>
      </c>
      <c r="E467" s="49">
        <v>6</v>
      </c>
      <c r="F467" s="52" t="s">
        <v>22</v>
      </c>
      <c r="G467" s="53" t="s">
        <v>2242</v>
      </c>
      <c r="H467" s="53" t="s">
        <v>3511</v>
      </c>
      <c r="I467" s="53" t="s">
        <v>3520</v>
      </c>
      <c r="J467" s="51">
        <v>44635</v>
      </c>
      <c r="K467" s="51">
        <v>44635</v>
      </c>
      <c r="L467" s="54">
        <f t="shared" si="15"/>
        <v>1</v>
      </c>
      <c r="M467" s="59" t="s">
        <v>3609</v>
      </c>
      <c r="N467" s="53" t="s">
        <v>1104</v>
      </c>
      <c r="O467" s="53" t="s">
        <v>2091</v>
      </c>
      <c r="P467" s="53" t="s">
        <v>1105</v>
      </c>
      <c r="Q467" s="53" t="str">
        <f t="shared" si="14"/>
        <v>DENTRO DEL TIEMPO</v>
      </c>
      <c r="R467" s="56"/>
    </row>
    <row r="468" spans="1:18" ht="51" x14ac:dyDescent="0.25">
      <c r="A468" s="49">
        <v>462</v>
      </c>
      <c r="B468" s="50" t="s">
        <v>3610</v>
      </c>
      <c r="C468" s="51">
        <v>44635</v>
      </c>
      <c r="D468" s="51">
        <v>44648</v>
      </c>
      <c r="E468" s="49">
        <v>5</v>
      </c>
      <c r="F468" s="52" t="s">
        <v>22</v>
      </c>
      <c r="G468" s="53" t="s">
        <v>840</v>
      </c>
      <c r="H468" s="53" t="s">
        <v>3511</v>
      </c>
      <c r="I468" s="53" t="s">
        <v>1101</v>
      </c>
      <c r="J468" s="51">
        <v>44655</v>
      </c>
      <c r="K468" s="51">
        <v>44655</v>
      </c>
      <c r="L468" s="54">
        <f t="shared" si="15"/>
        <v>5</v>
      </c>
      <c r="M468" s="59" t="s">
        <v>3611</v>
      </c>
      <c r="N468" s="53" t="s">
        <v>1104</v>
      </c>
      <c r="O468" s="53" t="s">
        <v>1026</v>
      </c>
      <c r="P468" s="53" t="s">
        <v>1105</v>
      </c>
      <c r="Q468" s="53" t="str">
        <f t="shared" si="14"/>
        <v>DENTRO DEL TIEMPO</v>
      </c>
      <c r="R468" s="56"/>
    </row>
    <row r="469" spans="1:18" ht="51" x14ac:dyDescent="0.25">
      <c r="A469" s="49">
        <v>463</v>
      </c>
      <c r="B469" s="50" t="s">
        <v>3612</v>
      </c>
      <c r="C469" s="51">
        <v>44635</v>
      </c>
      <c r="D469" s="51">
        <v>44635</v>
      </c>
      <c r="E469" s="49">
        <v>4</v>
      </c>
      <c r="F469" s="52" t="s">
        <v>22</v>
      </c>
      <c r="G469" s="53" t="s">
        <v>840</v>
      </c>
      <c r="H469" s="53" t="s">
        <v>3511</v>
      </c>
      <c r="I469" s="53" t="s">
        <v>1101</v>
      </c>
      <c r="J469" s="51">
        <v>44649</v>
      </c>
      <c r="K469" s="51">
        <v>44649</v>
      </c>
      <c r="L469" s="54">
        <f t="shared" si="15"/>
        <v>10</v>
      </c>
      <c r="M469" s="59" t="s">
        <v>3613</v>
      </c>
      <c r="N469" s="53" t="s">
        <v>1104</v>
      </c>
      <c r="O469" s="53" t="s">
        <v>1026</v>
      </c>
      <c r="P469" s="53" t="s">
        <v>1105</v>
      </c>
      <c r="Q469" s="53" t="str">
        <f t="shared" si="14"/>
        <v>DENTRO DEL TIEMPO</v>
      </c>
      <c r="R469" s="56"/>
    </row>
    <row r="470" spans="1:18" ht="51" x14ac:dyDescent="0.25">
      <c r="A470" s="49">
        <v>464</v>
      </c>
      <c r="B470" s="50" t="s">
        <v>3614</v>
      </c>
      <c r="C470" s="51">
        <v>44636</v>
      </c>
      <c r="D470" s="51">
        <v>44636</v>
      </c>
      <c r="E470" s="49">
        <v>1</v>
      </c>
      <c r="F470" s="52" t="s">
        <v>22</v>
      </c>
      <c r="G470" s="53" t="s">
        <v>2242</v>
      </c>
      <c r="H470" s="53" t="s">
        <v>3511</v>
      </c>
      <c r="I470" s="53" t="s">
        <v>3520</v>
      </c>
      <c r="J470" s="51">
        <v>44641</v>
      </c>
      <c r="K470" s="51">
        <v>44641</v>
      </c>
      <c r="L470" s="54">
        <f t="shared" si="15"/>
        <v>3</v>
      </c>
      <c r="M470" s="59" t="s">
        <v>3615</v>
      </c>
      <c r="N470" s="53" t="s">
        <v>1104</v>
      </c>
      <c r="O470" s="53" t="s">
        <v>2091</v>
      </c>
      <c r="P470" s="53" t="s">
        <v>1105</v>
      </c>
      <c r="Q470" s="53" t="str">
        <f t="shared" si="14"/>
        <v>DENTRO DEL TIEMPO</v>
      </c>
      <c r="R470" s="56"/>
    </row>
    <row r="471" spans="1:18" ht="51" x14ac:dyDescent="0.25">
      <c r="A471" s="49">
        <v>465</v>
      </c>
      <c r="B471" s="50" t="s">
        <v>3616</v>
      </c>
      <c r="C471" s="51">
        <v>44636</v>
      </c>
      <c r="D471" s="51">
        <v>44636</v>
      </c>
      <c r="E471" s="49">
        <v>2</v>
      </c>
      <c r="F471" s="52" t="s">
        <v>22</v>
      </c>
      <c r="G471" s="53" t="s">
        <v>2242</v>
      </c>
      <c r="H471" s="53" t="s">
        <v>3511</v>
      </c>
      <c r="I471" s="53" t="s">
        <v>3520</v>
      </c>
      <c r="J471" s="51">
        <v>44641</v>
      </c>
      <c r="K471" s="51">
        <v>44641</v>
      </c>
      <c r="L471" s="54">
        <f t="shared" si="15"/>
        <v>3</v>
      </c>
      <c r="M471" s="59" t="s">
        <v>3617</v>
      </c>
      <c r="N471" s="53" t="s">
        <v>1104</v>
      </c>
      <c r="O471" s="53" t="s">
        <v>1026</v>
      </c>
      <c r="P471" s="53" t="s">
        <v>1105</v>
      </c>
      <c r="Q471" s="53" t="str">
        <f t="shared" si="14"/>
        <v>DENTRO DEL TIEMPO</v>
      </c>
      <c r="R471" s="56"/>
    </row>
    <row r="472" spans="1:18" ht="51" x14ac:dyDescent="0.25">
      <c r="A472" s="49">
        <v>466</v>
      </c>
      <c r="B472" s="50" t="s">
        <v>3618</v>
      </c>
      <c r="C472" s="51">
        <v>44636</v>
      </c>
      <c r="D472" s="51">
        <v>44636</v>
      </c>
      <c r="E472" s="49">
        <v>1</v>
      </c>
      <c r="F472" s="52" t="s">
        <v>22</v>
      </c>
      <c r="G472" s="53" t="s">
        <v>2242</v>
      </c>
      <c r="H472" s="53" t="s">
        <v>3511</v>
      </c>
      <c r="I472" s="53" t="s">
        <v>3520</v>
      </c>
      <c r="J472" s="51">
        <v>44641</v>
      </c>
      <c r="K472" s="51">
        <v>44641</v>
      </c>
      <c r="L472" s="54">
        <f t="shared" si="15"/>
        <v>3</v>
      </c>
      <c r="M472" s="59" t="s">
        <v>3619</v>
      </c>
      <c r="N472" s="53" t="s">
        <v>1104</v>
      </c>
      <c r="O472" s="53" t="s">
        <v>1026</v>
      </c>
      <c r="P472" s="53" t="s">
        <v>1105</v>
      </c>
      <c r="Q472" s="53" t="str">
        <f t="shared" si="14"/>
        <v>DENTRO DEL TIEMPO</v>
      </c>
      <c r="R472" s="56"/>
    </row>
    <row r="473" spans="1:18" ht="51" x14ac:dyDescent="0.25">
      <c r="A473" s="49">
        <v>467</v>
      </c>
      <c r="B473" s="50" t="s">
        <v>3620</v>
      </c>
      <c r="C473" s="51">
        <v>44636</v>
      </c>
      <c r="D473" s="51">
        <v>44636</v>
      </c>
      <c r="E473" s="49">
        <v>13</v>
      </c>
      <c r="F473" s="52" t="s">
        <v>22</v>
      </c>
      <c r="G473" s="53" t="s">
        <v>840</v>
      </c>
      <c r="H473" s="53" t="s">
        <v>3511</v>
      </c>
      <c r="I473" s="53" t="s">
        <v>1101</v>
      </c>
      <c r="J473" s="51">
        <v>44644</v>
      </c>
      <c r="K473" s="51">
        <v>44644</v>
      </c>
      <c r="L473" s="54">
        <f t="shared" si="15"/>
        <v>6</v>
      </c>
      <c r="M473" s="59" t="s">
        <v>3621</v>
      </c>
      <c r="N473" s="53" t="s">
        <v>1104</v>
      </c>
      <c r="O473" s="53" t="s">
        <v>2091</v>
      </c>
      <c r="P473" s="53" t="s">
        <v>1105</v>
      </c>
      <c r="Q473" s="53" t="str">
        <f t="shared" si="14"/>
        <v>DENTRO DEL TIEMPO</v>
      </c>
      <c r="R473" s="56"/>
    </row>
    <row r="474" spans="1:18" ht="51" x14ac:dyDescent="0.25">
      <c r="A474" s="49">
        <v>468</v>
      </c>
      <c r="B474" s="50" t="s">
        <v>3622</v>
      </c>
      <c r="C474" s="51">
        <v>44636</v>
      </c>
      <c r="D474" s="51">
        <v>44636</v>
      </c>
      <c r="E474" s="49">
        <v>18</v>
      </c>
      <c r="F474" s="52" t="s">
        <v>22</v>
      </c>
      <c r="G474" s="53" t="s">
        <v>840</v>
      </c>
      <c r="H474" s="53" t="s">
        <v>3511</v>
      </c>
      <c r="I474" s="53" t="s">
        <v>1101</v>
      </c>
      <c r="J474" s="51">
        <v>44645</v>
      </c>
      <c r="K474" s="51">
        <v>44645</v>
      </c>
      <c r="L474" s="54">
        <f t="shared" si="15"/>
        <v>7</v>
      </c>
      <c r="M474" s="59" t="s">
        <v>3623</v>
      </c>
      <c r="N474" s="53" t="s">
        <v>1104</v>
      </c>
      <c r="O474" s="53" t="s">
        <v>1026</v>
      </c>
      <c r="P474" s="53" t="s">
        <v>1105</v>
      </c>
      <c r="Q474" s="53" t="str">
        <f t="shared" si="14"/>
        <v>DENTRO DEL TIEMPO</v>
      </c>
      <c r="R474" s="56"/>
    </row>
    <row r="475" spans="1:18" ht="51" x14ac:dyDescent="0.25">
      <c r="A475" s="49">
        <v>469</v>
      </c>
      <c r="B475" s="50" t="s">
        <v>3624</v>
      </c>
      <c r="C475" s="51">
        <v>44637</v>
      </c>
      <c r="D475" s="51">
        <v>44637</v>
      </c>
      <c r="E475" s="49">
        <v>2</v>
      </c>
      <c r="F475" s="52" t="s">
        <v>22</v>
      </c>
      <c r="G475" s="53" t="s">
        <v>2242</v>
      </c>
      <c r="H475" s="53" t="s">
        <v>3511</v>
      </c>
      <c r="I475" s="53" t="s">
        <v>3520</v>
      </c>
      <c r="J475" s="51">
        <v>44641</v>
      </c>
      <c r="K475" s="51">
        <v>44641</v>
      </c>
      <c r="L475" s="54">
        <f t="shared" si="15"/>
        <v>2</v>
      </c>
      <c r="M475" s="59" t="s">
        <v>3625</v>
      </c>
      <c r="N475" s="53" t="s">
        <v>1104</v>
      </c>
      <c r="O475" s="53" t="s">
        <v>1026</v>
      </c>
      <c r="P475" s="53" t="s">
        <v>1105</v>
      </c>
      <c r="Q475" s="53" t="str">
        <f t="shared" si="14"/>
        <v>DENTRO DEL TIEMPO</v>
      </c>
      <c r="R475" s="56"/>
    </row>
    <row r="476" spans="1:18" ht="51" x14ac:dyDescent="0.25">
      <c r="A476" s="49">
        <v>470</v>
      </c>
      <c r="B476" s="50" t="s">
        <v>3626</v>
      </c>
      <c r="C476" s="51">
        <v>44637</v>
      </c>
      <c r="D476" s="51">
        <v>44637</v>
      </c>
      <c r="E476" s="49">
        <v>2</v>
      </c>
      <c r="F476" s="52" t="s">
        <v>22</v>
      </c>
      <c r="G476" s="53" t="s">
        <v>2242</v>
      </c>
      <c r="H476" s="53" t="s">
        <v>3511</v>
      </c>
      <c r="I476" s="53" t="s">
        <v>3520</v>
      </c>
      <c r="J476" s="51">
        <v>44642</v>
      </c>
      <c r="K476" s="51">
        <v>44642</v>
      </c>
      <c r="L476" s="54">
        <f t="shared" si="15"/>
        <v>3</v>
      </c>
      <c r="M476" s="59" t="s">
        <v>3627</v>
      </c>
      <c r="N476" s="53" t="s">
        <v>1104</v>
      </c>
      <c r="O476" s="53" t="s">
        <v>2091</v>
      </c>
      <c r="P476" s="53" t="s">
        <v>1105</v>
      </c>
      <c r="Q476" s="53" t="str">
        <f t="shared" si="14"/>
        <v>DENTRO DEL TIEMPO</v>
      </c>
      <c r="R476" s="56"/>
    </row>
    <row r="477" spans="1:18" ht="51" x14ac:dyDescent="0.25">
      <c r="A477" s="49">
        <v>471</v>
      </c>
      <c r="B477" s="50" t="s">
        <v>3628</v>
      </c>
      <c r="C477" s="51">
        <v>44637</v>
      </c>
      <c r="D477" s="51">
        <v>44637</v>
      </c>
      <c r="E477" s="49">
        <v>2</v>
      </c>
      <c r="F477" s="52" t="s">
        <v>22</v>
      </c>
      <c r="G477" s="53" t="s">
        <v>2242</v>
      </c>
      <c r="H477" s="53" t="s">
        <v>3511</v>
      </c>
      <c r="I477" s="53" t="s">
        <v>3520</v>
      </c>
      <c r="J477" s="51">
        <v>44642</v>
      </c>
      <c r="K477" s="51">
        <v>44642</v>
      </c>
      <c r="L477" s="54">
        <f t="shared" si="15"/>
        <v>3</v>
      </c>
      <c r="M477" s="59" t="s">
        <v>3629</v>
      </c>
      <c r="N477" s="53" t="s">
        <v>1104</v>
      </c>
      <c r="O477" s="53" t="s">
        <v>1026</v>
      </c>
      <c r="P477" s="53" t="s">
        <v>1105</v>
      </c>
      <c r="Q477" s="53" t="str">
        <f t="shared" si="14"/>
        <v>DENTRO DEL TIEMPO</v>
      </c>
      <c r="R477" s="56"/>
    </row>
    <row r="478" spans="1:18" ht="51" x14ac:dyDescent="0.25">
      <c r="A478" s="49">
        <v>472</v>
      </c>
      <c r="B478" s="50" t="s">
        <v>3630</v>
      </c>
      <c r="C478" s="51">
        <v>44637</v>
      </c>
      <c r="D478" s="51">
        <v>44637</v>
      </c>
      <c r="E478" s="49">
        <v>2</v>
      </c>
      <c r="F478" s="52" t="s">
        <v>22</v>
      </c>
      <c r="G478" s="53" t="s">
        <v>2242</v>
      </c>
      <c r="H478" s="53" t="s">
        <v>3511</v>
      </c>
      <c r="I478" s="53" t="s">
        <v>3520</v>
      </c>
      <c r="J478" s="51">
        <v>44641</v>
      </c>
      <c r="K478" s="51">
        <v>44641</v>
      </c>
      <c r="L478" s="54">
        <f t="shared" si="15"/>
        <v>2</v>
      </c>
      <c r="M478" s="59" t="s">
        <v>3631</v>
      </c>
      <c r="N478" s="53" t="s">
        <v>1104</v>
      </c>
      <c r="O478" s="53" t="s">
        <v>1026</v>
      </c>
      <c r="P478" s="53" t="s">
        <v>1105</v>
      </c>
      <c r="Q478" s="53" t="str">
        <f t="shared" si="14"/>
        <v>DENTRO DEL TIEMPO</v>
      </c>
      <c r="R478" s="56"/>
    </row>
    <row r="479" spans="1:18" ht="51" x14ac:dyDescent="0.25">
      <c r="A479" s="49">
        <v>473</v>
      </c>
      <c r="B479" s="50" t="s">
        <v>3632</v>
      </c>
      <c r="C479" s="51">
        <v>44637</v>
      </c>
      <c r="D479" s="51">
        <v>44637</v>
      </c>
      <c r="E479" s="49">
        <v>55</v>
      </c>
      <c r="F479" s="52" t="s">
        <v>22</v>
      </c>
      <c r="G479" s="53" t="s">
        <v>840</v>
      </c>
      <c r="H479" s="53" t="s">
        <v>3511</v>
      </c>
      <c r="I479" s="53" t="s">
        <v>1101</v>
      </c>
      <c r="J479" s="51">
        <v>44645</v>
      </c>
      <c r="K479" s="51">
        <v>44645</v>
      </c>
      <c r="L479" s="54">
        <f t="shared" si="15"/>
        <v>6</v>
      </c>
      <c r="M479" s="59" t="s">
        <v>3633</v>
      </c>
      <c r="N479" s="53" t="s">
        <v>1104</v>
      </c>
      <c r="O479" s="53" t="s">
        <v>2091</v>
      </c>
      <c r="P479" s="53" t="s">
        <v>1105</v>
      </c>
      <c r="Q479" s="53" t="str">
        <f t="shared" si="14"/>
        <v>DENTRO DEL TIEMPO</v>
      </c>
      <c r="R479" s="56"/>
    </row>
    <row r="480" spans="1:18" ht="51" x14ac:dyDescent="0.25">
      <c r="A480" s="49">
        <v>474</v>
      </c>
      <c r="B480" s="50" t="s">
        <v>3634</v>
      </c>
      <c r="C480" s="51">
        <v>44644</v>
      </c>
      <c r="D480" s="51">
        <v>44644</v>
      </c>
      <c r="E480" s="49">
        <v>2</v>
      </c>
      <c r="F480" s="52" t="s">
        <v>22</v>
      </c>
      <c r="G480" s="53" t="s">
        <v>840</v>
      </c>
      <c r="H480" s="53" t="s">
        <v>3511</v>
      </c>
      <c r="I480" s="53" t="s">
        <v>1101</v>
      </c>
      <c r="J480" s="51">
        <v>44650</v>
      </c>
      <c r="K480" s="51">
        <v>44650</v>
      </c>
      <c r="L480" s="54">
        <f t="shared" si="15"/>
        <v>4</v>
      </c>
      <c r="M480" s="59" t="s">
        <v>3635</v>
      </c>
      <c r="N480" s="53" t="s">
        <v>1104</v>
      </c>
      <c r="O480" s="53" t="s">
        <v>1026</v>
      </c>
      <c r="P480" s="53" t="s">
        <v>1105</v>
      </c>
      <c r="Q480" s="53" t="str">
        <f t="shared" si="14"/>
        <v>DENTRO DEL TIEMPO</v>
      </c>
      <c r="R480" s="56"/>
    </row>
    <row r="481" spans="1:18" ht="51" x14ac:dyDescent="0.25">
      <c r="A481" s="49">
        <v>475</v>
      </c>
      <c r="B481" s="50" t="s">
        <v>3636</v>
      </c>
      <c r="C481" s="51">
        <v>44645</v>
      </c>
      <c r="D481" s="51">
        <v>44645</v>
      </c>
      <c r="E481" s="49">
        <v>1</v>
      </c>
      <c r="F481" s="52" t="s">
        <v>22</v>
      </c>
      <c r="G481" s="53" t="s">
        <v>840</v>
      </c>
      <c r="H481" s="53" t="s">
        <v>3511</v>
      </c>
      <c r="I481" s="53" t="s">
        <v>1101</v>
      </c>
      <c r="J481" s="51">
        <v>44650</v>
      </c>
      <c r="K481" s="51">
        <v>44650</v>
      </c>
      <c r="L481" s="54">
        <f t="shared" si="15"/>
        <v>3</v>
      </c>
      <c r="M481" s="59" t="s">
        <v>3637</v>
      </c>
      <c r="N481" s="53" t="s">
        <v>1104</v>
      </c>
      <c r="O481" s="53" t="s">
        <v>1026</v>
      </c>
      <c r="P481" s="53" t="s">
        <v>1105</v>
      </c>
      <c r="Q481" s="53" t="str">
        <f t="shared" si="14"/>
        <v>DENTRO DEL TIEMPO</v>
      </c>
      <c r="R481" s="56"/>
    </row>
    <row r="482" spans="1:18" ht="51" x14ac:dyDescent="0.25">
      <c r="A482" s="49">
        <v>476</v>
      </c>
      <c r="B482" s="50" t="s">
        <v>3638</v>
      </c>
      <c r="C482" s="51">
        <v>44648</v>
      </c>
      <c r="D482" s="51">
        <v>44648</v>
      </c>
      <c r="E482" s="49">
        <v>1</v>
      </c>
      <c r="F482" s="52" t="s">
        <v>22</v>
      </c>
      <c r="G482" s="53" t="s">
        <v>840</v>
      </c>
      <c r="H482" s="53" t="s">
        <v>3511</v>
      </c>
      <c r="I482" s="53" t="s">
        <v>1101</v>
      </c>
      <c r="J482" s="51">
        <v>44650</v>
      </c>
      <c r="K482" s="51">
        <v>44650</v>
      </c>
      <c r="L482" s="54">
        <f t="shared" si="15"/>
        <v>2</v>
      </c>
      <c r="M482" s="59" t="s">
        <v>3639</v>
      </c>
      <c r="N482" s="53" t="s">
        <v>1104</v>
      </c>
      <c r="O482" s="53" t="s">
        <v>2091</v>
      </c>
      <c r="P482" s="53" t="s">
        <v>1105</v>
      </c>
      <c r="Q482" s="53" t="str">
        <f t="shared" si="14"/>
        <v>DENTRO DEL TIEMPO</v>
      </c>
      <c r="R482" s="56"/>
    </row>
    <row r="483" spans="1:18" ht="51" x14ac:dyDescent="0.25">
      <c r="A483" s="49">
        <v>477</v>
      </c>
      <c r="B483" s="50" t="s">
        <v>3640</v>
      </c>
      <c r="C483" s="51">
        <v>44648</v>
      </c>
      <c r="D483" s="51">
        <v>44648</v>
      </c>
      <c r="E483" s="49">
        <v>1</v>
      </c>
      <c r="F483" s="52" t="s">
        <v>22</v>
      </c>
      <c r="G483" s="53" t="s">
        <v>840</v>
      </c>
      <c r="H483" s="53" t="s">
        <v>3511</v>
      </c>
      <c r="I483" s="53" t="s">
        <v>1101</v>
      </c>
      <c r="J483" s="51">
        <v>44650</v>
      </c>
      <c r="K483" s="51">
        <v>44650</v>
      </c>
      <c r="L483" s="54">
        <f t="shared" si="15"/>
        <v>2</v>
      </c>
      <c r="M483" s="59" t="s">
        <v>3641</v>
      </c>
      <c r="N483" s="53" t="s">
        <v>1104</v>
      </c>
      <c r="O483" s="53" t="s">
        <v>1026</v>
      </c>
      <c r="P483" s="53" t="s">
        <v>1105</v>
      </c>
      <c r="Q483" s="53" t="str">
        <f t="shared" si="14"/>
        <v>DENTRO DEL TIEMPO</v>
      </c>
      <c r="R483" s="56"/>
    </row>
    <row r="484" spans="1:18" ht="51" x14ac:dyDescent="0.25">
      <c r="A484" s="49">
        <v>478</v>
      </c>
      <c r="B484" s="50" t="s">
        <v>3642</v>
      </c>
      <c r="C484" s="51">
        <v>44648</v>
      </c>
      <c r="D484" s="51">
        <v>44648</v>
      </c>
      <c r="E484" s="49">
        <v>7</v>
      </c>
      <c r="F484" s="52" t="s">
        <v>22</v>
      </c>
      <c r="G484" s="53" t="s">
        <v>840</v>
      </c>
      <c r="H484" s="53" t="s">
        <v>3511</v>
      </c>
      <c r="I484" s="53" t="s">
        <v>1101</v>
      </c>
      <c r="J484" s="51">
        <v>44650</v>
      </c>
      <c r="K484" s="51">
        <v>44650</v>
      </c>
      <c r="L484" s="54">
        <f t="shared" si="15"/>
        <v>2</v>
      </c>
      <c r="M484" s="59" t="s">
        <v>3643</v>
      </c>
      <c r="N484" s="53" t="s">
        <v>1104</v>
      </c>
      <c r="O484" s="53" t="s">
        <v>1026</v>
      </c>
      <c r="P484" s="53" t="s">
        <v>1105</v>
      </c>
      <c r="Q484" s="53" t="str">
        <f t="shared" si="14"/>
        <v>DENTRO DEL TIEMPO</v>
      </c>
      <c r="R484" s="56"/>
    </row>
    <row r="485" spans="1:18" ht="51" x14ac:dyDescent="0.25">
      <c r="A485" s="49">
        <v>479</v>
      </c>
      <c r="B485" s="50" t="s">
        <v>3644</v>
      </c>
      <c r="C485" s="51">
        <v>44648</v>
      </c>
      <c r="D485" s="51">
        <v>44648</v>
      </c>
      <c r="E485" s="49">
        <v>1</v>
      </c>
      <c r="F485" s="52" t="s">
        <v>22</v>
      </c>
      <c r="G485" s="53" t="s">
        <v>840</v>
      </c>
      <c r="H485" s="53" t="s">
        <v>3511</v>
      </c>
      <c r="I485" s="53" t="s">
        <v>1101</v>
      </c>
      <c r="J485" s="51">
        <v>44650</v>
      </c>
      <c r="K485" s="51">
        <v>44650</v>
      </c>
      <c r="L485" s="54">
        <f t="shared" si="15"/>
        <v>2</v>
      </c>
      <c r="M485" s="59" t="s">
        <v>3645</v>
      </c>
      <c r="N485" s="53" t="s">
        <v>1104</v>
      </c>
      <c r="O485" s="53" t="s">
        <v>2091</v>
      </c>
      <c r="P485" s="53" t="s">
        <v>1105</v>
      </c>
      <c r="Q485" s="53" t="str">
        <f t="shared" si="14"/>
        <v>DENTRO DEL TIEMPO</v>
      </c>
      <c r="R485" s="56"/>
    </row>
    <row r="486" spans="1:18" ht="51" x14ac:dyDescent="0.25">
      <c r="A486" s="49">
        <v>480</v>
      </c>
      <c r="B486" s="50" t="s">
        <v>3646</v>
      </c>
      <c r="C486" s="51">
        <v>44648</v>
      </c>
      <c r="D486" s="51">
        <v>44648</v>
      </c>
      <c r="E486" s="49">
        <v>1</v>
      </c>
      <c r="F486" s="52" t="s">
        <v>22</v>
      </c>
      <c r="G486" s="53" t="s">
        <v>840</v>
      </c>
      <c r="H486" s="53" t="s">
        <v>3511</v>
      </c>
      <c r="I486" s="53" t="s">
        <v>1101</v>
      </c>
      <c r="J486" s="51">
        <v>44650</v>
      </c>
      <c r="K486" s="51">
        <v>44650</v>
      </c>
      <c r="L486" s="54">
        <f t="shared" si="15"/>
        <v>2</v>
      </c>
      <c r="M486" s="59" t="s">
        <v>3647</v>
      </c>
      <c r="N486" s="53" t="s">
        <v>1104</v>
      </c>
      <c r="O486" s="53" t="s">
        <v>1026</v>
      </c>
      <c r="P486" s="53" t="s">
        <v>1105</v>
      </c>
      <c r="Q486" s="53" t="str">
        <f t="shared" si="14"/>
        <v>DENTRO DEL TIEMPO</v>
      </c>
      <c r="R486" s="56"/>
    </row>
    <row r="487" spans="1:18" ht="51" x14ac:dyDescent="0.25">
      <c r="A487" s="49">
        <v>481</v>
      </c>
      <c r="B487" s="50" t="s">
        <v>3648</v>
      </c>
      <c r="C487" s="51">
        <v>44649</v>
      </c>
      <c r="D487" s="51">
        <v>44649</v>
      </c>
      <c r="E487" s="49">
        <v>1</v>
      </c>
      <c r="F487" s="52" t="s">
        <v>22</v>
      </c>
      <c r="G487" s="53" t="s">
        <v>840</v>
      </c>
      <c r="H487" s="53" t="s">
        <v>3511</v>
      </c>
      <c r="I487" s="53" t="s">
        <v>1101</v>
      </c>
      <c r="J487" s="51">
        <v>44651</v>
      </c>
      <c r="K487" s="51">
        <v>44651</v>
      </c>
      <c r="L487" s="54">
        <f t="shared" si="15"/>
        <v>2</v>
      </c>
      <c r="M487" s="59" t="s">
        <v>3649</v>
      </c>
      <c r="N487" s="53" t="s">
        <v>1104</v>
      </c>
      <c r="O487" s="53" t="s">
        <v>1026</v>
      </c>
      <c r="P487" s="53" t="s">
        <v>1105</v>
      </c>
      <c r="Q487" s="53" t="str">
        <f t="shared" si="14"/>
        <v>DENTRO DEL TIEMPO</v>
      </c>
      <c r="R487" s="56"/>
    </row>
    <row r="488" spans="1:18" ht="51" x14ac:dyDescent="0.25">
      <c r="A488" s="49">
        <v>482</v>
      </c>
      <c r="B488" s="50" t="s">
        <v>3650</v>
      </c>
      <c r="C488" s="51">
        <v>44649</v>
      </c>
      <c r="D488" s="51">
        <v>44649</v>
      </c>
      <c r="E488" s="49">
        <v>1</v>
      </c>
      <c r="F488" s="52" t="s">
        <v>22</v>
      </c>
      <c r="G488" s="53" t="s">
        <v>840</v>
      </c>
      <c r="H488" s="53" t="s">
        <v>3511</v>
      </c>
      <c r="I488" s="53" t="s">
        <v>1101</v>
      </c>
      <c r="J488" s="51">
        <v>44651</v>
      </c>
      <c r="K488" s="51">
        <v>44651</v>
      </c>
      <c r="L488" s="54">
        <f t="shared" si="15"/>
        <v>2</v>
      </c>
      <c r="M488" s="59" t="s">
        <v>3651</v>
      </c>
      <c r="N488" s="53" t="s">
        <v>1104</v>
      </c>
      <c r="O488" s="53" t="s">
        <v>2091</v>
      </c>
      <c r="P488" s="53" t="s">
        <v>1105</v>
      </c>
      <c r="Q488" s="53" t="str">
        <f t="shared" si="14"/>
        <v>DENTRO DEL TIEMPO</v>
      </c>
      <c r="R488" s="56"/>
    </row>
    <row r="489" spans="1:18" ht="51" x14ac:dyDescent="0.25">
      <c r="A489" s="49">
        <v>483</v>
      </c>
      <c r="B489" s="50" t="s">
        <v>3652</v>
      </c>
      <c r="C489" s="51">
        <v>44650</v>
      </c>
      <c r="D489" s="51">
        <v>44650</v>
      </c>
      <c r="E489" s="49">
        <v>1</v>
      </c>
      <c r="F489" s="52" t="s">
        <v>22</v>
      </c>
      <c r="G489" s="53" t="s">
        <v>840</v>
      </c>
      <c r="H489" s="53" t="s">
        <v>3511</v>
      </c>
      <c r="I489" s="53" t="s">
        <v>1101</v>
      </c>
      <c r="J489" s="51">
        <v>44651</v>
      </c>
      <c r="K489" s="51">
        <v>44651</v>
      </c>
      <c r="L489" s="54">
        <f t="shared" si="15"/>
        <v>1</v>
      </c>
      <c r="M489" s="59" t="s">
        <v>3653</v>
      </c>
      <c r="N489" s="53" t="s">
        <v>1104</v>
      </c>
      <c r="O489" s="53" t="s">
        <v>1026</v>
      </c>
      <c r="P489" s="53" t="s">
        <v>1105</v>
      </c>
      <c r="Q489" s="53" t="str">
        <f t="shared" si="14"/>
        <v>DENTRO DEL TIEMPO</v>
      </c>
      <c r="R489" s="56"/>
    </row>
    <row r="490" spans="1:18" ht="51" x14ac:dyDescent="0.25">
      <c r="A490" s="49">
        <v>484</v>
      </c>
      <c r="B490" s="50" t="s">
        <v>3654</v>
      </c>
      <c r="C490" s="51">
        <v>44637</v>
      </c>
      <c r="D490" s="51">
        <v>44651</v>
      </c>
      <c r="E490" s="49">
        <f>16+9+1</f>
        <v>26</v>
      </c>
      <c r="F490" s="52" t="s">
        <v>22</v>
      </c>
      <c r="G490" s="53" t="s">
        <v>840</v>
      </c>
      <c r="H490" s="53" t="s">
        <v>3511</v>
      </c>
      <c r="I490" s="53" t="s">
        <v>1101</v>
      </c>
      <c r="J490" s="51">
        <v>44665</v>
      </c>
      <c r="K490" s="51">
        <v>44665</v>
      </c>
      <c r="L490" s="54">
        <f t="shared" si="15"/>
        <v>10</v>
      </c>
      <c r="M490" s="59" t="s">
        <v>3655</v>
      </c>
      <c r="N490" s="53" t="s">
        <v>1104</v>
      </c>
      <c r="O490" s="53" t="s">
        <v>1026</v>
      </c>
      <c r="P490" s="53" t="s">
        <v>1105</v>
      </c>
      <c r="Q490" s="53" t="str">
        <f t="shared" si="14"/>
        <v>DENTRO DEL TIEMPO</v>
      </c>
      <c r="R490" s="56"/>
    </row>
    <row r="491" spans="1:18" ht="51" x14ac:dyDescent="0.25">
      <c r="A491" s="49">
        <v>485</v>
      </c>
      <c r="B491" s="50" t="s">
        <v>3654</v>
      </c>
      <c r="C491" s="51">
        <v>44634</v>
      </c>
      <c r="D491" s="51">
        <v>44634</v>
      </c>
      <c r="E491" s="49">
        <v>5</v>
      </c>
      <c r="F491" s="52" t="s">
        <v>22</v>
      </c>
      <c r="G491" s="53" t="s">
        <v>840</v>
      </c>
      <c r="H491" s="53" t="s">
        <v>3511</v>
      </c>
      <c r="I491" s="53" t="s">
        <v>1101</v>
      </c>
      <c r="J491" s="51">
        <v>44641</v>
      </c>
      <c r="K491" s="51">
        <v>44641</v>
      </c>
      <c r="L491" s="54">
        <f t="shared" si="15"/>
        <v>5</v>
      </c>
      <c r="M491" s="59" t="s">
        <v>3656</v>
      </c>
      <c r="N491" s="53" t="s">
        <v>1104</v>
      </c>
      <c r="O491" s="53" t="s">
        <v>2091</v>
      </c>
      <c r="P491" s="53" t="s">
        <v>1105</v>
      </c>
      <c r="Q491" s="53" t="str">
        <f t="shared" si="14"/>
        <v>DENTRO DEL TIEMPO</v>
      </c>
      <c r="R491" s="56"/>
    </row>
    <row r="492" spans="1:18" ht="51" x14ac:dyDescent="0.25">
      <c r="A492" s="49">
        <v>486</v>
      </c>
      <c r="B492" s="50" t="s">
        <v>3632</v>
      </c>
      <c r="C492" s="51">
        <v>44637</v>
      </c>
      <c r="D492" s="51">
        <v>44637</v>
      </c>
      <c r="E492" s="49">
        <v>10</v>
      </c>
      <c r="F492" s="52" t="s">
        <v>22</v>
      </c>
      <c r="G492" s="53" t="s">
        <v>840</v>
      </c>
      <c r="H492" s="53" t="s">
        <v>3511</v>
      </c>
      <c r="I492" s="53" t="s">
        <v>1101</v>
      </c>
      <c r="J492" s="51">
        <v>44645</v>
      </c>
      <c r="K492" s="51">
        <v>44645</v>
      </c>
      <c r="L492" s="54">
        <f t="shared" si="15"/>
        <v>6</v>
      </c>
      <c r="M492" s="59" t="s">
        <v>3633</v>
      </c>
      <c r="N492" s="53" t="s">
        <v>1104</v>
      </c>
      <c r="O492" s="53" t="s">
        <v>1026</v>
      </c>
      <c r="P492" s="53" t="s">
        <v>1105</v>
      </c>
      <c r="Q492" s="53" t="str">
        <f t="shared" si="14"/>
        <v>DENTRO DEL TIEMPO</v>
      </c>
      <c r="R492" s="56"/>
    </row>
    <row r="493" spans="1:18" ht="51" x14ac:dyDescent="0.25">
      <c r="A493" s="49">
        <v>487</v>
      </c>
      <c r="B493" s="50" t="s">
        <v>3657</v>
      </c>
      <c r="C493" s="51">
        <v>44638</v>
      </c>
      <c r="D493" s="51">
        <v>44638</v>
      </c>
      <c r="E493" s="49">
        <v>1</v>
      </c>
      <c r="F493" s="52" t="s">
        <v>22</v>
      </c>
      <c r="G493" s="53" t="s">
        <v>840</v>
      </c>
      <c r="H493" s="53" t="s">
        <v>3511</v>
      </c>
      <c r="I493" s="53" t="s">
        <v>1101</v>
      </c>
      <c r="J493" s="51">
        <v>44276</v>
      </c>
      <c r="K493" s="51">
        <v>44641</v>
      </c>
      <c r="L493" s="54">
        <f t="shared" si="15"/>
        <v>1</v>
      </c>
      <c r="M493" s="59" t="s">
        <v>3658</v>
      </c>
      <c r="N493" s="53" t="s">
        <v>1104</v>
      </c>
      <c r="O493" s="53" t="s">
        <v>1026</v>
      </c>
      <c r="P493" s="53" t="s">
        <v>1105</v>
      </c>
      <c r="Q493" s="53" t="str">
        <f t="shared" si="14"/>
        <v>DENTRO DEL TIEMPO</v>
      </c>
      <c r="R493" s="56"/>
    </row>
    <row r="494" spans="1:18" ht="51" x14ac:dyDescent="0.25">
      <c r="A494" s="49">
        <v>488</v>
      </c>
      <c r="B494" s="50" t="s">
        <v>3659</v>
      </c>
      <c r="C494" s="51">
        <v>44638</v>
      </c>
      <c r="D494" s="51">
        <v>44638</v>
      </c>
      <c r="E494" s="49">
        <v>1</v>
      </c>
      <c r="F494" s="52" t="s">
        <v>22</v>
      </c>
      <c r="G494" s="53" t="s">
        <v>840</v>
      </c>
      <c r="H494" s="53" t="s">
        <v>3511</v>
      </c>
      <c r="I494" s="53" t="s">
        <v>1101</v>
      </c>
      <c r="J494" s="51">
        <v>44642</v>
      </c>
      <c r="K494" s="51">
        <v>44642</v>
      </c>
      <c r="L494" s="54">
        <f t="shared" si="15"/>
        <v>2</v>
      </c>
      <c r="M494" s="59" t="s">
        <v>3660</v>
      </c>
      <c r="N494" s="53" t="s">
        <v>1104</v>
      </c>
      <c r="O494" s="53" t="s">
        <v>2091</v>
      </c>
      <c r="P494" s="53" t="s">
        <v>1105</v>
      </c>
      <c r="Q494" s="53" t="str">
        <f t="shared" si="14"/>
        <v>DENTRO DEL TIEMPO</v>
      </c>
      <c r="R494" s="56"/>
    </row>
    <row r="495" spans="1:18" ht="51" x14ac:dyDescent="0.25">
      <c r="A495" s="49">
        <v>489</v>
      </c>
      <c r="B495" s="50" t="s">
        <v>3661</v>
      </c>
      <c r="C495" s="51">
        <v>44638</v>
      </c>
      <c r="D495" s="51">
        <v>44638</v>
      </c>
      <c r="E495" s="49">
        <v>1</v>
      </c>
      <c r="F495" s="52" t="s">
        <v>22</v>
      </c>
      <c r="G495" s="53" t="s">
        <v>840</v>
      </c>
      <c r="H495" s="53" t="s">
        <v>3511</v>
      </c>
      <c r="I495" s="53" t="s">
        <v>1101</v>
      </c>
      <c r="J495" s="51">
        <v>44642</v>
      </c>
      <c r="K495" s="51">
        <v>44642</v>
      </c>
      <c r="L495" s="54">
        <f t="shared" si="15"/>
        <v>2</v>
      </c>
      <c r="M495" s="59" t="s">
        <v>3662</v>
      </c>
      <c r="N495" s="53" t="s">
        <v>1104</v>
      </c>
      <c r="O495" s="53" t="s">
        <v>1026</v>
      </c>
      <c r="P495" s="53" t="s">
        <v>1105</v>
      </c>
      <c r="Q495" s="53" t="str">
        <f t="shared" si="14"/>
        <v>DENTRO DEL TIEMPO</v>
      </c>
      <c r="R495" s="56"/>
    </row>
    <row r="496" spans="1:18" ht="51" x14ac:dyDescent="0.25">
      <c r="A496" s="49">
        <v>490</v>
      </c>
      <c r="B496" s="50" t="s">
        <v>3663</v>
      </c>
      <c r="C496" s="51">
        <v>44641</v>
      </c>
      <c r="D496" s="51">
        <v>44641</v>
      </c>
      <c r="E496" s="49">
        <v>3</v>
      </c>
      <c r="F496" s="52" t="s">
        <v>22</v>
      </c>
      <c r="G496" s="53" t="s">
        <v>840</v>
      </c>
      <c r="H496" s="53" t="s">
        <v>3511</v>
      </c>
      <c r="I496" s="53" t="s">
        <v>1101</v>
      </c>
      <c r="J496" s="51">
        <v>44642</v>
      </c>
      <c r="K496" s="51">
        <v>44642</v>
      </c>
      <c r="L496" s="54">
        <f t="shared" si="15"/>
        <v>1</v>
      </c>
      <c r="M496" s="59" t="s">
        <v>3664</v>
      </c>
      <c r="N496" s="53" t="s">
        <v>1104</v>
      </c>
      <c r="O496" s="53" t="s">
        <v>1026</v>
      </c>
      <c r="P496" s="53" t="s">
        <v>1105</v>
      </c>
      <c r="Q496" s="53" t="str">
        <f t="shared" si="14"/>
        <v>DENTRO DEL TIEMPO</v>
      </c>
      <c r="R496" s="56"/>
    </row>
    <row r="497" spans="1:18" ht="51" x14ac:dyDescent="0.25">
      <c r="A497" s="49">
        <v>491</v>
      </c>
      <c r="B497" s="50" t="s">
        <v>3665</v>
      </c>
      <c r="C497" s="51">
        <v>44641</v>
      </c>
      <c r="D497" s="51">
        <v>44641</v>
      </c>
      <c r="E497" s="49">
        <v>1</v>
      </c>
      <c r="F497" s="52" t="s">
        <v>22</v>
      </c>
      <c r="G497" s="53" t="s">
        <v>840</v>
      </c>
      <c r="H497" s="53" t="s">
        <v>3511</v>
      </c>
      <c r="I497" s="53" t="s">
        <v>1101</v>
      </c>
      <c r="J497" s="51">
        <v>44642</v>
      </c>
      <c r="K497" s="51">
        <v>44642</v>
      </c>
      <c r="L497" s="54">
        <f t="shared" si="15"/>
        <v>1</v>
      </c>
      <c r="M497" s="59" t="s">
        <v>3666</v>
      </c>
      <c r="N497" s="53" t="s">
        <v>1104</v>
      </c>
      <c r="O497" s="53" t="s">
        <v>2091</v>
      </c>
      <c r="P497" s="53" t="s">
        <v>1105</v>
      </c>
      <c r="Q497" s="53" t="str">
        <f t="shared" si="14"/>
        <v>DENTRO DEL TIEMPO</v>
      </c>
      <c r="R497" s="56"/>
    </row>
    <row r="498" spans="1:18" ht="51" x14ac:dyDescent="0.25">
      <c r="A498" s="49">
        <v>492</v>
      </c>
      <c r="B498" s="50" t="s">
        <v>3667</v>
      </c>
      <c r="C498" s="51">
        <v>44643</v>
      </c>
      <c r="D498" s="51">
        <v>44643</v>
      </c>
      <c r="E498" s="49">
        <v>1</v>
      </c>
      <c r="F498" s="52" t="s">
        <v>22</v>
      </c>
      <c r="G498" s="53" t="s">
        <v>840</v>
      </c>
      <c r="H498" s="53" t="s">
        <v>3511</v>
      </c>
      <c r="I498" s="53" t="s">
        <v>1101</v>
      </c>
      <c r="J498" s="51">
        <v>44645</v>
      </c>
      <c r="K498" s="51">
        <v>44645</v>
      </c>
      <c r="L498" s="54">
        <f t="shared" si="15"/>
        <v>2</v>
      </c>
      <c r="M498" s="59" t="s">
        <v>3668</v>
      </c>
      <c r="N498" s="53" t="s">
        <v>1104</v>
      </c>
      <c r="O498" s="53" t="s">
        <v>1026</v>
      </c>
      <c r="P498" s="53" t="s">
        <v>1105</v>
      </c>
      <c r="Q498" s="53" t="str">
        <f t="shared" si="14"/>
        <v>DENTRO DEL TIEMPO</v>
      </c>
      <c r="R498" s="56"/>
    </row>
    <row r="499" spans="1:18" ht="51" x14ac:dyDescent="0.25">
      <c r="A499" s="49">
        <v>493</v>
      </c>
      <c r="B499" s="50" t="s">
        <v>3622</v>
      </c>
      <c r="C499" s="51">
        <v>44636</v>
      </c>
      <c r="D499" s="51">
        <v>44645</v>
      </c>
      <c r="E499" s="49">
        <v>18</v>
      </c>
      <c r="F499" s="52" t="s">
        <v>22</v>
      </c>
      <c r="G499" s="53" t="s">
        <v>840</v>
      </c>
      <c r="H499" s="53" t="s">
        <v>3511</v>
      </c>
      <c r="I499" s="53" t="s">
        <v>1101</v>
      </c>
      <c r="J499" s="51">
        <v>44645</v>
      </c>
      <c r="K499" s="51">
        <v>44645</v>
      </c>
      <c r="L499" s="54">
        <f t="shared" si="15"/>
        <v>0</v>
      </c>
      <c r="M499" s="59" t="s">
        <v>3623</v>
      </c>
      <c r="N499" s="53" t="s">
        <v>1104</v>
      </c>
      <c r="O499" s="53" t="s">
        <v>1026</v>
      </c>
      <c r="P499" s="53" t="s">
        <v>1105</v>
      </c>
      <c r="Q499" s="53" t="str">
        <f t="shared" si="14"/>
        <v>DENTRO DEL TIEMPO</v>
      </c>
      <c r="R499" s="56"/>
    </row>
    <row r="500" spans="1:18" ht="51" x14ac:dyDescent="0.25">
      <c r="A500" s="49">
        <v>494</v>
      </c>
      <c r="B500" s="50" t="s">
        <v>3669</v>
      </c>
      <c r="C500" s="51">
        <v>44595</v>
      </c>
      <c r="D500" s="51">
        <v>44637</v>
      </c>
      <c r="E500" s="49">
        <v>320</v>
      </c>
      <c r="F500" s="52" t="s">
        <v>22</v>
      </c>
      <c r="G500" s="53" t="s">
        <v>2242</v>
      </c>
      <c r="H500" s="53" t="s">
        <v>3511</v>
      </c>
      <c r="I500" s="53" t="s">
        <v>3512</v>
      </c>
      <c r="J500" s="51">
        <v>44641</v>
      </c>
      <c r="K500" s="51">
        <v>44641</v>
      </c>
      <c r="L500" s="54">
        <f t="shared" si="15"/>
        <v>2</v>
      </c>
      <c r="M500" s="59" t="s">
        <v>3670</v>
      </c>
      <c r="N500" s="53" t="s">
        <v>1104</v>
      </c>
      <c r="O500" s="53" t="s">
        <v>2091</v>
      </c>
      <c r="P500" s="53" t="s">
        <v>1105</v>
      </c>
      <c r="Q500" s="53" t="str">
        <f t="shared" si="14"/>
        <v>DENTRO DEL TIEMPO</v>
      </c>
      <c r="R500" s="56"/>
    </row>
    <row r="501" spans="1:18" ht="51" x14ac:dyDescent="0.25">
      <c r="A501" s="49">
        <v>495</v>
      </c>
      <c r="B501" s="50" t="s">
        <v>3516</v>
      </c>
      <c r="C501" s="51">
        <v>44600</v>
      </c>
      <c r="D501" s="51">
        <v>44622</v>
      </c>
      <c r="E501" s="49">
        <v>100</v>
      </c>
      <c r="F501" s="52" t="s">
        <v>22</v>
      </c>
      <c r="G501" s="53" t="s">
        <v>2242</v>
      </c>
      <c r="H501" s="53" t="s">
        <v>3511</v>
      </c>
      <c r="I501" s="53" t="s">
        <v>3512</v>
      </c>
      <c r="J501" s="51">
        <v>44623</v>
      </c>
      <c r="K501" s="51">
        <v>44623</v>
      </c>
      <c r="L501" s="54">
        <f t="shared" si="15"/>
        <v>1</v>
      </c>
      <c r="M501" s="59" t="s">
        <v>3517</v>
      </c>
      <c r="N501" s="53" t="s">
        <v>1104</v>
      </c>
      <c r="O501" s="53" t="s">
        <v>1026</v>
      </c>
      <c r="P501" s="53" t="s">
        <v>1105</v>
      </c>
      <c r="Q501" s="53" t="str">
        <f t="shared" si="14"/>
        <v>DENTRO DEL TIEMPO</v>
      </c>
      <c r="R501" s="56"/>
    </row>
    <row r="502" spans="1:18" ht="51" x14ac:dyDescent="0.25">
      <c r="A502" s="49">
        <v>496</v>
      </c>
      <c r="B502" s="50" t="s">
        <v>3671</v>
      </c>
      <c r="C502" s="51">
        <v>44642</v>
      </c>
      <c r="D502" s="51">
        <v>44642</v>
      </c>
      <c r="E502" s="49">
        <v>1</v>
      </c>
      <c r="F502" s="52" t="s">
        <v>22</v>
      </c>
      <c r="G502" s="53" t="s">
        <v>840</v>
      </c>
      <c r="H502" s="53" t="s">
        <v>3511</v>
      </c>
      <c r="I502" s="53" t="s">
        <v>1101</v>
      </c>
      <c r="J502" s="51">
        <v>44652</v>
      </c>
      <c r="K502" s="51">
        <v>44652</v>
      </c>
      <c r="L502" s="54">
        <f t="shared" si="15"/>
        <v>8</v>
      </c>
      <c r="M502" s="59" t="s">
        <v>3672</v>
      </c>
      <c r="N502" s="53" t="s">
        <v>1104</v>
      </c>
      <c r="O502" s="53" t="s">
        <v>1026</v>
      </c>
      <c r="P502" s="53" t="s">
        <v>1105</v>
      </c>
      <c r="Q502" s="53" t="str">
        <f t="shared" si="14"/>
        <v>DENTRO DEL TIEMPO</v>
      </c>
      <c r="R502" s="56"/>
    </row>
    <row r="503" spans="1:18" ht="51" x14ac:dyDescent="0.25">
      <c r="A503" s="49">
        <v>497</v>
      </c>
      <c r="B503" s="50" t="s">
        <v>3673</v>
      </c>
      <c r="C503" s="51">
        <v>44650</v>
      </c>
      <c r="D503" s="51">
        <v>44650</v>
      </c>
      <c r="E503" s="49">
        <v>5</v>
      </c>
      <c r="F503" s="52" t="s">
        <v>22</v>
      </c>
      <c r="G503" s="53" t="s">
        <v>840</v>
      </c>
      <c r="H503" s="53" t="s">
        <v>3511</v>
      </c>
      <c r="I503" s="53" t="s">
        <v>1101</v>
      </c>
      <c r="J503" s="51">
        <v>44652</v>
      </c>
      <c r="K503" s="51">
        <v>44652</v>
      </c>
      <c r="L503" s="54">
        <f t="shared" si="15"/>
        <v>2</v>
      </c>
      <c r="M503" s="59" t="s">
        <v>3674</v>
      </c>
      <c r="N503" s="53" t="s">
        <v>1104</v>
      </c>
      <c r="O503" s="53" t="s">
        <v>2091</v>
      </c>
      <c r="P503" s="53" t="s">
        <v>1105</v>
      </c>
      <c r="Q503" s="53" t="str">
        <f t="shared" si="14"/>
        <v>DENTRO DEL TIEMPO</v>
      </c>
      <c r="R503" s="56"/>
    </row>
    <row r="504" spans="1:18" ht="51" x14ac:dyDescent="0.25">
      <c r="A504" s="49">
        <v>498</v>
      </c>
      <c r="B504" s="50" t="s">
        <v>3675</v>
      </c>
      <c r="C504" s="51">
        <v>44650</v>
      </c>
      <c r="D504" s="51">
        <v>44650</v>
      </c>
      <c r="E504" s="49">
        <v>1</v>
      </c>
      <c r="F504" s="52" t="s">
        <v>22</v>
      </c>
      <c r="G504" s="53" t="s">
        <v>840</v>
      </c>
      <c r="H504" s="53" t="s">
        <v>3511</v>
      </c>
      <c r="I504" s="53" t="s">
        <v>1101</v>
      </c>
      <c r="J504" s="51">
        <v>44652</v>
      </c>
      <c r="K504" s="51">
        <v>44652</v>
      </c>
      <c r="L504" s="54">
        <f t="shared" si="15"/>
        <v>2</v>
      </c>
      <c r="M504" s="59" t="s">
        <v>3676</v>
      </c>
      <c r="N504" s="53" t="s">
        <v>1104</v>
      </c>
      <c r="O504" s="53" t="s">
        <v>1026</v>
      </c>
      <c r="P504" s="53" t="s">
        <v>1105</v>
      </c>
      <c r="Q504" s="53" t="str">
        <f t="shared" si="14"/>
        <v>DENTRO DEL TIEMPO</v>
      </c>
      <c r="R504" s="56"/>
    </row>
    <row r="505" spans="1:18" ht="51" x14ac:dyDescent="0.25">
      <c r="A505" s="49">
        <v>499</v>
      </c>
      <c r="B505" s="50" t="s">
        <v>3677</v>
      </c>
      <c r="C505" s="51">
        <v>44651</v>
      </c>
      <c r="D505" s="51">
        <v>44651</v>
      </c>
      <c r="E505" s="49">
        <v>4</v>
      </c>
      <c r="F505" s="52" t="s">
        <v>22</v>
      </c>
      <c r="G505" s="53" t="s">
        <v>840</v>
      </c>
      <c r="H505" s="53" t="s">
        <v>3511</v>
      </c>
      <c r="I505" s="53" t="s">
        <v>1101</v>
      </c>
      <c r="J505" s="51">
        <v>44652</v>
      </c>
      <c r="K505" s="51">
        <v>44652</v>
      </c>
      <c r="L505" s="54">
        <f t="shared" si="15"/>
        <v>1</v>
      </c>
      <c r="M505" s="59" t="s">
        <v>3678</v>
      </c>
      <c r="N505" s="53" t="s">
        <v>1104</v>
      </c>
      <c r="O505" s="53" t="s">
        <v>1026</v>
      </c>
      <c r="P505" s="53" t="s">
        <v>1105</v>
      </c>
      <c r="Q505" s="53" t="str">
        <f t="shared" si="14"/>
        <v>DENTRO DEL TIEMPO</v>
      </c>
      <c r="R505" s="56"/>
    </row>
    <row r="506" spans="1:18" ht="51" x14ac:dyDescent="0.25">
      <c r="A506" s="49">
        <v>500</v>
      </c>
      <c r="B506" s="50" t="s">
        <v>3679</v>
      </c>
      <c r="C506" s="51">
        <v>44651</v>
      </c>
      <c r="D506" s="51">
        <v>44651</v>
      </c>
      <c r="E506" s="49">
        <v>4</v>
      </c>
      <c r="F506" s="52" t="s">
        <v>22</v>
      </c>
      <c r="G506" s="53" t="s">
        <v>840</v>
      </c>
      <c r="H506" s="53" t="s">
        <v>3511</v>
      </c>
      <c r="I506" s="53" t="s">
        <v>1101</v>
      </c>
      <c r="J506" s="51">
        <v>44665</v>
      </c>
      <c r="K506" s="51">
        <v>44665</v>
      </c>
      <c r="L506" s="54">
        <f t="shared" si="15"/>
        <v>10</v>
      </c>
      <c r="M506" s="59" t="s">
        <v>3680</v>
      </c>
      <c r="N506" s="53" t="s">
        <v>1104</v>
      </c>
      <c r="O506" s="53" t="s">
        <v>2091</v>
      </c>
      <c r="P506" s="53" t="s">
        <v>1105</v>
      </c>
      <c r="Q506" s="53" t="str">
        <f t="shared" si="14"/>
        <v>DENTRO DEL TIEMPO</v>
      </c>
      <c r="R506" s="56"/>
    </row>
    <row r="507" spans="1:18" ht="51" x14ac:dyDescent="0.25">
      <c r="A507" s="49">
        <v>501</v>
      </c>
      <c r="B507" s="50" t="s">
        <v>3681</v>
      </c>
      <c r="C507" s="51">
        <v>44651</v>
      </c>
      <c r="D507" s="51">
        <v>44651</v>
      </c>
      <c r="E507" s="49">
        <v>1</v>
      </c>
      <c r="F507" s="52" t="s">
        <v>22</v>
      </c>
      <c r="G507" s="53" t="s">
        <v>840</v>
      </c>
      <c r="H507" s="53" t="s">
        <v>3511</v>
      </c>
      <c r="I507" s="53" t="s">
        <v>1101</v>
      </c>
      <c r="J507" s="51">
        <v>44652</v>
      </c>
      <c r="K507" s="51">
        <v>44652</v>
      </c>
      <c r="L507" s="54">
        <f t="shared" si="15"/>
        <v>1</v>
      </c>
      <c r="M507" s="59" t="s">
        <v>3682</v>
      </c>
      <c r="N507" s="53" t="s">
        <v>1104</v>
      </c>
      <c r="O507" s="53" t="s">
        <v>1026</v>
      </c>
      <c r="P507" s="53" t="s">
        <v>1105</v>
      </c>
      <c r="Q507" s="53" t="str">
        <f t="shared" si="14"/>
        <v>DENTRO DEL TIEMPO</v>
      </c>
      <c r="R507" s="56"/>
    </row>
    <row r="508" spans="1:18" ht="51" x14ac:dyDescent="0.25">
      <c r="A508" s="49">
        <v>502</v>
      </c>
      <c r="B508" s="50" t="s">
        <v>3683</v>
      </c>
      <c r="C508" s="51">
        <v>44638</v>
      </c>
      <c r="D508" s="51">
        <v>44650</v>
      </c>
      <c r="E508" s="49">
        <v>1</v>
      </c>
      <c r="F508" s="52" t="s">
        <v>22</v>
      </c>
      <c r="G508" s="53" t="s">
        <v>840</v>
      </c>
      <c r="H508" s="53" t="s">
        <v>3511</v>
      </c>
      <c r="I508" s="53" t="s">
        <v>1101</v>
      </c>
      <c r="J508" s="51">
        <v>44663</v>
      </c>
      <c r="K508" s="51">
        <v>44663</v>
      </c>
      <c r="L508" s="54">
        <f t="shared" si="15"/>
        <v>9</v>
      </c>
      <c r="M508" s="59" t="s">
        <v>3684</v>
      </c>
      <c r="N508" s="53" t="s">
        <v>1104</v>
      </c>
      <c r="O508" s="53" t="s">
        <v>1026</v>
      </c>
      <c r="P508" s="53" t="s">
        <v>1105</v>
      </c>
      <c r="Q508" s="53" t="str">
        <f t="shared" si="14"/>
        <v>DENTRO DEL TIEMPO</v>
      </c>
      <c r="R508" s="56"/>
    </row>
    <row r="509" spans="1:18" ht="51" x14ac:dyDescent="0.25">
      <c r="A509" s="49">
        <v>503</v>
      </c>
      <c r="B509" s="50" t="s">
        <v>3685</v>
      </c>
      <c r="C509" s="51">
        <v>44651</v>
      </c>
      <c r="D509" s="51">
        <v>44651</v>
      </c>
      <c r="E509" s="49">
        <v>1</v>
      </c>
      <c r="F509" s="52" t="s">
        <v>22</v>
      </c>
      <c r="G509" s="53" t="s">
        <v>840</v>
      </c>
      <c r="H509" s="53" t="s">
        <v>3511</v>
      </c>
      <c r="I509" s="53" t="s">
        <v>1101</v>
      </c>
      <c r="J509" s="51">
        <v>44658</v>
      </c>
      <c r="K509" s="51">
        <v>44658</v>
      </c>
      <c r="L509" s="54">
        <f t="shared" si="15"/>
        <v>5</v>
      </c>
      <c r="M509" s="59" t="s">
        <v>3686</v>
      </c>
      <c r="N509" s="53" t="s">
        <v>1104</v>
      </c>
      <c r="O509" s="53" t="s">
        <v>2091</v>
      </c>
      <c r="P509" s="53" t="s">
        <v>1105</v>
      </c>
      <c r="Q509" s="53" t="str">
        <f t="shared" si="14"/>
        <v>DENTRO DEL TIEMPO</v>
      </c>
      <c r="R509" s="56"/>
    </row>
    <row r="510" spans="1:18" ht="51" x14ac:dyDescent="0.25">
      <c r="A510" s="49">
        <v>504</v>
      </c>
      <c r="B510" s="50" t="s">
        <v>3535</v>
      </c>
      <c r="C510" s="51">
        <v>44614</v>
      </c>
      <c r="D510" s="51">
        <v>44645</v>
      </c>
      <c r="E510" s="49">
        <v>1</v>
      </c>
      <c r="F510" s="52" t="s">
        <v>22</v>
      </c>
      <c r="G510" s="53" t="s">
        <v>840</v>
      </c>
      <c r="H510" s="53" t="s">
        <v>3511</v>
      </c>
      <c r="I510" s="53" t="s">
        <v>1101</v>
      </c>
      <c r="J510" s="51">
        <v>44648</v>
      </c>
      <c r="K510" s="51">
        <v>44648</v>
      </c>
      <c r="L510" s="54">
        <f t="shared" si="15"/>
        <v>1</v>
      </c>
      <c r="M510" s="59" t="s">
        <v>3536</v>
      </c>
      <c r="N510" s="53" t="s">
        <v>1104</v>
      </c>
      <c r="O510" s="53" t="s">
        <v>1026</v>
      </c>
      <c r="P510" s="53" t="s">
        <v>1105</v>
      </c>
      <c r="Q510" s="53" t="str">
        <f t="shared" si="14"/>
        <v>DENTRO DEL TIEMPO</v>
      </c>
      <c r="R510" s="56"/>
    </row>
    <row r="511" spans="1:18" ht="51" x14ac:dyDescent="0.25">
      <c r="A511" s="49">
        <v>505</v>
      </c>
      <c r="B511" s="50" t="s">
        <v>3687</v>
      </c>
      <c r="C511" s="51">
        <v>44650</v>
      </c>
      <c r="D511" s="51">
        <v>44650</v>
      </c>
      <c r="E511" s="49">
        <v>1</v>
      </c>
      <c r="F511" s="52" t="s">
        <v>22</v>
      </c>
      <c r="G511" s="53" t="s">
        <v>840</v>
      </c>
      <c r="H511" s="53" t="s">
        <v>3511</v>
      </c>
      <c r="I511" s="53" t="s">
        <v>1101</v>
      </c>
      <c r="J511" s="51">
        <v>44663</v>
      </c>
      <c r="K511" s="51">
        <v>44663</v>
      </c>
      <c r="L511" s="54">
        <f t="shared" si="15"/>
        <v>9</v>
      </c>
      <c r="M511" s="59" t="s">
        <v>3688</v>
      </c>
      <c r="N511" s="53" t="s">
        <v>1104</v>
      </c>
      <c r="O511" s="53" t="s">
        <v>1026</v>
      </c>
      <c r="P511" s="53" t="s">
        <v>1105</v>
      </c>
      <c r="Q511" s="53" t="str">
        <f t="shared" si="14"/>
        <v>DENTRO DEL TIEMPO</v>
      </c>
      <c r="R511" s="56"/>
    </row>
  </sheetData>
  <autoFilter ref="A6:R511">
    <filterColumn colId="5">
      <filters>
        <filter val="ATENDIDO"/>
        <filter val="EN TRÁMITE"/>
      </filters>
    </filterColumn>
  </autoFilter>
  <mergeCells count="3">
    <mergeCell ref="A2:Q2"/>
    <mergeCell ref="A3:Q3"/>
    <mergeCell ref="A4:Q4"/>
  </mergeCells>
  <conditionalFormatting sqref="Q416:Q433">
    <cfRule type="cellIs" dxfId="11" priority="9" stopIfTrue="1" operator="equal">
      <formula>"VERIFICAR INFORMACION"</formula>
    </cfRule>
    <cfRule type="cellIs" dxfId="10" priority="10" stopIfTrue="1" operator="equal">
      <formula>"EN TRAMITE"</formula>
    </cfRule>
    <cfRule type="cellIs" dxfId="9" priority="11" stopIfTrue="1" operator="equal">
      <formula>"FUERA DE TIEMPO"</formula>
    </cfRule>
    <cfRule type="cellIs" dxfId="8" priority="12" stopIfTrue="1" operator="equal">
      <formula>"DENTRO DE TIEMPO"</formula>
    </cfRule>
  </conditionalFormatting>
  <conditionalFormatting sqref="Q412:Q415">
    <cfRule type="cellIs" dxfId="7" priority="5" stopIfTrue="1" operator="equal">
      <formula>"VERIFICAR INFORMACION"</formula>
    </cfRule>
    <cfRule type="cellIs" dxfId="6" priority="6" stopIfTrue="1" operator="equal">
      <formula>"EN TRAMITE"</formula>
    </cfRule>
    <cfRule type="cellIs" dxfId="5" priority="7" stopIfTrue="1" operator="equal">
      <formula>"FUERA DE TIEMPO"</formula>
    </cfRule>
    <cfRule type="cellIs" dxfId="4" priority="8" stopIfTrue="1" operator="equal">
      <formula>"DENTRO DE TIEMPO"</formula>
    </cfRule>
  </conditionalFormatting>
  <conditionalFormatting sqref="Q434:Q511">
    <cfRule type="cellIs" dxfId="3" priority="1" stopIfTrue="1" operator="equal">
      <formula>"VERIFICAR INFORMACION"</formula>
    </cfRule>
    <cfRule type="cellIs" dxfId="2" priority="2" stopIfTrue="1" operator="equal">
      <formula>"EN TRAMITE"</formula>
    </cfRule>
    <cfRule type="cellIs" dxfId="1" priority="3" stopIfTrue="1" operator="equal">
      <formula>"FUERA DE TIEMPO"</formula>
    </cfRule>
    <cfRule type="cellIs" dxfId="0" priority="4" stopIfTrue="1" operator="equal">
      <formula>"DENTRO DE TIEMPO"</formula>
    </cfRule>
  </conditionalFormatting>
  <dataValidations count="1">
    <dataValidation type="list" allowBlank="1" showInputMessage="1" showErrorMessage="1" sqref="F408:F411">
      <formula1>#REF!</formula1>
    </dataValidation>
  </dataValidations>
  <hyperlinks>
    <hyperlink ref="P11" r:id="rId1"/>
    <hyperlink ref="P12" r:id="rId2"/>
    <hyperlink ref="P17" r:id="rId3"/>
    <hyperlink ref="P19" r:id="rId4"/>
    <hyperlink ref="P20" r:id="rId5"/>
    <hyperlink ref="P21" r:id="rId6"/>
    <hyperlink ref="P111" r:id="rId7" display="mailto:galoortega33@gmail.com"/>
    <hyperlink ref="P45" r:id="rId8"/>
    <hyperlink ref="P16" r:id="rId9"/>
    <hyperlink ref="P202" r:id="rId10"/>
    <hyperlink ref="P137" r:id="rId11"/>
    <hyperlink ref="P94" r:id="rId12"/>
    <hyperlink ref="P88" r:id="rId13"/>
    <hyperlink ref="P9" r:id="rId14"/>
    <hyperlink ref="P74" r:id="rId15"/>
    <hyperlink ref="P242" r:id="rId16" display="mailto:stalinsar@hotmail.es"/>
    <hyperlink ref="P178" r:id="rId17"/>
    <hyperlink ref="P236" r:id="rId18"/>
    <hyperlink ref="P260" r:id="rId19"/>
    <hyperlink ref="P261" r:id="rId20"/>
    <hyperlink ref="P313" r:id="rId21"/>
    <hyperlink ref="P330" r:id="rId22"/>
    <hyperlink ref="P337" r:id="rId23"/>
    <hyperlink ref="P348" r:id="rId24"/>
    <hyperlink ref="P346" r:id="rId25"/>
    <hyperlink ref="P317" r:id="rId26"/>
    <hyperlink ref="P275" r:id="rId27"/>
    <hyperlink ref="P302" r:id="rId28"/>
    <hyperlink ref="P307" r:id="rId29"/>
    <hyperlink ref="P310" r:id="rId30"/>
  </hyperlinks>
  <pageMargins left="0.7" right="0.7" top="0.75" bottom="0.75" header="0.3" footer="0.3"/>
  <pageSetup orientation="portrait" horizontalDpi="4294967292" verticalDpi="0" r:id="rId31"/>
  <drawing r:id="rId3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S419"/>
  <sheetViews>
    <sheetView topLeftCell="A411" zoomScale="70" zoomScaleNormal="70" workbookViewId="0">
      <selection activeCell="B7" sqref="B7:B419"/>
    </sheetView>
  </sheetViews>
  <sheetFormatPr baseColWidth="10" defaultRowHeight="15" x14ac:dyDescent="0.25"/>
  <cols>
    <col min="3" max="3" width="14.85546875" customWidth="1"/>
    <col min="4" max="4" width="14.140625" customWidth="1"/>
    <col min="8" max="8" width="14.42578125" customWidth="1"/>
    <col min="10" max="10" width="16.7109375" customWidth="1"/>
  </cols>
  <sheetData>
    <row r="2" spans="1:19" x14ac:dyDescent="0.25">
      <c r="A2" s="102" t="s">
        <v>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</row>
    <row r="3" spans="1:19" x14ac:dyDescent="0.25">
      <c r="A3" s="102" t="s">
        <v>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</row>
    <row r="4" spans="1:19" x14ac:dyDescent="0.25">
      <c r="A4" s="102" t="s">
        <v>2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</row>
    <row r="6" spans="1:19" ht="45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</row>
    <row r="7" spans="1:19" ht="66.75" customHeight="1" x14ac:dyDescent="0.25">
      <c r="A7" s="63">
        <v>1</v>
      </c>
      <c r="B7" s="55" t="s">
        <v>3689</v>
      </c>
      <c r="C7" s="64">
        <v>44670</v>
      </c>
      <c r="D7" s="64">
        <v>44670</v>
      </c>
      <c r="E7" s="65">
        <v>2</v>
      </c>
      <c r="F7" s="24" t="s">
        <v>22</v>
      </c>
      <c r="G7" s="55" t="s">
        <v>23</v>
      </c>
      <c r="H7" s="55" t="s">
        <v>2255</v>
      </c>
      <c r="I7" s="55" t="s">
        <v>23</v>
      </c>
      <c r="J7" s="66">
        <v>44679</v>
      </c>
      <c r="K7" s="66">
        <v>44679</v>
      </c>
      <c r="L7" s="67">
        <f>+NETWORKDAYS(D7,K7,$R$7:$R$10)-1</f>
        <v>7</v>
      </c>
      <c r="M7" s="55" t="s">
        <v>3690</v>
      </c>
      <c r="N7" s="68" t="s">
        <v>1025</v>
      </c>
      <c r="O7" s="55" t="s">
        <v>3691</v>
      </c>
      <c r="P7" s="55" t="s">
        <v>3692</v>
      </c>
      <c r="Q7" s="68" t="str">
        <f>IF(L7&gt;15,"FUERA DE TIEMPO","DENTRO DEL TIEMPO")</f>
        <v>DENTRO DEL TIEMPO</v>
      </c>
      <c r="R7" s="6"/>
      <c r="S7" s="69"/>
    </row>
    <row r="8" spans="1:19" ht="48.75" x14ac:dyDescent="0.25">
      <c r="A8" s="63">
        <v>2</v>
      </c>
      <c r="B8" s="55" t="s">
        <v>3693</v>
      </c>
      <c r="C8" s="64">
        <v>44652</v>
      </c>
      <c r="D8" s="64">
        <v>44652</v>
      </c>
      <c r="E8" s="65">
        <v>1166</v>
      </c>
      <c r="F8" s="24" t="s">
        <v>22</v>
      </c>
      <c r="G8" s="55" t="s">
        <v>23</v>
      </c>
      <c r="H8" s="55" t="s">
        <v>24</v>
      </c>
      <c r="I8" s="55" t="s">
        <v>23</v>
      </c>
      <c r="J8" s="66">
        <v>44663</v>
      </c>
      <c r="K8" s="66">
        <v>44663</v>
      </c>
      <c r="L8" s="67">
        <f t="shared" ref="L8:L71" si="0">+NETWORKDAYS(D8,K8,$R$7:$R$10)-1</f>
        <v>7</v>
      </c>
      <c r="M8" s="55" t="s">
        <v>3694</v>
      </c>
      <c r="N8" s="68" t="s">
        <v>26</v>
      </c>
      <c r="O8" s="55" t="s">
        <v>3695</v>
      </c>
      <c r="P8" s="55" t="s">
        <v>3696</v>
      </c>
      <c r="Q8" s="68" t="str">
        <f t="shared" ref="Q8:Q71" si="1">IF(L8&gt;15,"FUERA DE TIEMPO","DENTRO DEL TIEMPO")</f>
        <v>DENTRO DEL TIEMPO</v>
      </c>
      <c r="R8" s="6"/>
      <c r="S8" s="69"/>
    </row>
    <row r="9" spans="1:19" ht="48.75" x14ac:dyDescent="0.25">
      <c r="A9" s="63">
        <v>3</v>
      </c>
      <c r="B9" s="55" t="s">
        <v>3697</v>
      </c>
      <c r="C9" s="64">
        <v>44652</v>
      </c>
      <c r="D9" s="64">
        <v>44652</v>
      </c>
      <c r="E9" s="65">
        <v>3</v>
      </c>
      <c r="F9" s="24" t="s">
        <v>22</v>
      </c>
      <c r="G9" s="55" t="s">
        <v>23</v>
      </c>
      <c r="H9" s="55" t="s">
        <v>24</v>
      </c>
      <c r="I9" s="55" t="s">
        <v>23</v>
      </c>
      <c r="J9" s="66">
        <v>44657</v>
      </c>
      <c r="K9" s="66">
        <v>44657</v>
      </c>
      <c r="L9" s="67">
        <f t="shared" si="0"/>
        <v>3</v>
      </c>
      <c r="M9" s="55" t="s">
        <v>3698</v>
      </c>
      <c r="N9" s="68" t="s">
        <v>26</v>
      </c>
      <c r="O9" s="55" t="s">
        <v>3699</v>
      </c>
      <c r="P9" s="55" t="s">
        <v>3700</v>
      </c>
      <c r="Q9" s="68" t="str">
        <f t="shared" si="1"/>
        <v>DENTRO DEL TIEMPO</v>
      </c>
      <c r="R9" s="6"/>
      <c r="S9" s="69"/>
    </row>
    <row r="10" spans="1:19" ht="48.75" x14ac:dyDescent="0.25">
      <c r="A10" s="63">
        <v>4</v>
      </c>
      <c r="B10" s="55" t="s">
        <v>3701</v>
      </c>
      <c r="C10" s="64">
        <v>44652</v>
      </c>
      <c r="D10" s="64">
        <v>44652</v>
      </c>
      <c r="E10" s="65">
        <v>2</v>
      </c>
      <c r="F10" s="24" t="s">
        <v>22</v>
      </c>
      <c r="G10" s="55" t="s">
        <v>30</v>
      </c>
      <c r="H10" s="55" t="s">
        <v>24</v>
      </c>
      <c r="I10" s="55" t="s">
        <v>30</v>
      </c>
      <c r="J10" s="66">
        <v>44656</v>
      </c>
      <c r="K10" s="66">
        <v>44656</v>
      </c>
      <c r="L10" s="67">
        <f t="shared" si="0"/>
        <v>2</v>
      </c>
      <c r="M10" s="55" t="s">
        <v>3702</v>
      </c>
      <c r="N10" s="68" t="s">
        <v>26</v>
      </c>
      <c r="O10" s="55" t="s">
        <v>2407</v>
      </c>
      <c r="P10" s="55" t="s">
        <v>3703</v>
      </c>
      <c r="Q10" s="68" t="str">
        <f t="shared" si="1"/>
        <v>DENTRO DEL TIEMPO</v>
      </c>
      <c r="R10" s="6"/>
      <c r="S10" s="69"/>
    </row>
    <row r="11" spans="1:19" ht="48.75" x14ac:dyDescent="0.25">
      <c r="A11" s="63">
        <v>5</v>
      </c>
      <c r="B11" s="55" t="s">
        <v>3704</v>
      </c>
      <c r="C11" s="64">
        <v>44652</v>
      </c>
      <c r="D11" s="64">
        <v>44652</v>
      </c>
      <c r="E11" s="65">
        <v>2</v>
      </c>
      <c r="F11" s="24" t="s">
        <v>22</v>
      </c>
      <c r="G11" s="55" t="s">
        <v>30</v>
      </c>
      <c r="H11" s="55" t="s">
        <v>24</v>
      </c>
      <c r="I11" s="55" t="s">
        <v>30</v>
      </c>
      <c r="J11" s="66">
        <v>44656</v>
      </c>
      <c r="K11" s="66">
        <v>44656</v>
      </c>
      <c r="L11" s="67">
        <f t="shared" si="0"/>
        <v>2</v>
      </c>
      <c r="M11" s="55" t="s">
        <v>3705</v>
      </c>
      <c r="N11" s="68" t="s">
        <v>26</v>
      </c>
      <c r="O11" s="55" t="s">
        <v>3706</v>
      </c>
      <c r="P11" s="55" t="s">
        <v>3707</v>
      </c>
      <c r="Q11" s="68" t="str">
        <f t="shared" si="1"/>
        <v>DENTRO DEL TIEMPO</v>
      </c>
      <c r="R11" s="6"/>
      <c r="S11" s="69"/>
    </row>
    <row r="12" spans="1:19" ht="48.75" x14ac:dyDescent="0.25">
      <c r="A12" s="63">
        <v>6</v>
      </c>
      <c r="B12" s="55" t="s">
        <v>3708</v>
      </c>
      <c r="C12" s="64">
        <v>44652</v>
      </c>
      <c r="D12" s="64">
        <v>44652</v>
      </c>
      <c r="E12" s="65">
        <v>2</v>
      </c>
      <c r="F12" s="24" t="s">
        <v>22</v>
      </c>
      <c r="G12" s="55" t="s">
        <v>30</v>
      </c>
      <c r="H12" s="55" t="s">
        <v>24</v>
      </c>
      <c r="I12" s="55" t="s">
        <v>30</v>
      </c>
      <c r="J12" s="66">
        <v>44656</v>
      </c>
      <c r="K12" s="66">
        <v>44656</v>
      </c>
      <c r="L12" s="67">
        <f t="shared" si="0"/>
        <v>2</v>
      </c>
      <c r="M12" s="55" t="s">
        <v>3709</v>
      </c>
      <c r="N12" s="68" t="s">
        <v>26</v>
      </c>
      <c r="O12" s="55" t="s">
        <v>3710</v>
      </c>
      <c r="P12" s="55" t="s">
        <v>3711</v>
      </c>
      <c r="Q12" s="68" t="str">
        <f t="shared" si="1"/>
        <v>DENTRO DEL TIEMPO</v>
      </c>
      <c r="R12" s="6"/>
      <c r="S12" s="69"/>
    </row>
    <row r="13" spans="1:19" ht="48.75" x14ac:dyDescent="0.25">
      <c r="A13" s="63">
        <v>7</v>
      </c>
      <c r="B13" s="55" t="s">
        <v>3712</v>
      </c>
      <c r="C13" s="64">
        <v>44652</v>
      </c>
      <c r="D13" s="64">
        <v>44652</v>
      </c>
      <c r="E13" s="65">
        <v>2</v>
      </c>
      <c r="F13" s="24" t="s">
        <v>22</v>
      </c>
      <c r="G13" s="55" t="s">
        <v>30</v>
      </c>
      <c r="H13" s="55" t="s">
        <v>24</v>
      </c>
      <c r="I13" s="55" t="s">
        <v>30</v>
      </c>
      <c r="J13" s="66">
        <v>44662</v>
      </c>
      <c r="K13" s="66">
        <v>44662</v>
      </c>
      <c r="L13" s="67">
        <f t="shared" si="0"/>
        <v>6</v>
      </c>
      <c r="M13" s="55" t="s">
        <v>3713</v>
      </c>
      <c r="N13" s="68" t="s">
        <v>26</v>
      </c>
      <c r="O13" s="55" t="s">
        <v>2550</v>
      </c>
      <c r="P13" s="55" t="s">
        <v>3711</v>
      </c>
      <c r="Q13" s="68" t="str">
        <f t="shared" si="1"/>
        <v>DENTRO DEL TIEMPO</v>
      </c>
      <c r="R13" s="6"/>
      <c r="S13" s="69"/>
    </row>
    <row r="14" spans="1:19" ht="48.75" x14ac:dyDescent="0.25">
      <c r="A14" s="63">
        <v>8</v>
      </c>
      <c r="B14" s="55" t="s">
        <v>3714</v>
      </c>
      <c r="C14" s="64">
        <v>44652</v>
      </c>
      <c r="D14" s="64">
        <v>44652</v>
      </c>
      <c r="E14" s="65">
        <v>2</v>
      </c>
      <c r="F14" s="24" t="s">
        <v>22</v>
      </c>
      <c r="G14" s="55" t="s">
        <v>30</v>
      </c>
      <c r="H14" s="55" t="s">
        <v>24</v>
      </c>
      <c r="I14" s="55" t="s">
        <v>30</v>
      </c>
      <c r="J14" s="66">
        <v>44657</v>
      </c>
      <c r="K14" s="66">
        <v>44657</v>
      </c>
      <c r="L14" s="67">
        <f t="shared" si="0"/>
        <v>3</v>
      </c>
      <c r="M14" s="55" t="s">
        <v>3715</v>
      </c>
      <c r="N14" s="68" t="s">
        <v>26</v>
      </c>
      <c r="O14" s="55" t="s">
        <v>3716</v>
      </c>
      <c r="P14" s="55" t="s">
        <v>3717</v>
      </c>
      <c r="Q14" s="68" t="str">
        <f t="shared" si="1"/>
        <v>DENTRO DEL TIEMPO</v>
      </c>
      <c r="R14" s="6"/>
      <c r="S14" s="69"/>
    </row>
    <row r="15" spans="1:19" ht="48.75" x14ac:dyDescent="0.25">
      <c r="A15" s="63">
        <v>9</v>
      </c>
      <c r="B15" s="55" t="s">
        <v>3718</v>
      </c>
      <c r="C15" s="64">
        <v>44652</v>
      </c>
      <c r="D15" s="64">
        <v>44652</v>
      </c>
      <c r="E15" s="65">
        <v>2</v>
      </c>
      <c r="F15" s="24" t="s">
        <v>22</v>
      </c>
      <c r="G15" s="55" t="s">
        <v>30</v>
      </c>
      <c r="H15" s="55" t="s">
        <v>24</v>
      </c>
      <c r="I15" s="55" t="s">
        <v>30</v>
      </c>
      <c r="J15" s="66">
        <v>44658</v>
      </c>
      <c r="K15" s="66">
        <v>44658</v>
      </c>
      <c r="L15" s="67">
        <f t="shared" si="0"/>
        <v>4</v>
      </c>
      <c r="M15" s="59" t="s">
        <v>3719</v>
      </c>
      <c r="N15" s="68" t="s">
        <v>26</v>
      </c>
      <c r="O15" s="55" t="s">
        <v>3716</v>
      </c>
      <c r="P15" s="55" t="s">
        <v>3711</v>
      </c>
      <c r="Q15" s="68" t="str">
        <f t="shared" si="1"/>
        <v>DENTRO DEL TIEMPO</v>
      </c>
      <c r="R15" s="6"/>
      <c r="S15" s="69"/>
    </row>
    <row r="16" spans="1:19" ht="48.75" x14ac:dyDescent="0.25">
      <c r="A16" s="63">
        <v>10</v>
      </c>
      <c r="B16" s="55" t="s">
        <v>3720</v>
      </c>
      <c r="C16" s="64">
        <v>44652</v>
      </c>
      <c r="D16" s="64">
        <v>44652</v>
      </c>
      <c r="E16" s="65">
        <v>2</v>
      </c>
      <c r="F16" s="24" t="s">
        <v>22</v>
      </c>
      <c r="G16" s="55" t="s">
        <v>30</v>
      </c>
      <c r="H16" s="55" t="s">
        <v>24</v>
      </c>
      <c r="I16" s="55" t="s">
        <v>30</v>
      </c>
      <c r="J16" s="66">
        <v>44658</v>
      </c>
      <c r="K16" s="66">
        <v>44658</v>
      </c>
      <c r="L16" s="67">
        <f t="shared" si="0"/>
        <v>4</v>
      </c>
      <c r="M16" s="59" t="s">
        <v>3721</v>
      </c>
      <c r="N16" s="68" t="s">
        <v>26</v>
      </c>
      <c r="O16" s="55" t="s">
        <v>3163</v>
      </c>
      <c r="P16" s="55" t="s">
        <v>3711</v>
      </c>
      <c r="Q16" s="68" t="str">
        <f t="shared" si="1"/>
        <v>DENTRO DEL TIEMPO</v>
      </c>
      <c r="R16" s="6"/>
      <c r="S16" s="69"/>
    </row>
    <row r="17" spans="1:19" ht="48.75" x14ac:dyDescent="0.25">
      <c r="A17" s="63">
        <v>11</v>
      </c>
      <c r="B17" s="55" t="s">
        <v>3722</v>
      </c>
      <c r="C17" s="64">
        <v>44652</v>
      </c>
      <c r="D17" s="64">
        <v>44652</v>
      </c>
      <c r="E17" s="65">
        <v>2</v>
      </c>
      <c r="F17" s="24" t="s">
        <v>22</v>
      </c>
      <c r="G17" s="55" t="s">
        <v>23</v>
      </c>
      <c r="H17" s="55" t="s">
        <v>24</v>
      </c>
      <c r="I17" s="55" t="s">
        <v>23</v>
      </c>
      <c r="J17" s="66">
        <v>44655</v>
      </c>
      <c r="K17" s="66">
        <v>44655</v>
      </c>
      <c r="L17" s="67">
        <f t="shared" si="0"/>
        <v>1</v>
      </c>
      <c r="M17" s="59" t="s">
        <v>3723</v>
      </c>
      <c r="N17" s="68" t="s">
        <v>26</v>
      </c>
      <c r="O17" s="55" t="s">
        <v>3724</v>
      </c>
      <c r="P17" s="55" t="s">
        <v>3725</v>
      </c>
      <c r="Q17" s="68" t="str">
        <f t="shared" si="1"/>
        <v>DENTRO DEL TIEMPO</v>
      </c>
      <c r="R17" s="6"/>
      <c r="S17" s="69"/>
    </row>
    <row r="18" spans="1:19" ht="48.75" x14ac:dyDescent="0.25">
      <c r="A18" s="63">
        <v>12</v>
      </c>
      <c r="B18" s="55" t="s">
        <v>3726</v>
      </c>
      <c r="C18" s="64">
        <v>44652</v>
      </c>
      <c r="D18" s="64">
        <v>44652</v>
      </c>
      <c r="E18" s="65">
        <v>2</v>
      </c>
      <c r="F18" s="24" t="s">
        <v>22</v>
      </c>
      <c r="G18" s="55" t="s">
        <v>30</v>
      </c>
      <c r="H18" s="55" t="s">
        <v>24</v>
      </c>
      <c r="I18" s="55" t="s">
        <v>30</v>
      </c>
      <c r="J18" s="66">
        <v>44657</v>
      </c>
      <c r="K18" s="66">
        <v>44657</v>
      </c>
      <c r="L18" s="67">
        <f t="shared" si="0"/>
        <v>3</v>
      </c>
      <c r="M18" s="59" t="s">
        <v>3727</v>
      </c>
      <c r="N18" s="68" t="s">
        <v>26</v>
      </c>
      <c r="O18" s="55" t="s">
        <v>3728</v>
      </c>
      <c r="P18" s="55" t="s">
        <v>3729</v>
      </c>
      <c r="Q18" s="68" t="str">
        <f t="shared" si="1"/>
        <v>DENTRO DEL TIEMPO</v>
      </c>
      <c r="R18" s="6"/>
      <c r="S18" s="69"/>
    </row>
    <row r="19" spans="1:19" ht="48.75" x14ac:dyDescent="0.25">
      <c r="A19" s="63">
        <v>13</v>
      </c>
      <c r="B19" s="55" t="s">
        <v>3730</v>
      </c>
      <c r="C19" s="64">
        <v>44652</v>
      </c>
      <c r="D19" s="64">
        <v>44652</v>
      </c>
      <c r="E19" s="65">
        <v>2</v>
      </c>
      <c r="F19" s="24" t="s">
        <v>22</v>
      </c>
      <c r="G19" s="55" t="s">
        <v>30</v>
      </c>
      <c r="H19" s="55" t="s">
        <v>24</v>
      </c>
      <c r="I19" s="55" t="s">
        <v>30</v>
      </c>
      <c r="J19" s="66">
        <v>44657</v>
      </c>
      <c r="K19" s="66">
        <v>44657</v>
      </c>
      <c r="L19" s="67">
        <f t="shared" si="0"/>
        <v>3</v>
      </c>
      <c r="M19" s="59" t="s">
        <v>3731</v>
      </c>
      <c r="N19" s="68" t="s">
        <v>26</v>
      </c>
      <c r="O19" s="55" t="s">
        <v>3732</v>
      </c>
      <c r="P19" s="55" t="s">
        <v>3733</v>
      </c>
      <c r="Q19" s="68" t="str">
        <f t="shared" si="1"/>
        <v>DENTRO DEL TIEMPO</v>
      </c>
      <c r="R19" s="6"/>
      <c r="S19" s="69"/>
    </row>
    <row r="20" spans="1:19" ht="48.75" x14ac:dyDescent="0.25">
      <c r="A20" s="63">
        <v>14</v>
      </c>
      <c r="B20" s="55" t="s">
        <v>3734</v>
      </c>
      <c r="C20" s="64">
        <v>44652</v>
      </c>
      <c r="D20" s="64">
        <v>44652</v>
      </c>
      <c r="E20" s="65">
        <v>2</v>
      </c>
      <c r="F20" s="24" t="s">
        <v>22</v>
      </c>
      <c r="G20" s="55" t="s">
        <v>30</v>
      </c>
      <c r="H20" s="55" t="s">
        <v>24</v>
      </c>
      <c r="I20" s="55" t="s">
        <v>30</v>
      </c>
      <c r="J20" s="66">
        <v>44657</v>
      </c>
      <c r="K20" s="66">
        <v>44657</v>
      </c>
      <c r="L20" s="67">
        <f t="shared" si="0"/>
        <v>3</v>
      </c>
      <c r="M20" s="59" t="s">
        <v>3735</v>
      </c>
      <c r="N20" s="68" t="s">
        <v>26</v>
      </c>
      <c r="O20" s="55" t="s">
        <v>2999</v>
      </c>
      <c r="P20" s="55" t="s">
        <v>3736</v>
      </c>
      <c r="Q20" s="68" t="str">
        <f t="shared" si="1"/>
        <v>DENTRO DEL TIEMPO</v>
      </c>
      <c r="R20" s="6"/>
      <c r="S20" s="69"/>
    </row>
    <row r="21" spans="1:19" ht="48.75" x14ac:dyDescent="0.25">
      <c r="A21" s="63">
        <v>15</v>
      </c>
      <c r="B21" s="55" t="s">
        <v>3737</v>
      </c>
      <c r="C21" s="64">
        <v>44652</v>
      </c>
      <c r="D21" s="64">
        <v>44652</v>
      </c>
      <c r="E21" s="65">
        <v>2</v>
      </c>
      <c r="F21" s="24" t="s">
        <v>22</v>
      </c>
      <c r="G21" s="55" t="s">
        <v>30</v>
      </c>
      <c r="H21" s="55" t="s">
        <v>24</v>
      </c>
      <c r="I21" s="55" t="s">
        <v>30</v>
      </c>
      <c r="J21" s="66">
        <v>44657</v>
      </c>
      <c r="K21" s="66">
        <v>44657</v>
      </c>
      <c r="L21" s="67">
        <f t="shared" si="0"/>
        <v>3</v>
      </c>
      <c r="M21" s="59" t="s">
        <v>3738</v>
      </c>
      <c r="N21" s="68" t="s">
        <v>26</v>
      </c>
      <c r="O21" s="55" t="s">
        <v>2602</v>
      </c>
      <c r="P21" s="55" t="s">
        <v>3739</v>
      </c>
      <c r="Q21" s="68" t="str">
        <f t="shared" si="1"/>
        <v>DENTRO DEL TIEMPO</v>
      </c>
      <c r="R21" s="6"/>
      <c r="S21" s="69"/>
    </row>
    <row r="22" spans="1:19" ht="48.75" x14ac:dyDescent="0.25">
      <c r="A22" s="63">
        <v>16</v>
      </c>
      <c r="B22" s="55" t="s">
        <v>3740</v>
      </c>
      <c r="C22" s="64">
        <v>44652</v>
      </c>
      <c r="D22" s="64">
        <v>44652</v>
      </c>
      <c r="E22" s="65">
        <v>2</v>
      </c>
      <c r="F22" s="24" t="s">
        <v>22</v>
      </c>
      <c r="G22" s="55" t="s">
        <v>30</v>
      </c>
      <c r="H22" s="55" t="s">
        <v>24</v>
      </c>
      <c r="I22" s="55" t="s">
        <v>30</v>
      </c>
      <c r="J22" s="66">
        <v>44657</v>
      </c>
      <c r="K22" s="66">
        <v>44657</v>
      </c>
      <c r="L22" s="67">
        <f t="shared" si="0"/>
        <v>3</v>
      </c>
      <c r="M22" s="59" t="s">
        <v>3741</v>
      </c>
      <c r="N22" s="68" t="s">
        <v>26</v>
      </c>
      <c r="O22" s="55" t="s">
        <v>3742</v>
      </c>
      <c r="P22" s="55" t="s">
        <v>3743</v>
      </c>
      <c r="Q22" s="68" t="str">
        <f t="shared" si="1"/>
        <v>DENTRO DEL TIEMPO</v>
      </c>
      <c r="R22" s="6"/>
      <c r="S22" s="69"/>
    </row>
    <row r="23" spans="1:19" ht="48.75" x14ac:dyDescent="0.25">
      <c r="A23" s="63">
        <v>17</v>
      </c>
      <c r="B23" s="55" t="s">
        <v>3744</v>
      </c>
      <c r="C23" s="64">
        <v>44652</v>
      </c>
      <c r="D23" s="64">
        <v>44652</v>
      </c>
      <c r="E23" s="65">
        <v>2</v>
      </c>
      <c r="F23" s="24" t="s">
        <v>22</v>
      </c>
      <c r="G23" s="55" t="s">
        <v>30</v>
      </c>
      <c r="H23" s="55" t="s">
        <v>24</v>
      </c>
      <c r="I23" s="55" t="s">
        <v>30</v>
      </c>
      <c r="J23" s="66">
        <v>44657</v>
      </c>
      <c r="K23" s="66">
        <v>44657</v>
      </c>
      <c r="L23" s="67">
        <f t="shared" si="0"/>
        <v>3</v>
      </c>
      <c r="M23" s="59" t="s">
        <v>3745</v>
      </c>
      <c r="N23" s="68" t="s">
        <v>26</v>
      </c>
      <c r="O23" s="55" t="s">
        <v>3227</v>
      </c>
      <c r="P23" s="55" t="s">
        <v>3746</v>
      </c>
      <c r="Q23" s="68" t="str">
        <f t="shared" si="1"/>
        <v>DENTRO DEL TIEMPO</v>
      </c>
      <c r="R23" s="6"/>
      <c r="S23" s="69"/>
    </row>
    <row r="24" spans="1:19" ht="48.75" x14ac:dyDescent="0.25">
      <c r="A24" s="63">
        <v>18</v>
      </c>
      <c r="B24" s="55" t="s">
        <v>3747</v>
      </c>
      <c r="C24" s="64">
        <v>44652</v>
      </c>
      <c r="D24" s="64">
        <v>44652</v>
      </c>
      <c r="E24" s="65">
        <v>2</v>
      </c>
      <c r="F24" s="24" t="s">
        <v>22</v>
      </c>
      <c r="G24" s="55" t="s">
        <v>30</v>
      </c>
      <c r="H24" s="55" t="s">
        <v>24</v>
      </c>
      <c r="I24" s="55" t="s">
        <v>30</v>
      </c>
      <c r="J24" s="66">
        <v>44657</v>
      </c>
      <c r="K24" s="66">
        <v>44657</v>
      </c>
      <c r="L24" s="67">
        <f t="shared" si="0"/>
        <v>3</v>
      </c>
      <c r="M24" s="59" t="s">
        <v>3748</v>
      </c>
      <c r="N24" s="68" t="s">
        <v>26</v>
      </c>
      <c r="O24" s="55" t="s">
        <v>3749</v>
      </c>
      <c r="P24" s="55" t="s">
        <v>3750</v>
      </c>
      <c r="Q24" s="68" t="str">
        <f t="shared" si="1"/>
        <v>DENTRO DEL TIEMPO</v>
      </c>
      <c r="R24" s="6"/>
      <c r="S24" s="69"/>
    </row>
    <row r="25" spans="1:19" ht="48.75" x14ac:dyDescent="0.25">
      <c r="A25" s="63">
        <v>19</v>
      </c>
      <c r="B25" s="55" t="s">
        <v>3751</v>
      </c>
      <c r="C25" s="64">
        <v>44652</v>
      </c>
      <c r="D25" s="64">
        <v>44652</v>
      </c>
      <c r="E25" s="65">
        <v>2</v>
      </c>
      <c r="F25" s="24" t="s">
        <v>22</v>
      </c>
      <c r="G25" s="55" t="s">
        <v>30</v>
      </c>
      <c r="H25" s="55" t="s">
        <v>24</v>
      </c>
      <c r="I25" s="55" t="s">
        <v>30</v>
      </c>
      <c r="J25" s="66">
        <v>44657</v>
      </c>
      <c r="K25" s="66">
        <v>44657</v>
      </c>
      <c r="L25" s="67">
        <f t="shared" si="0"/>
        <v>3</v>
      </c>
      <c r="M25" s="59" t="s">
        <v>3752</v>
      </c>
      <c r="N25" s="68" t="s">
        <v>26</v>
      </c>
      <c r="O25" s="55" t="s">
        <v>3753</v>
      </c>
      <c r="P25" s="55" t="s">
        <v>3754</v>
      </c>
      <c r="Q25" s="68" t="str">
        <f t="shared" si="1"/>
        <v>DENTRO DEL TIEMPO</v>
      </c>
      <c r="R25" s="6"/>
      <c r="S25" s="69"/>
    </row>
    <row r="26" spans="1:19" ht="48.75" x14ac:dyDescent="0.25">
      <c r="A26" s="63">
        <v>20</v>
      </c>
      <c r="B26" s="55" t="s">
        <v>3755</v>
      </c>
      <c r="C26" s="64">
        <v>44652</v>
      </c>
      <c r="D26" s="64">
        <v>44652</v>
      </c>
      <c r="E26" s="65">
        <v>2</v>
      </c>
      <c r="F26" s="24" t="s">
        <v>22</v>
      </c>
      <c r="G26" s="55" t="s">
        <v>30</v>
      </c>
      <c r="H26" s="55" t="s">
        <v>24</v>
      </c>
      <c r="I26" s="55" t="s">
        <v>30</v>
      </c>
      <c r="J26" s="66">
        <v>44657</v>
      </c>
      <c r="K26" s="66">
        <v>44657</v>
      </c>
      <c r="L26" s="67">
        <f t="shared" si="0"/>
        <v>3</v>
      </c>
      <c r="M26" s="59" t="s">
        <v>3756</v>
      </c>
      <c r="N26" s="68" t="s">
        <v>26</v>
      </c>
      <c r="O26" s="55" t="s">
        <v>3757</v>
      </c>
      <c r="P26" s="55" t="s">
        <v>3758</v>
      </c>
      <c r="Q26" s="68" t="str">
        <f t="shared" si="1"/>
        <v>DENTRO DEL TIEMPO</v>
      </c>
      <c r="R26" s="6"/>
      <c r="S26" s="69"/>
    </row>
    <row r="27" spans="1:19" ht="39" hidden="1" x14ac:dyDescent="0.25">
      <c r="A27" s="63">
        <v>21</v>
      </c>
      <c r="B27" s="59" t="s">
        <v>3759</v>
      </c>
      <c r="C27" s="64">
        <v>44652</v>
      </c>
      <c r="D27" s="64">
        <v>44652</v>
      </c>
      <c r="E27" s="65">
        <v>0</v>
      </c>
      <c r="F27" s="24" t="s">
        <v>790</v>
      </c>
      <c r="G27" s="55" t="s">
        <v>3760</v>
      </c>
      <c r="H27" s="55" t="s">
        <v>1387</v>
      </c>
      <c r="I27" s="55" t="s">
        <v>3760</v>
      </c>
      <c r="J27" s="66"/>
      <c r="K27" s="66"/>
      <c r="L27" s="67">
        <f t="shared" si="0"/>
        <v>-31896</v>
      </c>
      <c r="M27" s="59" t="s">
        <v>3761</v>
      </c>
      <c r="N27" s="68" t="s">
        <v>26</v>
      </c>
      <c r="O27" s="55" t="s">
        <v>3762</v>
      </c>
      <c r="P27" s="55" t="s">
        <v>3763</v>
      </c>
      <c r="Q27" s="68" t="str">
        <f t="shared" si="1"/>
        <v>DENTRO DEL TIEMPO</v>
      </c>
      <c r="R27" s="6"/>
      <c r="S27" s="69"/>
    </row>
    <row r="28" spans="1:19" ht="48.75" x14ac:dyDescent="0.25">
      <c r="A28" s="63">
        <v>22</v>
      </c>
      <c r="B28" s="55" t="s">
        <v>3764</v>
      </c>
      <c r="C28" s="64">
        <v>44652</v>
      </c>
      <c r="D28" s="64">
        <v>44652</v>
      </c>
      <c r="E28" s="65">
        <v>2</v>
      </c>
      <c r="F28" s="24" t="s">
        <v>22</v>
      </c>
      <c r="G28" s="55" t="s">
        <v>30</v>
      </c>
      <c r="H28" s="55" t="s">
        <v>24</v>
      </c>
      <c r="I28" s="55" t="s">
        <v>30</v>
      </c>
      <c r="J28" s="66">
        <v>44657</v>
      </c>
      <c r="K28" s="66">
        <v>44657</v>
      </c>
      <c r="L28" s="67">
        <f t="shared" si="0"/>
        <v>3</v>
      </c>
      <c r="M28" s="59" t="s">
        <v>3765</v>
      </c>
      <c r="N28" s="68" t="s">
        <v>26</v>
      </c>
      <c r="O28" s="55" t="s">
        <v>3275</v>
      </c>
      <c r="P28" s="55" t="s">
        <v>3766</v>
      </c>
      <c r="Q28" s="68" t="str">
        <f t="shared" si="1"/>
        <v>DENTRO DEL TIEMPO</v>
      </c>
      <c r="R28" s="6"/>
      <c r="S28" s="69"/>
    </row>
    <row r="29" spans="1:19" ht="48.75" x14ac:dyDescent="0.25">
      <c r="A29" s="63">
        <v>23</v>
      </c>
      <c r="B29" s="55" t="s">
        <v>3767</v>
      </c>
      <c r="C29" s="64">
        <v>44652</v>
      </c>
      <c r="D29" s="64">
        <v>44652</v>
      </c>
      <c r="E29" s="65">
        <v>2</v>
      </c>
      <c r="F29" s="24" t="s">
        <v>22</v>
      </c>
      <c r="G29" s="55" t="s">
        <v>30</v>
      </c>
      <c r="H29" s="55" t="s">
        <v>24</v>
      </c>
      <c r="I29" s="55" t="s">
        <v>30</v>
      </c>
      <c r="J29" s="66">
        <v>44657</v>
      </c>
      <c r="K29" s="66">
        <v>44657</v>
      </c>
      <c r="L29" s="67">
        <f t="shared" si="0"/>
        <v>3</v>
      </c>
      <c r="M29" s="59" t="s">
        <v>3768</v>
      </c>
      <c r="N29" s="68" t="s">
        <v>26</v>
      </c>
      <c r="O29" s="55" t="s">
        <v>3769</v>
      </c>
      <c r="P29" s="55" t="s">
        <v>3770</v>
      </c>
      <c r="Q29" s="68" t="str">
        <f t="shared" si="1"/>
        <v>DENTRO DEL TIEMPO</v>
      </c>
      <c r="R29" s="6"/>
      <c r="S29" s="69"/>
    </row>
    <row r="30" spans="1:19" ht="48.75" x14ac:dyDescent="0.25">
      <c r="A30" s="63">
        <v>24</v>
      </c>
      <c r="B30" s="55" t="s">
        <v>3771</v>
      </c>
      <c r="C30" s="64">
        <v>44655</v>
      </c>
      <c r="D30" s="64">
        <v>44655</v>
      </c>
      <c r="E30" s="65">
        <v>2</v>
      </c>
      <c r="F30" s="24" t="s">
        <v>22</v>
      </c>
      <c r="G30" s="55" t="s">
        <v>30</v>
      </c>
      <c r="H30" s="55" t="s">
        <v>24</v>
      </c>
      <c r="I30" s="55" t="s">
        <v>30</v>
      </c>
      <c r="J30" s="66">
        <v>44657</v>
      </c>
      <c r="K30" s="66">
        <v>44657</v>
      </c>
      <c r="L30" s="67">
        <f t="shared" si="0"/>
        <v>2</v>
      </c>
      <c r="M30" s="59" t="s">
        <v>3772</v>
      </c>
      <c r="N30" s="68" t="s">
        <v>26</v>
      </c>
      <c r="O30" s="55" t="s">
        <v>3773</v>
      </c>
      <c r="P30" s="55" t="s">
        <v>3770</v>
      </c>
      <c r="Q30" s="68" t="str">
        <f t="shared" si="1"/>
        <v>DENTRO DEL TIEMPO</v>
      </c>
      <c r="R30" s="6"/>
      <c r="S30" s="69"/>
    </row>
    <row r="31" spans="1:19" ht="48.75" x14ac:dyDescent="0.25">
      <c r="A31" s="63">
        <v>25</v>
      </c>
      <c r="B31" s="55" t="s">
        <v>3774</v>
      </c>
      <c r="C31" s="64">
        <v>44655</v>
      </c>
      <c r="D31" s="64">
        <v>44655</v>
      </c>
      <c r="E31" s="65">
        <v>2</v>
      </c>
      <c r="F31" s="24" t="s">
        <v>22</v>
      </c>
      <c r="G31" s="55" t="s">
        <v>30</v>
      </c>
      <c r="H31" s="55" t="s">
        <v>24</v>
      </c>
      <c r="I31" s="55" t="s">
        <v>30</v>
      </c>
      <c r="J31" s="66">
        <v>44658</v>
      </c>
      <c r="K31" s="66">
        <v>44658</v>
      </c>
      <c r="L31" s="67">
        <f t="shared" si="0"/>
        <v>3</v>
      </c>
      <c r="M31" s="59" t="s">
        <v>3775</v>
      </c>
      <c r="N31" s="68" t="s">
        <v>26</v>
      </c>
      <c r="O31" s="55" t="s">
        <v>2614</v>
      </c>
      <c r="P31" s="55" t="s">
        <v>3776</v>
      </c>
      <c r="Q31" s="68" t="str">
        <f t="shared" si="1"/>
        <v>DENTRO DEL TIEMPO</v>
      </c>
      <c r="R31" s="6"/>
      <c r="S31" s="69"/>
    </row>
    <row r="32" spans="1:19" ht="48.75" x14ac:dyDescent="0.25">
      <c r="A32" s="63">
        <v>26</v>
      </c>
      <c r="B32" s="55" t="s">
        <v>3777</v>
      </c>
      <c r="C32" s="64">
        <v>44655</v>
      </c>
      <c r="D32" s="64">
        <v>44655</v>
      </c>
      <c r="E32" s="65">
        <v>2</v>
      </c>
      <c r="F32" s="24" t="s">
        <v>22</v>
      </c>
      <c r="G32" s="55" t="s">
        <v>30</v>
      </c>
      <c r="H32" s="55" t="s">
        <v>24</v>
      </c>
      <c r="I32" s="55" t="s">
        <v>30</v>
      </c>
      <c r="J32" s="66">
        <v>44657</v>
      </c>
      <c r="K32" s="66">
        <v>44657</v>
      </c>
      <c r="L32" s="67">
        <f t="shared" si="0"/>
        <v>2</v>
      </c>
      <c r="M32" s="59" t="s">
        <v>3778</v>
      </c>
      <c r="N32" s="68" t="s">
        <v>26</v>
      </c>
      <c r="O32" s="55" t="s">
        <v>3779</v>
      </c>
      <c r="P32" s="55" t="s">
        <v>3780</v>
      </c>
      <c r="Q32" s="68" t="str">
        <f t="shared" si="1"/>
        <v>DENTRO DEL TIEMPO</v>
      </c>
      <c r="R32" s="6"/>
      <c r="S32" s="69"/>
    </row>
    <row r="33" spans="1:19" ht="48.75" x14ac:dyDescent="0.25">
      <c r="A33" s="63">
        <v>27</v>
      </c>
      <c r="B33" s="55" t="s">
        <v>3781</v>
      </c>
      <c r="C33" s="64">
        <v>44655</v>
      </c>
      <c r="D33" s="64">
        <v>44655</v>
      </c>
      <c r="E33" s="65">
        <v>2</v>
      </c>
      <c r="F33" s="24" t="s">
        <v>22</v>
      </c>
      <c r="G33" s="55" t="s">
        <v>30</v>
      </c>
      <c r="H33" s="55" t="s">
        <v>24</v>
      </c>
      <c r="I33" s="55" t="s">
        <v>30</v>
      </c>
      <c r="J33" s="66">
        <v>44658</v>
      </c>
      <c r="K33" s="66">
        <v>44658</v>
      </c>
      <c r="L33" s="67">
        <f t="shared" si="0"/>
        <v>3</v>
      </c>
      <c r="M33" s="59" t="s">
        <v>3782</v>
      </c>
      <c r="N33" s="68" t="s">
        <v>26</v>
      </c>
      <c r="O33" s="55" t="s">
        <v>3783</v>
      </c>
      <c r="P33" s="55" t="s">
        <v>3784</v>
      </c>
      <c r="Q33" s="68" t="str">
        <f t="shared" si="1"/>
        <v>DENTRO DEL TIEMPO</v>
      </c>
      <c r="R33" s="6"/>
      <c r="S33" s="69"/>
    </row>
    <row r="34" spans="1:19" ht="48.75" x14ac:dyDescent="0.25">
      <c r="A34" s="63">
        <v>28</v>
      </c>
      <c r="B34" s="55" t="s">
        <v>3785</v>
      </c>
      <c r="C34" s="64">
        <v>44655</v>
      </c>
      <c r="D34" s="64">
        <v>44655</v>
      </c>
      <c r="E34" s="65">
        <v>2</v>
      </c>
      <c r="F34" s="24" t="s">
        <v>22</v>
      </c>
      <c r="G34" s="55" t="s">
        <v>30</v>
      </c>
      <c r="H34" s="55" t="s">
        <v>24</v>
      </c>
      <c r="I34" s="55" t="s">
        <v>30</v>
      </c>
      <c r="J34" s="66">
        <v>44658</v>
      </c>
      <c r="K34" s="66">
        <v>44658</v>
      </c>
      <c r="L34" s="67">
        <f t="shared" si="0"/>
        <v>3</v>
      </c>
      <c r="M34" s="59" t="s">
        <v>3786</v>
      </c>
      <c r="N34" s="68" t="s">
        <v>26</v>
      </c>
      <c r="O34" s="55" t="s">
        <v>3787</v>
      </c>
      <c r="P34" s="55" t="s">
        <v>3788</v>
      </c>
      <c r="Q34" s="68" t="str">
        <f t="shared" si="1"/>
        <v>DENTRO DEL TIEMPO</v>
      </c>
      <c r="R34" s="6"/>
      <c r="S34" s="69"/>
    </row>
    <row r="35" spans="1:19" ht="48.75" x14ac:dyDescent="0.25">
      <c r="A35" s="63">
        <v>29</v>
      </c>
      <c r="B35" s="55" t="s">
        <v>3789</v>
      </c>
      <c r="C35" s="64">
        <v>44655</v>
      </c>
      <c r="D35" s="64">
        <v>44655</v>
      </c>
      <c r="E35" s="65">
        <v>2</v>
      </c>
      <c r="F35" s="24" t="s">
        <v>22</v>
      </c>
      <c r="G35" s="55" t="s">
        <v>30</v>
      </c>
      <c r="H35" s="55" t="s">
        <v>24</v>
      </c>
      <c r="I35" s="55" t="s">
        <v>30</v>
      </c>
      <c r="J35" s="66">
        <v>44658</v>
      </c>
      <c r="K35" s="66">
        <v>44658</v>
      </c>
      <c r="L35" s="67">
        <f t="shared" si="0"/>
        <v>3</v>
      </c>
      <c r="M35" s="59" t="s">
        <v>3790</v>
      </c>
      <c r="N35" s="68" t="s">
        <v>26</v>
      </c>
      <c r="O35" s="55" t="s">
        <v>2396</v>
      </c>
      <c r="P35" s="55" t="s">
        <v>3791</v>
      </c>
      <c r="Q35" s="68" t="str">
        <f t="shared" si="1"/>
        <v>DENTRO DEL TIEMPO</v>
      </c>
      <c r="R35" s="6"/>
      <c r="S35" s="69"/>
    </row>
    <row r="36" spans="1:19" ht="48.75" x14ac:dyDescent="0.25">
      <c r="A36" s="63">
        <v>30</v>
      </c>
      <c r="B36" s="55" t="s">
        <v>3792</v>
      </c>
      <c r="C36" s="64">
        <v>44655</v>
      </c>
      <c r="D36" s="64">
        <v>44655</v>
      </c>
      <c r="E36" s="65">
        <v>2</v>
      </c>
      <c r="F36" s="24" t="s">
        <v>22</v>
      </c>
      <c r="G36" s="55" t="s">
        <v>30</v>
      </c>
      <c r="H36" s="55" t="s">
        <v>24</v>
      </c>
      <c r="I36" s="55" t="s">
        <v>30</v>
      </c>
      <c r="J36" s="66">
        <v>44658</v>
      </c>
      <c r="K36" s="66">
        <v>44658</v>
      </c>
      <c r="L36" s="67">
        <f t="shared" si="0"/>
        <v>3</v>
      </c>
      <c r="M36" s="59" t="s">
        <v>3793</v>
      </c>
      <c r="N36" s="68" t="s">
        <v>26</v>
      </c>
      <c r="O36" s="55" t="s">
        <v>2396</v>
      </c>
      <c r="P36" s="55" t="s">
        <v>3791</v>
      </c>
      <c r="Q36" s="68" t="str">
        <f t="shared" si="1"/>
        <v>DENTRO DEL TIEMPO</v>
      </c>
      <c r="R36" s="6"/>
      <c r="S36" s="69"/>
    </row>
    <row r="37" spans="1:19" ht="48.75" x14ac:dyDescent="0.25">
      <c r="A37" s="63">
        <v>31</v>
      </c>
      <c r="B37" s="55" t="s">
        <v>3794</v>
      </c>
      <c r="C37" s="64">
        <v>44655</v>
      </c>
      <c r="D37" s="64">
        <v>44655</v>
      </c>
      <c r="E37" s="65">
        <v>2</v>
      </c>
      <c r="F37" s="24" t="s">
        <v>22</v>
      </c>
      <c r="G37" s="55" t="s">
        <v>30</v>
      </c>
      <c r="H37" s="55" t="s">
        <v>24</v>
      </c>
      <c r="I37" s="55" t="s">
        <v>30</v>
      </c>
      <c r="J37" s="66">
        <v>44658</v>
      </c>
      <c r="K37" s="66">
        <v>44658</v>
      </c>
      <c r="L37" s="67">
        <f t="shared" si="0"/>
        <v>3</v>
      </c>
      <c r="M37" s="59" t="s">
        <v>3795</v>
      </c>
      <c r="N37" s="68" t="s">
        <v>26</v>
      </c>
      <c r="O37" s="55" t="s">
        <v>3796</v>
      </c>
      <c r="P37" s="55" t="s">
        <v>3797</v>
      </c>
      <c r="Q37" s="68" t="str">
        <f t="shared" si="1"/>
        <v>DENTRO DEL TIEMPO</v>
      </c>
      <c r="R37" s="6"/>
      <c r="S37" s="69"/>
    </row>
    <row r="38" spans="1:19" ht="48.75" x14ac:dyDescent="0.25">
      <c r="A38" s="63">
        <v>32</v>
      </c>
      <c r="B38" s="55" t="s">
        <v>3798</v>
      </c>
      <c r="C38" s="64">
        <v>44655</v>
      </c>
      <c r="D38" s="64">
        <v>44655</v>
      </c>
      <c r="E38" s="65">
        <v>2</v>
      </c>
      <c r="F38" s="24" t="s">
        <v>22</v>
      </c>
      <c r="G38" s="55" t="s">
        <v>30</v>
      </c>
      <c r="H38" s="55" t="s">
        <v>24</v>
      </c>
      <c r="I38" s="55" t="s">
        <v>30</v>
      </c>
      <c r="J38" s="66">
        <v>44658</v>
      </c>
      <c r="K38" s="66">
        <v>44658</v>
      </c>
      <c r="L38" s="67">
        <f t="shared" si="0"/>
        <v>3</v>
      </c>
      <c r="M38" s="59" t="s">
        <v>3799</v>
      </c>
      <c r="N38" s="68" t="s">
        <v>26</v>
      </c>
      <c r="O38" s="55" t="s">
        <v>3800</v>
      </c>
      <c r="P38" s="55" t="s">
        <v>3801</v>
      </c>
      <c r="Q38" s="68" t="str">
        <f t="shared" si="1"/>
        <v>DENTRO DEL TIEMPO</v>
      </c>
      <c r="R38" s="6"/>
      <c r="S38" s="69"/>
    </row>
    <row r="39" spans="1:19" ht="48.75" x14ac:dyDescent="0.25">
      <c r="A39" s="63">
        <v>33</v>
      </c>
      <c r="B39" s="55" t="s">
        <v>3802</v>
      </c>
      <c r="C39" s="64">
        <v>44655</v>
      </c>
      <c r="D39" s="64">
        <v>44655</v>
      </c>
      <c r="E39" s="65">
        <v>2</v>
      </c>
      <c r="F39" s="24" t="s">
        <v>22</v>
      </c>
      <c r="G39" s="55" t="s">
        <v>30</v>
      </c>
      <c r="H39" s="55" t="s">
        <v>24</v>
      </c>
      <c r="I39" s="55" t="s">
        <v>30</v>
      </c>
      <c r="J39" s="66">
        <v>44658</v>
      </c>
      <c r="K39" s="66">
        <v>44658</v>
      </c>
      <c r="L39" s="67">
        <f t="shared" si="0"/>
        <v>3</v>
      </c>
      <c r="M39" s="59" t="s">
        <v>3803</v>
      </c>
      <c r="N39" s="68" t="s">
        <v>26</v>
      </c>
      <c r="O39" s="55" t="s">
        <v>3804</v>
      </c>
      <c r="P39" s="55" t="s">
        <v>3805</v>
      </c>
      <c r="Q39" s="68" t="str">
        <f t="shared" si="1"/>
        <v>DENTRO DEL TIEMPO</v>
      </c>
      <c r="R39" s="6"/>
      <c r="S39" s="69"/>
    </row>
    <row r="40" spans="1:19" ht="48.75" x14ac:dyDescent="0.25">
      <c r="A40" s="63">
        <v>34</v>
      </c>
      <c r="B40" s="55" t="s">
        <v>3806</v>
      </c>
      <c r="C40" s="64">
        <v>44655</v>
      </c>
      <c r="D40" s="64">
        <v>44655</v>
      </c>
      <c r="E40" s="65">
        <v>2</v>
      </c>
      <c r="F40" s="24" t="s">
        <v>22</v>
      </c>
      <c r="G40" s="55" t="s">
        <v>30</v>
      </c>
      <c r="H40" s="55" t="s">
        <v>24</v>
      </c>
      <c r="I40" s="55" t="s">
        <v>30</v>
      </c>
      <c r="J40" s="66">
        <v>44658</v>
      </c>
      <c r="K40" s="66">
        <v>44658</v>
      </c>
      <c r="L40" s="67">
        <f t="shared" si="0"/>
        <v>3</v>
      </c>
      <c r="M40" s="59" t="s">
        <v>3807</v>
      </c>
      <c r="N40" s="68" t="s">
        <v>26</v>
      </c>
      <c r="O40" s="55" t="s">
        <v>3808</v>
      </c>
      <c r="P40" s="55" t="s">
        <v>3809</v>
      </c>
      <c r="Q40" s="68" t="str">
        <f t="shared" si="1"/>
        <v>DENTRO DEL TIEMPO</v>
      </c>
      <c r="R40" s="6"/>
      <c r="S40" s="69"/>
    </row>
    <row r="41" spans="1:19" ht="48.75" x14ac:dyDescent="0.25">
      <c r="A41" s="63">
        <v>35</v>
      </c>
      <c r="B41" s="55" t="s">
        <v>3810</v>
      </c>
      <c r="C41" s="64">
        <v>44656</v>
      </c>
      <c r="D41" s="64">
        <v>44656</v>
      </c>
      <c r="E41" s="65">
        <v>2</v>
      </c>
      <c r="F41" s="24" t="s">
        <v>22</v>
      </c>
      <c r="G41" s="55" t="s">
        <v>30</v>
      </c>
      <c r="H41" s="55" t="s">
        <v>24</v>
      </c>
      <c r="I41" s="55" t="s">
        <v>30</v>
      </c>
      <c r="J41" s="66">
        <v>44658</v>
      </c>
      <c r="K41" s="66">
        <v>44658</v>
      </c>
      <c r="L41" s="67">
        <f t="shared" si="0"/>
        <v>2</v>
      </c>
      <c r="M41" s="59" t="s">
        <v>3811</v>
      </c>
      <c r="N41" s="68" t="s">
        <v>26</v>
      </c>
      <c r="O41" s="55" t="s">
        <v>3812</v>
      </c>
      <c r="P41" s="55" t="s">
        <v>3813</v>
      </c>
      <c r="Q41" s="68" t="str">
        <f t="shared" si="1"/>
        <v>DENTRO DEL TIEMPO</v>
      </c>
      <c r="R41" s="6"/>
      <c r="S41" s="69"/>
    </row>
    <row r="42" spans="1:19" ht="48.75" x14ac:dyDescent="0.25">
      <c r="A42" s="63">
        <v>36</v>
      </c>
      <c r="B42" s="55" t="s">
        <v>3814</v>
      </c>
      <c r="C42" s="64">
        <v>44656</v>
      </c>
      <c r="D42" s="64">
        <v>44656</v>
      </c>
      <c r="E42" s="65">
        <v>2</v>
      </c>
      <c r="F42" s="24" t="s">
        <v>22</v>
      </c>
      <c r="G42" s="55" t="s">
        <v>30</v>
      </c>
      <c r="H42" s="55" t="s">
        <v>24</v>
      </c>
      <c r="I42" s="55" t="s">
        <v>30</v>
      </c>
      <c r="J42" s="66">
        <v>44658</v>
      </c>
      <c r="K42" s="66">
        <v>44658</v>
      </c>
      <c r="L42" s="67">
        <f t="shared" si="0"/>
        <v>2</v>
      </c>
      <c r="M42" s="59" t="s">
        <v>3815</v>
      </c>
      <c r="N42" s="68" t="s">
        <v>26</v>
      </c>
      <c r="O42" s="55" t="s">
        <v>2327</v>
      </c>
      <c r="P42" s="55" t="s">
        <v>3816</v>
      </c>
      <c r="Q42" s="68" t="str">
        <f t="shared" si="1"/>
        <v>DENTRO DEL TIEMPO</v>
      </c>
      <c r="R42" s="6"/>
      <c r="S42" s="69"/>
    </row>
    <row r="43" spans="1:19" ht="48.75" x14ac:dyDescent="0.25">
      <c r="A43" s="63">
        <v>37</v>
      </c>
      <c r="B43" s="55" t="s">
        <v>3817</v>
      </c>
      <c r="C43" s="64">
        <v>44656</v>
      </c>
      <c r="D43" s="64">
        <v>44656</v>
      </c>
      <c r="E43" s="65">
        <v>2</v>
      </c>
      <c r="F43" s="24" t="s">
        <v>22</v>
      </c>
      <c r="G43" s="55" t="s">
        <v>30</v>
      </c>
      <c r="H43" s="55" t="s">
        <v>24</v>
      </c>
      <c r="I43" s="55" t="s">
        <v>30</v>
      </c>
      <c r="J43" s="66">
        <v>44658</v>
      </c>
      <c r="K43" s="66">
        <v>44658</v>
      </c>
      <c r="L43" s="67">
        <f t="shared" si="0"/>
        <v>2</v>
      </c>
      <c r="M43" s="59" t="s">
        <v>3818</v>
      </c>
      <c r="N43" s="68" t="s">
        <v>26</v>
      </c>
      <c r="O43" s="55" t="s">
        <v>2826</v>
      </c>
      <c r="P43" s="55" t="s">
        <v>3816</v>
      </c>
      <c r="Q43" s="68" t="str">
        <f t="shared" si="1"/>
        <v>DENTRO DEL TIEMPO</v>
      </c>
      <c r="R43" s="6"/>
      <c r="S43" s="69"/>
    </row>
    <row r="44" spans="1:19" ht="48.75" x14ac:dyDescent="0.25">
      <c r="A44" s="63">
        <v>38</v>
      </c>
      <c r="B44" s="55" t="s">
        <v>3819</v>
      </c>
      <c r="C44" s="64">
        <v>44656</v>
      </c>
      <c r="D44" s="64">
        <v>44656</v>
      </c>
      <c r="E44" s="65">
        <v>2</v>
      </c>
      <c r="F44" s="24" t="s">
        <v>22</v>
      </c>
      <c r="G44" s="55" t="s">
        <v>30</v>
      </c>
      <c r="H44" s="55" t="s">
        <v>24</v>
      </c>
      <c r="I44" s="55" t="s">
        <v>30</v>
      </c>
      <c r="J44" s="66">
        <v>44658</v>
      </c>
      <c r="K44" s="66">
        <v>44658</v>
      </c>
      <c r="L44" s="67">
        <f t="shared" si="0"/>
        <v>2</v>
      </c>
      <c r="M44" s="59" t="s">
        <v>3820</v>
      </c>
      <c r="N44" s="68" t="s">
        <v>26</v>
      </c>
      <c r="O44" s="55" t="s">
        <v>2333</v>
      </c>
      <c r="P44" s="55" t="s">
        <v>3816</v>
      </c>
      <c r="Q44" s="68" t="str">
        <f t="shared" si="1"/>
        <v>DENTRO DEL TIEMPO</v>
      </c>
      <c r="R44" s="6"/>
      <c r="S44" s="69"/>
    </row>
    <row r="45" spans="1:19" ht="48.75" x14ac:dyDescent="0.25">
      <c r="A45" s="63">
        <v>39</v>
      </c>
      <c r="B45" s="55" t="s">
        <v>3821</v>
      </c>
      <c r="C45" s="64">
        <v>44656</v>
      </c>
      <c r="D45" s="64">
        <v>44656</v>
      </c>
      <c r="E45" s="65">
        <v>2</v>
      </c>
      <c r="F45" s="24" t="s">
        <v>22</v>
      </c>
      <c r="G45" s="55" t="s">
        <v>30</v>
      </c>
      <c r="H45" s="55" t="s">
        <v>24</v>
      </c>
      <c r="I45" s="55" t="s">
        <v>30</v>
      </c>
      <c r="J45" s="66">
        <v>44658</v>
      </c>
      <c r="K45" s="66">
        <v>44658</v>
      </c>
      <c r="L45" s="67">
        <f t="shared" si="0"/>
        <v>2</v>
      </c>
      <c r="M45" s="59" t="s">
        <v>3822</v>
      </c>
      <c r="N45" s="68" t="s">
        <v>26</v>
      </c>
      <c r="O45" s="55" t="s">
        <v>3413</v>
      </c>
      <c r="P45" s="55" t="s">
        <v>3823</v>
      </c>
      <c r="Q45" s="68" t="str">
        <f t="shared" si="1"/>
        <v>DENTRO DEL TIEMPO</v>
      </c>
      <c r="R45" s="6"/>
      <c r="S45" s="69"/>
    </row>
    <row r="46" spans="1:19" ht="48.75" x14ac:dyDescent="0.25">
      <c r="A46" s="63">
        <v>40</v>
      </c>
      <c r="B46" s="55" t="s">
        <v>3824</v>
      </c>
      <c r="C46" s="64">
        <v>44656</v>
      </c>
      <c r="D46" s="64">
        <v>44656</v>
      </c>
      <c r="E46" s="65">
        <v>2</v>
      </c>
      <c r="F46" s="24" t="s">
        <v>22</v>
      </c>
      <c r="G46" s="55" t="s">
        <v>30</v>
      </c>
      <c r="H46" s="55" t="s">
        <v>24</v>
      </c>
      <c r="I46" s="55" t="s">
        <v>30</v>
      </c>
      <c r="J46" s="66">
        <v>44658</v>
      </c>
      <c r="K46" s="66">
        <v>44658</v>
      </c>
      <c r="L46" s="67">
        <f t="shared" si="0"/>
        <v>2</v>
      </c>
      <c r="M46" s="59" t="s">
        <v>3825</v>
      </c>
      <c r="N46" s="68" t="s">
        <v>26</v>
      </c>
      <c r="O46" s="55" t="s">
        <v>3826</v>
      </c>
      <c r="P46" s="55" t="s">
        <v>3827</v>
      </c>
      <c r="Q46" s="68" t="str">
        <f t="shared" si="1"/>
        <v>DENTRO DEL TIEMPO</v>
      </c>
      <c r="R46" s="6"/>
      <c r="S46" s="69"/>
    </row>
    <row r="47" spans="1:19" ht="48.75" x14ac:dyDescent="0.25">
      <c r="A47" s="63">
        <v>41</v>
      </c>
      <c r="B47" s="55" t="s">
        <v>3828</v>
      </c>
      <c r="C47" s="64">
        <v>44656</v>
      </c>
      <c r="D47" s="64">
        <v>44656</v>
      </c>
      <c r="E47" s="65">
        <v>2</v>
      </c>
      <c r="F47" s="24" t="s">
        <v>22</v>
      </c>
      <c r="G47" s="55" t="s">
        <v>30</v>
      </c>
      <c r="H47" s="55" t="s">
        <v>24</v>
      </c>
      <c r="I47" s="55" t="s">
        <v>30</v>
      </c>
      <c r="J47" s="66">
        <v>44658</v>
      </c>
      <c r="K47" s="66">
        <v>44658</v>
      </c>
      <c r="L47" s="67">
        <f t="shared" si="0"/>
        <v>2</v>
      </c>
      <c r="M47" s="59" t="s">
        <v>3829</v>
      </c>
      <c r="N47" s="68" t="s">
        <v>26</v>
      </c>
      <c r="O47" s="55" t="s">
        <v>3826</v>
      </c>
      <c r="P47" s="55" t="s">
        <v>3827</v>
      </c>
      <c r="Q47" s="68" t="str">
        <f t="shared" si="1"/>
        <v>DENTRO DEL TIEMPO</v>
      </c>
      <c r="R47" s="6"/>
      <c r="S47" s="69"/>
    </row>
    <row r="48" spans="1:19" ht="48.75" x14ac:dyDescent="0.25">
      <c r="A48" s="63">
        <v>42</v>
      </c>
      <c r="B48" s="55" t="s">
        <v>3830</v>
      </c>
      <c r="C48" s="64">
        <v>44656</v>
      </c>
      <c r="D48" s="64">
        <v>44656</v>
      </c>
      <c r="E48" s="65">
        <v>2</v>
      </c>
      <c r="F48" s="24" t="s">
        <v>22</v>
      </c>
      <c r="G48" s="55" t="s">
        <v>30</v>
      </c>
      <c r="H48" s="55" t="s">
        <v>24</v>
      </c>
      <c r="I48" s="55" t="s">
        <v>30</v>
      </c>
      <c r="J48" s="66">
        <v>44658</v>
      </c>
      <c r="K48" s="66">
        <v>44658</v>
      </c>
      <c r="L48" s="67">
        <f t="shared" si="0"/>
        <v>2</v>
      </c>
      <c r="M48" s="59" t="s">
        <v>3831</v>
      </c>
      <c r="N48" s="68" t="s">
        <v>26</v>
      </c>
      <c r="O48" s="55" t="s">
        <v>2313</v>
      </c>
      <c r="P48" s="55" t="s">
        <v>3832</v>
      </c>
      <c r="Q48" s="68" t="str">
        <f t="shared" si="1"/>
        <v>DENTRO DEL TIEMPO</v>
      </c>
      <c r="R48" s="6"/>
      <c r="S48" s="69"/>
    </row>
    <row r="49" spans="1:19" ht="48.75" x14ac:dyDescent="0.25">
      <c r="A49" s="63">
        <v>43</v>
      </c>
      <c r="B49" s="55" t="s">
        <v>3833</v>
      </c>
      <c r="C49" s="64">
        <v>44656</v>
      </c>
      <c r="D49" s="64">
        <v>44656</v>
      </c>
      <c r="E49" s="65">
        <v>2</v>
      </c>
      <c r="F49" s="24" t="s">
        <v>22</v>
      </c>
      <c r="G49" s="55" t="s">
        <v>30</v>
      </c>
      <c r="H49" s="55" t="s">
        <v>24</v>
      </c>
      <c r="I49" s="55" t="s">
        <v>30</v>
      </c>
      <c r="J49" s="66">
        <v>44658</v>
      </c>
      <c r="K49" s="66">
        <v>44658</v>
      </c>
      <c r="L49" s="67">
        <f t="shared" si="0"/>
        <v>2</v>
      </c>
      <c r="M49" s="59" t="s">
        <v>3834</v>
      </c>
      <c r="N49" s="68" t="s">
        <v>26</v>
      </c>
      <c r="O49" s="55" t="s">
        <v>3835</v>
      </c>
      <c r="P49" s="55" t="s">
        <v>3836</v>
      </c>
      <c r="Q49" s="68" t="str">
        <f t="shared" si="1"/>
        <v>DENTRO DEL TIEMPO</v>
      </c>
      <c r="R49" s="6"/>
      <c r="S49" s="69"/>
    </row>
    <row r="50" spans="1:19" ht="48.75" x14ac:dyDescent="0.25">
      <c r="A50" s="63">
        <v>44</v>
      </c>
      <c r="B50" s="55" t="s">
        <v>3837</v>
      </c>
      <c r="C50" s="64">
        <v>44656</v>
      </c>
      <c r="D50" s="64">
        <v>44656</v>
      </c>
      <c r="E50" s="65">
        <v>2</v>
      </c>
      <c r="F50" s="24" t="s">
        <v>22</v>
      </c>
      <c r="G50" s="55" t="s">
        <v>30</v>
      </c>
      <c r="H50" s="55" t="s">
        <v>24</v>
      </c>
      <c r="I50" s="55" t="s">
        <v>30</v>
      </c>
      <c r="J50" s="66">
        <v>44658</v>
      </c>
      <c r="K50" s="66">
        <v>44658</v>
      </c>
      <c r="L50" s="67">
        <f t="shared" si="0"/>
        <v>2</v>
      </c>
      <c r="M50" s="59" t="s">
        <v>3838</v>
      </c>
      <c r="N50" s="68" t="s">
        <v>26</v>
      </c>
      <c r="O50" s="55" t="s">
        <v>2381</v>
      </c>
      <c r="P50" s="55" t="s">
        <v>3832</v>
      </c>
      <c r="Q50" s="68" t="str">
        <f t="shared" si="1"/>
        <v>DENTRO DEL TIEMPO</v>
      </c>
      <c r="R50" s="6"/>
      <c r="S50" s="69"/>
    </row>
    <row r="51" spans="1:19" ht="48.75" x14ac:dyDescent="0.25">
      <c r="A51" s="63">
        <v>45</v>
      </c>
      <c r="B51" s="55" t="s">
        <v>3839</v>
      </c>
      <c r="C51" s="64">
        <v>44656</v>
      </c>
      <c r="D51" s="64">
        <v>44656</v>
      </c>
      <c r="E51" s="65">
        <v>2</v>
      </c>
      <c r="F51" s="24" t="s">
        <v>22</v>
      </c>
      <c r="G51" s="55" t="s">
        <v>30</v>
      </c>
      <c r="H51" s="55" t="s">
        <v>24</v>
      </c>
      <c r="I51" s="55" t="s">
        <v>30</v>
      </c>
      <c r="J51" s="66">
        <v>44658</v>
      </c>
      <c r="K51" s="66">
        <v>44658</v>
      </c>
      <c r="L51" s="67">
        <f t="shared" si="0"/>
        <v>2</v>
      </c>
      <c r="M51" s="59" t="s">
        <v>3840</v>
      </c>
      <c r="N51" s="68" t="s">
        <v>26</v>
      </c>
      <c r="O51" s="55" t="s">
        <v>3841</v>
      </c>
      <c r="P51" s="55" t="s">
        <v>3842</v>
      </c>
      <c r="Q51" s="68" t="str">
        <f t="shared" si="1"/>
        <v>DENTRO DEL TIEMPO</v>
      </c>
      <c r="R51" s="6"/>
      <c r="S51" s="69"/>
    </row>
    <row r="52" spans="1:19" ht="48.75" x14ac:dyDescent="0.25">
      <c r="A52" s="63">
        <v>46</v>
      </c>
      <c r="B52" s="55" t="s">
        <v>3843</v>
      </c>
      <c r="C52" s="64">
        <v>44656</v>
      </c>
      <c r="D52" s="64">
        <v>44656</v>
      </c>
      <c r="E52" s="65">
        <v>2</v>
      </c>
      <c r="F52" s="24" t="s">
        <v>22</v>
      </c>
      <c r="G52" s="55" t="s">
        <v>30</v>
      </c>
      <c r="H52" s="55" t="s">
        <v>24</v>
      </c>
      <c r="I52" s="55" t="s">
        <v>30</v>
      </c>
      <c r="J52" s="66">
        <v>44659</v>
      </c>
      <c r="K52" s="66">
        <v>44659</v>
      </c>
      <c r="L52" s="67">
        <f t="shared" si="0"/>
        <v>3</v>
      </c>
      <c r="M52" s="59" t="s">
        <v>3844</v>
      </c>
      <c r="N52" s="68" t="s">
        <v>26</v>
      </c>
      <c r="O52" s="55" t="s">
        <v>3275</v>
      </c>
      <c r="P52" s="55" t="s">
        <v>3766</v>
      </c>
      <c r="Q52" s="68" t="str">
        <f t="shared" si="1"/>
        <v>DENTRO DEL TIEMPO</v>
      </c>
      <c r="R52" s="6"/>
      <c r="S52" s="69"/>
    </row>
    <row r="53" spans="1:19" ht="48.75" x14ac:dyDescent="0.25">
      <c r="A53" s="63">
        <v>47</v>
      </c>
      <c r="B53" s="55" t="s">
        <v>3845</v>
      </c>
      <c r="C53" s="64">
        <v>44656</v>
      </c>
      <c r="D53" s="64">
        <v>44656</v>
      </c>
      <c r="E53" s="65">
        <v>2</v>
      </c>
      <c r="F53" s="24" t="s">
        <v>22</v>
      </c>
      <c r="G53" s="55" t="s">
        <v>30</v>
      </c>
      <c r="H53" s="55" t="s">
        <v>24</v>
      </c>
      <c r="I53" s="55" t="s">
        <v>30</v>
      </c>
      <c r="J53" s="66">
        <v>44658</v>
      </c>
      <c r="K53" s="66">
        <v>44658</v>
      </c>
      <c r="L53" s="67">
        <f t="shared" si="0"/>
        <v>2</v>
      </c>
      <c r="M53" s="59" t="s">
        <v>3846</v>
      </c>
      <c r="N53" s="68" t="s">
        <v>26</v>
      </c>
      <c r="O53" s="55" t="s">
        <v>3847</v>
      </c>
      <c r="P53" s="55" t="s">
        <v>3848</v>
      </c>
      <c r="Q53" s="68" t="str">
        <f t="shared" si="1"/>
        <v>DENTRO DEL TIEMPO</v>
      </c>
      <c r="R53" s="6"/>
      <c r="S53" s="69"/>
    </row>
    <row r="54" spans="1:19" ht="48.75" x14ac:dyDescent="0.25">
      <c r="A54" s="63">
        <v>48</v>
      </c>
      <c r="B54" s="55" t="s">
        <v>3849</v>
      </c>
      <c r="C54" s="64">
        <v>44656</v>
      </c>
      <c r="D54" s="64">
        <v>44656</v>
      </c>
      <c r="E54" s="65">
        <v>2</v>
      </c>
      <c r="F54" s="24" t="s">
        <v>22</v>
      </c>
      <c r="G54" s="55" t="s">
        <v>30</v>
      </c>
      <c r="H54" s="55" t="s">
        <v>24</v>
      </c>
      <c r="I54" s="55" t="s">
        <v>30</v>
      </c>
      <c r="J54" s="66">
        <v>44659</v>
      </c>
      <c r="K54" s="66">
        <v>44659</v>
      </c>
      <c r="L54" s="67">
        <f t="shared" si="0"/>
        <v>3</v>
      </c>
      <c r="M54" s="59" t="s">
        <v>3850</v>
      </c>
      <c r="N54" s="68" t="s">
        <v>26</v>
      </c>
      <c r="O54" s="55" t="s">
        <v>3847</v>
      </c>
      <c r="P54" s="55" t="s">
        <v>3848</v>
      </c>
      <c r="Q54" s="68" t="str">
        <f t="shared" si="1"/>
        <v>DENTRO DEL TIEMPO</v>
      </c>
      <c r="R54" s="6"/>
      <c r="S54" s="69"/>
    </row>
    <row r="55" spans="1:19" ht="48.75" x14ac:dyDescent="0.25">
      <c r="A55" s="63">
        <v>49</v>
      </c>
      <c r="B55" s="55" t="s">
        <v>3851</v>
      </c>
      <c r="C55" s="64">
        <v>44656</v>
      </c>
      <c r="D55" s="64">
        <v>44656</v>
      </c>
      <c r="E55" s="65">
        <v>2</v>
      </c>
      <c r="F55" s="24" t="s">
        <v>22</v>
      </c>
      <c r="G55" s="55" t="s">
        <v>30</v>
      </c>
      <c r="H55" s="55" t="s">
        <v>24</v>
      </c>
      <c r="I55" s="55" t="s">
        <v>30</v>
      </c>
      <c r="J55" s="66">
        <v>44659</v>
      </c>
      <c r="K55" s="66">
        <v>44659</v>
      </c>
      <c r="L55" s="67">
        <f t="shared" si="0"/>
        <v>3</v>
      </c>
      <c r="M55" s="59" t="s">
        <v>3852</v>
      </c>
      <c r="N55" s="68" t="s">
        <v>26</v>
      </c>
      <c r="O55" s="55" t="s">
        <v>2327</v>
      </c>
      <c r="P55" s="55" t="s">
        <v>3853</v>
      </c>
      <c r="Q55" s="68" t="str">
        <f t="shared" si="1"/>
        <v>DENTRO DEL TIEMPO</v>
      </c>
      <c r="R55" s="6"/>
      <c r="S55" s="69"/>
    </row>
    <row r="56" spans="1:19" ht="48.75" x14ac:dyDescent="0.25">
      <c r="A56" s="63">
        <v>50</v>
      </c>
      <c r="B56" s="55" t="s">
        <v>3854</v>
      </c>
      <c r="C56" s="64">
        <v>44656</v>
      </c>
      <c r="D56" s="64">
        <v>44656</v>
      </c>
      <c r="E56" s="65">
        <v>2</v>
      </c>
      <c r="F56" s="24" t="s">
        <v>22</v>
      </c>
      <c r="G56" s="55" t="s">
        <v>30</v>
      </c>
      <c r="H56" s="55" t="s">
        <v>24</v>
      </c>
      <c r="I56" s="55" t="s">
        <v>30</v>
      </c>
      <c r="J56" s="66">
        <v>44659</v>
      </c>
      <c r="K56" s="66">
        <v>44659</v>
      </c>
      <c r="L56" s="67">
        <f t="shared" si="0"/>
        <v>3</v>
      </c>
      <c r="M56" s="59" t="s">
        <v>3852</v>
      </c>
      <c r="N56" s="68" t="s">
        <v>26</v>
      </c>
      <c r="O56" s="55" t="s">
        <v>2792</v>
      </c>
      <c r="P56" s="55" t="s">
        <v>3855</v>
      </c>
      <c r="Q56" s="68" t="str">
        <f t="shared" si="1"/>
        <v>DENTRO DEL TIEMPO</v>
      </c>
      <c r="R56" s="6"/>
      <c r="S56" s="69"/>
    </row>
    <row r="57" spans="1:19" ht="48.75" x14ac:dyDescent="0.25">
      <c r="A57" s="63">
        <v>51</v>
      </c>
      <c r="B57" s="55" t="s">
        <v>3856</v>
      </c>
      <c r="C57" s="64">
        <v>44656</v>
      </c>
      <c r="D57" s="64">
        <v>44656</v>
      </c>
      <c r="E57" s="65">
        <v>2</v>
      </c>
      <c r="F57" s="24" t="s">
        <v>22</v>
      </c>
      <c r="G57" s="55" t="s">
        <v>30</v>
      </c>
      <c r="H57" s="55" t="s">
        <v>24</v>
      </c>
      <c r="I57" s="55" t="s">
        <v>30</v>
      </c>
      <c r="J57" s="66">
        <v>44659</v>
      </c>
      <c r="K57" s="66">
        <v>44659</v>
      </c>
      <c r="L57" s="67">
        <f t="shared" si="0"/>
        <v>3</v>
      </c>
      <c r="M57" s="59" t="s">
        <v>3857</v>
      </c>
      <c r="N57" s="68" t="s">
        <v>26</v>
      </c>
      <c r="O57" s="55" t="s">
        <v>3858</v>
      </c>
      <c r="P57" s="55" t="s">
        <v>3859</v>
      </c>
      <c r="Q57" s="68" t="str">
        <f t="shared" si="1"/>
        <v>DENTRO DEL TIEMPO</v>
      </c>
      <c r="R57" s="6"/>
      <c r="S57" s="69"/>
    </row>
    <row r="58" spans="1:19" ht="48.75" x14ac:dyDescent="0.25">
      <c r="A58" s="63">
        <v>52</v>
      </c>
      <c r="B58" s="55" t="s">
        <v>3860</v>
      </c>
      <c r="C58" s="64">
        <v>44656</v>
      </c>
      <c r="D58" s="64">
        <v>44656</v>
      </c>
      <c r="E58" s="65">
        <v>2</v>
      </c>
      <c r="F58" s="24" t="s">
        <v>22</v>
      </c>
      <c r="G58" s="55" t="s">
        <v>30</v>
      </c>
      <c r="H58" s="55" t="s">
        <v>24</v>
      </c>
      <c r="I58" s="55" t="s">
        <v>30</v>
      </c>
      <c r="J58" s="66">
        <v>44659</v>
      </c>
      <c r="K58" s="66">
        <v>44659</v>
      </c>
      <c r="L58" s="67">
        <f t="shared" si="0"/>
        <v>3</v>
      </c>
      <c r="M58" s="59" t="s">
        <v>3861</v>
      </c>
      <c r="N58" s="68" t="s">
        <v>26</v>
      </c>
      <c r="O58" s="55" t="s">
        <v>3862</v>
      </c>
      <c r="P58" s="55" t="s">
        <v>3863</v>
      </c>
      <c r="Q58" s="68" t="str">
        <f t="shared" si="1"/>
        <v>DENTRO DEL TIEMPO</v>
      </c>
      <c r="R58" s="6"/>
      <c r="S58" s="69"/>
    </row>
    <row r="59" spans="1:19" ht="48.75" x14ac:dyDescent="0.25">
      <c r="A59" s="63">
        <v>53</v>
      </c>
      <c r="B59" s="55" t="s">
        <v>3864</v>
      </c>
      <c r="C59" s="64">
        <v>44657</v>
      </c>
      <c r="D59" s="64">
        <v>44657</v>
      </c>
      <c r="E59" s="65">
        <v>2</v>
      </c>
      <c r="F59" s="24" t="s">
        <v>22</v>
      </c>
      <c r="G59" s="55" t="s">
        <v>30</v>
      </c>
      <c r="H59" s="55" t="s">
        <v>24</v>
      </c>
      <c r="I59" s="55" t="s">
        <v>30</v>
      </c>
      <c r="J59" s="66">
        <v>44659</v>
      </c>
      <c r="K59" s="66">
        <v>44659</v>
      </c>
      <c r="L59" s="67">
        <f t="shared" si="0"/>
        <v>2</v>
      </c>
      <c r="M59" s="59" t="s">
        <v>3865</v>
      </c>
      <c r="N59" s="68" t="s">
        <v>26</v>
      </c>
      <c r="O59" s="55" t="s">
        <v>2826</v>
      </c>
      <c r="P59" s="55" t="s">
        <v>3866</v>
      </c>
      <c r="Q59" s="68" t="str">
        <f t="shared" si="1"/>
        <v>DENTRO DEL TIEMPO</v>
      </c>
      <c r="R59" s="6"/>
      <c r="S59" s="69"/>
    </row>
    <row r="60" spans="1:19" ht="48.75" x14ac:dyDescent="0.25">
      <c r="A60" s="63">
        <v>54</v>
      </c>
      <c r="B60" s="55" t="s">
        <v>3867</v>
      </c>
      <c r="C60" s="64">
        <v>44657</v>
      </c>
      <c r="D60" s="64">
        <v>44657</v>
      </c>
      <c r="E60" s="65">
        <v>2</v>
      </c>
      <c r="F60" s="24" t="s">
        <v>22</v>
      </c>
      <c r="G60" s="55" t="s">
        <v>30</v>
      </c>
      <c r="H60" s="55" t="s">
        <v>24</v>
      </c>
      <c r="I60" s="55" t="s">
        <v>30</v>
      </c>
      <c r="J60" s="66">
        <v>44659</v>
      </c>
      <c r="K60" s="66">
        <v>44659</v>
      </c>
      <c r="L60" s="67">
        <f t="shared" si="0"/>
        <v>2</v>
      </c>
      <c r="M60" s="59" t="s">
        <v>3868</v>
      </c>
      <c r="N60" s="68" t="s">
        <v>26</v>
      </c>
      <c r="O60" s="55" t="s">
        <v>2602</v>
      </c>
      <c r="P60" s="55" t="s">
        <v>3869</v>
      </c>
      <c r="Q60" s="68" t="str">
        <f t="shared" si="1"/>
        <v>DENTRO DEL TIEMPO</v>
      </c>
      <c r="R60" s="6"/>
      <c r="S60" s="69"/>
    </row>
    <row r="61" spans="1:19" ht="48.75" x14ac:dyDescent="0.25">
      <c r="A61" s="63">
        <v>55</v>
      </c>
      <c r="B61" s="55" t="s">
        <v>3870</v>
      </c>
      <c r="C61" s="64">
        <v>44657</v>
      </c>
      <c r="D61" s="64">
        <v>44657</v>
      </c>
      <c r="E61" s="65">
        <v>2</v>
      </c>
      <c r="F61" s="24" t="s">
        <v>22</v>
      </c>
      <c r="G61" s="55" t="s">
        <v>23</v>
      </c>
      <c r="H61" s="55" t="s">
        <v>24</v>
      </c>
      <c r="I61" s="55" t="s">
        <v>23</v>
      </c>
      <c r="J61" s="66">
        <v>44657</v>
      </c>
      <c r="K61" s="66">
        <v>44657</v>
      </c>
      <c r="L61" s="67">
        <f t="shared" si="0"/>
        <v>0</v>
      </c>
      <c r="M61" s="59" t="s">
        <v>3871</v>
      </c>
      <c r="N61" s="68" t="s">
        <v>26</v>
      </c>
      <c r="O61" s="55" t="s">
        <v>3872</v>
      </c>
      <c r="P61" s="55" t="s">
        <v>3873</v>
      </c>
      <c r="Q61" s="68" t="str">
        <f t="shared" si="1"/>
        <v>DENTRO DEL TIEMPO</v>
      </c>
      <c r="R61" s="6"/>
      <c r="S61" s="69"/>
    </row>
    <row r="62" spans="1:19" ht="48.75" x14ac:dyDescent="0.25">
      <c r="A62" s="63">
        <v>56</v>
      </c>
      <c r="B62" s="55" t="s">
        <v>3874</v>
      </c>
      <c r="C62" s="64">
        <v>44657</v>
      </c>
      <c r="D62" s="64">
        <v>44657</v>
      </c>
      <c r="E62" s="65">
        <v>2</v>
      </c>
      <c r="F62" s="24" t="s">
        <v>22</v>
      </c>
      <c r="G62" s="55" t="s">
        <v>30</v>
      </c>
      <c r="H62" s="55" t="s">
        <v>24</v>
      </c>
      <c r="I62" s="55" t="s">
        <v>30</v>
      </c>
      <c r="J62" s="66">
        <v>44659</v>
      </c>
      <c r="K62" s="66">
        <v>44659</v>
      </c>
      <c r="L62" s="67">
        <f t="shared" si="0"/>
        <v>2</v>
      </c>
      <c r="M62" s="59" t="s">
        <v>3875</v>
      </c>
      <c r="N62" s="68" t="s">
        <v>26</v>
      </c>
      <c r="O62" s="55" t="s">
        <v>3876</v>
      </c>
      <c r="P62" s="55" t="s">
        <v>3877</v>
      </c>
      <c r="Q62" s="68" t="str">
        <f t="shared" si="1"/>
        <v>DENTRO DEL TIEMPO</v>
      </c>
      <c r="R62" s="6"/>
      <c r="S62" s="69"/>
    </row>
    <row r="63" spans="1:19" ht="48.75" x14ac:dyDescent="0.25">
      <c r="A63" s="63">
        <v>57</v>
      </c>
      <c r="B63" s="55" t="s">
        <v>3878</v>
      </c>
      <c r="C63" s="64">
        <v>44657</v>
      </c>
      <c r="D63" s="64">
        <v>44657</v>
      </c>
      <c r="E63" s="65">
        <v>2</v>
      </c>
      <c r="F63" s="24" t="s">
        <v>22</v>
      </c>
      <c r="G63" s="55" t="s">
        <v>30</v>
      </c>
      <c r="H63" s="55" t="s">
        <v>24</v>
      </c>
      <c r="I63" s="55" t="s">
        <v>30</v>
      </c>
      <c r="J63" s="66">
        <v>44662</v>
      </c>
      <c r="K63" s="66">
        <v>44662</v>
      </c>
      <c r="L63" s="67">
        <f t="shared" si="0"/>
        <v>3</v>
      </c>
      <c r="M63" s="59" t="s">
        <v>3879</v>
      </c>
      <c r="N63" s="68" t="s">
        <v>26</v>
      </c>
      <c r="O63" s="55" t="s">
        <v>3880</v>
      </c>
      <c r="P63" s="55" t="s">
        <v>3881</v>
      </c>
      <c r="Q63" s="68" t="str">
        <f t="shared" si="1"/>
        <v>DENTRO DEL TIEMPO</v>
      </c>
      <c r="R63" s="6"/>
      <c r="S63" s="69"/>
    </row>
    <row r="64" spans="1:19" ht="48.75" x14ac:dyDescent="0.25">
      <c r="A64" s="63">
        <v>58</v>
      </c>
      <c r="B64" s="55" t="s">
        <v>3882</v>
      </c>
      <c r="C64" s="64">
        <v>44657</v>
      </c>
      <c r="D64" s="64">
        <v>44657</v>
      </c>
      <c r="E64" s="65">
        <v>2</v>
      </c>
      <c r="F64" s="24" t="s">
        <v>22</v>
      </c>
      <c r="G64" s="55" t="s">
        <v>30</v>
      </c>
      <c r="H64" s="55" t="s">
        <v>24</v>
      </c>
      <c r="I64" s="55" t="s">
        <v>30</v>
      </c>
      <c r="J64" s="66">
        <v>44659</v>
      </c>
      <c r="K64" s="66">
        <v>44659</v>
      </c>
      <c r="L64" s="67">
        <f t="shared" si="0"/>
        <v>2</v>
      </c>
      <c r="M64" s="59" t="s">
        <v>3883</v>
      </c>
      <c r="N64" s="68" t="s">
        <v>26</v>
      </c>
      <c r="O64" s="55" t="s">
        <v>3884</v>
      </c>
      <c r="P64" s="55" t="s">
        <v>3885</v>
      </c>
      <c r="Q64" s="68" t="str">
        <f t="shared" si="1"/>
        <v>DENTRO DEL TIEMPO</v>
      </c>
      <c r="R64" s="6"/>
      <c r="S64" s="69"/>
    </row>
    <row r="65" spans="1:19" ht="48.75" x14ac:dyDescent="0.25">
      <c r="A65" s="63">
        <v>59</v>
      </c>
      <c r="B65" s="55" t="s">
        <v>3886</v>
      </c>
      <c r="C65" s="64">
        <v>44657</v>
      </c>
      <c r="D65" s="64">
        <v>44657</v>
      </c>
      <c r="E65" s="65">
        <v>2</v>
      </c>
      <c r="F65" s="24" t="s">
        <v>22</v>
      </c>
      <c r="G65" s="55" t="s">
        <v>30</v>
      </c>
      <c r="H65" s="55" t="s">
        <v>24</v>
      </c>
      <c r="I65" s="55" t="s">
        <v>30</v>
      </c>
      <c r="J65" s="66">
        <v>44659</v>
      </c>
      <c r="K65" s="66">
        <v>44659</v>
      </c>
      <c r="L65" s="67">
        <f t="shared" si="0"/>
        <v>2</v>
      </c>
      <c r="M65" s="59" t="s">
        <v>3887</v>
      </c>
      <c r="N65" s="68" t="s">
        <v>26</v>
      </c>
      <c r="O65" s="55" t="s">
        <v>2350</v>
      </c>
      <c r="P65" s="55" t="s">
        <v>3888</v>
      </c>
      <c r="Q65" s="68" t="str">
        <f t="shared" si="1"/>
        <v>DENTRO DEL TIEMPO</v>
      </c>
      <c r="R65" s="6"/>
      <c r="S65" s="69"/>
    </row>
    <row r="66" spans="1:19" ht="48.75" x14ac:dyDescent="0.25">
      <c r="A66" s="63">
        <v>60</v>
      </c>
      <c r="B66" s="55" t="s">
        <v>3889</v>
      </c>
      <c r="C66" s="64">
        <v>44657</v>
      </c>
      <c r="D66" s="64">
        <v>44657</v>
      </c>
      <c r="E66" s="65">
        <v>2</v>
      </c>
      <c r="F66" s="24" t="s">
        <v>22</v>
      </c>
      <c r="G66" s="55" t="s">
        <v>30</v>
      </c>
      <c r="H66" s="55" t="s">
        <v>24</v>
      </c>
      <c r="I66" s="55" t="s">
        <v>30</v>
      </c>
      <c r="J66" s="66">
        <v>44662</v>
      </c>
      <c r="K66" s="66">
        <v>44662</v>
      </c>
      <c r="L66" s="67">
        <f t="shared" si="0"/>
        <v>3</v>
      </c>
      <c r="M66" s="59" t="s">
        <v>3890</v>
      </c>
      <c r="N66" s="68" t="s">
        <v>26</v>
      </c>
      <c r="O66" s="55" t="s">
        <v>3891</v>
      </c>
      <c r="P66" s="55" t="s">
        <v>3892</v>
      </c>
      <c r="Q66" s="68" t="str">
        <f t="shared" si="1"/>
        <v>DENTRO DEL TIEMPO</v>
      </c>
      <c r="R66" s="6"/>
      <c r="S66" s="69"/>
    </row>
    <row r="67" spans="1:19" ht="48.75" x14ac:dyDescent="0.25">
      <c r="A67" s="63">
        <v>61</v>
      </c>
      <c r="B67" s="55" t="s">
        <v>3893</v>
      </c>
      <c r="C67" s="64">
        <v>44657</v>
      </c>
      <c r="D67" s="64">
        <v>44657</v>
      </c>
      <c r="E67" s="65">
        <v>2</v>
      </c>
      <c r="F67" s="24" t="s">
        <v>22</v>
      </c>
      <c r="G67" s="55" t="s">
        <v>30</v>
      </c>
      <c r="H67" s="55" t="s">
        <v>24</v>
      </c>
      <c r="I67" s="55" t="s">
        <v>30</v>
      </c>
      <c r="J67" s="66">
        <v>44659</v>
      </c>
      <c r="K67" s="66">
        <v>44659</v>
      </c>
      <c r="L67" s="67">
        <f t="shared" si="0"/>
        <v>2</v>
      </c>
      <c r="M67" s="59" t="s">
        <v>3894</v>
      </c>
      <c r="N67" s="68" t="s">
        <v>26</v>
      </c>
      <c r="O67" s="55" t="s">
        <v>3895</v>
      </c>
      <c r="P67" s="55" t="s">
        <v>3896</v>
      </c>
      <c r="Q67" s="68" t="str">
        <f t="shared" si="1"/>
        <v>DENTRO DEL TIEMPO</v>
      </c>
      <c r="R67" s="6"/>
      <c r="S67" s="69"/>
    </row>
    <row r="68" spans="1:19" ht="48.75" x14ac:dyDescent="0.25">
      <c r="A68" s="63">
        <v>62</v>
      </c>
      <c r="B68" s="55" t="s">
        <v>3897</v>
      </c>
      <c r="C68" s="64">
        <v>44657</v>
      </c>
      <c r="D68" s="64">
        <v>44657</v>
      </c>
      <c r="E68" s="65">
        <v>2</v>
      </c>
      <c r="F68" s="24" t="s">
        <v>22</v>
      </c>
      <c r="G68" s="55" t="s">
        <v>30</v>
      </c>
      <c r="H68" s="55" t="s">
        <v>24</v>
      </c>
      <c r="I68" s="55" t="s">
        <v>30</v>
      </c>
      <c r="J68" s="66">
        <v>44659</v>
      </c>
      <c r="K68" s="66">
        <v>44659</v>
      </c>
      <c r="L68" s="67">
        <f t="shared" si="0"/>
        <v>2</v>
      </c>
      <c r="M68" s="59" t="s">
        <v>3898</v>
      </c>
      <c r="N68" s="68" t="s">
        <v>26</v>
      </c>
      <c r="O68" s="55" t="s">
        <v>3899</v>
      </c>
      <c r="P68" s="55" t="s">
        <v>3900</v>
      </c>
      <c r="Q68" s="68" t="str">
        <f t="shared" si="1"/>
        <v>DENTRO DEL TIEMPO</v>
      </c>
      <c r="R68" s="6"/>
      <c r="S68" s="69"/>
    </row>
    <row r="69" spans="1:19" ht="48.75" x14ac:dyDescent="0.25">
      <c r="A69" s="63">
        <v>63</v>
      </c>
      <c r="B69" s="55" t="s">
        <v>3901</v>
      </c>
      <c r="C69" s="64">
        <v>44657</v>
      </c>
      <c r="D69" s="64">
        <v>44657</v>
      </c>
      <c r="E69" s="65">
        <v>2</v>
      </c>
      <c r="F69" s="24" t="s">
        <v>22</v>
      </c>
      <c r="G69" s="55" t="s">
        <v>30</v>
      </c>
      <c r="H69" s="55" t="s">
        <v>24</v>
      </c>
      <c r="I69" s="55" t="s">
        <v>30</v>
      </c>
      <c r="J69" s="66">
        <v>44659</v>
      </c>
      <c r="K69" s="66">
        <v>44659</v>
      </c>
      <c r="L69" s="67">
        <f t="shared" si="0"/>
        <v>2</v>
      </c>
      <c r="M69" s="59" t="s">
        <v>3902</v>
      </c>
      <c r="N69" s="68" t="s">
        <v>26</v>
      </c>
      <c r="O69" s="55" t="s">
        <v>3903</v>
      </c>
      <c r="P69" s="55" t="s">
        <v>3904</v>
      </c>
      <c r="Q69" s="68" t="str">
        <f t="shared" si="1"/>
        <v>DENTRO DEL TIEMPO</v>
      </c>
      <c r="R69" s="6"/>
      <c r="S69" s="69"/>
    </row>
    <row r="70" spans="1:19" ht="48.75" x14ac:dyDescent="0.25">
      <c r="A70" s="63">
        <v>64</v>
      </c>
      <c r="B70" s="55" t="s">
        <v>3905</v>
      </c>
      <c r="C70" s="64">
        <v>44657</v>
      </c>
      <c r="D70" s="64">
        <v>44657</v>
      </c>
      <c r="E70" s="65">
        <v>2</v>
      </c>
      <c r="F70" s="24" t="s">
        <v>22</v>
      </c>
      <c r="G70" s="55" t="s">
        <v>30</v>
      </c>
      <c r="H70" s="55" t="s">
        <v>24</v>
      </c>
      <c r="I70" s="55" t="s">
        <v>30</v>
      </c>
      <c r="J70" s="66">
        <v>44659</v>
      </c>
      <c r="K70" s="66">
        <v>44659</v>
      </c>
      <c r="L70" s="67">
        <f t="shared" si="0"/>
        <v>2</v>
      </c>
      <c r="M70" s="59" t="s">
        <v>3906</v>
      </c>
      <c r="N70" s="68" t="s">
        <v>26</v>
      </c>
      <c r="O70" s="55" t="s">
        <v>3907</v>
      </c>
      <c r="P70" s="55" t="s">
        <v>3908</v>
      </c>
      <c r="Q70" s="68" t="str">
        <f t="shared" si="1"/>
        <v>DENTRO DEL TIEMPO</v>
      </c>
      <c r="R70" s="6"/>
      <c r="S70" s="69"/>
    </row>
    <row r="71" spans="1:19" ht="48.75" x14ac:dyDescent="0.25">
      <c r="A71" s="63">
        <v>65</v>
      </c>
      <c r="B71" s="55" t="s">
        <v>3909</v>
      </c>
      <c r="C71" s="64">
        <v>44657</v>
      </c>
      <c r="D71" s="64">
        <v>44657</v>
      </c>
      <c r="E71" s="65">
        <v>2</v>
      </c>
      <c r="F71" s="24" t="s">
        <v>22</v>
      </c>
      <c r="G71" s="55" t="s">
        <v>30</v>
      </c>
      <c r="H71" s="55" t="s">
        <v>24</v>
      </c>
      <c r="I71" s="55" t="s">
        <v>30</v>
      </c>
      <c r="J71" s="66">
        <v>44659</v>
      </c>
      <c r="K71" s="66">
        <v>44659</v>
      </c>
      <c r="L71" s="67">
        <f t="shared" si="0"/>
        <v>2</v>
      </c>
      <c r="M71" s="59" t="s">
        <v>3910</v>
      </c>
      <c r="N71" s="68" t="s">
        <v>26</v>
      </c>
      <c r="O71" s="55" t="s">
        <v>3911</v>
      </c>
      <c r="P71" s="55" t="s">
        <v>3900</v>
      </c>
      <c r="Q71" s="68" t="str">
        <f t="shared" si="1"/>
        <v>DENTRO DEL TIEMPO</v>
      </c>
      <c r="R71" s="6"/>
      <c r="S71" s="69"/>
    </row>
    <row r="72" spans="1:19" ht="48.75" x14ac:dyDescent="0.25">
      <c r="A72" s="63">
        <v>66</v>
      </c>
      <c r="B72" s="55" t="s">
        <v>3912</v>
      </c>
      <c r="C72" s="64">
        <v>44657</v>
      </c>
      <c r="D72" s="64">
        <v>44657</v>
      </c>
      <c r="E72" s="65">
        <v>2</v>
      </c>
      <c r="F72" s="24" t="s">
        <v>22</v>
      </c>
      <c r="G72" s="55" t="s">
        <v>30</v>
      </c>
      <c r="H72" s="55" t="s">
        <v>24</v>
      </c>
      <c r="I72" s="55" t="s">
        <v>30</v>
      </c>
      <c r="J72" s="66">
        <v>44659</v>
      </c>
      <c r="K72" s="66">
        <v>44659</v>
      </c>
      <c r="L72" s="67">
        <f t="shared" ref="L72:L135" si="2">+NETWORKDAYS(D72,K72,$R$7:$R$10)-1</f>
        <v>2</v>
      </c>
      <c r="M72" s="59" t="s">
        <v>3913</v>
      </c>
      <c r="N72" s="68" t="s">
        <v>26</v>
      </c>
      <c r="O72" s="55" t="s">
        <v>3914</v>
      </c>
      <c r="P72" s="55" t="s">
        <v>3915</v>
      </c>
      <c r="Q72" s="68" t="str">
        <f t="shared" ref="Q72:Q135" si="3">IF(L72&gt;15,"FUERA DE TIEMPO","DENTRO DEL TIEMPO")</f>
        <v>DENTRO DEL TIEMPO</v>
      </c>
      <c r="R72" s="6"/>
      <c r="S72" s="69"/>
    </row>
    <row r="73" spans="1:19" ht="48.75" x14ac:dyDescent="0.25">
      <c r="A73" s="63">
        <v>67</v>
      </c>
      <c r="B73" s="55" t="s">
        <v>3916</v>
      </c>
      <c r="C73" s="64">
        <v>44657</v>
      </c>
      <c r="D73" s="64">
        <v>44657</v>
      </c>
      <c r="E73" s="65">
        <v>2</v>
      </c>
      <c r="F73" s="24" t="s">
        <v>22</v>
      </c>
      <c r="G73" s="55" t="s">
        <v>30</v>
      </c>
      <c r="H73" s="55" t="s">
        <v>24</v>
      </c>
      <c r="I73" s="55" t="s">
        <v>30</v>
      </c>
      <c r="J73" s="66">
        <v>44659</v>
      </c>
      <c r="K73" s="66">
        <v>44659</v>
      </c>
      <c r="L73" s="67">
        <f t="shared" si="2"/>
        <v>2</v>
      </c>
      <c r="M73" s="59" t="s">
        <v>3917</v>
      </c>
      <c r="N73" s="68" t="s">
        <v>26</v>
      </c>
      <c r="O73" s="55" t="s">
        <v>3918</v>
      </c>
      <c r="P73" s="55" t="s">
        <v>3919</v>
      </c>
      <c r="Q73" s="68" t="str">
        <f t="shared" si="3"/>
        <v>DENTRO DEL TIEMPO</v>
      </c>
      <c r="R73" s="6"/>
      <c r="S73" s="69"/>
    </row>
    <row r="74" spans="1:19" ht="48.75" x14ac:dyDescent="0.25">
      <c r="A74" s="63">
        <v>68</v>
      </c>
      <c r="B74" s="55" t="s">
        <v>3920</v>
      </c>
      <c r="C74" s="64">
        <v>44657</v>
      </c>
      <c r="D74" s="64">
        <v>44657</v>
      </c>
      <c r="E74" s="65">
        <v>2</v>
      </c>
      <c r="F74" s="24" t="s">
        <v>22</v>
      </c>
      <c r="G74" s="55" t="s">
        <v>30</v>
      </c>
      <c r="H74" s="55" t="s">
        <v>24</v>
      </c>
      <c r="I74" s="55" t="s">
        <v>30</v>
      </c>
      <c r="J74" s="66">
        <v>44659</v>
      </c>
      <c r="K74" s="66">
        <v>44659</v>
      </c>
      <c r="L74" s="67">
        <f t="shared" si="2"/>
        <v>2</v>
      </c>
      <c r="M74" s="59" t="s">
        <v>3921</v>
      </c>
      <c r="N74" s="68" t="s">
        <v>26</v>
      </c>
      <c r="O74" s="55" t="s">
        <v>3918</v>
      </c>
      <c r="P74" s="55" t="s">
        <v>3919</v>
      </c>
      <c r="Q74" s="68" t="str">
        <f t="shared" si="3"/>
        <v>DENTRO DEL TIEMPO</v>
      </c>
      <c r="R74" s="6"/>
      <c r="S74" s="69"/>
    </row>
    <row r="75" spans="1:19" ht="48.75" x14ac:dyDescent="0.25">
      <c r="A75" s="63">
        <v>69</v>
      </c>
      <c r="B75" s="55" t="s">
        <v>3922</v>
      </c>
      <c r="C75" s="64">
        <v>44658</v>
      </c>
      <c r="D75" s="64">
        <v>44658</v>
      </c>
      <c r="E75" s="65">
        <v>2</v>
      </c>
      <c r="F75" s="24" t="s">
        <v>22</v>
      </c>
      <c r="G75" s="55" t="s">
        <v>30</v>
      </c>
      <c r="H75" s="55" t="s">
        <v>24</v>
      </c>
      <c r="I75" s="55" t="s">
        <v>30</v>
      </c>
      <c r="J75" s="66">
        <v>44659</v>
      </c>
      <c r="K75" s="66">
        <v>44659</v>
      </c>
      <c r="L75" s="67">
        <f t="shared" si="2"/>
        <v>1</v>
      </c>
      <c r="M75" s="59" t="s">
        <v>3923</v>
      </c>
      <c r="N75" s="68" t="s">
        <v>26</v>
      </c>
      <c r="O75" s="55" t="s">
        <v>2547</v>
      </c>
      <c r="P75" s="55" t="s">
        <v>3924</v>
      </c>
      <c r="Q75" s="68" t="str">
        <f t="shared" si="3"/>
        <v>DENTRO DEL TIEMPO</v>
      </c>
      <c r="R75" s="6"/>
      <c r="S75" s="69"/>
    </row>
    <row r="76" spans="1:19" ht="48.75" x14ac:dyDescent="0.25">
      <c r="A76" s="63">
        <v>70</v>
      </c>
      <c r="B76" s="55" t="s">
        <v>3925</v>
      </c>
      <c r="C76" s="64">
        <v>44658</v>
      </c>
      <c r="D76" s="64">
        <v>44658</v>
      </c>
      <c r="E76" s="65">
        <v>2</v>
      </c>
      <c r="F76" s="24" t="s">
        <v>22</v>
      </c>
      <c r="G76" s="55" t="s">
        <v>30</v>
      </c>
      <c r="H76" s="55" t="s">
        <v>24</v>
      </c>
      <c r="I76" s="55" t="s">
        <v>30</v>
      </c>
      <c r="J76" s="66">
        <v>44659</v>
      </c>
      <c r="K76" s="66">
        <v>44659</v>
      </c>
      <c r="L76" s="67">
        <f t="shared" si="2"/>
        <v>1</v>
      </c>
      <c r="M76" s="59" t="s">
        <v>3926</v>
      </c>
      <c r="N76" s="68" t="s">
        <v>26</v>
      </c>
      <c r="O76" s="55" t="s">
        <v>3163</v>
      </c>
      <c r="P76" s="55" t="s">
        <v>3711</v>
      </c>
      <c r="Q76" s="68" t="str">
        <f t="shared" si="3"/>
        <v>DENTRO DEL TIEMPO</v>
      </c>
      <c r="R76" s="6"/>
      <c r="S76" s="69"/>
    </row>
    <row r="77" spans="1:19" ht="48.75" x14ac:dyDescent="0.25">
      <c r="A77" s="63">
        <v>71</v>
      </c>
      <c r="B77" s="55" t="s">
        <v>3927</v>
      </c>
      <c r="C77" s="64">
        <v>44658</v>
      </c>
      <c r="D77" s="64">
        <v>44658</v>
      </c>
      <c r="E77" s="65">
        <v>2</v>
      </c>
      <c r="F77" s="24" t="s">
        <v>22</v>
      </c>
      <c r="G77" s="55" t="s">
        <v>30</v>
      </c>
      <c r="H77" s="55" t="s">
        <v>24</v>
      </c>
      <c r="I77" s="55" t="s">
        <v>30</v>
      </c>
      <c r="J77" s="66">
        <v>44662</v>
      </c>
      <c r="K77" s="66">
        <v>44662</v>
      </c>
      <c r="L77" s="67">
        <f t="shared" si="2"/>
        <v>2</v>
      </c>
      <c r="M77" s="59" t="s">
        <v>3928</v>
      </c>
      <c r="N77" s="68" t="s">
        <v>26</v>
      </c>
      <c r="O77" s="55" t="s">
        <v>3163</v>
      </c>
      <c r="P77" s="55" t="s">
        <v>3711</v>
      </c>
      <c r="Q77" s="68" t="str">
        <f t="shared" si="3"/>
        <v>DENTRO DEL TIEMPO</v>
      </c>
      <c r="R77" s="6"/>
      <c r="S77" s="69"/>
    </row>
    <row r="78" spans="1:19" ht="48.75" x14ac:dyDescent="0.25">
      <c r="A78" s="63">
        <v>72</v>
      </c>
      <c r="B78" s="55" t="s">
        <v>3929</v>
      </c>
      <c r="C78" s="64">
        <v>44658</v>
      </c>
      <c r="D78" s="64">
        <v>44658</v>
      </c>
      <c r="E78" s="65">
        <v>2</v>
      </c>
      <c r="F78" s="24" t="s">
        <v>22</v>
      </c>
      <c r="G78" s="55" t="s">
        <v>30</v>
      </c>
      <c r="H78" s="55" t="s">
        <v>24</v>
      </c>
      <c r="I78" s="55" t="s">
        <v>30</v>
      </c>
      <c r="J78" s="66">
        <v>44662</v>
      </c>
      <c r="K78" s="66">
        <v>44662</v>
      </c>
      <c r="L78" s="67">
        <f t="shared" si="2"/>
        <v>2</v>
      </c>
      <c r="M78" s="59" t="s">
        <v>3930</v>
      </c>
      <c r="N78" s="68" t="s">
        <v>26</v>
      </c>
      <c r="O78" s="55" t="s">
        <v>3163</v>
      </c>
      <c r="P78" s="55" t="s">
        <v>3931</v>
      </c>
      <c r="Q78" s="68" t="str">
        <f t="shared" si="3"/>
        <v>DENTRO DEL TIEMPO</v>
      </c>
      <c r="R78" s="6"/>
      <c r="S78" s="69"/>
    </row>
    <row r="79" spans="1:19" ht="48.75" x14ac:dyDescent="0.25">
      <c r="A79" s="63">
        <v>73</v>
      </c>
      <c r="B79" s="55" t="s">
        <v>3932</v>
      </c>
      <c r="C79" s="64">
        <v>44658</v>
      </c>
      <c r="D79" s="64">
        <v>44658</v>
      </c>
      <c r="E79" s="65">
        <v>2</v>
      </c>
      <c r="F79" s="24" t="s">
        <v>22</v>
      </c>
      <c r="G79" s="55" t="s">
        <v>30</v>
      </c>
      <c r="H79" s="55" t="s">
        <v>24</v>
      </c>
      <c r="I79" s="55" t="s">
        <v>30</v>
      </c>
      <c r="J79" s="66">
        <v>44662</v>
      </c>
      <c r="K79" s="66">
        <v>44662</v>
      </c>
      <c r="L79" s="67">
        <f t="shared" si="2"/>
        <v>2</v>
      </c>
      <c r="M79" s="59" t="s">
        <v>3933</v>
      </c>
      <c r="N79" s="68" t="s">
        <v>26</v>
      </c>
      <c r="O79" s="55" t="s">
        <v>3163</v>
      </c>
      <c r="P79" s="55" t="s">
        <v>3711</v>
      </c>
      <c r="Q79" s="68" t="str">
        <f t="shared" si="3"/>
        <v>DENTRO DEL TIEMPO</v>
      </c>
      <c r="R79" s="6"/>
      <c r="S79" s="69"/>
    </row>
    <row r="80" spans="1:19" ht="48.75" x14ac:dyDescent="0.25">
      <c r="A80" s="63">
        <v>74</v>
      </c>
      <c r="B80" s="55" t="s">
        <v>3934</v>
      </c>
      <c r="C80" s="64">
        <v>44658</v>
      </c>
      <c r="D80" s="64">
        <v>44658</v>
      </c>
      <c r="E80" s="65">
        <v>2</v>
      </c>
      <c r="F80" s="24" t="s">
        <v>22</v>
      </c>
      <c r="G80" s="55" t="s">
        <v>30</v>
      </c>
      <c r="H80" s="55" t="s">
        <v>24</v>
      </c>
      <c r="I80" s="55" t="s">
        <v>30</v>
      </c>
      <c r="J80" s="66">
        <v>44658</v>
      </c>
      <c r="K80" s="66">
        <v>44658</v>
      </c>
      <c r="L80" s="67">
        <f t="shared" si="2"/>
        <v>0</v>
      </c>
      <c r="M80" s="59" t="s">
        <v>3935</v>
      </c>
      <c r="N80" s="68" t="s">
        <v>26</v>
      </c>
      <c r="O80" s="55" t="s">
        <v>3936</v>
      </c>
      <c r="P80" s="55" t="s">
        <v>3937</v>
      </c>
      <c r="Q80" s="68" t="str">
        <f t="shared" si="3"/>
        <v>DENTRO DEL TIEMPO</v>
      </c>
      <c r="R80" s="6"/>
      <c r="S80" s="69"/>
    </row>
    <row r="81" spans="1:19" ht="48.75" x14ac:dyDescent="0.25">
      <c r="A81" s="63">
        <v>75</v>
      </c>
      <c r="B81" s="55" t="s">
        <v>3938</v>
      </c>
      <c r="C81" s="64">
        <v>44658</v>
      </c>
      <c r="D81" s="64">
        <v>44658</v>
      </c>
      <c r="E81" s="65">
        <v>2</v>
      </c>
      <c r="F81" s="24" t="s">
        <v>22</v>
      </c>
      <c r="G81" s="55" t="s">
        <v>30</v>
      </c>
      <c r="H81" s="55" t="s">
        <v>24</v>
      </c>
      <c r="I81" s="55" t="s">
        <v>30</v>
      </c>
      <c r="J81" s="66">
        <v>44659</v>
      </c>
      <c r="K81" s="66">
        <v>44659</v>
      </c>
      <c r="L81" s="67">
        <f t="shared" si="2"/>
        <v>1</v>
      </c>
      <c r="M81" s="59" t="s">
        <v>3939</v>
      </c>
      <c r="N81" s="68" t="s">
        <v>26</v>
      </c>
      <c r="O81" s="55" t="s">
        <v>3940</v>
      </c>
      <c r="P81" s="55" t="s">
        <v>3941</v>
      </c>
      <c r="Q81" s="68" t="str">
        <f t="shared" si="3"/>
        <v>DENTRO DEL TIEMPO</v>
      </c>
      <c r="R81" s="6"/>
      <c r="S81" s="69"/>
    </row>
    <row r="82" spans="1:19" ht="48.75" x14ac:dyDescent="0.25">
      <c r="A82" s="63">
        <v>76</v>
      </c>
      <c r="B82" s="55" t="s">
        <v>3942</v>
      </c>
      <c r="C82" s="64">
        <v>44658</v>
      </c>
      <c r="D82" s="64">
        <v>44658</v>
      </c>
      <c r="E82" s="65">
        <v>2</v>
      </c>
      <c r="F82" s="24" t="s">
        <v>22</v>
      </c>
      <c r="G82" s="55" t="s">
        <v>30</v>
      </c>
      <c r="H82" s="55" t="s">
        <v>24</v>
      </c>
      <c r="I82" s="55" t="s">
        <v>30</v>
      </c>
      <c r="J82" s="66">
        <v>44659</v>
      </c>
      <c r="K82" s="66">
        <v>44659</v>
      </c>
      <c r="L82" s="67">
        <f t="shared" si="2"/>
        <v>1</v>
      </c>
      <c r="M82" s="59" t="s">
        <v>3939</v>
      </c>
      <c r="N82" s="68" t="s">
        <v>26</v>
      </c>
      <c r="O82" s="55" t="s">
        <v>2320</v>
      </c>
      <c r="P82" s="55" t="s">
        <v>3943</v>
      </c>
      <c r="Q82" s="68" t="str">
        <f t="shared" si="3"/>
        <v>DENTRO DEL TIEMPO</v>
      </c>
      <c r="R82" s="6"/>
      <c r="S82" s="69"/>
    </row>
    <row r="83" spans="1:19" ht="48.75" x14ac:dyDescent="0.25">
      <c r="A83" s="63">
        <v>77</v>
      </c>
      <c r="B83" s="55" t="s">
        <v>3944</v>
      </c>
      <c r="C83" s="64">
        <v>44658</v>
      </c>
      <c r="D83" s="64">
        <v>44658</v>
      </c>
      <c r="E83" s="65">
        <v>2</v>
      </c>
      <c r="F83" s="24" t="s">
        <v>22</v>
      </c>
      <c r="G83" s="55" t="s">
        <v>30</v>
      </c>
      <c r="H83" s="55" t="s">
        <v>24</v>
      </c>
      <c r="I83" s="55" t="s">
        <v>30</v>
      </c>
      <c r="J83" s="66">
        <v>44662</v>
      </c>
      <c r="K83" s="66">
        <v>44662</v>
      </c>
      <c r="L83" s="67">
        <f t="shared" si="2"/>
        <v>2</v>
      </c>
      <c r="M83" s="59" t="s">
        <v>3945</v>
      </c>
      <c r="N83" s="68" t="s">
        <v>26</v>
      </c>
      <c r="O83" s="55" t="s">
        <v>2557</v>
      </c>
      <c r="P83" s="55" t="s">
        <v>3816</v>
      </c>
      <c r="Q83" s="68" t="str">
        <f t="shared" si="3"/>
        <v>DENTRO DEL TIEMPO</v>
      </c>
      <c r="R83" s="6"/>
      <c r="S83" s="69"/>
    </row>
    <row r="84" spans="1:19" ht="48.75" x14ac:dyDescent="0.25">
      <c r="A84" s="63">
        <v>78</v>
      </c>
      <c r="B84" s="55" t="s">
        <v>3946</v>
      </c>
      <c r="C84" s="64">
        <v>44658</v>
      </c>
      <c r="D84" s="64">
        <v>44658</v>
      </c>
      <c r="E84" s="65">
        <v>2</v>
      </c>
      <c r="F84" s="24" t="s">
        <v>22</v>
      </c>
      <c r="G84" s="55" t="s">
        <v>30</v>
      </c>
      <c r="H84" s="55" t="s">
        <v>24</v>
      </c>
      <c r="I84" s="55" t="s">
        <v>30</v>
      </c>
      <c r="J84" s="66">
        <v>44662</v>
      </c>
      <c r="K84" s="66">
        <v>44662</v>
      </c>
      <c r="L84" s="67">
        <f t="shared" si="2"/>
        <v>2</v>
      </c>
      <c r="M84" s="59" t="s">
        <v>3947</v>
      </c>
      <c r="N84" s="68" t="s">
        <v>26</v>
      </c>
      <c r="O84" s="55" t="s">
        <v>2826</v>
      </c>
      <c r="P84" s="55" t="s">
        <v>3816</v>
      </c>
      <c r="Q84" s="68" t="str">
        <f t="shared" si="3"/>
        <v>DENTRO DEL TIEMPO</v>
      </c>
      <c r="R84" s="6"/>
      <c r="S84" s="69"/>
    </row>
    <row r="85" spans="1:19" ht="48.75" x14ac:dyDescent="0.25">
      <c r="A85" s="63">
        <v>79</v>
      </c>
      <c r="B85" s="55" t="s">
        <v>3948</v>
      </c>
      <c r="C85" s="64">
        <v>44658</v>
      </c>
      <c r="D85" s="64">
        <v>44658</v>
      </c>
      <c r="E85" s="65">
        <v>2</v>
      </c>
      <c r="F85" s="24" t="s">
        <v>22</v>
      </c>
      <c r="G85" s="55" t="s">
        <v>30</v>
      </c>
      <c r="H85" s="55" t="s">
        <v>24</v>
      </c>
      <c r="I85" s="55" t="s">
        <v>30</v>
      </c>
      <c r="J85" s="66">
        <v>44662</v>
      </c>
      <c r="K85" s="66">
        <v>44662</v>
      </c>
      <c r="L85" s="67">
        <f t="shared" si="2"/>
        <v>2</v>
      </c>
      <c r="M85" s="59" t="s">
        <v>3949</v>
      </c>
      <c r="N85" s="68" t="s">
        <v>26</v>
      </c>
      <c r="O85" s="55" t="s">
        <v>2327</v>
      </c>
      <c r="P85" s="55" t="s">
        <v>3816</v>
      </c>
      <c r="Q85" s="68" t="str">
        <f t="shared" si="3"/>
        <v>DENTRO DEL TIEMPO</v>
      </c>
      <c r="R85" s="6"/>
      <c r="S85" s="69"/>
    </row>
    <row r="86" spans="1:19" ht="48.75" x14ac:dyDescent="0.25">
      <c r="A86" s="63">
        <v>80</v>
      </c>
      <c r="B86" s="55" t="s">
        <v>3950</v>
      </c>
      <c r="C86" s="64">
        <v>44658</v>
      </c>
      <c r="D86" s="64">
        <v>44658</v>
      </c>
      <c r="E86" s="65">
        <v>2</v>
      </c>
      <c r="F86" s="24" t="s">
        <v>22</v>
      </c>
      <c r="G86" s="55" t="s">
        <v>30</v>
      </c>
      <c r="H86" s="55" t="s">
        <v>24</v>
      </c>
      <c r="I86" s="55" t="s">
        <v>30</v>
      </c>
      <c r="J86" s="66">
        <v>44662</v>
      </c>
      <c r="K86" s="66">
        <v>44662</v>
      </c>
      <c r="L86" s="67">
        <f t="shared" si="2"/>
        <v>2</v>
      </c>
      <c r="M86" s="59" t="s">
        <v>3951</v>
      </c>
      <c r="N86" s="68" t="s">
        <v>26</v>
      </c>
      <c r="O86" s="55" t="s">
        <v>2333</v>
      </c>
      <c r="P86" s="55" t="s">
        <v>3816</v>
      </c>
      <c r="Q86" s="68" t="str">
        <f t="shared" si="3"/>
        <v>DENTRO DEL TIEMPO</v>
      </c>
      <c r="R86" s="6"/>
      <c r="S86" s="69"/>
    </row>
    <row r="87" spans="1:19" ht="48.75" x14ac:dyDescent="0.25">
      <c r="A87" s="63">
        <v>81</v>
      </c>
      <c r="B87" s="55" t="s">
        <v>3952</v>
      </c>
      <c r="C87" s="64">
        <v>44658</v>
      </c>
      <c r="D87" s="64">
        <v>44658</v>
      </c>
      <c r="E87" s="65">
        <v>2</v>
      </c>
      <c r="F87" s="24" t="s">
        <v>22</v>
      </c>
      <c r="G87" s="55" t="s">
        <v>30</v>
      </c>
      <c r="H87" s="55" t="s">
        <v>24</v>
      </c>
      <c r="I87" s="55" t="s">
        <v>30</v>
      </c>
      <c r="J87" s="66">
        <v>44662</v>
      </c>
      <c r="K87" s="66">
        <v>44662</v>
      </c>
      <c r="L87" s="67">
        <f t="shared" si="2"/>
        <v>2</v>
      </c>
      <c r="M87" s="59" t="s">
        <v>3953</v>
      </c>
      <c r="N87" s="68" t="s">
        <v>26</v>
      </c>
      <c r="O87" s="55" t="s">
        <v>3025</v>
      </c>
      <c r="P87" s="55" t="s">
        <v>3816</v>
      </c>
      <c r="Q87" s="68" t="str">
        <f t="shared" si="3"/>
        <v>DENTRO DEL TIEMPO</v>
      </c>
      <c r="R87" s="6"/>
      <c r="S87" s="69"/>
    </row>
    <row r="88" spans="1:19" ht="48.75" x14ac:dyDescent="0.25">
      <c r="A88" s="63">
        <v>82</v>
      </c>
      <c r="B88" s="55" t="s">
        <v>3954</v>
      </c>
      <c r="C88" s="64">
        <v>44658</v>
      </c>
      <c r="D88" s="64">
        <v>44658</v>
      </c>
      <c r="E88" s="65">
        <v>2</v>
      </c>
      <c r="F88" s="24" t="s">
        <v>22</v>
      </c>
      <c r="G88" s="55" t="s">
        <v>30</v>
      </c>
      <c r="H88" s="55" t="s">
        <v>24</v>
      </c>
      <c r="I88" s="55" t="s">
        <v>30</v>
      </c>
      <c r="J88" s="66">
        <v>44663</v>
      </c>
      <c r="K88" s="66">
        <v>44663</v>
      </c>
      <c r="L88" s="67">
        <f t="shared" si="2"/>
        <v>3</v>
      </c>
      <c r="M88" s="59" t="s">
        <v>3955</v>
      </c>
      <c r="N88" s="68" t="s">
        <v>26</v>
      </c>
      <c r="O88" s="55" t="s">
        <v>2483</v>
      </c>
      <c r="P88" s="55" t="s">
        <v>3816</v>
      </c>
      <c r="Q88" s="68" t="str">
        <f t="shared" si="3"/>
        <v>DENTRO DEL TIEMPO</v>
      </c>
      <c r="R88" s="6"/>
      <c r="S88" s="69"/>
    </row>
    <row r="89" spans="1:19" ht="48.75" x14ac:dyDescent="0.25">
      <c r="A89" s="63">
        <v>83</v>
      </c>
      <c r="B89" s="55" t="s">
        <v>3956</v>
      </c>
      <c r="C89" s="64">
        <v>44658</v>
      </c>
      <c r="D89" s="64">
        <v>44658</v>
      </c>
      <c r="E89" s="65">
        <v>2</v>
      </c>
      <c r="F89" s="24" t="s">
        <v>22</v>
      </c>
      <c r="G89" s="55" t="s">
        <v>30</v>
      </c>
      <c r="H89" s="55" t="s">
        <v>24</v>
      </c>
      <c r="I89" s="55" t="s">
        <v>30</v>
      </c>
      <c r="J89" s="66">
        <v>44663</v>
      </c>
      <c r="K89" s="66">
        <v>44663</v>
      </c>
      <c r="L89" s="67">
        <f t="shared" si="2"/>
        <v>3</v>
      </c>
      <c r="M89" s="59" t="s">
        <v>3957</v>
      </c>
      <c r="N89" s="68" t="s">
        <v>26</v>
      </c>
      <c r="O89" s="55" t="s">
        <v>3958</v>
      </c>
      <c r="P89" s="55" t="s">
        <v>3959</v>
      </c>
      <c r="Q89" s="68" t="str">
        <f t="shared" si="3"/>
        <v>DENTRO DEL TIEMPO</v>
      </c>
      <c r="R89" s="6"/>
      <c r="S89" s="69"/>
    </row>
    <row r="90" spans="1:19" ht="48.75" x14ac:dyDescent="0.25">
      <c r="A90" s="63">
        <v>84</v>
      </c>
      <c r="B90" s="55" t="s">
        <v>3960</v>
      </c>
      <c r="C90" s="64">
        <v>44658</v>
      </c>
      <c r="D90" s="64">
        <v>44658</v>
      </c>
      <c r="E90" s="65">
        <v>2</v>
      </c>
      <c r="F90" s="24" t="s">
        <v>22</v>
      </c>
      <c r="G90" s="55" t="s">
        <v>30</v>
      </c>
      <c r="H90" s="55" t="s">
        <v>24</v>
      </c>
      <c r="I90" s="55" t="s">
        <v>30</v>
      </c>
      <c r="J90" s="66">
        <v>44663</v>
      </c>
      <c r="K90" s="66">
        <v>44663</v>
      </c>
      <c r="L90" s="67">
        <f t="shared" si="2"/>
        <v>3</v>
      </c>
      <c r="M90" s="59" t="s">
        <v>3961</v>
      </c>
      <c r="N90" s="68" t="s">
        <v>26</v>
      </c>
      <c r="O90" s="55" t="s">
        <v>3962</v>
      </c>
      <c r="P90" s="55" t="s">
        <v>3963</v>
      </c>
      <c r="Q90" s="68" t="str">
        <f t="shared" si="3"/>
        <v>DENTRO DEL TIEMPO</v>
      </c>
      <c r="R90" s="6"/>
      <c r="S90" s="69"/>
    </row>
    <row r="91" spans="1:19" ht="48.75" x14ac:dyDescent="0.25">
      <c r="A91" s="63">
        <v>85</v>
      </c>
      <c r="B91" s="55" t="s">
        <v>3964</v>
      </c>
      <c r="C91" s="64">
        <v>44658</v>
      </c>
      <c r="D91" s="64">
        <v>44658</v>
      </c>
      <c r="E91" s="65">
        <v>2</v>
      </c>
      <c r="F91" s="24" t="s">
        <v>22</v>
      </c>
      <c r="G91" s="55" t="s">
        <v>30</v>
      </c>
      <c r="H91" s="55" t="s">
        <v>24</v>
      </c>
      <c r="I91" s="55" t="s">
        <v>30</v>
      </c>
      <c r="J91" s="66">
        <v>44663</v>
      </c>
      <c r="K91" s="66">
        <v>44663</v>
      </c>
      <c r="L91" s="67">
        <f t="shared" si="2"/>
        <v>3</v>
      </c>
      <c r="M91" s="59" t="s">
        <v>3965</v>
      </c>
      <c r="N91" s="68" t="s">
        <v>26</v>
      </c>
      <c r="O91" s="55" t="s">
        <v>2999</v>
      </c>
      <c r="P91" s="55" t="s">
        <v>3832</v>
      </c>
      <c r="Q91" s="68" t="str">
        <f t="shared" si="3"/>
        <v>DENTRO DEL TIEMPO</v>
      </c>
      <c r="R91" s="6"/>
      <c r="S91" s="69"/>
    </row>
    <row r="92" spans="1:19" ht="48.75" x14ac:dyDescent="0.25">
      <c r="A92" s="63">
        <v>86</v>
      </c>
      <c r="B92" s="55" t="s">
        <v>3966</v>
      </c>
      <c r="C92" s="64">
        <v>44658</v>
      </c>
      <c r="D92" s="64">
        <v>44658</v>
      </c>
      <c r="E92" s="65">
        <v>2</v>
      </c>
      <c r="F92" s="24" t="s">
        <v>22</v>
      </c>
      <c r="G92" s="55" t="s">
        <v>30</v>
      </c>
      <c r="H92" s="55" t="s">
        <v>24</v>
      </c>
      <c r="I92" s="55" t="s">
        <v>30</v>
      </c>
      <c r="J92" s="66">
        <v>44663</v>
      </c>
      <c r="K92" s="66">
        <v>44663</v>
      </c>
      <c r="L92" s="67">
        <f t="shared" si="2"/>
        <v>3</v>
      </c>
      <c r="M92" s="59" t="s">
        <v>3967</v>
      </c>
      <c r="N92" s="68" t="s">
        <v>26</v>
      </c>
      <c r="O92" s="55" t="s">
        <v>2743</v>
      </c>
      <c r="P92" s="55" t="s">
        <v>3968</v>
      </c>
      <c r="Q92" s="68" t="str">
        <f t="shared" si="3"/>
        <v>DENTRO DEL TIEMPO</v>
      </c>
      <c r="R92" s="6"/>
      <c r="S92" s="69"/>
    </row>
    <row r="93" spans="1:19" ht="48.75" x14ac:dyDescent="0.25">
      <c r="A93" s="63">
        <v>87</v>
      </c>
      <c r="B93" s="55" t="s">
        <v>3969</v>
      </c>
      <c r="C93" s="64">
        <v>44658</v>
      </c>
      <c r="D93" s="64">
        <v>44658</v>
      </c>
      <c r="E93" s="65">
        <v>2</v>
      </c>
      <c r="F93" s="24" t="s">
        <v>22</v>
      </c>
      <c r="G93" s="55" t="s">
        <v>30</v>
      </c>
      <c r="H93" s="55" t="s">
        <v>24</v>
      </c>
      <c r="I93" s="55" t="s">
        <v>30</v>
      </c>
      <c r="J93" s="66">
        <v>44663</v>
      </c>
      <c r="K93" s="66">
        <v>44663</v>
      </c>
      <c r="L93" s="67">
        <f t="shared" si="2"/>
        <v>3</v>
      </c>
      <c r="M93" s="59" t="s">
        <v>3970</v>
      </c>
      <c r="N93" s="68" t="s">
        <v>26</v>
      </c>
      <c r="O93" s="55" t="s">
        <v>2743</v>
      </c>
      <c r="P93" s="55" t="s">
        <v>3766</v>
      </c>
      <c r="Q93" s="68" t="str">
        <f t="shared" si="3"/>
        <v>DENTRO DEL TIEMPO</v>
      </c>
      <c r="R93" s="6"/>
      <c r="S93" s="69"/>
    </row>
    <row r="94" spans="1:19" ht="48.75" x14ac:dyDescent="0.25">
      <c r="A94" s="63">
        <v>88</v>
      </c>
      <c r="B94" s="55" t="s">
        <v>3971</v>
      </c>
      <c r="C94" s="64">
        <v>44658</v>
      </c>
      <c r="D94" s="64">
        <v>44658</v>
      </c>
      <c r="E94" s="65">
        <v>2</v>
      </c>
      <c r="F94" s="24" t="s">
        <v>22</v>
      </c>
      <c r="G94" s="55" t="s">
        <v>30</v>
      </c>
      <c r="H94" s="55" t="s">
        <v>24</v>
      </c>
      <c r="I94" s="55" t="s">
        <v>30</v>
      </c>
      <c r="J94" s="66">
        <v>44663</v>
      </c>
      <c r="K94" s="66">
        <v>44663</v>
      </c>
      <c r="L94" s="67">
        <f t="shared" si="2"/>
        <v>3</v>
      </c>
      <c r="M94" s="59" t="s">
        <v>3972</v>
      </c>
      <c r="N94" s="68" t="s">
        <v>26</v>
      </c>
      <c r="O94" s="55" t="s">
        <v>2396</v>
      </c>
      <c r="P94" s="55" t="s">
        <v>3791</v>
      </c>
      <c r="Q94" s="68" t="str">
        <f t="shared" si="3"/>
        <v>DENTRO DEL TIEMPO</v>
      </c>
      <c r="R94" s="6"/>
      <c r="S94" s="69"/>
    </row>
    <row r="95" spans="1:19" ht="48.75" x14ac:dyDescent="0.25">
      <c r="A95" s="63">
        <v>89</v>
      </c>
      <c r="B95" s="55" t="s">
        <v>3973</v>
      </c>
      <c r="C95" s="64">
        <v>44658</v>
      </c>
      <c r="D95" s="64">
        <v>44658</v>
      </c>
      <c r="E95" s="65">
        <v>13</v>
      </c>
      <c r="F95" s="24" t="s">
        <v>22</v>
      </c>
      <c r="G95" s="55" t="s">
        <v>23</v>
      </c>
      <c r="H95" s="55" t="s">
        <v>24</v>
      </c>
      <c r="I95" s="55" t="s">
        <v>23</v>
      </c>
      <c r="J95" s="66">
        <v>44663</v>
      </c>
      <c r="K95" s="66">
        <v>44663</v>
      </c>
      <c r="L95" s="67">
        <f t="shared" si="2"/>
        <v>3</v>
      </c>
      <c r="M95" s="59" t="s">
        <v>3974</v>
      </c>
      <c r="N95" s="68" t="s">
        <v>26</v>
      </c>
      <c r="O95" s="55" t="s">
        <v>3975</v>
      </c>
      <c r="P95" s="55" t="s">
        <v>3976</v>
      </c>
      <c r="Q95" s="68" t="str">
        <f t="shared" si="3"/>
        <v>DENTRO DEL TIEMPO</v>
      </c>
      <c r="R95" s="6"/>
      <c r="S95" s="69"/>
    </row>
    <row r="96" spans="1:19" ht="48.75" x14ac:dyDescent="0.25">
      <c r="A96" s="63">
        <v>90</v>
      </c>
      <c r="B96" s="55" t="s">
        <v>3977</v>
      </c>
      <c r="C96" s="64">
        <v>44658</v>
      </c>
      <c r="D96" s="64">
        <v>44658</v>
      </c>
      <c r="E96" s="65">
        <v>2</v>
      </c>
      <c r="F96" s="24" t="s">
        <v>22</v>
      </c>
      <c r="G96" s="55" t="s">
        <v>30</v>
      </c>
      <c r="H96" s="55" t="s">
        <v>24</v>
      </c>
      <c r="I96" s="55" t="s">
        <v>30</v>
      </c>
      <c r="J96" s="66">
        <v>44659</v>
      </c>
      <c r="K96" s="66">
        <v>44659</v>
      </c>
      <c r="L96" s="67">
        <f t="shared" si="2"/>
        <v>1</v>
      </c>
      <c r="M96" s="59" t="s">
        <v>3978</v>
      </c>
      <c r="N96" s="68" t="s">
        <v>26</v>
      </c>
      <c r="O96" s="55" t="s">
        <v>3979</v>
      </c>
      <c r="P96" s="55" t="s">
        <v>3980</v>
      </c>
      <c r="Q96" s="68" t="str">
        <f t="shared" si="3"/>
        <v>DENTRO DEL TIEMPO</v>
      </c>
      <c r="R96" s="6"/>
      <c r="S96" s="69"/>
    </row>
    <row r="97" spans="1:19" ht="48.75" x14ac:dyDescent="0.25">
      <c r="A97" s="63">
        <v>91</v>
      </c>
      <c r="B97" s="55" t="s">
        <v>3981</v>
      </c>
      <c r="C97" s="64">
        <v>44659</v>
      </c>
      <c r="D97" s="64">
        <v>44659</v>
      </c>
      <c r="E97" s="65">
        <v>2</v>
      </c>
      <c r="F97" s="24" t="s">
        <v>22</v>
      </c>
      <c r="G97" s="55" t="s">
        <v>30</v>
      </c>
      <c r="H97" s="55" t="s">
        <v>24</v>
      </c>
      <c r="I97" s="55" t="s">
        <v>30</v>
      </c>
      <c r="J97" s="66">
        <v>44663</v>
      </c>
      <c r="K97" s="66">
        <v>44663</v>
      </c>
      <c r="L97" s="67">
        <f t="shared" si="2"/>
        <v>2</v>
      </c>
      <c r="M97" s="59" t="s">
        <v>3982</v>
      </c>
      <c r="N97" s="68" t="s">
        <v>26</v>
      </c>
      <c r="O97" s="55" t="s">
        <v>3983</v>
      </c>
      <c r="P97" s="55" t="s">
        <v>3984</v>
      </c>
      <c r="Q97" s="68" t="str">
        <f t="shared" si="3"/>
        <v>DENTRO DEL TIEMPO</v>
      </c>
      <c r="R97" s="6"/>
      <c r="S97" s="69"/>
    </row>
    <row r="98" spans="1:19" ht="48.75" x14ac:dyDescent="0.25">
      <c r="A98" s="63">
        <v>92</v>
      </c>
      <c r="B98" s="55" t="s">
        <v>3985</v>
      </c>
      <c r="C98" s="64">
        <v>44659</v>
      </c>
      <c r="D98" s="64">
        <v>44678</v>
      </c>
      <c r="E98" s="65">
        <v>2</v>
      </c>
      <c r="F98" s="24" t="s">
        <v>22</v>
      </c>
      <c r="G98" s="55" t="s">
        <v>3986</v>
      </c>
      <c r="H98" s="55" t="s">
        <v>24</v>
      </c>
      <c r="I98" s="55" t="s">
        <v>3986</v>
      </c>
      <c r="J98" s="66">
        <v>44678</v>
      </c>
      <c r="K98" s="66">
        <v>44678</v>
      </c>
      <c r="L98" s="67">
        <f t="shared" si="2"/>
        <v>0</v>
      </c>
      <c r="M98" s="59" t="s">
        <v>3987</v>
      </c>
      <c r="N98" s="68" t="s">
        <v>26</v>
      </c>
      <c r="O98" s="55" t="s">
        <v>3988</v>
      </c>
      <c r="P98" s="55" t="s">
        <v>3989</v>
      </c>
      <c r="Q98" s="68" t="str">
        <f t="shared" si="3"/>
        <v>DENTRO DEL TIEMPO</v>
      </c>
      <c r="R98" s="6"/>
      <c r="S98" s="69"/>
    </row>
    <row r="99" spans="1:19" ht="48.75" x14ac:dyDescent="0.25">
      <c r="A99" s="63">
        <v>93</v>
      </c>
      <c r="B99" s="55" t="s">
        <v>3990</v>
      </c>
      <c r="C99" s="64">
        <v>44659</v>
      </c>
      <c r="D99" s="64">
        <v>44659</v>
      </c>
      <c r="E99" s="65">
        <v>26</v>
      </c>
      <c r="F99" s="24" t="s">
        <v>22</v>
      </c>
      <c r="G99" s="55" t="s">
        <v>23</v>
      </c>
      <c r="H99" s="55" t="s">
        <v>24</v>
      </c>
      <c r="I99" s="55" t="s">
        <v>23</v>
      </c>
      <c r="J99" s="66">
        <v>44670</v>
      </c>
      <c r="K99" s="66">
        <v>44670</v>
      </c>
      <c r="L99" s="67">
        <f t="shared" si="2"/>
        <v>7</v>
      </c>
      <c r="M99" s="59" t="s">
        <v>3991</v>
      </c>
      <c r="N99" s="68" t="s">
        <v>26</v>
      </c>
      <c r="O99" s="55" t="s">
        <v>3992</v>
      </c>
      <c r="P99" s="55" t="s">
        <v>3993</v>
      </c>
      <c r="Q99" s="68" t="str">
        <f t="shared" si="3"/>
        <v>DENTRO DEL TIEMPO</v>
      </c>
      <c r="R99" s="6"/>
      <c r="S99" s="69"/>
    </row>
    <row r="100" spans="1:19" ht="48.75" x14ac:dyDescent="0.25">
      <c r="A100" s="63">
        <v>94</v>
      </c>
      <c r="B100" s="55" t="s">
        <v>3994</v>
      </c>
      <c r="C100" s="64">
        <v>44659</v>
      </c>
      <c r="D100" s="64">
        <v>44659</v>
      </c>
      <c r="E100" s="65">
        <v>2</v>
      </c>
      <c r="F100" s="24" t="s">
        <v>22</v>
      </c>
      <c r="G100" s="55" t="s">
        <v>30</v>
      </c>
      <c r="H100" s="55" t="s">
        <v>24</v>
      </c>
      <c r="I100" s="55" t="s">
        <v>30</v>
      </c>
      <c r="J100" s="66">
        <v>44663</v>
      </c>
      <c r="K100" s="66">
        <v>44663</v>
      </c>
      <c r="L100" s="67">
        <f t="shared" si="2"/>
        <v>2</v>
      </c>
      <c r="M100" s="59" t="s">
        <v>3995</v>
      </c>
      <c r="N100" s="68" t="s">
        <v>26</v>
      </c>
      <c r="O100" s="55" t="s">
        <v>3018</v>
      </c>
      <c r="P100" s="55" t="s">
        <v>3996</v>
      </c>
      <c r="Q100" s="68" t="str">
        <f t="shared" si="3"/>
        <v>DENTRO DEL TIEMPO</v>
      </c>
      <c r="R100" s="6"/>
      <c r="S100" s="69"/>
    </row>
    <row r="101" spans="1:19" ht="29.25" hidden="1" x14ac:dyDescent="0.25">
      <c r="A101" s="63">
        <v>95</v>
      </c>
      <c r="B101" s="59" t="s">
        <v>3997</v>
      </c>
      <c r="C101" s="64">
        <v>44659</v>
      </c>
      <c r="D101" s="64">
        <v>44659</v>
      </c>
      <c r="E101" s="65">
        <v>0</v>
      </c>
      <c r="F101" s="24" t="s">
        <v>790</v>
      </c>
      <c r="G101" s="55" t="s">
        <v>943</v>
      </c>
      <c r="H101" s="55" t="s">
        <v>792</v>
      </c>
      <c r="I101" s="55" t="s">
        <v>943</v>
      </c>
      <c r="J101" s="66">
        <v>44662</v>
      </c>
      <c r="K101" s="66">
        <v>44662</v>
      </c>
      <c r="L101" s="67">
        <f t="shared" si="2"/>
        <v>1</v>
      </c>
      <c r="M101" s="59" t="s">
        <v>3998</v>
      </c>
      <c r="N101" s="68" t="s">
        <v>26</v>
      </c>
      <c r="O101" s="55" t="s">
        <v>3999</v>
      </c>
      <c r="P101" s="55" t="s">
        <v>3763</v>
      </c>
      <c r="Q101" s="68" t="str">
        <f t="shared" si="3"/>
        <v>DENTRO DEL TIEMPO</v>
      </c>
      <c r="R101" s="6"/>
      <c r="S101" s="69"/>
    </row>
    <row r="102" spans="1:19" ht="48.75" x14ac:dyDescent="0.25">
      <c r="A102" s="63">
        <v>96</v>
      </c>
      <c r="B102" s="55" t="s">
        <v>4000</v>
      </c>
      <c r="C102" s="64">
        <v>44662</v>
      </c>
      <c r="D102" s="64">
        <v>44662</v>
      </c>
      <c r="E102" s="65">
        <v>2</v>
      </c>
      <c r="F102" s="24" t="s">
        <v>22</v>
      </c>
      <c r="G102" s="55" t="s">
        <v>30</v>
      </c>
      <c r="H102" s="55" t="s">
        <v>24</v>
      </c>
      <c r="I102" s="55" t="s">
        <v>30</v>
      </c>
      <c r="J102" s="66">
        <v>44663</v>
      </c>
      <c r="K102" s="66">
        <v>44663</v>
      </c>
      <c r="L102" s="67">
        <f t="shared" si="2"/>
        <v>1</v>
      </c>
      <c r="M102" s="59" t="s">
        <v>4001</v>
      </c>
      <c r="N102" s="68" t="s">
        <v>26</v>
      </c>
      <c r="O102" s="55" t="s">
        <v>2350</v>
      </c>
      <c r="P102" s="55" t="s">
        <v>3888</v>
      </c>
      <c r="Q102" s="68" t="str">
        <f t="shared" si="3"/>
        <v>DENTRO DEL TIEMPO</v>
      </c>
      <c r="R102" s="6"/>
      <c r="S102" s="69"/>
    </row>
    <row r="103" spans="1:19" ht="48.75" x14ac:dyDescent="0.25">
      <c r="A103" s="63">
        <v>97</v>
      </c>
      <c r="B103" s="55" t="s">
        <v>4002</v>
      </c>
      <c r="C103" s="64">
        <v>44662</v>
      </c>
      <c r="D103" s="64">
        <v>44662</v>
      </c>
      <c r="E103" s="65">
        <v>2</v>
      </c>
      <c r="F103" s="24" t="s">
        <v>22</v>
      </c>
      <c r="G103" s="55" t="s">
        <v>30</v>
      </c>
      <c r="H103" s="55" t="s">
        <v>24</v>
      </c>
      <c r="I103" s="55" t="s">
        <v>30</v>
      </c>
      <c r="J103" s="66">
        <v>44663</v>
      </c>
      <c r="K103" s="66">
        <v>44663</v>
      </c>
      <c r="L103" s="67">
        <f t="shared" si="2"/>
        <v>1</v>
      </c>
      <c r="M103" s="59" t="s">
        <v>4003</v>
      </c>
      <c r="N103" s="68" t="s">
        <v>26</v>
      </c>
      <c r="O103" s="55" t="s">
        <v>4004</v>
      </c>
      <c r="P103" s="55" t="s">
        <v>3805</v>
      </c>
      <c r="Q103" s="68" t="str">
        <f t="shared" si="3"/>
        <v>DENTRO DEL TIEMPO</v>
      </c>
      <c r="R103" s="6"/>
      <c r="S103" s="69"/>
    </row>
    <row r="104" spans="1:19" ht="48.75" x14ac:dyDescent="0.25">
      <c r="A104" s="63">
        <v>98</v>
      </c>
      <c r="B104" s="55" t="s">
        <v>4005</v>
      </c>
      <c r="C104" s="64">
        <v>44662</v>
      </c>
      <c r="D104" s="64">
        <v>44662</v>
      </c>
      <c r="E104" s="65">
        <v>2</v>
      </c>
      <c r="F104" s="24" t="s">
        <v>22</v>
      </c>
      <c r="G104" s="55" t="s">
        <v>30</v>
      </c>
      <c r="H104" s="55" t="s">
        <v>24</v>
      </c>
      <c r="I104" s="55" t="s">
        <v>30</v>
      </c>
      <c r="J104" s="66">
        <v>44663</v>
      </c>
      <c r="K104" s="66">
        <v>44663</v>
      </c>
      <c r="L104" s="67">
        <f t="shared" si="2"/>
        <v>1</v>
      </c>
      <c r="M104" s="59" t="s">
        <v>4006</v>
      </c>
      <c r="N104" s="68" t="s">
        <v>26</v>
      </c>
      <c r="O104" s="55" t="s">
        <v>4007</v>
      </c>
      <c r="P104" s="55" t="s">
        <v>4008</v>
      </c>
      <c r="Q104" s="68" t="str">
        <f t="shared" si="3"/>
        <v>DENTRO DEL TIEMPO</v>
      </c>
      <c r="R104" s="6"/>
      <c r="S104" s="69"/>
    </row>
    <row r="105" spans="1:19" ht="48.75" x14ac:dyDescent="0.25">
      <c r="A105" s="63">
        <v>99</v>
      </c>
      <c r="B105" s="55" t="s">
        <v>4009</v>
      </c>
      <c r="C105" s="64">
        <v>44662</v>
      </c>
      <c r="D105" s="64">
        <v>44662</v>
      </c>
      <c r="E105" s="65">
        <v>2</v>
      </c>
      <c r="F105" s="24" t="s">
        <v>22</v>
      </c>
      <c r="G105" s="55" t="s">
        <v>30</v>
      </c>
      <c r="H105" s="55" t="s">
        <v>24</v>
      </c>
      <c r="I105" s="55" t="s">
        <v>30</v>
      </c>
      <c r="J105" s="66">
        <v>44663</v>
      </c>
      <c r="K105" s="66">
        <v>44663</v>
      </c>
      <c r="L105" s="67">
        <f t="shared" si="2"/>
        <v>1</v>
      </c>
      <c r="M105" s="59" t="s">
        <v>4010</v>
      </c>
      <c r="N105" s="68" t="s">
        <v>26</v>
      </c>
      <c r="O105" s="55" t="s">
        <v>4011</v>
      </c>
      <c r="P105" s="55" t="s">
        <v>4012</v>
      </c>
      <c r="Q105" s="68" t="str">
        <f t="shared" si="3"/>
        <v>DENTRO DEL TIEMPO</v>
      </c>
      <c r="R105" s="6"/>
      <c r="S105" s="69"/>
    </row>
    <row r="106" spans="1:19" ht="48.75" x14ac:dyDescent="0.25">
      <c r="A106" s="63">
        <v>100</v>
      </c>
      <c r="B106" s="55" t="s">
        <v>4013</v>
      </c>
      <c r="C106" s="64">
        <v>44662</v>
      </c>
      <c r="D106" s="64">
        <v>44662</v>
      </c>
      <c r="E106" s="65">
        <v>2</v>
      </c>
      <c r="F106" s="24" t="s">
        <v>22</v>
      </c>
      <c r="G106" s="55" t="s">
        <v>30</v>
      </c>
      <c r="H106" s="55" t="s">
        <v>24</v>
      </c>
      <c r="I106" s="55" t="s">
        <v>30</v>
      </c>
      <c r="J106" s="66">
        <v>44663</v>
      </c>
      <c r="K106" s="66">
        <v>44663</v>
      </c>
      <c r="L106" s="67">
        <f t="shared" si="2"/>
        <v>1</v>
      </c>
      <c r="M106" s="59" t="s">
        <v>4014</v>
      </c>
      <c r="N106" s="68" t="s">
        <v>26</v>
      </c>
      <c r="O106" s="55" t="s">
        <v>4015</v>
      </c>
      <c r="P106" s="55" t="s">
        <v>4016</v>
      </c>
      <c r="Q106" s="68" t="str">
        <f t="shared" si="3"/>
        <v>DENTRO DEL TIEMPO</v>
      </c>
      <c r="R106" s="6"/>
      <c r="S106" s="69"/>
    </row>
    <row r="107" spans="1:19" ht="48.75" x14ac:dyDescent="0.25">
      <c r="A107" s="63">
        <v>101</v>
      </c>
      <c r="B107" s="55" t="s">
        <v>4017</v>
      </c>
      <c r="C107" s="64">
        <v>44662</v>
      </c>
      <c r="D107" s="64">
        <v>44662</v>
      </c>
      <c r="E107" s="65">
        <v>2</v>
      </c>
      <c r="F107" s="24" t="s">
        <v>22</v>
      </c>
      <c r="G107" s="55" t="s">
        <v>30</v>
      </c>
      <c r="H107" s="55" t="s">
        <v>24</v>
      </c>
      <c r="I107" s="55" t="s">
        <v>30</v>
      </c>
      <c r="J107" s="66">
        <v>44663</v>
      </c>
      <c r="K107" s="66">
        <v>44663</v>
      </c>
      <c r="L107" s="67">
        <f t="shared" si="2"/>
        <v>1</v>
      </c>
      <c r="M107" s="59" t="s">
        <v>4018</v>
      </c>
      <c r="N107" s="68" t="s">
        <v>26</v>
      </c>
      <c r="O107" s="55" t="s">
        <v>4019</v>
      </c>
      <c r="P107" s="55" t="s">
        <v>4020</v>
      </c>
      <c r="Q107" s="68" t="str">
        <f t="shared" si="3"/>
        <v>DENTRO DEL TIEMPO</v>
      </c>
      <c r="R107" s="6"/>
      <c r="S107" s="69"/>
    </row>
    <row r="108" spans="1:19" ht="48.75" x14ac:dyDescent="0.25">
      <c r="A108" s="63">
        <v>102</v>
      </c>
      <c r="B108" s="55" t="s">
        <v>4021</v>
      </c>
      <c r="C108" s="64">
        <v>44663</v>
      </c>
      <c r="D108" s="64">
        <v>44663</v>
      </c>
      <c r="E108" s="65">
        <v>2</v>
      </c>
      <c r="F108" s="24" t="s">
        <v>22</v>
      </c>
      <c r="G108" s="55" t="s">
        <v>30</v>
      </c>
      <c r="H108" s="55" t="s">
        <v>24</v>
      </c>
      <c r="I108" s="55" t="s">
        <v>30</v>
      </c>
      <c r="J108" s="66">
        <v>44663</v>
      </c>
      <c r="K108" s="66">
        <v>44663</v>
      </c>
      <c r="L108" s="67">
        <f t="shared" si="2"/>
        <v>0</v>
      </c>
      <c r="M108" s="59" t="s">
        <v>4022</v>
      </c>
      <c r="N108" s="68" t="s">
        <v>26</v>
      </c>
      <c r="O108" s="55" t="s">
        <v>4023</v>
      </c>
      <c r="P108" s="55" t="s">
        <v>3832</v>
      </c>
      <c r="Q108" s="68" t="str">
        <f t="shared" si="3"/>
        <v>DENTRO DEL TIEMPO</v>
      </c>
      <c r="R108" s="6"/>
      <c r="S108" s="69"/>
    </row>
    <row r="109" spans="1:19" ht="48.75" x14ac:dyDescent="0.25">
      <c r="A109" s="63">
        <v>103</v>
      </c>
      <c r="B109" s="55" t="s">
        <v>4024</v>
      </c>
      <c r="C109" s="64">
        <v>44663</v>
      </c>
      <c r="D109" s="64">
        <v>44663</v>
      </c>
      <c r="E109" s="65">
        <v>2</v>
      </c>
      <c r="F109" s="24" t="s">
        <v>22</v>
      </c>
      <c r="G109" s="55" t="s">
        <v>30</v>
      </c>
      <c r="H109" s="55" t="s">
        <v>24</v>
      </c>
      <c r="I109" s="55" t="s">
        <v>30</v>
      </c>
      <c r="J109" s="66">
        <v>44670</v>
      </c>
      <c r="K109" s="66">
        <v>44670</v>
      </c>
      <c r="L109" s="67">
        <f t="shared" si="2"/>
        <v>5</v>
      </c>
      <c r="M109" s="59" t="s">
        <v>4025</v>
      </c>
      <c r="N109" s="68" t="s">
        <v>26</v>
      </c>
      <c r="O109" s="55" t="s">
        <v>4026</v>
      </c>
      <c r="P109" s="55" t="s">
        <v>4027</v>
      </c>
      <c r="Q109" s="68" t="str">
        <f t="shared" si="3"/>
        <v>DENTRO DEL TIEMPO</v>
      </c>
      <c r="R109" s="6"/>
      <c r="S109" s="69"/>
    </row>
    <row r="110" spans="1:19" ht="48.75" x14ac:dyDescent="0.25">
      <c r="A110" s="63">
        <v>104</v>
      </c>
      <c r="B110" s="55" t="s">
        <v>4028</v>
      </c>
      <c r="C110" s="64">
        <v>44663</v>
      </c>
      <c r="D110" s="64">
        <v>44663</v>
      </c>
      <c r="E110" s="65">
        <v>2</v>
      </c>
      <c r="F110" s="24" t="s">
        <v>22</v>
      </c>
      <c r="G110" s="55" t="s">
        <v>30</v>
      </c>
      <c r="H110" s="55" t="s">
        <v>24</v>
      </c>
      <c r="I110" s="55" t="s">
        <v>30</v>
      </c>
      <c r="J110" s="66">
        <v>44664</v>
      </c>
      <c r="K110" s="66">
        <v>44664</v>
      </c>
      <c r="L110" s="67">
        <f t="shared" si="2"/>
        <v>1</v>
      </c>
      <c r="M110" s="59" t="s">
        <v>4029</v>
      </c>
      <c r="N110" s="68" t="s">
        <v>26</v>
      </c>
      <c r="O110" s="55" t="s">
        <v>4026</v>
      </c>
      <c r="P110" s="55" t="s">
        <v>4027</v>
      </c>
      <c r="Q110" s="68" t="str">
        <f t="shared" si="3"/>
        <v>DENTRO DEL TIEMPO</v>
      </c>
      <c r="R110" s="6"/>
      <c r="S110" s="69"/>
    </row>
    <row r="111" spans="1:19" ht="48.75" x14ac:dyDescent="0.25">
      <c r="A111" s="63">
        <v>105</v>
      </c>
      <c r="B111" s="55" t="s">
        <v>4030</v>
      </c>
      <c r="C111" s="64">
        <v>44663</v>
      </c>
      <c r="D111" s="64">
        <v>44663</v>
      </c>
      <c r="E111" s="65">
        <v>2</v>
      </c>
      <c r="F111" s="24" t="s">
        <v>22</v>
      </c>
      <c r="G111" s="55" t="s">
        <v>23</v>
      </c>
      <c r="H111" s="55" t="s">
        <v>24</v>
      </c>
      <c r="I111" s="55" t="s">
        <v>23</v>
      </c>
      <c r="J111" s="66">
        <v>44670</v>
      </c>
      <c r="K111" s="66">
        <v>44670</v>
      </c>
      <c r="L111" s="67">
        <f t="shared" si="2"/>
        <v>5</v>
      </c>
      <c r="M111" s="59" t="s">
        <v>4031</v>
      </c>
      <c r="N111" s="68" t="s">
        <v>26</v>
      </c>
      <c r="O111" s="55" t="s">
        <v>4032</v>
      </c>
      <c r="P111" s="55" t="s">
        <v>4033</v>
      </c>
      <c r="Q111" s="68" t="str">
        <f t="shared" si="3"/>
        <v>DENTRO DEL TIEMPO</v>
      </c>
      <c r="R111" s="6"/>
      <c r="S111" s="69"/>
    </row>
    <row r="112" spans="1:19" ht="48.75" x14ac:dyDescent="0.25">
      <c r="A112" s="63">
        <v>106</v>
      </c>
      <c r="B112" s="55" t="s">
        <v>4034</v>
      </c>
      <c r="C112" s="64">
        <v>44663</v>
      </c>
      <c r="D112" s="64">
        <v>44663</v>
      </c>
      <c r="E112" s="65">
        <v>2</v>
      </c>
      <c r="F112" s="24" t="s">
        <v>22</v>
      </c>
      <c r="G112" s="55" t="s">
        <v>30</v>
      </c>
      <c r="H112" s="55" t="s">
        <v>24</v>
      </c>
      <c r="I112" s="55" t="s">
        <v>30</v>
      </c>
      <c r="J112" s="66">
        <v>44664</v>
      </c>
      <c r="K112" s="66">
        <v>44664</v>
      </c>
      <c r="L112" s="67">
        <f t="shared" si="2"/>
        <v>1</v>
      </c>
      <c r="M112" s="59" t="s">
        <v>4035</v>
      </c>
      <c r="N112" s="68" t="s">
        <v>26</v>
      </c>
      <c r="O112" s="55" t="s">
        <v>2333</v>
      </c>
      <c r="P112" s="55" t="s">
        <v>3941</v>
      </c>
      <c r="Q112" s="68" t="str">
        <f t="shared" si="3"/>
        <v>DENTRO DEL TIEMPO</v>
      </c>
      <c r="R112" s="6"/>
      <c r="S112" s="69"/>
    </row>
    <row r="113" spans="1:19" ht="48.75" x14ac:dyDescent="0.25">
      <c r="A113" s="63">
        <v>107</v>
      </c>
      <c r="B113" s="55" t="s">
        <v>4036</v>
      </c>
      <c r="C113" s="64">
        <v>44663</v>
      </c>
      <c r="D113" s="64">
        <v>44663</v>
      </c>
      <c r="E113" s="65">
        <v>2</v>
      </c>
      <c r="F113" s="24" t="s">
        <v>22</v>
      </c>
      <c r="G113" s="55" t="s">
        <v>30</v>
      </c>
      <c r="H113" s="55" t="s">
        <v>24</v>
      </c>
      <c r="I113" s="55" t="s">
        <v>30</v>
      </c>
      <c r="J113" s="66">
        <v>44664</v>
      </c>
      <c r="K113" s="66">
        <v>44664</v>
      </c>
      <c r="L113" s="67">
        <f t="shared" si="2"/>
        <v>1</v>
      </c>
      <c r="M113" s="59" t="s">
        <v>4037</v>
      </c>
      <c r="N113" s="68" t="s">
        <v>26</v>
      </c>
      <c r="O113" s="55" t="s">
        <v>4038</v>
      </c>
      <c r="P113" s="55" t="s">
        <v>4039</v>
      </c>
      <c r="Q113" s="68" t="str">
        <f t="shared" si="3"/>
        <v>DENTRO DEL TIEMPO</v>
      </c>
      <c r="R113" s="6"/>
      <c r="S113" s="69"/>
    </row>
    <row r="114" spans="1:19" ht="48.75" x14ac:dyDescent="0.25">
      <c r="A114" s="63">
        <v>108</v>
      </c>
      <c r="B114" s="55" t="s">
        <v>4040</v>
      </c>
      <c r="C114" s="64">
        <v>44663</v>
      </c>
      <c r="D114" s="64">
        <v>44663</v>
      </c>
      <c r="E114" s="65">
        <v>2</v>
      </c>
      <c r="F114" s="24" t="s">
        <v>22</v>
      </c>
      <c r="G114" s="55" t="s">
        <v>30</v>
      </c>
      <c r="H114" s="55" t="s">
        <v>24</v>
      </c>
      <c r="I114" s="55" t="s">
        <v>30</v>
      </c>
      <c r="J114" s="66">
        <v>44664</v>
      </c>
      <c r="K114" s="66">
        <v>44664</v>
      </c>
      <c r="L114" s="67">
        <f t="shared" si="2"/>
        <v>1</v>
      </c>
      <c r="M114" s="59" t="s">
        <v>4041</v>
      </c>
      <c r="N114" s="68" t="s">
        <v>26</v>
      </c>
      <c r="O114" s="55" t="s">
        <v>4042</v>
      </c>
      <c r="P114" s="55" t="s">
        <v>4043</v>
      </c>
      <c r="Q114" s="68" t="str">
        <f t="shared" si="3"/>
        <v>DENTRO DEL TIEMPO</v>
      </c>
      <c r="R114" s="6"/>
      <c r="S114" s="69"/>
    </row>
    <row r="115" spans="1:19" ht="48.75" x14ac:dyDescent="0.25">
      <c r="A115" s="63">
        <v>109</v>
      </c>
      <c r="B115" s="55" t="s">
        <v>4044</v>
      </c>
      <c r="C115" s="64">
        <v>44663</v>
      </c>
      <c r="D115" s="64">
        <v>44663</v>
      </c>
      <c r="E115" s="65">
        <v>2</v>
      </c>
      <c r="F115" s="24" t="s">
        <v>22</v>
      </c>
      <c r="G115" s="55" t="s">
        <v>30</v>
      </c>
      <c r="H115" s="55" t="s">
        <v>24</v>
      </c>
      <c r="I115" s="55" t="s">
        <v>30</v>
      </c>
      <c r="J115" s="66">
        <v>44664</v>
      </c>
      <c r="K115" s="66">
        <v>44664</v>
      </c>
      <c r="L115" s="67">
        <f t="shared" si="2"/>
        <v>1</v>
      </c>
      <c r="M115" s="59" t="s">
        <v>4045</v>
      </c>
      <c r="N115" s="68" t="s">
        <v>26</v>
      </c>
      <c r="O115" s="55" t="s">
        <v>4046</v>
      </c>
      <c r="P115" s="55" t="s">
        <v>4047</v>
      </c>
      <c r="Q115" s="68" t="str">
        <f t="shared" si="3"/>
        <v>DENTRO DEL TIEMPO</v>
      </c>
      <c r="R115" s="6"/>
      <c r="S115" s="69"/>
    </row>
    <row r="116" spans="1:19" ht="48.75" x14ac:dyDescent="0.25">
      <c r="A116" s="63">
        <v>110</v>
      </c>
      <c r="B116" s="55" t="s">
        <v>4048</v>
      </c>
      <c r="C116" s="64">
        <v>44663</v>
      </c>
      <c r="D116" s="64">
        <v>44663</v>
      </c>
      <c r="E116" s="65">
        <v>2</v>
      </c>
      <c r="F116" s="24" t="s">
        <v>22</v>
      </c>
      <c r="G116" s="55" t="s">
        <v>30</v>
      </c>
      <c r="H116" s="55" t="s">
        <v>24</v>
      </c>
      <c r="I116" s="55" t="s">
        <v>30</v>
      </c>
      <c r="J116" s="66">
        <v>44664</v>
      </c>
      <c r="K116" s="66">
        <v>44664</v>
      </c>
      <c r="L116" s="67">
        <f t="shared" si="2"/>
        <v>1</v>
      </c>
      <c r="M116" s="59" t="s">
        <v>4049</v>
      </c>
      <c r="N116" s="68" t="s">
        <v>26</v>
      </c>
      <c r="O116" s="55" t="s">
        <v>4050</v>
      </c>
      <c r="P116" s="55" t="s">
        <v>4051</v>
      </c>
      <c r="Q116" s="68" t="str">
        <f t="shared" si="3"/>
        <v>DENTRO DEL TIEMPO</v>
      </c>
      <c r="R116" s="6"/>
      <c r="S116" s="69"/>
    </row>
    <row r="117" spans="1:19" ht="48.75" x14ac:dyDescent="0.25">
      <c r="A117" s="63">
        <v>111</v>
      </c>
      <c r="B117" s="55" t="s">
        <v>4052</v>
      </c>
      <c r="C117" s="64">
        <v>44663</v>
      </c>
      <c r="D117" s="64">
        <v>44663</v>
      </c>
      <c r="E117" s="65">
        <v>2</v>
      </c>
      <c r="F117" s="24" t="s">
        <v>22</v>
      </c>
      <c r="G117" s="55" t="s">
        <v>30</v>
      </c>
      <c r="H117" s="55" t="s">
        <v>24</v>
      </c>
      <c r="I117" s="55" t="s">
        <v>30</v>
      </c>
      <c r="J117" s="66">
        <v>44664</v>
      </c>
      <c r="K117" s="66">
        <v>44664</v>
      </c>
      <c r="L117" s="67">
        <f t="shared" si="2"/>
        <v>1</v>
      </c>
      <c r="M117" s="59" t="s">
        <v>4053</v>
      </c>
      <c r="N117" s="68" t="s">
        <v>26</v>
      </c>
      <c r="O117" s="55" t="s">
        <v>4054</v>
      </c>
      <c r="P117" s="55" t="s">
        <v>4055</v>
      </c>
      <c r="Q117" s="68" t="str">
        <f t="shared" si="3"/>
        <v>DENTRO DEL TIEMPO</v>
      </c>
      <c r="R117" s="6"/>
      <c r="S117" s="69"/>
    </row>
    <row r="118" spans="1:19" ht="48.75" x14ac:dyDescent="0.25">
      <c r="A118" s="63">
        <v>112</v>
      </c>
      <c r="B118" s="55" t="s">
        <v>4056</v>
      </c>
      <c r="C118" s="64">
        <v>44664</v>
      </c>
      <c r="D118" s="64">
        <v>44664</v>
      </c>
      <c r="E118" s="65">
        <v>2</v>
      </c>
      <c r="F118" s="24" t="s">
        <v>22</v>
      </c>
      <c r="G118" s="55" t="s">
        <v>30</v>
      </c>
      <c r="H118" s="55" t="s">
        <v>24</v>
      </c>
      <c r="I118" s="55" t="s">
        <v>30</v>
      </c>
      <c r="J118" s="66">
        <v>44664</v>
      </c>
      <c r="K118" s="66">
        <v>44664</v>
      </c>
      <c r="L118" s="67">
        <f t="shared" si="2"/>
        <v>0</v>
      </c>
      <c r="M118" s="59" t="s">
        <v>4057</v>
      </c>
      <c r="N118" s="68" t="s">
        <v>26</v>
      </c>
      <c r="O118" s="55" t="s">
        <v>4058</v>
      </c>
      <c r="P118" s="55" t="s">
        <v>4059</v>
      </c>
      <c r="Q118" s="68" t="str">
        <f t="shared" si="3"/>
        <v>DENTRO DEL TIEMPO</v>
      </c>
      <c r="R118" s="6"/>
      <c r="S118" s="69"/>
    </row>
    <row r="119" spans="1:19" ht="48.75" x14ac:dyDescent="0.25">
      <c r="A119" s="63">
        <v>113</v>
      </c>
      <c r="B119" s="55" t="s">
        <v>4060</v>
      </c>
      <c r="C119" s="64">
        <v>44664</v>
      </c>
      <c r="D119" s="64">
        <v>44664</v>
      </c>
      <c r="E119" s="65">
        <v>2</v>
      </c>
      <c r="F119" s="24" t="s">
        <v>22</v>
      </c>
      <c r="G119" s="55" t="s">
        <v>30</v>
      </c>
      <c r="H119" s="55" t="s">
        <v>24</v>
      </c>
      <c r="I119" s="55" t="s">
        <v>30</v>
      </c>
      <c r="J119" s="66">
        <v>44664</v>
      </c>
      <c r="K119" s="66">
        <v>44664</v>
      </c>
      <c r="L119" s="67">
        <f t="shared" si="2"/>
        <v>0</v>
      </c>
      <c r="M119" s="59" t="s">
        <v>4061</v>
      </c>
      <c r="N119" s="68" t="s">
        <v>26</v>
      </c>
      <c r="O119" s="55" t="s">
        <v>3100</v>
      </c>
      <c r="P119" s="55" t="s">
        <v>4062</v>
      </c>
      <c r="Q119" s="68" t="str">
        <f t="shared" si="3"/>
        <v>DENTRO DEL TIEMPO</v>
      </c>
      <c r="R119" s="6"/>
      <c r="S119" s="69"/>
    </row>
    <row r="120" spans="1:19" ht="48.75" x14ac:dyDescent="0.25">
      <c r="A120" s="63">
        <v>114</v>
      </c>
      <c r="B120" s="55" t="s">
        <v>4063</v>
      </c>
      <c r="C120" s="64">
        <v>44664</v>
      </c>
      <c r="D120" s="64">
        <v>44664</v>
      </c>
      <c r="E120" s="65">
        <v>2</v>
      </c>
      <c r="F120" s="24" t="s">
        <v>22</v>
      </c>
      <c r="G120" s="55" t="s">
        <v>30</v>
      </c>
      <c r="H120" s="55" t="s">
        <v>24</v>
      </c>
      <c r="I120" s="55" t="s">
        <v>30</v>
      </c>
      <c r="J120" s="66">
        <v>44664</v>
      </c>
      <c r="K120" s="66">
        <v>44664</v>
      </c>
      <c r="L120" s="67">
        <f t="shared" si="2"/>
        <v>0</v>
      </c>
      <c r="M120" s="59" t="s">
        <v>4064</v>
      </c>
      <c r="N120" s="68" t="s">
        <v>26</v>
      </c>
      <c r="O120" s="55" t="s">
        <v>2583</v>
      </c>
      <c r="P120" s="55" t="s">
        <v>4065</v>
      </c>
      <c r="Q120" s="68" t="str">
        <f t="shared" si="3"/>
        <v>DENTRO DEL TIEMPO</v>
      </c>
      <c r="R120" s="6"/>
      <c r="S120" s="69"/>
    </row>
    <row r="121" spans="1:19" ht="48.75" x14ac:dyDescent="0.25">
      <c r="A121" s="63">
        <v>115</v>
      </c>
      <c r="B121" s="55" t="s">
        <v>4066</v>
      </c>
      <c r="C121" s="64">
        <v>44664</v>
      </c>
      <c r="D121" s="64">
        <v>44664</v>
      </c>
      <c r="E121" s="65">
        <v>2</v>
      </c>
      <c r="F121" s="24" t="s">
        <v>22</v>
      </c>
      <c r="G121" s="55" t="s">
        <v>30</v>
      </c>
      <c r="H121" s="55" t="s">
        <v>24</v>
      </c>
      <c r="I121" s="55" t="s">
        <v>30</v>
      </c>
      <c r="J121" s="66">
        <v>44664</v>
      </c>
      <c r="K121" s="66">
        <v>44664</v>
      </c>
      <c r="L121" s="67">
        <f t="shared" si="2"/>
        <v>0</v>
      </c>
      <c r="M121" s="59" t="s">
        <v>4067</v>
      </c>
      <c r="N121" s="68" t="s">
        <v>26</v>
      </c>
      <c r="O121" s="55" t="s">
        <v>4023</v>
      </c>
      <c r="P121" s="55" t="s">
        <v>4068</v>
      </c>
      <c r="Q121" s="68" t="str">
        <f t="shared" si="3"/>
        <v>DENTRO DEL TIEMPO</v>
      </c>
      <c r="R121" s="6"/>
      <c r="S121" s="69"/>
    </row>
    <row r="122" spans="1:19" ht="48.75" x14ac:dyDescent="0.25">
      <c r="A122" s="63">
        <v>116</v>
      </c>
      <c r="B122" s="55" t="s">
        <v>4069</v>
      </c>
      <c r="C122" s="64">
        <v>44664</v>
      </c>
      <c r="D122" s="64">
        <v>44664</v>
      </c>
      <c r="E122" s="65">
        <v>2</v>
      </c>
      <c r="F122" s="24" t="s">
        <v>22</v>
      </c>
      <c r="G122" s="55" t="s">
        <v>30</v>
      </c>
      <c r="H122" s="55" t="s">
        <v>24</v>
      </c>
      <c r="I122" s="55" t="s">
        <v>30</v>
      </c>
      <c r="J122" s="66">
        <v>44664</v>
      </c>
      <c r="K122" s="66">
        <v>44664</v>
      </c>
      <c r="L122" s="67">
        <f t="shared" si="2"/>
        <v>0</v>
      </c>
      <c r="M122" s="59" t="s">
        <v>4070</v>
      </c>
      <c r="N122" s="68" t="s">
        <v>26</v>
      </c>
      <c r="O122" s="55" t="s">
        <v>4071</v>
      </c>
      <c r="P122" s="55" t="s">
        <v>4072</v>
      </c>
      <c r="Q122" s="68" t="str">
        <f t="shared" si="3"/>
        <v>DENTRO DEL TIEMPO</v>
      </c>
      <c r="R122" s="6"/>
      <c r="S122" s="69"/>
    </row>
    <row r="123" spans="1:19" ht="48.75" x14ac:dyDescent="0.25">
      <c r="A123" s="63">
        <v>117</v>
      </c>
      <c r="B123" s="55" t="s">
        <v>4073</v>
      </c>
      <c r="C123" s="64">
        <v>44664</v>
      </c>
      <c r="D123" s="64">
        <v>44664</v>
      </c>
      <c r="E123" s="65">
        <v>35</v>
      </c>
      <c r="F123" s="24" t="s">
        <v>22</v>
      </c>
      <c r="G123" s="55" t="s">
        <v>23</v>
      </c>
      <c r="H123" s="55" t="s">
        <v>24</v>
      </c>
      <c r="I123" s="55" t="s">
        <v>23</v>
      </c>
      <c r="J123" s="66">
        <v>44664</v>
      </c>
      <c r="K123" s="66">
        <v>44664</v>
      </c>
      <c r="L123" s="67">
        <f t="shared" si="2"/>
        <v>0</v>
      </c>
      <c r="M123" s="59" t="s">
        <v>4074</v>
      </c>
      <c r="N123" s="68" t="s">
        <v>26</v>
      </c>
      <c r="O123" s="55" t="s">
        <v>2286</v>
      </c>
      <c r="P123" s="55" t="s">
        <v>4075</v>
      </c>
      <c r="Q123" s="68" t="str">
        <f t="shared" si="3"/>
        <v>DENTRO DEL TIEMPO</v>
      </c>
      <c r="R123" s="6"/>
      <c r="S123" s="69"/>
    </row>
    <row r="124" spans="1:19" ht="48.75" x14ac:dyDescent="0.25">
      <c r="A124" s="63">
        <v>118</v>
      </c>
      <c r="B124" s="55" t="s">
        <v>4076</v>
      </c>
      <c r="C124" s="64">
        <v>44664</v>
      </c>
      <c r="D124" s="64">
        <v>44664</v>
      </c>
      <c r="E124" s="65">
        <v>2</v>
      </c>
      <c r="F124" s="24" t="s">
        <v>22</v>
      </c>
      <c r="G124" s="55" t="s">
        <v>30</v>
      </c>
      <c r="H124" s="55" t="s">
        <v>24</v>
      </c>
      <c r="I124" s="55" t="s">
        <v>30</v>
      </c>
      <c r="J124" s="66">
        <v>44664</v>
      </c>
      <c r="K124" s="66">
        <v>44664</v>
      </c>
      <c r="L124" s="67">
        <f t="shared" si="2"/>
        <v>0</v>
      </c>
      <c r="M124" s="59" t="s">
        <v>4077</v>
      </c>
      <c r="N124" s="68" t="s">
        <v>26</v>
      </c>
      <c r="O124" s="55" t="s">
        <v>3080</v>
      </c>
      <c r="P124" s="55" t="s">
        <v>4078</v>
      </c>
      <c r="Q124" s="68" t="str">
        <f t="shared" si="3"/>
        <v>DENTRO DEL TIEMPO</v>
      </c>
      <c r="R124" s="6"/>
      <c r="S124" s="69"/>
    </row>
    <row r="125" spans="1:19" ht="48.75" x14ac:dyDescent="0.25">
      <c r="A125" s="63">
        <v>119</v>
      </c>
      <c r="B125" s="55" t="s">
        <v>4079</v>
      </c>
      <c r="C125" s="64">
        <v>44664</v>
      </c>
      <c r="D125" s="64">
        <v>44664</v>
      </c>
      <c r="E125" s="65">
        <v>2</v>
      </c>
      <c r="F125" s="24" t="s">
        <v>22</v>
      </c>
      <c r="G125" s="55" t="s">
        <v>30</v>
      </c>
      <c r="H125" s="55" t="s">
        <v>24</v>
      </c>
      <c r="I125" s="55" t="s">
        <v>30</v>
      </c>
      <c r="J125" s="66">
        <v>44664</v>
      </c>
      <c r="K125" s="66">
        <v>44664</v>
      </c>
      <c r="L125" s="67">
        <f t="shared" si="2"/>
        <v>0</v>
      </c>
      <c r="M125" s="59" t="s">
        <v>4080</v>
      </c>
      <c r="N125" s="68" t="s">
        <v>26</v>
      </c>
      <c r="O125" s="55" t="s">
        <v>2614</v>
      </c>
      <c r="P125" s="55" t="s">
        <v>4081</v>
      </c>
      <c r="Q125" s="68" t="str">
        <f t="shared" si="3"/>
        <v>DENTRO DEL TIEMPO</v>
      </c>
      <c r="R125" s="6"/>
      <c r="S125" s="69"/>
    </row>
    <row r="126" spans="1:19" ht="48.75" x14ac:dyDescent="0.25">
      <c r="A126" s="63">
        <v>120</v>
      </c>
      <c r="B126" s="55" t="s">
        <v>4082</v>
      </c>
      <c r="C126" s="64">
        <v>44664</v>
      </c>
      <c r="D126" s="64">
        <v>44664</v>
      </c>
      <c r="E126" s="65">
        <v>2</v>
      </c>
      <c r="F126" s="24" t="s">
        <v>22</v>
      </c>
      <c r="G126" s="55" t="s">
        <v>30</v>
      </c>
      <c r="H126" s="55" t="s">
        <v>24</v>
      </c>
      <c r="I126" s="55" t="s">
        <v>30</v>
      </c>
      <c r="J126" s="66">
        <v>44664</v>
      </c>
      <c r="K126" s="66">
        <v>44664</v>
      </c>
      <c r="L126" s="67">
        <f t="shared" si="2"/>
        <v>0</v>
      </c>
      <c r="M126" s="59" t="s">
        <v>4083</v>
      </c>
      <c r="N126" s="68" t="s">
        <v>26</v>
      </c>
      <c r="O126" s="55" t="s">
        <v>2320</v>
      </c>
      <c r="P126" s="55" t="s">
        <v>3816</v>
      </c>
      <c r="Q126" s="68" t="str">
        <f t="shared" si="3"/>
        <v>DENTRO DEL TIEMPO</v>
      </c>
      <c r="R126" s="6"/>
      <c r="S126" s="69"/>
    </row>
    <row r="127" spans="1:19" ht="48.75" x14ac:dyDescent="0.25">
      <c r="A127" s="63">
        <v>121</v>
      </c>
      <c r="B127" s="55" t="s">
        <v>4084</v>
      </c>
      <c r="C127" s="64">
        <v>44664</v>
      </c>
      <c r="D127" s="64">
        <v>44664</v>
      </c>
      <c r="E127" s="65">
        <v>2</v>
      </c>
      <c r="F127" s="24" t="s">
        <v>22</v>
      </c>
      <c r="G127" s="55" t="s">
        <v>30</v>
      </c>
      <c r="H127" s="55" t="s">
        <v>24</v>
      </c>
      <c r="I127" s="55" t="s">
        <v>30</v>
      </c>
      <c r="J127" s="66">
        <v>44664</v>
      </c>
      <c r="K127" s="66">
        <v>44664</v>
      </c>
      <c r="L127" s="67">
        <f t="shared" si="2"/>
        <v>0</v>
      </c>
      <c r="M127" s="59" t="s">
        <v>4085</v>
      </c>
      <c r="N127" s="68" t="s">
        <v>26</v>
      </c>
      <c r="O127" s="55" t="s">
        <v>2320</v>
      </c>
      <c r="P127" s="55" t="s">
        <v>3816</v>
      </c>
      <c r="Q127" s="68" t="str">
        <f t="shared" si="3"/>
        <v>DENTRO DEL TIEMPO</v>
      </c>
      <c r="R127" s="6"/>
      <c r="S127" s="69"/>
    </row>
    <row r="128" spans="1:19" ht="48.75" x14ac:dyDescent="0.25">
      <c r="A128" s="63">
        <v>122</v>
      </c>
      <c r="B128" s="55" t="s">
        <v>4086</v>
      </c>
      <c r="C128" s="64">
        <v>44664</v>
      </c>
      <c r="D128" s="64">
        <v>44664</v>
      </c>
      <c r="E128" s="65">
        <v>2</v>
      </c>
      <c r="F128" s="24" t="s">
        <v>22</v>
      </c>
      <c r="G128" s="55" t="s">
        <v>30</v>
      </c>
      <c r="H128" s="55" t="s">
        <v>24</v>
      </c>
      <c r="I128" s="55" t="s">
        <v>30</v>
      </c>
      <c r="J128" s="66">
        <v>44664</v>
      </c>
      <c r="K128" s="66">
        <v>44664</v>
      </c>
      <c r="L128" s="67">
        <f t="shared" si="2"/>
        <v>0</v>
      </c>
      <c r="M128" s="59" t="s">
        <v>4087</v>
      </c>
      <c r="N128" s="68" t="s">
        <v>26</v>
      </c>
      <c r="O128" s="55" t="s">
        <v>2333</v>
      </c>
      <c r="P128" s="55" t="s">
        <v>3816</v>
      </c>
      <c r="Q128" s="68" t="str">
        <f t="shared" si="3"/>
        <v>DENTRO DEL TIEMPO</v>
      </c>
      <c r="R128" s="6"/>
      <c r="S128" s="69"/>
    </row>
    <row r="129" spans="1:19" ht="48.75" x14ac:dyDescent="0.25">
      <c r="A129" s="63">
        <v>123</v>
      </c>
      <c r="B129" s="55" t="s">
        <v>4088</v>
      </c>
      <c r="C129" s="64">
        <v>44664</v>
      </c>
      <c r="D129" s="64">
        <v>44664</v>
      </c>
      <c r="E129" s="65">
        <v>2</v>
      </c>
      <c r="F129" s="24" t="s">
        <v>22</v>
      </c>
      <c r="G129" s="55" t="s">
        <v>30</v>
      </c>
      <c r="H129" s="55" t="s">
        <v>24</v>
      </c>
      <c r="I129" s="55" t="s">
        <v>30</v>
      </c>
      <c r="J129" s="66">
        <v>44664</v>
      </c>
      <c r="K129" s="66">
        <v>44664</v>
      </c>
      <c r="L129" s="67">
        <f t="shared" si="2"/>
        <v>0</v>
      </c>
      <c r="M129" s="59" t="s">
        <v>4089</v>
      </c>
      <c r="N129" s="68" t="s">
        <v>26</v>
      </c>
      <c r="O129" s="55" t="s">
        <v>2320</v>
      </c>
      <c r="P129" s="55" t="s">
        <v>3816</v>
      </c>
      <c r="Q129" s="68" t="str">
        <f t="shared" si="3"/>
        <v>DENTRO DEL TIEMPO</v>
      </c>
      <c r="R129" s="6"/>
      <c r="S129" s="69"/>
    </row>
    <row r="130" spans="1:19" ht="48.75" x14ac:dyDescent="0.25">
      <c r="A130" s="63">
        <v>124</v>
      </c>
      <c r="B130" s="55" t="s">
        <v>4090</v>
      </c>
      <c r="C130" s="64">
        <v>44664</v>
      </c>
      <c r="D130" s="64">
        <v>44664</v>
      </c>
      <c r="E130" s="65">
        <v>2</v>
      </c>
      <c r="F130" s="24" t="s">
        <v>22</v>
      </c>
      <c r="G130" s="55" t="s">
        <v>30</v>
      </c>
      <c r="H130" s="55" t="s">
        <v>24</v>
      </c>
      <c r="I130" s="55" t="s">
        <v>30</v>
      </c>
      <c r="J130" s="66">
        <v>44669</v>
      </c>
      <c r="K130" s="66">
        <v>44669</v>
      </c>
      <c r="L130" s="67">
        <f t="shared" si="2"/>
        <v>3</v>
      </c>
      <c r="M130" s="59" t="s">
        <v>4091</v>
      </c>
      <c r="N130" s="68" t="s">
        <v>26</v>
      </c>
      <c r="O130" s="55" t="s">
        <v>2614</v>
      </c>
      <c r="P130" s="55" t="s">
        <v>3816</v>
      </c>
      <c r="Q130" s="68" t="str">
        <f t="shared" si="3"/>
        <v>DENTRO DEL TIEMPO</v>
      </c>
      <c r="R130" s="6"/>
      <c r="S130" s="69"/>
    </row>
    <row r="131" spans="1:19" ht="48.75" x14ac:dyDescent="0.25">
      <c r="A131" s="63">
        <v>125</v>
      </c>
      <c r="B131" s="55" t="s">
        <v>4092</v>
      </c>
      <c r="C131" s="64">
        <v>44664</v>
      </c>
      <c r="D131" s="64">
        <v>44664</v>
      </c>
      <c r="E131" s="65">
        <v>2</v>
      </c>
      <c r="F131" s="24" t="s">
        <v>22</v>
      </c>
      <c r="G131" s="55" t="s">
        <v>30</v>
      </c>
      <c r="H131" s="55" t="s">
        <v>24</v>
      </c>
      <c r="I131" s="55" t="s">
        <v>30</v>
      </c>
      <c r="J131" s="66">
        <v>44669</v>
      </c>
      <c r="K131" s="66">
        <v>44669</v>
      </c>
      <c r="L131" s="67">
        <f t="shared" si="2"/>
        <v>3</v>
      </c>
      <c r="M131" s="59" t="s">
        <v>4093</v>
      </c>
      <c r="N131" s="68" t="s">
        <v>26</v>
      </c>
      <c r="O131" s="55" t="s">
        <v>2333</v>
      </c>
      <c r="P131" s="55" t="s">
        <v>3816</v>
      </c>
      <c r="Q131" s="68" t="str">
        <f t="shared" si="3"/>
        <v>DENTRO DEL TIEMPO</v>
      </c>
      <c r="R131" s="6"/>
      <c r="S131" s="69"/>
    </row>
    <row r="132" spans="1:19" ht="48.75" x14ac:dyDescent="0.25">
      <c r="A132" s="63">
        <v>126</v>
      </c>
      <c r="B132" s="55" t="s">
        <v>4094</v>
      </c>
      <c r="C132" s="64">
        <v>44664</v>
      </c>
      <c r="D132" s="64">
        <v>44664</v>
      </c>
      <c r="E132" s="65">
        <v>2</v>
      </c>
      <c r="F132" s="24" t="s">
        <v>22</v>
      </c>
      <c r="G132" s="55" t="s">
        <v>30</v>
      </c>
      <c r="H132" s="55" t="s">
        <v>24</v>
      </c>
      <c r="I132" s="55" t="s">
        <v>30</v>
      </c>
      <c r="J132" s="66">
        <v>44669</v>
      </c>
      <c r="K132" s="66">
        <v>44669</v>
      </c>
      <c r="L132" s="67">
        <f t="shared" si="2"/>
        <v>3</v>
      </c>
      <c r="M132" s="59" t="s">
        <v>4095</v>
      </c>
      <c r="N132" s="68" t="s">
        <v>26</v>
      </c>
      <c r="O132" s="55" t="s">
        <v>4096</v>
      </c>
      <c r="P132" s="55" t="s">
        <v>4097</v>
      </c>
      <c r="Q132" s="68" t="str">
        <f t="shared" si="3"/>
        <v>DENTRO DEL TIEMPO</v>
      </c>
      <c r="R132" s="6"/>
      <c r="S132" s="69"/>
    </row>
    <row r="133" spans="1:19" ht="48.75" x14ac:dyDescent="0.25">
      <c r="A133" s="63">
        <v>127</v>
      </c>
      <c r="B133" s="55" t="s">
        <v>4098</v>
      </c>
      <c r="C133" s="64">
        <v>44664</v>
      </c>
      <c r="D133" s="64">
        <v>44664</v>
      </c>
      <c r="E133" s="65">
        <v>2</v>
      </c>
      <c r="F133" s="24" t="s">
        <v>22</v>
      </c>
      <c r="G133" s="55" t="s">
        <v>30</v>
      </c>
      <c r="H133" s="55" t="s">
        <v>24</v>
      </c>
      <c r="I133" s="55" t="s">
        <v>30</v>
      </c>
      <c r="J133" s="66">
        <v>44669</v>
      </c>
      <c r="K133" s="66">
        <v>44669</v>
      </c>
      <c r="L133" s="67">
        <f t="shared" si="2"/>
        <v>3</v>
      </c>
      <c r="M133" s="59" t="s">
        <v>4099</v>
      </c>
      <c r="N133" s="68" t="s">
        <v>26</v>
      </c>
      <c r="O133" s="55" t="s">
        <v>4100</v>
      </c>
      <c r="P133" s="55" t="s">
        <v>4101</v>
      </c>
      <c r="Q133" s="68" t="str">
        <f t="shared" si="3"/>
        <v>DENTRO DEL TIEMPO</v>
      </c>
      <c r="R133" s="6"/>
      <c r="S133" s="69"/>
    </row>
    <row r="134" spans="1:19" ht="48.75" x14ac:dyDescent="0.25">
      <c r="A134" s="63">
        <v>128</v>
      </c>
      <c r="B134" s="55" t="s">
        <v>4102</v>
      </c>
      <c r="C134" s="64">
        <v>44664</v>
      </c>
      <c r="D134" s="64">
        <v>44664</v>
      </c>
      <c r="E134" s="65">
        <v>2</v>
      </c>
      <c r="F134" s="24" t="s">
        <v>22</v>
      </c>
      <c r="G134" s="55" t="s">
        <v>30</v>
      </c>
      <c r="H134" s="55" t="s">
        <v>24</v>
      </c>
      <c r="I134" s="55" t="s">
        <v>30</v>
      </c>
      <c r="J134" s="66">
        <v>44669</v>
      </c>
      <c r="K134" s="66">
        <v>44669</v>
      </c>
      <c r="L134" s="67">
        <f t="shared" si="2"/>
        <v>3</v>
      </c>
      <c r="M134" s="59" t="s">
        <v>4103</v>
      </c>
      <c r="N134" s="68" t="s">
        <v>26</v>
      </c>
      <c r="O134" s="55" t="s">
        <v>4104</v>
      </c>
      <c r="P134" s="55" t="s">
        <v>4105</v>
      </c>
      <c r="Q134" s="68" t="str">
        <f t="shared" si="3"/>
        <v>DENTRO DEL TIEMPO</v>
      </c>
      <c r="R134" s="6"/>
      <c r="S134" s="69"/>
    </row>
    <row r="135" spans="1:19" ht="48.75" x14ac:dyDescent="0.25">
      <c r="A135" s="63">
        <v>129</v>
      </c>
      <c r="B135" s="55" t="s">
        <v>4106</v>
      </c>
      <c r="C135" s="64">
        <v>44664</v>
      </c>
      <c r="D135" s="64">
        <v>44664</v>
      </c>
      <c r="E135" s="65">
        <v>2</v>
      </c>
      <c r="F135" s="24" t="s">
        <v>22</v>
      </c>
      <c r="G135" s="55" t="s">
        <v>30</v>
      </c>
      <c r="H135" s="55" t="s">
        <v>24</v>
      </c>
      <c r="I135" s="55" t="s">
        <v>30</v>
      </c>
      <c r="J135" s="66">
        <v>44669</v>
      </c>
      <c r="K135" s="66">
        <v>44669</v>
      </c>
      <c r="L135" s="67">
        <f t="shared" si="2"/>
        <v>3</v>
      </c>
      <c r="M135" s="59" t="s">
        <v>4107</v>
      </c>
      <c r="N135" s="68" t="s">
        <v>26</v>
      </c>
      <c r="O135" s="55" t="s">
        <v>4108</v>
      </c>
      <c r="P135" s="55" t="s">
        <v>4109</v>
      </c>
      <c r="Q135" s="68" t="str">
        <f t="shared" si="3"/>
        <v>DENTRO DEL TIEMPO</v>
      </c>
      <c r="R135" s="6"/>
      <c r="S135" s="69"/>
    </row>
    <row r="136" spans="1:19" ht="48.75" x14ac:dyDescent="0.25">
      <c r="A136" s="63">
        <v>130</v>
      </c>
      <c r="B136" s="55" t="s">
        <v>4110</v>
      </c>
      <c r="C136" s="64">
        <v>44664</v>
      </c>
      <c r="D136" s="64">
        <v>44664</v>
      </c>
      <c r="E136" s="65">
        <v>2</v>
      </c>
      <c r="F136" s="24" t="s">
        <v>22</v>
      </c>
      <c r="G136" s="55" t="s">
        <v>30</v>
      </c>
      <c r="H136" s="55" t="s">
        <v>24</v>
      </c>
      <c r="I136" s="55" t="s">
        <v>30</v>
      </c>
      <c r="J136" s="66">
        <v>44669</v>
      </c>
      <c r="K136" s="66">
        <v>44669</v>
      </c>
      <c r="L136" s="67">
        <f t="shared" ref="L136:L199" si="4">+NETWORKDAYS(D136,K136,$R$7:$R$10)-1</f>
        <v>3</v>
      </c>
      <c r="M136" s="59" t="s">
        <v>4111</v>
      </c>
      <c r="N136" s="68" t="s">
        <v>26</v>
      </c>
      <c r="O136" s="55" t="s">
        <v>3911</v>
      </c>
      <c r="P136" s="55" t="s">
        <v>4112</v>
      </c>
      <c r="Q136" s="68" t="str">
        <f t="shared" ref="Q136:Q199" si="5">IF(L136&gt;15,"FUERA DE TIEMPO","DENTRO DEL TIEMPO")</f>
        <v>DENTRO DEL TIEMPO</v>
      </c>
      <c r="R136" s="6"/>
      <c r="S136" s="69"/>
    </row>
    <row r="137" spans="1:19" ht="48.75" x14ac:dyDescent="0.25">
      <c r="A137" s="63">
        <v>131</v>
      </c>
      <c r="B137" s="55" t="s">
        <v>4113</v>
      </c>
      <c r="C137" s="64">
        <v>44664</v>
      </c>
      <c r="D137" s="64">
        <v>44664</v>
      </c>
      <c r="E137" s="65">
        <v>2</v>
      </c>
      <c r="F137" s="24" t="s">
        <v>22</v>
      </c>
      <c r="G137" s="55" t="s">
        <v>30</v>
      </c>
      <c r="H137" s="55" t="s">
        <v>24</v>
      </c>
      <c r="I137" s="55" t="s">
        <v>30</v>
      </c>
      <c r="J137" s="66">
        <v>44669</v>
      </c>
      <c r="K137" s="66">
        <v>44669</v>
      </c>
      <c r="L137" s="67">
        <f t="shared" si="4"/>
        <v>3</v>
      </c>
      <c r="M137" s="59" t="s">
        <v>4114</v>
      </c>
      <c r="N137" s="68" t="s">
        <v>26</v>
      </c>
      <c r="O137" s="55" t="s">
        <v>2614</v>
      </c>
      <c r="P137" s="55" t="s">
        <v>4109</v>
      </c>
      <c r="Q137" s="68" t="str">
        <f t="shared" si="5"/>
        <v>DENTRO DEL TIEMPO</v>
      </c>
      <c r="R137" s="6"/>
      <c r="S137" s="69"/>
    </row>
    <row r="138" spans="1:19" ht="48.75" x14ac:dyDescent="0.25">
      <c r="A138" s="63">
        <v>132</v>
      </c>
      <c r="B138" s="55" t="s">
        <v>4115</v>
      </c>
      <c r="C138" s="64">
        <v>44664</v>
      </c>
      <c r="D138" s="64">
        <v>44664</v>
      </c>
      <c r="E138" s="65">
        <v>2</v>
      </c>
      <c r="F138" s="24" t="s">
        <v>22</v>
      </c>
      <c r="G138" s="55" t="s">
        <v>30</v>
      </c>
      <c r="H138" s="55" t="s">
        <v>24</v>
      </c>
      <c r="I138" s="55" t="s">
        <v>30</v>
      </c>
      <c r="J138" s="66">
        <v>44669</v>
      </c>
      <c r="K138" s="66">
        <v>44669</v>
      </c>
      <c r="L138" s="67">
        <f t="shared" si="4"/>
        <v>3</v>
      </c>
      <c r="M138" s="59" t="s">
        <v>4116</v>
      </c>
      <c r="N138" s="68" t="s">
        <v>26</v>
      </c>
      <c r="O138" s="55" t="s">
        <v>2614</v>
      </c>
      <c r="P138" s="55" t="s">
        <v>4109</v>
      </c>
      <c r="Q138" s="68" t="str">
        <f t="shared" si="5"/>
        <v>DENTRO DEL TIEMPO</v>
      </c>
      <c r="R138" s="6"/>
      <c r="S138" s="69"/>
    </row>
    <row r="139" spans="1:19" ht="29.25" hidden="1" x14ac:dyDescent="0.25">
      <c r="A139" s="63">
        <v>133</v>
      </c>
      <c r="B139" s="59" t="s">
        <v>4117</v>
      </c>
      <c r="C139" s="64">
        <v>44664</v>
      </c>
      <c r="D139" s="64">
        <v>44664</v>
      </c>
      <c r="E139" s="65">
        <v>0</v>
      </c>
      <c r="F139" s="24" t="s">
        <v>790</v>
      </c>
      <c r="G139" s="55" t="s">
        <v>4118</v>
      </c>
      <c r="H139" s="55" t="s">
        <v>2592</v>
      </c>
      <c r="I139" s="55" t="s">
        <v>4118</v>
      </c>
      <c r="J139" s="66"/>
      <c r="K139" s="66"/>
      <c r="L139" s="67">
        <f t="shared" si="4"/>
        <v>-31904</v>
      </c>
      <c r="M139" s="6"/>
      <c r="N139" s="68" t="s">
        <v>26</v>
      </c>
      <c r="O139" s="55" t="s">
        <v>4119</v>
      </c>
      <c r="P139" s="55" t="s">
        <v>3763</v>
      </c>
      <c r="Q139" s="68" t="str">
        <f t="shared" si="5"/>
        <v>DENTRO DEL TIEMPO</v>
      </c>
      <c r="R139" s="6"/>
      <c r="S139" s="69"/>
    </row>
    <row r="140" spans="1:19" ht="48.75" x14ac:dyDescent="0.25">
      <c r="A140" s="63">
        <v>134</v>
      </c>
      <c r="B140" s="55" t="s">
        <v>4120</v>
      </c>
      <c r="C140" s="64">
        <v>44664</v>
      </c>
      <c r="D140" s="64">
        <v>44664</v>
      </c>
      <c r="E140" s="65">
        <v>2</v>
      </c>
      <c r="F140" s="24" t="s">
        <v>22</v>
      </c>
      <c r="G140" s="55" t="s">
        <v>30</v>
      </c>
      <c r="H140" s="55" t="s">
        <v>24</v>
      </c>
      <c r="I140" s="55" t="s">
        <v>30</v>
      </c>
      <c r="J140" s="66">
        <v>44669</v>
      </c>
      <c r="K140" s="66">
        <v>44669</v>
      </c>
      <c r="L140" s="67">
        <f t="shared" si="4"/>
        <v>3</v>
      </c>
      <c r="M140" s="59" t="s">
        <v>4121</v>
      </c>
      <c r="N140" s="68" t="s">
        <v>26</v>
      </c>
      <c r="O140" s="55" t="s">
        <v>2434</v>
      </c>
      <c r="P140" s="55" t="s">
        <v>4122</v>
      </c>
      <c r="Q140" s="68" t="str">
        <f t="shared" si="5"/>
        <v>DENTRO DEL TIEMPO</v>
      </c>
      <c r="R140" s="6"/>
      <c r="S140" s="69"/>
    </row>
    <row r="141" spans="1:19" ht="48.75" x14ac:dyDescent="0.25">
      <c r="A141" s="63">
        <v>135</v>
      </c>
      <c r="B141" s="55" t="s">
        <v>4123</v>
      </c>
      <c r="C141" s="64">
        <v>44664</v>
      </c>
      <c r="D141" s="64">
        <v>44664</v>
      </c>
      <c r="E141" s="65">
        <v>2</v>
      </c>
      <c r="F141" s="24" t="s">
        <v>22</v>
      </c>
      <c r="G141" s="55" t="s">
        <v>30</v>
      </c>
      <c r="H141" s="55" t="s">
        <v>24</v>
      </c>
      <c r="I141" s="55" t="s">
        <v>30</v>
      </c>
      <c r="J141" s="66">
        <v>44669</v>
      </c>
      <c r="K141" s="66">
        <v>44669</v>
      </c>
      <c r="L141" s="67">
        <f t="shared" si="4"/>
        <v>3</v>
      </c>
      <c r="M141" s="59" t="s">
        <v>4124</v>
      </c>
      <c r="N141" s="68" t="s">
        <v>26</v>
      </c>
      <c r="O141" s="55" t="s">
        <v>2275</v>
      </c>
      <c r="P141" s="55" t="s">
        <v>4122</v>
      </c>
      <c r="Q141" s="68" t="str">
        <f t="shared" si="5"/>
        <v>DENTRO DEL TIEMPO</v>
      </c>
      <c r="R141" s="6"/>
      <c r="S141" s="69"/>
    </row>
    <row r="142" spans="1:19" ht="48.75" x14ac:dyDescent="0.25">
      <c r="A142" s="63">
        <v>136</v>
      </c>
      <c r="B142" s="55" t="s">
        <v>4125</v>
      </c>
      <c r="C142" s="64">
        <v>44664</v>
      </c>
      <c r="D142" s="64">
        <v>44664</v>
      </c>
      <c r="E142" s="65">
        <v>2</v>
      </c>
      <c r="F142" s="24" t="s">
        <v>22</v>
      </c>
      <c r="G142" s="55" t="s">
        <v>30</v>
      </c>
      <c r="H142" s="55" t="s">
        <v>24</v>
      </c>
      <c r="I142" s="55" t="s">
        <v>30</v>
      </c>
      <c r="J142" s="66">
        <v>44669</v>
      </c>
      <c r="K142" s="66">
        <v>44669</v>
      </c>
      <c r="L142" s="67">
        <f t="shared" si="4"/>
        <v>3</v>
      </c>
      <c r="M142" s="59" t="s">
        <v>4126</v>
      </c>
      <c r="N142" s="68" t="s">
        <v>26</v>
      </c>
      <c r="O142" s="55" t="s">
        <v>4100</v>
      </c>
      <c r="P142" s="55" t="s">
        <v>4101</v>
      </c>
      <c r="Q142" s="68" t="str">
        <f t="shared" si="5"/>
        <v>DENTRO DEL TIEMPO</v>
      </c>
      <c r="R142" s="6"/>
      <c r="S142" s="69"/>
    </row>
    <row r="143" spans="1:19" ht="48.75" x14ac:dyDescent="0.25">
      <c r="A143" s="63">
        <v>137</v>
      </c>
      <c r="B143" s="55" t="s">
        <v>4127</v>
      </c>
      <c r="C143" s="64">
        <v>44664</v>
      </c>
      <c r="D143" s="64">
        <v>44664</v>
      </c>
      <c r="E143" s="65">
        <v>2</v>
      </c>
      <c r="F143" s="24" t="s">
        <v>22</v>
      </c>
      <c r="G143" s="55" t="s">
        <v>30</v>
      </c>
      <c r="H143" s="55" t="s">
        <v>24</v>
      </c>
      <c r="I143" s="55" t="s">
        <v>30</v>
      </c>
      <c r="J143" s="66">
        <v>44669</v>
      </c>
      <c r="K143" s="66">
        <v>44669</v>
      </c>
      <c r="L143" s="67">
        <f t="shared" si="4"/>
        <v>3</v>
      </c>
      <c r="M143" s="59" t="s">
        <v>4128</v>
      </c>
      <c r="N143" s="68" t="s">
        <v>26</v>
      </c>
      <c r="O143" s="55" t="s">
        <v>4129</v>
      </c>
      <c r="P143" s="55" t="s">
        <v>4130</v>
      </c>
      <c r="Q143" s="68" t="str">
        <f t="shared" si="5"/>
        <v>DENTRO DEL TIEMPO</v>
      </c>
      <c r="R143" s="6"/>
      <c r="S143" s="69"/>
    </row>
    <row r="144" spans="1:19" ht="48.75" x14ac:dyDescent="0.25">
      <c r="A144" s="63">
        <v>138</v>
      </c>
      <c r="B144" s="55" t="s">
        <v>4131</v>
      </c>
      <c r="C144" s="64">
        <v>44665</v>
      </c>
      <c r="D144" s="64">
        <v>44665</v>
      </c>
      <c r="E144" s="65">
        <v>68</v>
      </c>
      <c r="F144" s="24" t="s">
        <v>22</v>
      </c>
      <c r="G144" s="55" t="s">
        <v>23</v>
      </c>
      <c r="H144" s="55" t="s">
        <v>24</v>
      </c>
      <c r="I144" s="55" t="s">
        <v>23</v>
      </c>
      <c r="J144" s="66">
        <v>44669</v>
      </c>
      <c r="K144" s="66">
        <v>44669</v>
      </c>
      <c r="L144" s="67">
        <f t="shared" si="4"/>
        <v>2</v>
      </c>
      <c r="M144" s="59" t="s">
        <v>4132</v>
      </c>
      <c r="N144" s="68" t="s">
        <v>26</v>
      </c>
      <c r="O144" s="55" t="s">
        <v>4133</v>
      </c>
      <c r="P144" s="55" t="s">
        <v>4134</v>
      </c>
      <c r="Q144" s="68" t="str">
        <f t="shared" si="5"/>
        <v>DENTRO DEL TIEMPO</v>
      </c>
      <c r="R144" s="6"/>
      <c r="S144" s="69"/>
    </row>
    <row r="145" spans="1:19" ht="48.75" x14ac:dyDescent="0.25">
      <c r="A145" s="63">
        <v>139</v>
      </c>
      <c r="B145" s="55" t="s">
        <v>4135</v>
      </c>
      <c r="C145" s="64">
        <v>44665</v>
      </c>
      <c r="D145" s="64">
        <v>44665</v>
      </c>
      <c r="E145" s="65">
        <v>32</v>
      </c>
      <c r="F145" s="24" t="s">
        <v>22</v>
      </c>
      <c r="G145" s="55" t="s">
        <v>23</v>
      </c>
      <c r="H145" s="55" t="s">
        <v>24</v>
      </c>
      <c r="I145" s="55" t="s">
        <v>23</v>
      </c>
      <c r="J145" s="66">
        <v>44669</v>
      </c>
      <c r="K145" s="66">
        <v>44669</v>
      </c>
      <c r="L145" s="67">
        <f t="shared" si="4"/>
        <v>2</v>
      </c>
      <c r="M145" s="59" t="s">
        <v>4132</v>
      </c>
      <c r="N145" s="68" t="s">
        <v>26</v>
      </c>
      <c r="O145" s="55" t="s">
        <v>2282</v>
      </c>
      <c r="P145" s="55" t="s">
        <v>4136</v>
      </c>
      <c r="Q145" s="68" t="str">
        <f t="shared" si="5"/>
        <v>DENTRO DEL TIEMPO</v>
      </c>
      <c r="R145" s="6"/>
      <c r="S145" s="69"/>
    </row>
    <row r="146" spans="1:19" ht="48.75" x14ac:dyDescent="0.25">
      <c r="A146" s="63">
        <v>140</v>
      </c>
      <c r="B146" s="55" t="s">
        <v>4137</v>
      </c>
      <c r="C146" s="64">
        <v>44665</v>
      </c>
      <c r="D146" s="64">
        <v>44665</v>
      </c>
      <c r="E146" s="65">
        <v>2</v>
      </c>
      <c r="F146" s="24" t="s">
        <v>22</v>
      </c>
      <c r="G146" s="55" t="s">
        <v>30</v>
      </c>
      <c r="H146" s="55" t="s">
        <v>24</v>
      </c>
      <c r="I146" s="55" t="s">
        <v>30</v>
      </c>
      <c r="J146" s="66">
        <v>44669</v>
      </c>
      <c r="K146" s="66">
        <v>44669</v>
      </c>
      <c r="L146" s="67">
        <f t="shared" si="4"/>
        <v>2</v>
      </c>
      <c r="M146" s="59" t="s">
        <v>4138</v>
      </c>
      <c r="N146" s="68" t="s">
        <v>26</v>
      </c>
      <c r="O146" s="55" t="s">
        <v>4139</v>
      </c>
      <c r="P146" s="55" t="s">
        <v>4140</v>
      </c>
      <c r="Q146" s="68" t="str">
        <f t="shared" si="5"/>
        <v>DENTRO DEL TIEMPO</v>
      </c>
      <c r="R146" s="6"/>
      <c r="S146" s="69"/>
    </row>
    <row r="147" spans="1:19" ht="48.75" x14ac:dyDescent="0.25">
      <c r="A147" s="63">
        <v>141</v>
      </c>
      <c r="B147" s="55" t="s">
        <v>4141</v>
      </c>
      <c r="C147" s="64">
        <v>44665</v>
      </c>
      <c r="D147" s="64">
        <v>44665</v>
      </c>
      <c r="E147" s="65">
        <v>2</v>
      </c>
      <c r="F147" s="24" t="s">
        <v>22</v>
      </c>
      <c r="G147" s="55" t="s">
        <v>30</v>
      </c>
      <c r="H147" s="55" t="s">
        <v>24</v>
      </c>
      <c r="I147" s="55" t="s">
        <v>30</v>
      </c>
      <c r="J147" s="66">
        <v>44669</v>
      </c>
      <c r="K147" s="66">
        <v>44669</v>
      </c>
      <c r="L147" s="67">
        <f t="shared" si="4"/>
        <v>2</v>
      </c>
      <c r="M147" s="59" t="s">
        <v>4142</v>
      </c>
      <c r="N147" s="68" t="s">
        <v>26</v>
      </c>
      <c r="O147" s="55" t="s">
        <v>4143</v>
      </c>
      <c r="P147" s="55" t="s">
        <v>4144</v>
      </c>
      <c r="Q147" s="68" t="str">
        <f t="shared" si="5"/>
        <v>DENTRO DEL TIEMPO</v>
      </c>
      <c r="R147" s="6"/>
      <c r="S147" s="69"/>
    </row>
    <row r="148" spans="1:19" ht="48.75" x14ac:dyDescent="0.25">
      <c r="A148" s="63">
        <v>142</v>
      </c>
      <c r="B148" s="55" t="s">
        <v>4145</v>
      </c>
      <c r="C148" s="64">
        <v>44665</v>
      </c>
      <c r="D148" s="64">
        <v>44665</v>
      </c>
      <c r="E148" s="65">
        <v>2</v>
      </c>
      <c r="F148" s="24" t="s">
        <v>22</v>
      </c>
      <c r="G148" s="55" t="s">
        <v>30</v>
      </c>
      <c r="H148" s="55" t="s">
        <v>24</v>
      </c>
      <c r="I148" s="55" t="s">
        <v>30</v>
      </c>
      <c r="J148" s="66">
        <v>44669</v>
      </c>
      <c r="K148" s="66">
        <v>44669</v>
      </c>
      <c r="L148" s="67">
        <f t="shared" si="4"/>
        <v>2</v>
      </c>
      <c r="M148" s="59" t="s">
        <v>4146</v>
      </c>
      <c r="N148" s="68" t="s">
        <v>26</v>
      </c>
      <c r="O148" s="55" t="s">
        <v>4147</v>
      </c>
      <c r="P148" s="55" t="s">
        <v>4148</v>
      </c>
      <c r="Q148" s="68" t="str">
        <f t="shared" si="5"/>
        <v>DENTRO DEL TIEMPO</v>
      </c>
      <c r="R148" s="6"/>
      <c r="S148" s="69"/>
    </row>
    <row r="149" spans="1:19" ht="48.75" x14ac:dyDescent="0.25">
      <c r="A149" s="63">
        <v>143</v>
      </c>
      <c r="B149" s="55" t="s">
        <v>4149</v>
      </c>
      <c r="C149" s="64">
        <v>44665</v>
      </c>
      <c r="D149" s="64">
        <v>44665</v>
      </c>
      <c r="E149" s="65">
        <v>2</v>
      </c>
      <c r="F149" s="24" t="s">
        <v>22</v>
      </c>
      <c r="G149" s="55" t="s">
        <v>30</v>
      </c>
      <c r="H149" s="55" t="s">
        <v>24</v>
      </c>
      <c r="I149" s="55" t="s">
        <v>30</v>
      </c>
      <c r="J149" s="66">
        <v>44669</v>
      </c>
      <c r="K149" s="66">
        <v>44669</v>
      </c>
      <c r="L149" s="67">
        <f t="shared" si="4"/>
        <v>2</v>
      </c>
      <c r="M149" s="59" t="s">
        <v>4150</v>
      </c>
      <c r="N149" s="68" t="s">
        <v>26</v>
      </c>
      <c r="O149" s="55" t="s">
        <v>4151</v>
      </c>
      <c r="P149" s="55" t="s">
        <v>4152</v>
      </c>
      <c r="Q149" s="68" t="str">
        <f t="shared" si="5"/>
        <v>DENTRO DEL TIEMPO</v>
      </c>
      <c r="R149" s="6"/>
      <c r="S149" s="69"/>
    </row>
    <row r="150" spans="1:19" ht="48.75" x14ac:dyDescent="0.25">
      <c r="A150" s="63">
        <v>144</v>
      </c>
      <c r="B150" s="55" t="s">
        <v>4153</v>
      </c>
      <c r="C150" s="64">
        <v>44665</v>
      </c>
      <c r="D150" s="64">
        <v>44665</v>
      </c>
      <c r="E150" s="65">
        <v>4</v>
      </c>
      <c r="F150" s="24" t="s">
        <v>22</v>
      </c>
      <c r="G150" s="55" t="s">
        <v>23</v>
      </c>
      <c r="H150" s="55" t="s">
        <v>24</v>
      </c>
      <c r="I150" s="55" t="s">
        <v>23</v>
      </c>
      <c r="J150" s="66">
        <v>44669</v>
      </c>
      <c r="K150" s="66">
        <v>44669</v>
      </c>
      <c r="L150" s="67">
        <f t="shared" si="4"/>
        <v>2</v>
      </c>
      <c r="M150" s="59" t="s">
        <v>4154</v>
      </c>
      <c r="N150" s="68" t="s">
        <v>26</v>
      </c>
      <c r="O150" s="55" t="s">
        <v>4155</v>
      </c>
      <c r="P150" s="55" t="s">
        <v>4156</v>
      </c>
      <c r="Q150" s="68" t="str">
        <f t="shared" si="5"/>
        <v>DENTRO DEL TIEMPO</v>
      </c>
      <c r="R150" s="6"/>
      <c r="S150" s="69"/>
    </row>
    <row r="151" spans="1:19" ht="48.75" x14ac:dyDescent="0.25">
      <c r="A151" s="63">
        <v>145</v>
      </c>
      <c r="B151" s="55" t="s">
        <v>4157</v>
      </c>
      <c r="C151" s="64">
        <v>44665</v>
      </c>
      <c r="D151" s="64">
        <v>44665</v>
      </c>
      <c r="E151" s="65">
        <v>235</v>
      </c>
      <c r="F151" s="24" t="s">
        <v>22</v>
      </c>
      <c r="G151" s="55" t="s">
        <v>23</v>
      </c>
      <c r="H151" s="55" t="s">
        <v>24</v>
      </c>
      <c r="I151" s="55" t="s">
        <v>23</v>
      </c>
      <c r="J151" s="66">
        <v>44673</v>
      </c>
      <c r="K151" s="66">
        <v>44673</v>
      </c>
      <c r="L151" s="67">
        <f t="shared" si="4"/>
        <v>6</v>
      </c>
      <c r="M151" s="59" t="s">
        <v>4158</v>
      </c>
      <c r="N151" s="68" t="s">
        <v>26</v>
      </c>
      <c r="O151" s="55" t="s">
        <v>4159</v>
      </c>
      <c r="P151" s="55" t="s">
        <v>4160</v>
      </c>
      <c r="Q151" s="68" t="str">
        <f t="shared" si="5"/>
        <v>DENTRO DEL TIEMPO</v>
      </c>
      <c r="R151" s="6"/>
      <c r="S151" s="69"/>
    </row>
    <row r="152" spans="1:19" ht="48.75" x14ac:dyDescent="0.25">
      <c r="A152" s="63">
        <v>146</v>
      </c>
      <c r="B152" s="55" t="s">
        <v>4161</v>
      </c>
      <c r="C152" s="64">
        <v>44665</v>
      </c>
      <c r="D152" s="64">
        <v>44665</v>
      </c>
      <c r="E152" s="65">
        <v>2</v>
      </c>
      <c r="F152" s="24" t="s">
        <v>22</v>
      </c>
      <c r="G152" s="55" t="s">
        <v>30</v>
      </c>
      <c r="H152" s="55" t="s">
        <v>24</v>
      </c>
      <c r="I152" s="55" t="s">
        <v>30</v>
      </c>
      <c r="J152" s="66">
        <v>44669</v>
      </c>
      <c r="K152" s="66">
        <v>44669</v>
      </c>
      <c r="L152" s="67">
        <f t="shared" si="4"/>
        <v>2</v>
      </c>
      <c r="M152" s="59" t="s">
        <v>4162</v>
      </c>
      <c r="N152" s="68" t="s">
        <v>26</v>
      </c>
      <c r="O152" s="55" t="s">
        <v>4163</v>
      </c>
      <c r="P152" s="55" t="s">
        <v>4164</v>
      </c>
      <c r="Q152" s="68" t="str">
        <f t="shared" si="5"/>
        <v>DENTRO DEL TIEMPO</v>
      </c>
      <c r="R152" s="6"/>
      <c r="S152" s="69"/>
    </row>
    <row r="153" spans="1:19" ht="48.75" x14ac:dyDescent="0.25">
      <c r="A153" s="63">
        <v>147</v>
      </c>
      <c r="B153" s="55" t="s">
        <v>4165</v>
      </c>
      <c r="C153" s="64">
        <v>44665</v>
      </c>
      <c r="D153" s="64">
        <v>44665</v>
      </c>
      <c r="E153" s="65">
        <v>2</v>
      </c>
      <c r="F153" s="24" t="s">
        <v>22</v>
      </c>
      <c r="G153" s="55" t="s">
        <v>30</v>
      </c>
      <c r="H153" s="55" t="s">
        <v>24</v>
      </c>
      <c r="I153" s="55" t="s">
        <v>30</v>
      </c>
      <c r="J153" s="66">
        <v>44670</v>
      </c>
      <c r="K153" s="66">
        <v>44670</v>
      </c>
      <c r="L153" s="67">
        <f t="shared" si="4"/>
        <v>3</v>
      </c>
      <c r="M153" s="59" t="s">
        <v>4166</v>
      </c>
      <c r="N153" s="68" t="s">
        <v>26</v>
      </c>
      <c r="O153" s="55" t="s">
        <v>4167</v>
      </c>
      <c r="P153" s="55" t="s">
        <v>4168</v>
      </c>
      <c r="Q153" s="68" t="str">
        <f t="shared" si="5"/>
        <v>DENTRO DEL TIEMPO</v>
      </c>
      <c r="R153" s="6"/>
      <c r="S153" s="69"/>
    </row>
    <row r="154" spans="1:19" ht="48.75" x14ac:dyDescent="0.25">
      <c r="A154" s="63">
        <v>148</v>
      </c>
      <c r="B154" s="55" t="s">
        <v>4169</v>
      </c>
      <c r="C154" s="64">
        <v>44665</v>
      </c>
      <c r="D154" s="64">
        <v>44665</v>
      </c>
      <c r="E154" s="65">
        <v>2</v>
      </c>
      <c r="F154" s="24" t="s">
        <v>22</v>
      </c>
      <c r="G154" s="55" t="s">
        <v>30</v>
      </c>
      <c r="H154" s="55" t="s">
        <v>24</v>
      </c>
      <c r="I154" s="55" t="s">
        <v>30</v>
      </c>
      <c r="J154" s="66">
        <v>44670</v>
      </c>
      <c r="K154" s="66">
        <v>44670</v>
      </c>
      <c r="L154" s="67">
        <f t="shared" si="4"/>
        <v>3</v>
      </c>
      <c r="M154" s="59" t="s">
        <v>4170</v>
      </c>
      <c r="N154" s="68" t="s">
        <v>26</v>
      </c>
      <c r="O154" s="55" t="s">
        <v>4171</v>
      </c>
      <c r="P154" s="55" t="s">
        <v>4168</v>
      </c>
      <c r="Q154" s="68" t="str">
        <f t="shared" si="5"/>
        <v>DENTRO DEL TIEMPO</v>
      </c>
      <c r="R154" s="6"/>
      <c r="S154" s="69"/>
    </row>
    <row r="155" spans="1:19" ht="48.75" x14ac:dyDescent="0.25">
      <c r="A155" s="63">
        <v>149</v>
      </c>
      <c r="B155" s="55" t="s">
        <v>4172</v>
      </c>
      <c r="C155" s="64">
        <v>44665</v>
      </c>
      <c r="D155" s="64">
        <v>44665</v>
      </c>
      <c r="E155" s="65">
        <v>2</v>
      </c>
      <c r="F155" s="24" t="s">
        <v>22</v>
      </c>
      <c r="G155" s="55" t="s">
        <v>30</v>
      </c>
      <c r="H155" s="55" t="s">
        <v>24</v>
      </c>
      <c r="I155" s="55" t="s">
        <v>30</v>
      </c>
      <c r="J155" s="66">
        <v>44670</v>
      </c>
      <c r="K155" s="66">
        <v>44670</v>
      </c>
      <c r="L155" s="67">
        <f t="shared" si="4"/>
        <v>3</v>
      </c>
      <c r="M155" s="59" t="s">
        <v>4173</v>
      </c>
      <c r="N155" s="68" t="s">
        <v>26</v>
      </c>
      <c r="O155" s="55" t="s">
        <v>4174</v>
      </c>
      <c r="P155" s="55" t="s">
        <v>4175</v>
      </c>
      <c r="Q155" s="68" t="str">
        <f t="shared" si="5"/>
        <v>DENTRO DEL TIEMPO</v>
      </c>
      <c r="R155" s="6"/>
      <c r="S155" s="69"/>
    </row>
    <row r="156" spans="1:19" ht="48.75" x14ac:dyDescent="0.25">
      <c r="A156" s="63">
        <v>150</v>
      </c>
      <c r="B156" s="55" t="s">
        <v>4176</v>
      </c>
      <c r="C156" s="64">
        <v>44665</v>
      </c>
      <c r="D156" s="64">
        <v>44665</v>
      </c>
      <c r="E156" s="65">
        <v>2</v>
      </c>
      <c r="F156" s="24" t="s">
        <v>22</v>
      </c>
      <c r="G156" s="55" t="s">
        <v>30</v>
      </c>
      <c r="H156" s="55" t="s">
        <v>24</v>
      </c>
      <c r="I156" s="55" t="s">
        <v>30</v>
      </c>
      <c r="J156" s="66">
        <v>44670</v>
      </c>
      <c r="K156" s="66">
        <v>44670</v>
      </c>
      <c r="L156" s="67">
        <f t="shared" si="4"/>
        <v>3</v>
      </c>
      <c r="M156" s="59" t="s">
        <v>4177</v>
      </c>
      <c r="N156" s="68" t="s">
        <v>26</v>
      </c>
      <c r="O156" s="55" t="s">
        <v>2614</v>
      </c>
      <c r="P156" s="55" t="s">
        <v>4178</v>
      </c>
      <c r="Q156" s="68" t="str">
        <f t="shared" si="5"/>
        <v>DENTRO DEL TIEMPO</v>
      </c>
      <c r="R156" s="6"/>
      <c r="S156" s="69"/>
    </row>
    <row r="157" spans="1:19" ht="48.75" x14ac:dyDescent="0.25">
      <c r="A157" s="63">
        <v>151</v>
      </c>
      <c r="B157" s="55" t="s">
        <v>4179</v>
      </c>
      <c r="C157" s="64">
        <v>44665</v>
      </c>
      <c r="D157" s="64">
        <v>44665</v>
      </c>
      <c r="E157" s="65">
        <v>2</v>
      </c>
      <c r="F157" s="24" t="s">
        <v>22</v>
      </c>
      <c r="G157" s="55" t="s">
        <v>30</v>
      </c>
      <c r="H157" s="55" t="s">
        <v>24</v>
      </c>
      <c r="I157" s="55" t="s">
        <v>30</v>
      </c>
      <c r="J157" s="66">
        <v>44670</v>
      </c>
      <c r="K157" s="66">
        <v>44670</v>
      </c>
      <c r="L157" s="67">
        <f t="shared" si="4"/>
        <v>3</v>
      </c>
      <c r="M157" s="59" t="s">
        <v>4180</v>
      </c>
      <c r="N157" s="68" t="s">
        <v>26</v>
      </c>
      <c r="O157" s="55" t="s">
        <v>2350</v>
      </c>
      <c r="P157" s="55" t="s">
        <v>3888</v>
      </c>
      <c r="Q157" s="68" t="str">
        <f t="shared" si="5"/>
        <v>DENTRO DEL TIEMPO</v>
      </c>
      <c r="R157" s="6"/>
      <c r="S157" s="69"/>
    </row>
    <row r="158" spans="1:19" ht="29.25" hidden="1" x14ac:dyDescent="0.25">
      <c r="A158" s="63">
        <v>152</v>
      </c>
      <c r="B158" s="59" t="s">
        <v>4181</v>
      </c>
      <c r="C158" s="64">
        <v>44665</v>
      </c>
      <c r="D158" s="64">
        <v>44665</v>
      </c>
      <c r="E158" s="65">
        <v>0</v>
      </c>
      <c r="F158" s="24" t="s">
        <v>790</v>
      </c>
      <c r="G158" s="55" t="s">
        <v>943</v>
      </c>
      <c r="H158" s="55" t="s">
        <v>792</v>
      </c>
      <c r="I158" s="55" t="s">
        <v>943</v>
      </c>
      <c r="J158" s="66"/>
      <c r="K158" s="66"/>
      <c r="L158" s="67">
        <f t="shared" si="4"/>
        <v>-31905</v>
      </c>
      <c r="M158" s="59" t="s">
        <v>4182</v>
      </c>
      <c r="N158" s="68" t="s">
        <v>26</v>
      </c>
      <c r="O158" s="55" t="s">
        <v>2350</v>
      </c>
      <c r="P158" s="55" t="s">
        <v>3763</v>
      </c>
      <c r="Q158" s="68" t="str">
        <f t="shared" si="5"/>
        <v>DENTRO DEL TIEMPO</v>
      </c>
      <c r="R158" s="6"/>
      <c r="S158" s="69"/>
    </row>
    <row r="159" spans="1:19" ht="48.75" x14ac:dyDescent="0.25">
      <c r="A159" s="63">
        <v>153</v>
      </c>
      <c r="B159" s="55" t="s">
        <v>4183</v>
      </c>
      <c r="C159" s="64">
        <v>44665</v>
      </c>
      <c r="D159" s="64">
        <v>44665</v>
      </c>
      <c r="E159" s="65">
        <v>2</v>
      </c>
      <c r="F159" s="24" t="s">
        <v>22</v>
      </c>
      <c r="G159" s="55" t="s">
        <v>30</v>
      </c>
      <c r="H159" s="55" t="s">
        <v>24</v>
      </c>
      <c r="I159" s="55" t="s">
        <v>30</v>
      </c>
      <c r="J159" s="66">
        <v>44673</v>
      </c>
      <c r="K159" s="66">
        <v>44673</v>
      </c>
      <c r="L159" s="67">
        <f t="shared" si="4"/>
        <v>6</v>
      </c>
      <c r="M159" s="59" t="s">
        <v>4184</v>
      </c>
      <c r="N159" s="68" t="s">
        <v>26</v>
      </c>
      <c r="O159" s="55" t="s">
        <v>4185</v>
      </c>
      <c r="P159" s="55" t="s">
        <v>4186</v>
      </c>
      <c r="Q159" s="68" t="str">
        <f t="shared" si="5"/>
        <v>DENTRO DEL TIEMPO</v>
      </c>
      <c r="R159" s="6"/>
      <c r="S159" s="69"/>
    </row>
    <row r="160" spans="1:19" ht="48.75" x14ac:dyDescent="0.25">
      <c r="A160" s="63">
        <v>154</v>
      </c>
      <c r="B160" s="55" t="s">
        <v>4187</v>
      </c>
      <c r="C160" s="64">
        <v>44665</v>
      </c>
      <c r="D160" s="64">
        <v>44665</v>
      </c>
      <c r="E160" s="65">
        <v>2</v>
      </c>
      <c r="F160" s="24" t="s">
        <v>22</v>
      </c>
      <c r="G160" s="55" t="s">
        <v>30</v>
      </c>
      <c r="H160" s="55" t="s">
        <v>24</v>
      </c>
      <c r="I160" s="55" t="s">
        <v>30</v>
      </c>
      <c r="J160" s="66">
        <v>44670</v>
      </c>
      <c r="K160" s="66">
        <v>44670</v>
      </c>
      <c r="L160" s="67">
        <f t="shared" si="4"/>
        <v>3</v>
      </c>
      <c r="M160" s="59" t="s">
        <v>4188</v>
      </c>
      <c r="N160" s="68" t="s">
        <v>26</v>
      </c>
      <c r="O160" s="55" t="s">
        <v>3350</v>
      </c>
      <c r="P160" s="55" t="s">
        <v>4189</v>
      </c>
      <c r="Q160" s="68" t="str">
        <f t="shared" si="5"/>
        <v>DENTRO DEL TIEMPO</v>
      </c>
      <c r="R160" s="6"/>
      <c r="S160" s="69"/>
    </row>
    <row r="161" spans="1:19" ht="48.75" x14ac:dyDescent="0.25">
      <c r="A161" s="63">
        <v>155</v>
      </c>
      <c r="B161" s="59" t="s">
        <v>4190</v>
      </c>
      <c r="C161" s="64">
        <v>44665</v>
      </c>
      <c r="D161" s="64">
        <v>44665</v>
      </c>
      <c r="E161" s="65">
        <v>0</v>
      </c>
      <c r="F161" s="24" t="s">
        <v>2769</v>
      </c>
      <c r="G161" s="55" t="s">
        <v>4191</v>
      </c>
      <c r="H161" s="55" t="s">
        <v>24</v>
      </c>
      <c r="I161" s="55" t="s">
        <v>4191</v>
      </c>
      <c r="J161" s="66"/>
      <c r="K161" s="66"/>
      <c r="L161" s="67">
        <f t="shared" si="4"/>
        <v>-31905</v>
      </c>
      <c r="M161" s="59"/>
      <c r="N161" s="68" t="s">
        <v>26</v>
      </c>
      <c r="O161" s="55" t="s">
        <v>4192</v>
      </c>
      <c r="P161" s="55" t="s">
        <v>4193</v>
      </c>
      <c r="Q161" s="68" t="str">
        <f t="shared" si="5"/>
        <v>DENTRO DEL TIEMPO</v>
      </c>
      <c r="R161" s="6"/>
      <c r="S161" s="69"/>
    </row>
    <row r="162" spans="1:19" ht="48.75" x14ac:dyDescent="0.25">
      <c r="A162" s="63">
        <v>156</v>
      </c>
      <c r="B162" s="55" t="s">
        <v>4194</v>
      </c>
      <c r="C162" s="64">
        <v>44669</v>
      </c>
      <c r="D162" s="64">
        <v>44669</v>
      </c>
      <c r="E162" s="65">
        <v>2</v>
      </c>
      <c r="F162" s="24" t="s">
        <v>22</v>
      </c>
      <c r="G162" s="55" t="s">
        <v>30</v>
      </c>
      <c r="H162" s="55" t="s">
        <v>24</v>
      </c>
      <c r="I162" s="55" t="s">
        <v>30</v>
      </c>
      <c r="J162" s="66">
        <v>44670</v>
      </c>
      <c r="K162" s="66">
        <v>44670</v>
      </c>
      <c r="L162" s="67">
        <f t="shared" si="4"/>
        <v>1</v>
      </c>
      <c r="M162" s="59" t="s">
        <v>4195</v>
      </c>
      <c r="N162" s="68" t="s">
        <v>26</v>
      </c>
      <c r="O162" s="55" t="s">
        <v>4196</v>
      </c>
      <c r="P162" s="55" t="s">
        <v>4197</v>
      </c>
      <c r="Q162" s="68" t="str">
        <f t="shared" si="5"/>
        <v>DENTRO DEL TIEMPO</v>
      </c>
      <c r="R162" s="6"/>
      <c r="S162" s="69"/>
    </row>
    <row r="163" spans="1:19" ht="48.75" x14ac:dyDescent="0.25">
      <c r="A163" s="63">
        <v>157</v>
      </c>
      <c r="B163" s="55" t="s">
        <v>4198</v>
      </c>
      <c r="C163" s="64">
        <v>44669</v>
      </c>
      <c r="D163" s="64">
        <v>44669</v>
      </c>
      <c r="E163" s="65">
        <v>2</v>
      </c>
      <c r="F163" s="24" t="s">
        <v>22</v>
      </c>
      <c r="G163" s="55" t="s">
        <v>30</v>
      </c>
      <c r="H163" s="55" t="s">
        <v>24</v>
      </c>
      <c r="I163" s="55" t="s">
        <v>30</v>
      </c>
      <c r="J163" s="66">
        <v>44670</v>
      </c>
      <c r="K163" s="66">
        <v>44670</v>
      </c>
      <c r="L163" s="67">
        <f t="shared" si="4"/>
        <v>1</v>
      </c>
      <c r="M163" s="59" t="s">
        <v>4199</v>
      </c>
      <c r="N163" s="68" t="s">
        <v>26</v>
      </c>
      <c r="O163" s="55" t="s">
        <v>4200</v>
      </c>
      <c r="P163" s="55" t="s">
        <v>4201</v>
      </c>
      <c r="Q163" s="68" t="str">
        <f t="shared" si="5"/>
        <v>DENTRO DEL TIEMPO</v>
      </c>
      <c r="R163" s="6"/>
      <c r="S163" s="69"/>
    </row>
    <row r="164" spans="1:19" ht="48.75" x14ac:dyDescent="0.25">
      <c r="A164" s="63">
        <v>158</v>
      </c>
      <c r="B164" s="55" t="s">
        <v>4202</v>
      </c>
      <c r="C164" s="64">
        <v>44669</v>
      </c>
      <c r="D164" s="64">
        <v>44669</v>
      </c>
      <c r="E164" s="65">
        <v>2</v>
      </c>
      <c r="F164" s="24" t="s">
        <v>22</v>
      </c>
      <c r="G164" s="55" t="s">
        <v>30</v>
      </c>
      <c r="H164" s="55" t="s">
        <v>24</v>
      </c>
      <c r="I164" s="55" t="s">
        <v>30</v>
      </c>
      <c r="J164" s="66">
        <v>44670</v>
      </c>
      <c r="K164" s="66">
        <v>44670</v>
      </c>
      <c r="L164" s="67">
        <f t="shared" si="4"/>
        <v>1</v>
      </c>
      <c r="M164" s="59" t="s">
        <v>4203</v>
      </c>
      <c r="N164" s="68" t="s">
        <v>26</v>
      </c>
      <c r="O164" s="55" t="s">
        <v>2350</v>
      </c>
      <c r="P164" s="55" t="s">
        <v>3888</v>
      </c>
      <c r="Q164" s="68" t="str">
        <f t="shared" si="5"/>
        <v>DENTRO DEL TIEMPO</v>
      </c>
      <c r="R164" s="6"/>
      <c r="S164" s="69"/>
    </row>
    <row r="165" spans="1:19" ht="48.75" x14ac:dyDescent="0.25">
      <c r="A165" s="63">
        <v>159</v>
      </c>
      <c r="B165" s="55" t="s">
        <v>4204</v>
      </c>
      <c r="C165" s="64">
        <v>44669</v>
      </c>
      <c r="D165" s="64">
        <v>44669</v>
      </c>
      <c r="E165" s="65">
        <v>2</v>
      </c>
      <c r="F165" s="24" t="s">
        <v>22</v>
      </c>
      <c r="G165" s="55" t="s">
        <v>30</v>
      </c>
      <c r="H165" s="55" t="s">
        <v>24</v>
      </c>
      <c r="I165" s="55" t="s">
        <v>30</v>
      </c>
      <c r="J165" s="66">
        <v>44670</v>
      </c>
      <c r="K165" s="66">
        <v>44670</v>
      </c>
      <c r="L165" s="67">
        <f t="shared" si="4"/>
        <v>1</v>
      </c>
      <c r="M165" s="59" t="s">
        <v>4205</v>
      </c>
      <c r="N165" s="68" t="s">
        <v>26</v>
      </c>
      <c r="O165" s="55" t="s">
        <v>2550</v>
      </c>
      <c r="P165" s="55" t="s">
        <v>3816</v>
      </c>
      <c r="Q165" s="68" t="str">
        <f t="shared" si="5"/>
        <v>DENTRO DEL TIEMPO</v>
      </c>
      <c r="R165" s="6"/>
      <c r="S165" s="69"/>
    </row>
    <row r="166" spans="1:19" ht="48.75" x14ac:dyDescent="0.25">
      <c r="A166" s="63">
        <v>160</v>
      </c>
      <c r="B166" s="55" t="s">
        <v>4206</v>
      </c>
      <c r="C166" s="64">
        <v>44669</v>
      </c>
      <c r="D166" s="64">
        <v>44669</v>
      </c>
      <c r="E166" s="65">
        <v>2</v>
      </c>
      <c r="F166" s="24" t="s">
        <v>22</v>
      </c>
      <c r="G166" s="55" t="s">
        <v>30</v>
      </c>
      <c r="H166" s="55" t="s">
        <v>24</v>
      </c>
      <c r="I166" s="55" t="s">
        <v>30</v>
      </c>
      <c r="J166" s="66">
        <v>44670</v>
      </c>
      <c r="K166" s="66">
        <v>44670</v>
      </c>
      <c r="L166" s="67">
        <f t="shared" si="4"/>
        <v>1</v>
      </c>
      <c r="M166" s="59" t="s">
        <v>4207</v>
      </c>
      <c r="N166" s="68" t="s">
        <v>26</v>
      </c>
      <c r="O166" s="55" t="s">
        <v>2550</v>
      </c>
      <c r="P166" s="55" t="s">
        <v>4208</v>
      </c>
      <c r="Q166" s="68" t="str">
        <f t="shared" si="5"/>
        <v>DENTRO DEL TIEMPO</v>
      </c>
      <c r="R166" s="6"/>
      <c r="S166" s="69"/>
    </row>
    <row r="167" spans="1:19" ht="48.75" x14ac:dyDescent="0.25">
      <c r="A167" s="63">
        <v>161</v>
      </c>
      <c r="B167" s="55" t="s">
        <v>4209</v>
      </c>
      <c r="C167" s="64">
        <v>44669</v>
      </c>
      <c r="D167" s="64">
        <v>44669</v>
      </c>
      <c r="E167" s="65">
        <v>2</v>
      </c>
      <c r="F167" s="24" t="s">
        <v>22</v>
      </c>
      <c r="G167" s="55" t="s">
        <v>30</v>
      </c>
      <c r="H167" s="55" t="s">
        <v>24</v>
      </c>
      <c r="I167" s="55" t="s">
        <v>30</v>
      </c>
      <c r="J167" s="66">
        <v>44670</v>
      </c>
      <c r="K167" s="66">
        <v>44670</v>
      </c>
      <c r="L167" s="67">
        <f t="shared" si="4"/>
        <v>1</v>
      </c>
      <c r="M167" s="59" t="s">
        <v>4210</v>
      </c>
      <c r="N167" s="68" t="s">
        <v>26</v>
      </c>
      <c r="O167" s="55" t="s">
        <v>4211</v>
      </c>
      <c r="P167" s="55" t="s">
        <v>4212</v>
      </c>
      <c r="Q167" s="68" t="str">
        <f t="shared" si="5"/>
        <v>DENTRO DEL TIEMPO</v>
      </c>
      <c r="R167" s="6"/>
      <c r="S167" s="69"/>
    </row>
    <row r="168" spans="1:19" ht="48.75" x14ac:dyDescent="0.25">
      <c r="A168" s="63">
        <v>162</v>
      </c>
      <c r="B168" s="55" t="s">
        <v>4213</v>
      </c>
      <c r="C168" s="64">
        <v>44669</v>
      </c>
      <c r="D168" s="64">
        <v>44669</v>
      </c>
      <c r="E168" s="65">
        <v>844</v>
      </c>
      <c r="F168" s="24" t="s">
        <v>22</v>
      </c>
      <c r="G168" s="55" t="s">
        <v>23</v>
      </c>
      <c r="H168" s="55" t="s">
        <v>24</v>
      </c>
      <c r="I168" s="55" t="s">
        <v>23</v>
      </c>
      <c r="J168" s="66">
        <v>44671</v>
      </c>
      <c r="K168" s="66">
        <v>44671</v>
      </c>
      <c r="L168" s="67">
        <f t="shared" si="4"/>
        <v>2</v>
      </c>
      <c r="M168" s="59" t="s">
        <v>4214</v>
      </c>
      <c r="N168" s="68" t="s">
        <v>26</v>
      </c>
      <c r="O168" s="55" t="s">
        <v>4215</v>
      </c>
      <c r="P168" s="55" t="s">
        <v>4216</v>
      </c>
      <c r="Q168" s="68" t="str">
        <f t="shared" si="5"/>
        <v>DENTRO DEL TIEMPO</v>
      </c>
      <c r="R168" s="6"/>
      <c r="S168" s="69"/>
    </row>
    <row r="169" spans="1:19" ht="48.75" x14ac:dyDescent="0.25">
      <c r="A169" s="63">
        <v>163</v>
      </c>
      <c r="B169" s="55" t="s">
        <v>4217</v>
      </c>
      <c r="C169" s="64">
        <v>44669</v>
      </c>
      <c r="D169" s="64">
        <v>44669</v>
      </c>
      <c r="E169" s="65">
        <v>2</v>
      </c>
      <c r="F169" s="24" t="s">
        <v>22</v>
      </c>
      <c r="G169" s="55" t="s">
        <v>30</v>
      </c>
      <c r="H169" s="55" t="s">
        <v>24</v>
      </c>
      <c r="I169" s="55" t="s">
        <v>30</v>
      </c>
      <c r="J169" s="66">
        <v>44670</v>
      </c>
      <c r="K169" s="66">
        <v>44670</v>
      </c>
      <c r="L169" s="67">
        <f t="shared" si="4"/>
        <v>1</v>
      </c>
      <c r="M169" s="59" t="s">
        <v>4218</v>
      </c>
      <c r="N169" s="68" t="s">
        <v>26</v>
      </c>
      <c r="O169" s="55" t="s">
        <v>4219</v>
      </c>
      <c r="P169" s="55" t="s">
        <v>4220</v>
      </c>
      <c r="Q169" s="68" t="str">
        <f t="shared" si="5"/>
        <v>DENTRO DEL TIEMPO</v>
      </c>
      <c r="R169" s="6"/>
      <c r="S169" s="69"/>
    </row>
    <row r="170" spans="1:19" ht="48.75" x14ac:dyDescent="0.25">
      <c r="A170" s="63">
        <v>164</v>
      </c>
      <c r="B170" s="55" t="s">
        <v>4221</v>
      </c>
      <c r="C170" s="64">
        <v>44669</v>
      </c>
      <c r="D170" s="64">
        <v>44669</v>
      </c>
      <c r="E170" s="65">
        <v>2</v>
      </c>
      <c r="F170" s="24" t="s">
        <v>22</v>
      </c>
      <c r="G170" s="55" t="s">
        <v>30</v>
      </c>
      <c r="H170" s="55" t="s">
        <v>24</v>
      </c>
      <c r="I170" s="55" t="s">
        <v>30</v>
      </c>
      <c r="J170" s="66">
        <v>44670</v>
      </c>
      <c r="K170" s="66">
        <v>44670</v>
      </c>
      <c r="L170" s="67">
        <f t="shared" si="4"/>
        <v>1</v>
      </c>
      <c r="M170" s="59" t="s">
        <v>4222</v>
      </c>
      <c r="N170" s="68" t="s">
        <v>26</v>
      </c>
      <c r="O170" s="55" t="s">
        <v>2313</v>
      </c>
      <c r="P170" s="55" t="s">
        <v>4223</v>
      </c>
      <c r="Q170" s="68" t="str">
        <f t="shared" si="5"/>
        <v>DENTRO DEL TIEMPO</v>
      </c>
      <c r="R170" s="6"/>
      <c r="S170" s="69"/>
    </row>
    <row r="171" spans="1:19" ht="48.75" x14ac:dyDescent="0.25">
      <c r="A171" s="63">
        <v>165</v>
      </c>
      <c r="B171" s="55" t="s">
        <v>4224</v>
      </c>
      <c r="C171" s="64">
        <v>44669</v>
      </c>
      <c r="D171" s="64">
        <v>44669</v>
      </c>
      <c r="E171" s="65">
        <v>2</v>
      </c>
      <c r="F171" s="24" t="s">
        <v>22</v>
      </c>
      <c r="G171" s="55" t="s">
        <v>23</v>
      </c>
      <c r="H171" s="55" t="s">
        <v>24</v>
      </c>
      <c r="I171" s="55" t="s">
        <v>23</v>
      </c>
      <c r="J171" s="66">
        <v>44671</v>
      </c>
      <c r="K171" s="66">
        <v>44671</v>
      </c>
      <c r="L171" s="67">
        <f t="shared" si="4"/>
        <v>2</v>
      </c>
      <c r="M171" s="59" t="s">
        <v>4225</v>
      </c>
      <c r="N171" s="68" t="s">
        <v>26</v>
      </c>
      <c r="O171" s="55" t="s">
        <v>4226</v>
      </c>
      <c r="P171" s="55" t="s">
        <v>4227</v>
      </c>
      <c r="Q171" s="68" t="str">
        <f t="shared" si="5"/>
        <v>DENTRO DEL TIEMPO</v>
      </c>
      <c r="R171" s="6"/>
      <c r="S171" s="69"/>
    </row>
    <row r="172" spans="1:19" ht="48.75" x14ac:dyDescent="0.25">
      <c r="A172" s="63">
        <v>166</v>
      </c>
      <c r="B172" s="55" t="s">
        <v>4228</v>
      </c>
      <c r="C172" s="64">
        <v>44669</v>
      </c>
      <c r="D172" s="64">
        <v>44669</v>
      </c>
      <c r="E172" s="65">
        <v>2</v>
      </c>
      <c r="F172" s="24" t="s">
        <v>22</v>
      </c>
      <c r="G172" s="55" t="s">
        <v>30</v>
      </c>
      <c r="H172" s="55" t="s">
        <v>24</v>
      </c>
      <c r="I172" s="55" t="s">
        <v>30</v>
      </c>
      <c r="J172" s="66">
        <v>44670</v>
      </c>
      <c r="K172" s="66">
        <v>44670</v>
      </c>
      <c r="L172" s="67">
        <f t="shared" si="4"/>
        <v>1</v>
      </c>
      <c r="M172" s="59" t="s">
        <v>4229</v>
      </c>
      <c r="N172" s="68" t="s">
        <v>26</v>
      </c>
      <c r="O172" s="55" t="s">
        <v>4230</v>
      </c>
      <c r="P172" s="55" t="s">
        <v>4231</v>
      </c>
      <c r="Q172" s="68" t="str">
        <f t="shared" si="5"/>
        <v>DENTRO DEL TIEMPO</v>
      </c>
      <c r="R172" s="6"/>
      <c r="S172" s="69"/>
    </row>
    <row r="173" spans="1:19" ht="48.75" x14ac:dyDescent="0.25">
      <c r="A173" s="63">
        <v>167</v>
      </c>
      <c r="B173" s="55" t="s">
        <v>4232</v>
      </c>
      <c r="C173" s="64">
        <v>44669</v>
      </c>
      <c r="D173" s="64">
        <v>44669</v>
      </c>
      <c r="E173" s="65">
        <v>2</v>
      </c>
      <c r="F173" s="24" t="s">
        <v>22</v>
      </c>
      <c r="G173" s="55" t="s">
        <v>30</v>
      </c>
      <c r="H173" s="55" t="s">
        <v>24</v>
      </c>
      <c r="I173" s="55" t="s">
        <v>30</v>
      </c>
      <c r="J173" s="66">
        <v>44670</v>
      </c>
      <c r="K173" s="66">
        <v>44670</v>
      </c>
      <c r="L173" s="67">
        <f t="shared" si="4"/>
        <v>1</v>
      </c>
      <c r="M173" s="59" t="s">
        <v>4233</v>
      </c>
      <c r="N173" s="68" t="s">
        <v>26</v>
      </c>
      <c r="O173" s="55" t="s">
        <v>2396</v>
      </c>
      <c r="P173" s="55" t="s">
        <v>3791</v>
      </c>
      <c r="Q173" s="68" t="str">
        <f t="shared" si="5"/>
        <v>DENTRO DEL TIEMPO</v>
      </c>
      <c r="R173" s="6"/>
      <c r="S173" s="69"/>
    </row>
    <row r="174" spans="1:19" ht="48.75" x14ac:dyDescent="0.25">
      <c r="A174" s="63">
        <v>168</v>
      </c>
      <c r="B174" s="55" t="s">
        <v>4234</v>
      </c>
      <c r="C174" s="64">
        <v>44669</v>
      </c>
      <c r="D174" s="64">
        <v>44669</v>
      </c>
      <c r="E174" s="65">
        <v>2</v>
      </c>
      <c r="F174" s="24" t="s">
        <v>22</v>
      </c>
      <c r="G174" s="55" t="s">
        <v>30</v>
      </c>
      <c r="H174" s="55" t="s">
        <v>24</v>
      </c>
      <c r="I174" s="55" t="s">
        <v>30</v>
      </c>
      <c r="J174" s="66">
        <v>44671</v>
      </c>
      <c r="K174" s="66">
        <v>44671</v>
      </c>
      <c r="L174" s="67">
        <f t="shared" si="4"/>
        <v>2</v>
      </c>
      <c r="M174" s="59" t="s">
        <v>4235</v>
      </c>
      <c r="N174" s="68" t="s">
        <v>26</v>
      </c>
      <c r="O174" s="55" t="s">
        <v>2396</v>
      </c>
      <c r="P174" s="55" t="s">
        <v>3791</v>
      </c>
      <c r="Q174" s="68" t="str">
        <f t="shared" si="5"/>
        <v>DENTRO DEL TIEMPO</v>
      </c>
      <c r="R174" s="6"/>
      <c r="S174" s="69"/>
    </row>
    <row r="175" spans="1:19" ht="48.75" x14ac:dyDescent="0.25">
      <c r="A175" s="63">
        <v>169</v>
      </c>
      <c r="B175" s="55" t="s">
        <v>4236</v>
      </c>
      <c r="C175" s="64">
        <v>44669</v>
      </c>
      <c r="D175" s="64">
        <v>44669</v>
      </c>
      <c r="E175" s="65">
        <v>2</v>
      </c>
      <c r="F175" s="24" t="s">
        <v>22</v>
      </c>
      <c r="G175" s="55" t="s">
        <v>30</v>
      </c>
      <c r="H175" s="55" t="s">
        <v>24</v>
      </c>
      <c r="I175" s="55" t="s">
        <v>30</v>
      </c>
      <c r="J175" s="66">
        <v>44671</v>
      </c>
      <c r="K175" s="66">
        <v>44671</v>
      </c>
      <c r="L175" s="67">
        <f t="shared" si="4"/>
        <v>2</v>
      </c>
      <c r="M175" s="59" t="s">
        <v>4237</v>
      </c>
      <c r="N175" s="68" t="s">
        <v>26</v>
      </c>
      <c r="O175" s="55" t="s">
        <v>2320</v>
      </c>
      <c r="P175" s="55" t="s">
        <v>4238</v>
      </c>
      <c r="Q175" s="68" t="str">
        <f t="shared" si="5"/>
        <v>DENTRO DEL TIEMPO</v>
      </c>
      <c r="R175" s="6"/>
      <c r="S175" s="69"/>
    </row>
    <row r="176" spans="1:19" ht="48.75" x14ac:dyDescent="0.25">
      <c r="A176" s="63">
        <v>170</v>
      </c>
      <c r="B176" s="55" t="s">
        <v>4239</v>
      </c>
      <c r="C176" s="64">
        <v>44669</v>
      </c>
      <c r="D176" s="64">
        <v>44669</v>
      </c>
      <c r="E176" s="65">
        <v>2</v>
      </c>
      <c r="F176" s="24" t="s">
        <v>22</v>
      </c>
      <c r="G176" s="55" t="s">
        <v>30</v>
      </c>
      <c r="H176" s="55" t="s">
        <v>24</v>
      </c>
      <c r="I176" s="55" t="s">
        <v>30</v>
      </c>
      <c r="J176" s="66">
        <v>44671</v>
      </c>
      <c r="K176" s="66">
        <v>44671</v>
      </c>
      <c r="L176" s="67">
        <f t="shared" si="4"/>
        <v>2</v>
      </c>
      <c r="M176" s="59" t="s">
        <v>4240</v>
      </c>
      <c r="N176" s="68" t="s">
        <v>26</v>
      </c>
      <c r="O176" s="55" t="s">
        <v>4241</v>
      </c>
      <c r="P176" s="55" t="s">
        <v>4242</v>
      </c>
      <c r="Q176" s="68" t="str">
        <f t="shared" si="5"/>
        <v>DENTRO DEL TIEMPO</v>
      </c>
      <c r="R176" s="6"/>
      <c r="S176" s="69"/>
    </row>
    <row r="177" spans="1:19" ht="48.75" x14ac:dyDescent="0.25">
      <c r="A177" s="63">
        <v>171</v>
      </c>
      <c r="B177" s="55" t="s">
        <v>4243</v>
      </c>
      <c r="C177" s="64">
        <v>44669</v>
      </c>
      <c r="D177" s="64">
        <v>44669</v>
      </c>
      <c r="E177" s="65">
        <v>2</v>
      </c>
      <c r="F177" s="24" t="s">
        <v>22</v>
      </c>
      <c r="G177" s="55" t="s">
        <v>30</v>
      </c>
      <c r="H177" s="55" t="s">
        <v>24</v>
      </c>
      <c r="I177" s="55" t="s">
        <v>30</v>
      </c>
      <c r="J177" s="66">
        <v>44671</v>
      </c>
      <c r="K177" s="66">
        <v>44671</v>
      </c>
      <c r="L177" s="67">
        <f t="shared" si="4"/>
        <v>2</v>
      </c>
      <c r="M177" s="59" t="s">
        <v>4244</v>
      </c>
      <c r="N177" s="68" t="s">
        <v>26</v>
      </c>
      <c r="O177" s="55" t="s">
        <v>4245</v>
      </c>
      <c r="P177" s="55" t="s">
        <v>4246</v>
      </c>
      <c r="Q177" s="68" t="str">
        <f t="shared" si="5"/>
        <v>DENTRO DEL TIEMPO</v>
      </c>
      <c r="R177" s="6"/>
      <c r="S177" s="69"/>
    </row>
    <row r="178" spans="1:19" ht="48.75" x14ac:dyDescent="0.25">
      <c r="A178" s="63">
        <v>172</v>
      </c>
      <c r="B178" s="55" t="s">
        <v>4247</v>
      </c>
      <c r="C178" s="64">
        <v>44669</v>
      </c>
      <c r="D178" s="64">
        <v>44669</v>
      </c>
      <c r="E178" s="65">
        <v>2</v>
      </c>
      <c r="F178" s="24" t="s">
        <v>22</v>
      </c>
      <c r="G178" s="55" t="s">
        <v>30</v>
      </c>
      <c r="H178" s="55" t="s">
        <v>24</v>
      </c>
      <c r="I178" s="55" t="s">
        <v>30</v>
      </c>
      <c r="J178" s="66">
        <v>44671</v>
      </c>
      <c r="K178" s="66">
        <v>44671</v>
      </c>
      <c r="L178" s="67">
        <f t="shared" si="4"/>
        <v>2</v>
      </c>
      <c r="M178" s="59" t="s">
        <v>4248</v>
      </c>
      <c r="N178" s="68" t="s">
        <v>26</v>
      </c>
      <c r="O178" s="55" t="s">
        <v>4249</v>
      </c>
      <c r="P178" s="55" t="s">
        <v>4250</v>
      </c>
      <c r="Q178" s="68" t="str">
        <f t="shared" si="5"/>
        <v>DENTRO DEL TIEMPO</v>
      </c>
      <c r="R178" s="6"/>
      <c r="S178" s="69"/>
    </row>
    <row r="179" spans="1:19" ht="48.75" x14ac:dyDescent="0.25">
      <c r="A179" s="63">
        <v>173</v>
      </c>
      <c r="B179" s="55" t="s">
        <v>4251</v>
      </c>
      <c r="C179" s="64">
        <v>44670</v>
      </c>
      <c r="D179" s="64">
        <v>44670</v>
      </c>
      <c r="E179" s="65">
        <v>2</v>
      </c>
      <c r="F179" s="24" t="s">
        <v>22</v>
      </c>
      <c r="G179" s="55" t="s">
        <v>30</v>
      </c>
      <c r="H179" s="55" t="s">
        <v>24</v>
      </c>
      <c r="I179" s="55" t="s">
        <v>30</v>
      </c>
      <c r="J179" s="66">
        <v>44671</v>
      </c>
      <c r="K179" s="66">
        <v>44671</v>
      </c>
      <c r="L179" s="67">
        <f t="shared" si="4"/>
        <v>1</v>
      </c>
      <c r="M179" s="59" t="s">
        <v>4252</v>
      </c>
      <c r="N179" s="68" t="s">
        <v>26</v>
      </c>
      <c r="O179" s="55" t="s">
        <v>4253</v>
      </c>
      <c r="P179" s="55" t="s">
        <v>4254</v>
      </c>
      <c r="Q179" s="68" t="str">
        <f t="shared" si="5"/>
        <v>DENTRO DEL TIEMPO</v>
      </c>
      <c r="R179" s="6"/>
      <c r="S179" s="69"/>
    </row>
    <row r="180" spans="1:19" ht="48.75" x14ac:dyDescent="0.25">
      <c r="A180" s="63">
        <v>174</v>
      </c>
      <c r="B180" s="55" t="s">
        <v>4255</v>
      </c>
      <c r="C180" s="64">
        <v>44670</v>
      </c>
      <c r="D180" s="64">
        <v>44670</v>
      </c>
      <c r="E180" s="65">
        <v>2</v>
      </c>
      <c r="F180" s="24" t="s">
        <v>22</v>
      </c>
      <c r="G180" s="55" t="s">
        <v>30</v>
      </c>
      <c r="H180" s="55" t="s">
        <v>24</v>
      </c>
      <c r="I180" s="55" t="s">
        <v>30</v>
      </c>
      <c r="J180" s="66">
        <v>44671</v>
      </c>
      <c r="K180" s="66">
        <v>44671</v>
      </c>
      <c r="L180" s="67">
        <f t="shared" si="4"/>
        <v>1</v>
      </c>
      <c r="M180" s="59" t="s">
        <v>4256</v>
      </c>
      <c r="N180" s="68" t="s">
        <v>26</v>
      </c>
      <c r="O180" s="55" t="s">
        <v>4257</v>
      </c>
      <c r="P180" s="55" t="s">
        <v>4258</v>
      </c>
      <c r="Q180" s="68" t="str">
        <f t="shared" si="5"/>
        <v>DENTRO DEL TIEMPO</v>
      </c>
      <c r="R180" s="6"/>
      <c r="S180" s="69"/>
    </row>
    <row r="181" spans="1:19" ht="48.75" x14ac:dyDescent="0.25">
      <c r="A181" s="63">
        <v>175</v>
      </c>
      <c r="B181" s="55" t="s">
        <v>4259</v>
      </c>
      <c r="C181" s="64">
        <v>44670</v>
      </c>
      <c r="D181" s="64">
        <v>44670</v>
      </c>
      <c r="E181" s="65">
        <v>2</v>
      </c>
      <c r="F181" s="24" t="s">
        <v>22</v>
      </c>
      <c r="G181" s="55" t="s">
        <v>30</v>
      </c>
      <c r="H181" s="55" t="s">
        <v>24</v>
      </c>
      <c r="I181" s="55" t="s">
        <v>30</v>
      </c>
      <c r="J181" s="66">
        <v>44671</v>
      </c>
      <c r="K181" s="66">
        <v>44671</v>
      </c>
      <c r="L181" s="67">
        <f t="shared" si="4"/>
        <v>1</v>
      </c>
      <c r="M181" s="59" t="s">
        <v>4260</v>
      </c>
      <c r="N181" s="68" t="s">
        <v>26</v>
      </c>
      <c r="O181" s="55" t="s">
        <v>2652</v>
      </c>
      <c r="P181" s="55" t="s">
        <v>4261</v>
      </c>
      <c r="Q181" s="68" t="str">
        <f t="shared" si="5"/>
        <v>DENTRO DEL TIEMPO</v>
      </c>
      <c r="R181" s="6"/>
      <c r="S181" s="69"/>
    </row>
    <row r="182" spans="1:19" ht="48.75" x14ac:dyDescent="0.25">
      <c r="A182" s="63">
        <v>176</v>
      </c>
      <c r="B182" s="55" t="s">
        <v>4262</v>
      </c>
      <c r="C182" s="64">
        <v>44670</v>
      </c>
      <c r="D182" s="64">
        <v>44670</v>
      </c>
      <c r="E182" s="65">
        <v>2</v>
      </c>
      <c r="F182" s="24" t="s">
        <v>22</v>
      </c>
      <c r="G182" s="55" t="s">
        <v>30</v>
      </c>
      <c r="H182" s="55" t="s">
        <v>24</v>
      </c>
      <c r="I182" s="55" t="s">
        <v>30</v>
      </c>
      <c r="J182" s="66">
        <v>44671</v>
      </c>
      <c r="K182" s="66">
        <v>44671</v>
      </c>
      <c r="L182" s="67">
        <f t="shared" si="4"/>
        <v>1</v>
      </c>
      <c r="M182" s="59" t="s">
        <v>4263</v>
      </c>
      <c r="N182" s="68" t="s">
        <v>26</v>
      </c>
      <c r="O182" s="55" t="s">
        <v>4264</v>
      </c>
      <c r="P182" s="55" t="s">
        <v>3881</v>
      </c>
      <c r="Q182" s="68" t="str">
        <f t="shared" si="5"/>
        <v>DENTRO DEL TIEMPO</v>
      </c>
      <c r="R182" s="6"/>
      <c r="S182" s="69"/>
    </row>
    <row r="183" spans="1:19" ht="48.75" x14ac:dyDescent="0.25">
      <c r="A183" s="63">
        <v>177</v>
      </c>
      <c r="B183" s="55" t="s">
        <v>4265</v>
      </c>
      <c r="C183" s="64">
        <v>44670</v>
      </c>
      <c r="D183" s="64">
        <v>44670</v>
      </c>
      <c r="E183" s="65">
        <v>10</v>
      </c>
      <c r="F183" s="24" t="s">
        <v>22</v>
      </c>
      <c r="G183" s="55" t="s">
        <v>23</v>
      </c>
      <c r="H183" s="55" t="s">
        <v>24</v>
      </c>
      <c r="I183" s="55" t="s">
        <v>23</v>
      </c>
      <c r="J183" s="66">
        <v>44670</v>
      </c>
      <c r="K183" s="66">
        <v>44670</v>
      </c>
      <c r="L183" s="67">
        <f t="shared" si="4"/>
        <v>0</v>
      </c>
      <c r="M183" s="59" t="s">
        <v>4266</v>
      </c>
      <c r="N183" s="68" t="s">
        <v>26</v>
      </c>
      <c r="O183" s="55" t="s">
        <v>4267</v>
      </c>
      <c r="P183" s="55" t="s">
        <v>4268</v>
      </c>
      <c r="Q183" s="68" t="str">
        <f t="shared" si="5"/>
        <v>DENTRO DEL TIEMPO</v>
      </c>
      <c r="R183" s="6"/>
      <c r="S183" s="69"/>
    </row>
    <row r="184" spans="1:19" ht="48.75" x14ac:dyDescent="0.25">
      <c r="A184" s="63">
        <v>178</v>
      </c>
      <c r="B184" s="55" t="s">
        <v>4269</v>
      </c>
      <c r="C184" s="64">
        <v>44670</v>
      </c>
      <c r="D184" s="64">
        <v>44670</v>
      </c>
      <c r="E184" s="65">
        <v>2</v>
      </c>
      <c r="F184" s="24" t="s">
        <v>22</v>
      </c>
      <c r="G184" s="55" t="s">
        <v>30</v>
      </c>
      <c r="H184" s="55" t="s">
        <v>24</v>
      </c>
      <c r="I184" s="55" t="s">
        <v>30</v>
      </c>
      <c r="J184" s="66">
        <v>44671</v>
      </c>
      <c r="K184" s="66">
        <v>44671</v>
      </c>
      <c r="L184" s="67">
        <f t="shared" si="4"/>
        <v>1</v>
      </c>
      <c r="M184" s="59" t="s">
        <v>4270</v>
      </c>
      <c r="N184" s="68" t="s">
        <v>26</v>
      </c>
      <c r="O184" s="55" t="s">
        <v>4271</v>
      </c>
      <c r="P184" s="55" t="s">
        <v>4272</v>
      </c>
      <c r="Q184" s="68" t="str">
        <f t="shared" si="5"/>
        <v>DENTRO DEL TIEMPO</v>
      </c>
      <c r="R184" s="6"/>
      <c r="S184" s="69"/>
    </row>
    <row r="185" spans="1:19" ht="48.75" x14ac:dyDescent="0.25">
      <c r="A185" s="63">
        <v>179</v>
      </c>
      <c r="B185" s="55" t="s">
        <v>4273</v>
      </c>
      <c r="C185" s="64">
        <v>44670</v>
      </c>
      <c r="D185" s="64">
        <v>44670</v>
      </c>
      <c r="E185" s="65">
        <v>2</v>
      </c>
      <c r="F185" s="24" t="s">
        <v>22</v>
      </c>
      <c r="G185" s="55" t="s">
        <v>23</v>
      </c>
      <c r="H185" s="55" t="s">
        <v>24</v>
      </c>
      <c r="I185" s="55" t="s">
        <v>23</v>
      </c>
      <c r="J185" s="66">
        <v>44671</v>
      </c>
      <c r="K185" s="66">
        <v>44671</v>
      </c>
      <c r="L185" s="67">
        <f t="shared" si="4"/>
        <v>1</v>
      </c>
      <c r="M185" s="59" t="s">
        <v>4274</v>
      </c>
      <c r="N185" s="68" t="s">
        <v>26</v>
      </c>
      <c r="O185" s="55" t="s">
        <v>4275</v>
      </c>
      <c r="P185" s="55" t="s">
        <v>4276</v>
      </c>
      <c r="Q185" s="68" t="str">
        <f t="shared" si="5"/>
        <v>DENTRO DEL TIEMPO</v>
      </c>
      <c r="R185" s="6"/>
      <c r="S185" s="69"/>
    </row>
    <row r="186" spans="1:19" ht="48.75" x14ac:dyDescent="0.25">
      <c r="A186" s="63">
        <v>180</v>
      </c>
      <c r="B186" s="55" t="s">
        <v>4277</v>
      </c>
      <c r="C186" s="64">
        <v>44670</v>
      </c>
      <c r="D186" s="64">
        <v>44670</v>
      </c>
      <c r="E186" s="65">
        <v>2</v>
      </c>
      <c r="F186" s="24" t="s">
        <v>22</v>
      </c>
      <c r="G186" s="55" t="s">
        <v>30</v>
      </c>
      <c r="H186" s="55" t="s">
        <v>24</v>
      </c>
      <c r="I186" s="55" t="s">
        <v>30</v>
      </c>
      <c r="J186" s="66">
        <v>44671</v>
      </c>
      <c r="K186" s="66">
        <v>44671</v>
      </c>
      <c r="L186" s="67">
        <f t="shared" si="4"/>
        <v>1</v>
      </c>
      <c r="M186" s="59" t="s">
        <v>4278</v>
      </c>
      <c r="N186" s="68" t="s">
        <v>26</v>
      </c>
      <c r="O186" s="55" t="s">
        <v>4279</v>
      </c>
      <c r="P186" s="55" t="s">
        <v>4280</v>
      </c>
      <c r="Q186" s="68" t="str">
        <f t="shared" si="5"/>
        <v>DENTRO DEL TIEMPO</v>
      </c>
      <c r="R186" s="6"/>
      <c r="S186" s="69"/>
    </row>
    <row r="187" spans="1:19" ht="48.75" x14ac:dyDescent="0.25">
      <c r="A187" s="63">
        <v>181</v>
      </c>
      <c r="B187" s="55" t="s">
        <v>4281</v>
      </c>
      <c r="C187" s="64">
        <v>44670</v>
      </c>
      <c r="D187" s="64">
        <v>44670</v>
      </c>
      <c r="E187" s="65">
        <v>2</v>
      </c>
      <c r="F187" s="24" t="s">
        <v>22</v>
      </c>
      <c r="G187" s="55" t="s">
        <v>30</v>
      </c>
      <c r="H187" s="55" t="s">
        <v>24</v>
      </c>
      <c r="I187" s="55" t="s">
        <v>30</v>
      </c>
      <c r="J187" s="66">
        <v>44671</v>
      </c>
      <c r="K187" s="66">
        <v>44671</v>
      </c>
      <c r="L187" s="67">
        <f t="shared" si="4"/>
        <v>1</v>
      </c>
      <c r="M187" s="59" t="s">
        <v>4282</v>
      </c>
      <c r="N187" s="68" t="s">
        <v>26</v>
      </c>
      <c r="O187" s="55" t="s">
        <v>4283</v>
      </c>
      <c r="P187" s="55" t="s">
        <v>4284</v>
      </c>
      <c r="Q187" s="68" t="str">
        <f t="shared" si="5"/>
        <v>DENTRO DEL TIEMPO</v>
      </c>
      <c r="R187" s="6"/>
      <c r="S187" s="69"/>
    </row>
    <row r="188" spans="1:19" ht="48.75" x14ac:dyDescent="0.25">
      <c r="A188" s="63">
        <v>182</v>
      </c>
      <c r="B188" s="55" t="s">
        <v>4285</v>
      </c>
      <c r="C188" s="64">
        <v>44670</v>
      </c>
      <c r="D188" s="64">
        <v>44670</v>
      </c>
      <c r="E188" s="65">
        <v>2</v>
      </c>
      <c r="F188" s="24" t="s">
        <v>22</v>
      </c>
      <c r="G188" s="55" t="s">
        <v>30</v>
      </c>
      <c r="H188" s="55" t="s">
        <v>24</v>
      </c>
      <c r="I188" s="55" t="s">
        <v>30</v>
      </c>
      <c r="J188" s="66">
        <v>44671</v>
      </c>
      <c r="K188" s="66">
        <v>44671</v>
      </c>
      <c r="L188" s="67">
        <f t="shared" si="4"/>
        <v>1</v>
      </c>
      <c r="M188" s="59" t="s">
        <v>4286</v>
      </c>
      <c r="N188" s="68" t="s">
        <v>26</v>
      </c>
      <c r="O188" s="55" t="s">
        <v>3159</v>
      </c>
      <c r="P188" s="55" t="s">
        <v>4287</v>
      </c>
      <c r="Q188" s="68" t="str">
        <f t="shared" si="5"/>
        <v>DENTRO DEL TIEMPO</v>
      </c>
      <c r="R188" s="6"/>
      <c r="S188" s="69"/>
    </row>
    <row r="189" spans="1:19" ht="48.75" x14ac:dyDescent="0.25">
      <c r="A189" s="63">
        <v>183</v>
      </c>
      <c r="B189" s="55" t="s">
        <v>4288</v>
      </c>
      <c r="C189" s="64">
        <v>44670</v>
      </c>
      <c r="D189" s="64">
        <v>44670</v>
      </c>
      <c r="E189" s="65">
        <v>2</v>
      </c>
      <c r="F189" s="24" t="s">
        <v>22</v>
      </c>
      <c r="G189" s="55" t="s">
        <v>30</v>
      </c>
      <c r="H189" s="55" t="s">
        <v>24</v>
      </c>
      <c r="I189" s="55" t="s">
        <v>30</v>
      </c>
      <c r="J189" s="66">
        <v>44671</v>
      </c>
      <c r="K189" s="66">
        <v>44671</v>
      </c>
      <c r="L189" s="67">
        <f t="shared" si="4"/>
        <v>1</v>
      </c>
      <c r="M189" s="59" t="s">
        <v>4289</v>
      </c>
      <c r="N189" s="68" t="s">
        <v>26</v>
      </c>
      <c r="O189" s="55" t="s">
        <v>4290</v>
      </c>
      <c r="P189" s="55" t="s">
        <v>3780</v>
      </c>
      <c r="Q189" s="68" t="str">
        <f t="shared" si="5"/>
        <v>DENTRO DEL TIEMPO</v>
      </c>
      <c r="R189" s="6"/>
      <c r="S189" s="69"/>
    </row>
    <row r="190" spans="1:19" ht="48.75" x14ac:dyDescent="0.25">
      <c r="A190" s="63">
        <v>184</v>
      </c>
      <c r="B190" s="55" t="s">
        <v>4291</v>
      </c>
      <c r="C190" s="64">
        <v>44670</v>
      </c>
      <c r="D190" s="64">
        <v>44670</v>
      </c>
      <c r="E190" s="65">
        <v>2</v>
      </c>
      <c r="F190" s="24" t="s">
        <v>22</v>
      </c>
      <c r="G190" s="55" t="s">
        <v>30</v>
      </c>
      <c r="H190" s="55" t="s">
        <v>24</v>
      </c>
      <c r="I190" s="55" t="s">
        <v>30</v>
      </c>
      <c r="J190" s="66">
        <v>44671</v>
      </c>
      <c r="K190" s="66">
        <v>44671</v>
      </c>
      <c r="L190" s="67">
        <f t="shared" si="4"/>
        <v>1</v>
      </c>
      <c r="M190" s="59" t="s">
        <v>4292</v>
      </c>
      <c r="N190" s="68" t="s">
        <v>26</v>
      </c>
      <c r="O190" s="55" t="s">
        <v>4293</v>
      </c>
      <c r="P190" s="55" t="s">
        <v>4059</v>
      </c>
      <c r="Q190" s="68" t="str">
        <f t="shared" si="5"/>
        <v>DENTRO DEL TIEMPO</v>
      </c>
      <c r="R190" s="6"/>
      <c r="S190" s="69"/>
    </row>
    <row r="191" spans="1:19" ht="48.75" x14ac:dyDescent="0.25">
      <c r="A191" s="63">
        <v>185</v>
      </c>
      <c r="B191" s="55" t="s">
        <v>4294</v>
      </c>
      <c r="C191" s="64">
        <v>44670</v>
      </c>
      <c r="D191" s="64">
        <v>44670</v>
      </c>
      <c r="E191" s="65">
        <v>2</v>
      </c>
      <c r="F191" s="24" t="s">
        <v>22</v>
      </c>
      <c r="G191" s="55" t="s">
        <v>30</v>
      </c>
      <c r="H191" s="55" t="s">
        <v>24</v>
      </c>
      <c r="I191" s="55" t="s">
        <v>30</v>
      </c>
      <c r="J191" s="66">
        <v>44671</v>
      </c>
      <c r="K191" s="66">
        <v>44671</v>
      </c>
      <c r="L191" s="67">
        <f t="shared" si="4"/>
        <v>1</v>
      </c>
      <c r="M191" s="59" t="s">
        <v>4295</v>
      </c>
      <c r="N191" s="68" t="s">
        <v>26</v>
      </c>
      <c r="O191" s="55" t="s">
        <v>4296</v>
      </c>
      <c r="P191" s="55" t="s">
        <v>4297</v>
      </c>
      <c r="Q191" s="68" t="str">
        <f t="shared" si="5"/>
        <v>DENTRO DEL TIEMPO</v>
      </c>
      <c r="R191" s="6"/>
      <c r="S191" s="69"/>
    </row>
    <row r="192" spans="1:19" ht="48.75" x14ac:dyDescent="0.25">
      <c r="A192" s="63">
        <v>186</v>
      </c>
      <c r="B192" s="55" t="s">
        <v>4298</v>
      </c>
      <c r="C192" s="64">
        <v>44670</v>
      </c>
      <c r="D192" s="64">
        <v>44670</v>
      </c>
      <c r="E192" s="65">
        <v>2</v>
      </c>
      <c r="F192" s="24" t="s">
        <v>22</v>
      </c>
      <c r="G192" s="55" t="s">
        <v>30</v>
      </c>
      <c r="H192" s="55" t="s">
        <v>24</v>
      </c>
      <c r="I192" s="55" t="s">
        <v>30</v>
      </c>
      <c r="J192" s="66">
        <v>44671</v>
      </c>
      <c r="K192" s="66">
        <v>44671</v>
      </c>
      <c r="L192" s="67">
        <f t="shared" si="4"/>
        <v>1</v>
      </c>
      <c r="M192" s="59" t="s">
        <v>4299</v>
      </c>
      <c r="N192" s="68" t="s">
        <v>26</v>
      </c>
      <c r="O192" s="55" t="s">
        <v>2365</v>
      </c>
      <c r="P192" s="55" t="s">
        <v>4300</v>
      </c>
      <c r="Q192" s="68" t="str">
        <f t="shared" si="5"/>
        <v>DENTRO DEL TIEMPO</v>
      </c>
      <c r="R192" s="6"/>
      <c r="S192" s="69"/>
    </row>
    <row r="193" spans="1:19" ht="48.75" x14ac:dyDescent="0.25">
      <c r="A193" s="63">
        <v>187</v>
      </c>
      <c r="B193" s="55" t="s">
        <v>4301</v>
      </c>
      <c r="C193" s="64">
        <v>44671</v>
      </c>
      <c r="D193" s="64">
        <v>44671</v>
      </c>
      <c r="E193" s="65">
        <v>2</v>
      </c>
      <c r="F193" s="24" t="s">
        <v>22</v>
      </c>
      <c r="G193" s="55" t="s">
        <v>30</v>
      </c>
      <c r="H193" s="55" t="s">
        <v>24</v>
      </c>
      <c r="I193" s="55" t="s">
        <v>30</v>
      </c>
      <c r="J193" s="66">
        <v>44671</v>
      </c>
      <c r="K193" s="66">
        <v>44671</v>
      </c>
      <c r="L193" s="67">
        <f t="shared" si="4"/>
        <v>0</v>
      </c>
      <c r="M193" s="59" t="s">
        <v>4302</v>
      </c>
      <c r="N193" s="68" t="s">
        <v>26</v>
      </c>
      <c r="O193" s="55" t="s">
        <v>3911</v>
      </c>
      <c r="P193" s="55" t="s">
        <v>3816</v>
      </c>
      <c r="Q193" s="68" t="str">
        <f t="shared" si="5"/>
        <v>DENTRO DEL TIEMPO</v>
      </c>
      <c r="R193" s="6"/>
      <c r="S193" s="69"/>
    </row>
    <row r="194" spans="1:19" ht="48.75" x14ac:dyDescent="0.25">
      <c r="A194" s="63">
        <v>188</v>
      </c>
      <c r="B194" s="55" t="s">
        <v>4303</v>
      </c>
      <c r="C194" s="64">
        <v>44671</v>
      </c>
      <c r="D194" s="64">
        <v>44671</v>
      </c>
      <c r="E194" s="65">
        <v>2</v>
      </c>
      <c r="F194" s="24" t="s">
        <v>22</v>
      </c>
      <c r="G194" s="55" t="s">
        <v>30</v>
      </c>
      <c r="H194" s="55" t="s">
        <v>24</v>
      </c>
      <c r="I194" s="55" t="s">
        <v>30</v>
      </c>
      <c r="J194" s="66">
        <v>44671</v>
      </c>
      <c r="K194" s="66">
        <v>44671</v>
      </c>
      <c r="L194" s="67">
        <f t="shared" si="4"/>
        <v>0</v>
      </c>
      <c r="M194" s="59" t="s">
        <v>4304</v>
      </c>
      <c r="N194" s="68" t="s">
        <v>26</v>
      </c>
      <c r="O194" s="55" t="s">
        <v>2350</v>
      </c>
      <c r="P194" s="55" t="s">
        <v>3888</v>
      </c>
      <c r="Q194" s="68" t="str">
        <f t="shared" si="5"/>
        <v>DENTRO DEL TIEMPO</v>
      </c>
      <c r="R194" s="6"/>
      <c r="S194" s="69"/>
    </row>
    <row r="195" spans="1:19" ht="48.75" x14ac:dyDescent="0.25">
      <c r="A195" s="63">
        <v>189</v>
      </c>
      <c r="B195" s="55" t="s">
        <v>4305</v>
      </c>
      <c r="C195" s="64">
        <v>44671</v>
      </c>
      <c r="D195" s="64">
        <v>44671</v>
      </c>
      <c r="E195" s="65">
        <v>2</v>
      </c>
      <c r="F195" s="24" t="s">
        <v>22</v>
      </c>
      <c r="G195" s="55" t="s">
        <v>30</v>
      </c>
      <c r="H195" s="55" t="s">
        <v>24</v>
      </c>
      <c r="I195" s="55" t="s">
        <v>30</v>
      </c>
      <c r="J195" s="66">
        <v>44671</v>
      </c>
      <c r="K195" s="66">
        <v>44671</v>
      </c>
      <c r="L195" s="67">
        <f t="shared" si="4"/>
        <v>0</v>
      </c>
      <c r="M195" s="59" t="s">
        <v>4306</v>
      </c>
      <c r="N195" s="68" t="s">
        <v>26</v>
      </c>
      <c r="O195" s="55" t="s">
        <v>3911</v>
      </c>
      <c r="P195" s="55" t="s">
        <v>3816</v>
      </c>
      <c r="Q195" s="68" t="str">
        <f t="shared" si="5"/>
        <v>DENTRO DEL TIEMPO</v>
      </c>
      <c r="R195" s="6"/>
      <c r="S195" s="69"/>
    </row>
    <row r="196" spans="1:19" ht="48.75" x14ac:dyDescent="0.25">
      <c r="A196" s="63">
        <v>190</v>
      </c>
      <c r="B196" s="55" t="s">
        <v>4307</v>
      </c>
      <c r="C196" s="64">
        <v>44671</v>
      </c>
      <c r="D196" s="64">
        <v>44671</v>
      </c>
      <c r="E196" s="65">
        <v>2</v>
      </c>
      <c r="F196" s="24" t="s">
        <v>22</v>
      </c>
      <c r="G196" s="55" t="s">
        <v>30</v>
      </c>
      <c r="H196" s="55" t="s">
        <v>24</v>
      </c>
      <c r="I196" s="55" t="s">
        <v>30</v>
      </c>
      <c r="J196" s="66">
        <v>44671</v>
      </c>
      <c r="K196" s="66">
        <v>44671</v>
      </c>
      <c r="L196" s="67">
        <f t="shared" si="4"/>
        <v>0</v>
      </c>
      <c r="M196" s="59" t="s">
        <v>4308</v>
      </c>
      <c r="N196" s="68" t="s">
        <v>26</v>
      </c>
      <c r="O196" s="55" t="s">
        <v>4309</v>
      </c>
      <c r="P196" s="55" t="s">
        <v>4310</v>
      </c>
      <c r="Q196" s="68" t="str">
        <f t="shared" si="5"/>
        <v>DENTRO DEL TIEMPO</v>
      </c>
      <c r="R196" s="6"/>
      <c r="S196" s="69"/>
    </row>
    <row r="197" spans="1:19" ht="48.75" x14ac:dyDescent="0.25">
      <c r="A197" s="63">
        <v>191</v>
      </c>
      <c r="B197" s="55" t="s">
        <v>4311</v>
      </c>
      <c r="C197" s="64">
        <v>44671</v>
      </c>
      <c r="D197" s="64">
        <v>44671</v>
      </c>
      <c r="E197" s="65">
        <v>2</v>
      </c>
      <c r="F197" s="24" t="s">
        <v>22</v>
      </c>
      <c r="G197" s="55" t="s">
        <v>30</v>
      </c>
      <c r="H197" s="55" t="s">
        <v>24</v>
      </c>
      <c r="I197" s="55" t="s">
        <v>30</v>
      </c>
      <c r="J197" s="66">
        <v>44671</v>
      </c>
      <c r="K197" s="66">
        <v>44671</v>
      </c>
      <c r="L197" s="67">
        <f t="shared" si="4"/>
        <v>0</v>
      </c>
      <c r="M197" s="59" t="s">
        <v>4312</v>
      </c>
      <c r="N197" s="68" t="s">
        <v>26</v>
      </c>
      <c r="O197" s="55" t="s">
        <v>4313</v>
      </c>
      <c r="P197" s="55" t="s">
        <v>4314</v>
      </c>
      <c r="Q197" s="68" t="str">
        <f t="shared" si="5"/>
        <v>DENTRO DEL TIEMPO</v>
      </c>
      <c r="R197" s="6"/>
      <c r="S197" s="69"/>
    </row>
    <row r="198" spans="1:19" ht="48.75" x14ac:dyDescent="0.25">
      <c r="A198" s="63">
        <v>192</v>
      </c>
      <c r="B198" s="55" t="s">
        <v>4315</v>
      </c>
      <c r="C198" s="64">
        <v>44671</v>
      </c>
      <c r="D198" s="64">
        <v>44671</v>
      </c>
      <c r="E198" s="65">
        <v>2</v>
      </c>
      <c r="F198" s="24" t="s">
        <v>22</v>
      </c>
      <c r="G198" s="55" t="s">
        <v>30</v>
      </c>
      <c r="H198" s="55" t="s">
        <v>24</v>
      </c>
      <c r="I198" s="55" t="s">
        <v>30</v>
      </c>
      <c r="J198" s="66">
        <v>44672</v>
      </c>
      <c r="K198" s="66">
        <v>44672</v>
      </c>
      <c r="L198" s="67">
        <f t="shared" si="4"/>
        <v>1</v>
      </c>
      <c r="M198" s="59" t="s">
        <v>4316</v>
      </c>
      <c r="N198" s="68" t="s">
        <v>26</v>
      </c>
      <c r="O198" s="55" t="s">
        <v>2456</v>
      </c>
      <c r="P198" s="55" t="s">
        <v>4317</v>
      </c>
      <c r="Q198" s="68" t="str">
        <f t="shared" si="5"/>
        <v>DENTRO DEL TIEMPO</v>
      </c>
      <c r="R198" s="6"/>
      <c r="S198" s="69"/>
    </row>
    <row r="199" spans="1:19" ht="48.75" x14ac:dyDescent="0.25">
      <c r="A199" s="63">
        <v>193</v>
      </c>
      <c r="B199" s="55" t="s">
        <v>4318</v>
      </c>
      <c r="C199" s="64">
        <v>44671</v>
      </c>
      <c r="D199" s="64">
        <v>44671</v>
      </c>
      <c r="E199" s="65">
        <v>2</v>
      </c>
      <c r="F199" s="24" t="s">
        <v>22</v>
      </c>
      <c r="G199" s="55" t="s">
        <v>30</v>
      </c>
      <c r="H199" s="55" t="s">
        <v>24</v>
      </c>
      <c r="I199" s="55" t="s">
        <v>30</v>
      </c>
      <c r="J199" s="66">
        <v>44672</v>
      </c>
      <c r="K199" s="66">
        <v>44672</v>
      </c>
      <c r="L199" s="67">
        <f t="shared" si="4"/>
        <v>1</v>
      </c>
      <c r="M199" s="59" t="s">
        <v>4319</v>
      </c>
      <c r="N199" s="68" t="s">
        <v>26</v>
      </c>
      <c r="O199" s="55" t="s">
        <v>2456</v>
      </c>
      <c r="P199" s="55" t="s">
        <v>4317</v>
      </c>
      <c r="Q199" s="68" t="str">
        <f t="shared" si="5"/>
        <v>DENTRO DEL TIEMPO</v>
      </c>
      <c r="R199" s="6"/>
      <c r="S199" s="69"/>
    </row>
    <row r="200" spans="1:19" ht="48.75" x14ac:dyDescent="0.25">
      <c r="A200" s="63">
        <v>194</v>
      </c>
      <c r="B200" s="55" t="s">
        <v>4320</v>
      </c>
      <c r="C200" s="64">
        <v>44671</v>
      </c>
      <c r="D200" s="64">
        <v>44671</v>
      </c>
      <c r="E200" s="65">
        <v>2</v>
      </c>
      <c r="F200" s="24" t="s">
        <v>22</v>
      </c>
      <c r="G200" s="55" t="s">
        <v>30</v>
      </c>
      <c r="H200" s="55" t="s">
        <v>24</v>
      </c>
      <c r="I200" s="55" t="s">
        <v>30</v>
      </c>
      <c r="J200" s="66">
        <v>44672</v>
      </c>
      <c r="K200" s="66">
        <v>44672</v>
      </c>
      <c r="L200" s="67">
        <f t="shared" ref="L200:L263" si="6">+NETWORKDAYS(D200,K200,$R$7:$R$10)-1</f>
        <v>1</v>
      </c>
      <c r="M200" s="59" t="s">
        <v>4321</v>
      </c>
      <c r="N200" s="68" t="s">
        <v>26</v>
      </c>
      <c r="O200" s="55" t="s">
        <v>2710</v>
      </c>
      <c r="P200" s="55" t="s">
        <v>4322</v>
      </c>
      <c r="Q200" s="68" t="str">
        <f t="shared" ref="Q200:Q263" si="7">IF(L200&gt;15,"FUERA DE TIEMPO","DENTRO DEL TIEMPO")</f>
        <v>DENTRO DEL TIEMPO</v>
      </c>
      <c r="R200" s="6"/>
      <c r="S200" s="69"/>
    </row>
    <row r="201" spans="1:19" ht="48.75" x14ac:dyDescent="0.25">
      <c r="A201" s="63">
        <v>195</v>
      </c>
      <c r="B201" s="55" t="s">
        <v>4323</v>
      </c>
      <c r="C201" s="64">
        <v>44671</v>
      </c>
      <c r="D201" s="64">
        <v>44671</v>
      </c>
      <c r="E201" s="65">
        <v>2</v>
      </c>
      <c r="F201" s="24" t="s">
        <v>22</v>
      </c>
      <c r="G201" s="55" t="s">
        <v>30</v>
      </c>
      <c r="H201" s="55" t="s">
        <v>24</v>
      </c>
      <c r="I201" s="55" t="s">
        <v>30</v>
      </c>
      <c r="J201" s="66">
        <v>44672</v>
      </c>
      <c r="K201" s="66">
        <v>44672</v>
      </c>
      <c r="L201" s="67">
        <f t="shared" si="6"/>
        <v>1</v>
      </c>
      <c r="M201" s="59" t="s">
        <v>4324</v>
      </c>
      <c r="N201" s="68" t="s">
        <v>26</v>
      </c>
      <c r="O201" s="55" t="s">
        <v>3134</v>
      </c>
      <c r="P201" s="55" t="s">
        <v>3758</v>
      </c>
      <c r="Q201" s="68" t="str">
        <f t="shared" si="7"/>
        <v>DENTRO DEL TIEMPO</v>
      </c>
      <c r="R201" s="6"/>
      <c r="S201" s="69"/>
    </row>
    <row r="202" spans="1:19" ht="48.75" x14ac:dyDescent="0.25">
      <c r="A202" s="63">
        <v>196</v>
      </c>
      <c r="B202" s="55" t="s">
        <v>4325</v>
      </c>
      <c r="C202" s="64">
        <v>44671</v>
      </c>
      <c r="D202" s="64">
        <v>44671</v>
      </c>
      <c r="E202" s="65">
        <v>2</v>
      </c>
      <c r="F202" s="24" t="s">
        <v>22</v>
      </c>
      <c r="G202" s="55" t="s">
        <v>30</v>
      </c>
      <c r="H202" s="55" t="s">
        <v>24</v>
      </c>
      <c r="I202" s="55" t="s">
        <v>30</v>
      </c>
      <c r="J202" s="66">
        <v>44672</v>
      </c>
      <c r="K202" s="66">
        <v>44672</v>
      </c>
      <c r="L202" s="67">
        <f t="shared" si="6"/>
        <v>1</v>
      </c>
      <c r="M202" s="59" t="s">
        <v>4326</v>
      </c>
      <c r="N202" s="68" t="s">
        <v>26</v>
      </c>
      <c r="O202" s="55" t="s">
        <v>4327</v>
      </c>
      <c r="P202" s="55" t="s">
        <v>4328</v>
      </c>
      <c r="Q202" s="68" t="str">
        <f t="shared" si="7"/>
        <v>DENTRO DEL TIEMPO</v>
      </c>
      <c r="R202" s="6"/>
      <c r="S202" s="69"/>
    </row>
    <row r="203" spans="1:19" ht="48.75" x14ac:dyDescent="0.25">
      <c r="A203" s="63">
        <v>197</v>
      </c>
      <c r="B203" s="55" t="s">
        <v>4329</v>
      </c>
      <c r="C203" s="64">
        <v>44671</v>
      </c>
      <c r="D203" s="64">
        <v>44671</v>
      </c>
      <c r="E203" s="65">
        <v>2</v>
      </c>
      <c r="F203" s="24" t="s">
        <v>22</v>
      </c>
      <c r="G203" s="55" t="s">
        <v>30</v>
      </c>
      <c r="H203" s="55" t="s">
        <v>24</v>
      </c>
      <c r="I203" s="55" t="s">
        <v>30</v>
      </c>
      <c r="J203" s="66">
        <v>44672</v>
      </c>
      <c r="K203" s="66">
        <v>44672</v>
      </c>
      <c r="L203" s="67">
        <f t="shared" si="6"/>
        <v>1</v>
      </c>
      <c r="M203" s="59" t="s">
        <v>4330</v>
      </c>
      <c r="N203" s="68" t="s">
        <v>26</v>
      </c>
      <c r="O203" s="55" t="s">
        <v>4331</v>
      </c>
      <c r="P203" s="55" t="s">
        <v>3816</v>
      </c>
      <c r="Q203" s="68" t="str">
        <f t="shared" si="7"/>
        <v>DENTRO DEL TIEMPO</v>
      </c>
      <c r="R203" s="6"/>
      <c r="S203" s="69"/>
    </row>
    <row r="204" spans="1:19" ht="48.75" x14ac:dyDescent="0.25">
      <c r="A204" s="63">
        <v>198</v>
      </c>
      <c r="B204" s="55" t="s">
        <v>4332</v>
      </c>
      <c r="C204" s="64">
        <v>44671</v>
      </c>
      <c r="D204" s="64">
        <v>44671</v>
      </c>
      <c r="E204" s="65">
        <v>2</v>
      </c>
      <c r="F204" s="24" t="s">
        <v>22</v>
      </c>
      <c r="G204" s="55" t="s">
        <v>30</v>
      </c>
      <c r="H204" s="55" t="s">
        <v>24</v>
      </c>
      <c r="I204" s="55" t="s">
        <v>30</v>
      </c>
      <c r="J204" s="66">
        <v>44672</v>
      </c>
      <c r="K204" s="66">
        <v>44672</v>
      </c>
      <c r="L204" s="67">
        <f t="shared" si="6"/>
        <v>1</v>
      </c>
      <c r="M204" s="59" t="s">
        <v>4333</v>
      </c>
      <c r="N204" s="68" t="s">
        <v>26</v>
      </c>
      <c r="O204" s="55" t="s">
        <v>2333</v>
      </c>
      <c r="P204" s="55" t="s">
        <v>3816</v>
      </c>
      <c r="Q204" s="68" t="str">
        <f t="shared" si="7"/>
        <v>DENTRO DEL TIEMPO</v>
      </c>
      <c r="R204" s="6"/>
      <c r="S204" s="69"/>
    </row>
    <row r="205" spans="1:19" ht="48.75" x14ac:dyDescent="0.25">
      <c r="A205" s="63">
        <v>199</v>
      </c>
      <c r="B205" s="55" t="s">
        <v>4334</v>
      </c>
      <c r="C205" s="64">
        <v>44671</v>
      </c>
      <c r="D205" s="64">
        <v>44671</v>
      </c>
      <c r="E205" s="65">
        <v>2</v>
      </c>
      <c r="F205" s="24" t="s">
        <v>22</v>
      </c>
      <c r="G205" s="55" t="s">
        <v>30</v>
      </c>
      <c r="H205" s="55" t="s">
        <v>24</v>
      </c>
      <c r="I205" s="55" t="s">
        <v>30</v>
      </c>
      <c r="J205" s="66">
        <v>44672</v>
      </c>
      <c r="K205" s="66">
        <v>44672</v>
      </c>
      <c r="L205" s="67">
        <f t="shared" si="6"/>
        <v>1</v>
      </c>
      <c r="M205" s="59" t="s">
        <v>4335</v>
      </c>
      <c r="N205" s="68" t="s">
        <v>26</v>
      </c>
      <c r="O205" s="55" t="s">
        <v>2320</v>
      </c>
      <c r="P205" s="55" t="s">
        <v>3816</v>
      </c>
      <c r="Q205" s="68" t="str">
        <f t="shared" si="7"/>
        <v>DENTRO DEL TIEMPO</v>
      </c>
      <c r="R205" s="6"/>
      <c r="S205" s="69"/>
    </row>
    <row r="206" spans="1:19" ht="48.75" x14ac:dyDescent="0.25">
      <c r="A206" s="63">
        <v>200</v>
      </c>
      <c r="B206" s="55" t="s">
        <v>4336</v>
      </c>
      <c r="C206" s="64">
        <v>44671</v>
      </c>
      <c r="D206" s="64">
        <v>44671</v>
      </c>
      <c r="E206" s="65">
        <v>2</v>
      </c>
      <c r="F206" s="24" t="s">
        <v>22</v>
      </c>
      <c r="G206" s="55" t="s">
        <v>30</v>
      </c>
      <c r="H206" s="55" t="s">
        <v>24</v>
      </c>
      <c r="I206" s="55" t="s">
        <v>30</v>
      </c>
      <c r="J206" s="66">
        <v>44672</v>
      </c>
      <c r="K206" s="66">
        <v>44672</v>
      </c>
      <c r="L206" s="67">
        <f t="shared" si="6"/>
        <v>1</v>
      </c>
      <c r="M206" s="59" t="s">
        <v>4337</v>
      </c>
      <c r="N206" s="68" t="s">
        <v>26</v>
      </c>
      <c r="O206" s="55" t="s">
        <v>2320</v>
      </c>
      <c r="P206" s="55" t="s">
        <v>3816</v>
      </c>
      <c r="Q206" s="68" t="str">
        <f t="shared" si="7"/>
        <v>DENTRO DEL TIEMPO</v>
      </c>
      <c r="R206" s="6"/>
      <c r="S206" s="69"/>
    </row>
    <row r="207" spans="1:19" ht="48.75" x14ac:dyDescent="0.25">
      <c r="A207" s="63">
        <v>201</v>
      </c>
      <c r="B207" s="55" t="s">
        <v>4338</v>
      </c>
      <c r="C207" s="64">
        <v>44671</v>
      </c>
      <c r="D207" s="64">
        <v>44671</v>
      </c>
      <c r="E207" s="65">
        <v>2</v>
      </c>
      <c r="F207" s="24" t="s">
        <v>22</v>
      </c>
      <c r="G207" s="55" t="s">
        <v>30</v>
      </c>
      <c r="H207" s="55" t="s">
        <v>24</v>
      </c>
      <c r="I207" s="55" t="s">
        <v>30</v>
      </c>
      <c r="J207" s="66">
        <v>44672</v>
      </c>
      <c r="K207" s="66">
        <v>44672</v>
      </c>
      <c r="L207" s="67">
        <f t="shared" si="6"/>
        <v>1</v>
      </c>
      <c r="M207" s="59" t="s">
        <v>4339</v>
      </c>
      <c r="N207" s="68" t="s">
        <v>26</v>
      </c>
      <c r="O207" s="55" t="s">
        <v>2313</v>
      </c>
      <c r="P207" s="55" t="s">
        <v>4340</v>
      </c>
      <c r="Q207" s="68" t="str">
        <f t="shared" si="7"/>
        <v>DENTRO DEL TIEMPO</v>
      </c>
      <c r="R207" s="6"/>
      <c r="S207" s="69"/>
    </row>
    <row r="208" spans="1:19" ht="48.75" x14ac:dyDescent="0.25">
      <c r="A208" s="63">
        <v>202</v>
      </c>
      <c r="B208" s="55" t="s">
        <v>4341</v>
      </c>
      <c r="C208" s="64">
        <v>44671</v>
      </c>
      <c r="D208" s="64">
        <v>44671</v>
      </c>
      <c r="E208" s="65">
        <v>2</v>
      </c>
      <c r="F208" s="24" t="s">
        <v>22</v>
      </c>
      <c r="G208" s="55" t="s">
        <v>30</v>
      </c>
      <c r="H208" s="55" t="s">
        <v>24</v>
      </c>
      <c r="I208" s="55" t="s">
        <v>30</v>
      </c>
      <c r="J208" s="66">
        <v>44672</v>
      </c>
      <c r="K208" s="66">
        <v>44672</v>
      </c>
      <c r="L208" s="67">
        <f t="shared" si="6"/>
        <v>1</v>
      </c>
      <c r="M208" s="59" t="s">
        <v>4342</v>
      </c>
      <c r="N208" s="68" t="s">
        <v>26</v>
      </c>
      <c r="O208" s="55" t="s">
        <v>2557</v>
      </c>
      <c r="P208" s="55" t="s">
        <v>4343</v>
      </c>
      <c r="Q208" s="68" t="str">
        <f t="shared" si="7"/>
        <v>DENTRO DEL TIEMPO</v>
      </c>
      <c r="R208" s="6"/>
      <c r="S208" s="69"/>
    </row>
    <row r="209" spans="1:19" ht="48.75" x14ac:dyDescent="0.25">
      <c r="A209" s="63">
        <v>203</v>
      </c>
      <c r="B209" s="55" t="s">
        <v>4344</v>
      </c>
      <c r="C209" s="64">
        <v>44671</v>
      </c>
      <c r="D209" s="64">
        <v>44671</v>
      </c>
      <c r="E209" s="65">
        <v>2</v>
      </c>
      <c r="F209" s="24" t="s">
        <v>22</v>
      </c>
      <c r="G209" s="55" t="s">
        <v>30</v>
      </c>
      <c r="H209" s="55" t="s">
        <v>24</v>
      </c>
      <c r="I209" s="55" t="s">
        <v>30</v>
      </c>
      <c r="J209" s="66">
        <v>44672</v>
      </c>
      <c r="K209" s="66">
        <v>44672</v>
      </c>
      <c r="L209" s="67">
        <f t="shared" si="6"/>
        <v>1</v>
      </c>
      <c r="M209" s="59" t="s">
        <v>4345</v>
      </c>
      <c r="N209" s="68" t="s">
        <v>26</v>
      </c>
      <c r="O209" s="55" t="s">
        <v>2557</v>
      </c>
      <c r="P209" s="55" t="s">
        <v>4343</v>
      </c>
      <c r="Q209" s="68" t="str">
        <f t="shared" si="7"/>
        <v>DENTRO DEL TIEMPO</v>
      </c>
      <c r="R209" s="6"/>
      <c r="S209" s="69"/>
    </row>
    <row r="210" spans="1:19" ht="48.75" x14ac:dyDescent="0.25">
      <c r="A210" s="63">
        <v>204</v>
      </c>
      <c r="B210" s="55" t="s">
        <v>4346</v>
      </c>
      <c r="C210" s="64">
        <v>44671</v>
      </c>
      <c r="D210" s="64">
        <v>44671</v>
      </c>
      <c r="E210" s="65">
        <v>2</v>
      </c>
      <c r="F210" s="24" t="s">
        <v>22</v>
      </c>
      <c r="G210" s="55" t="s">
        <v>30</v>
      </c>
      <c r="H210" s="55" t="s">
        <v>24</v>
      </c>
      <c r="I210" s="55" t="s">
        <v>30</v>
      </c>
      <c r="J210" s="66">
        <v>44672</v>
      </c>
      <c r="K210" s="66">
        <v>44672</v>
      </c>
      <c r="L210" s="67">
        <f t="shared" si="6"/>
        <v>1</v>
      </c>
      <c r="M210" s="59" t="s">
        <v>4347</v>
      </c>
      <c r="N210" s="68" t="s">
        <v>26</v>
      </c>
      <c r="O210" s="55" t="s">
        <v>2557</v>
      </c>
      <c r="P210" s="55" t="s">
        <v>4343</v>
      </c>
      <c r="Q210" s="68" t="str">
        <f t="shared" si="7"/>
        <v>DENTRO DEL TIEMPO</v>
      </c>
      <c r="R210" s="6"/>
      <c r="S210" s="69"/>
    </row>
    <row r="211" spans="1:19" ht="58.5" x14ac:dyDescent="0.25">
      <c r="A211" s="63">
        <v>205</v>
      </c>
      <c r="B211" s="59" t="s">
        <v>4348</v>
      </c>
      <c r="C211" s="64">
        <v>44671</v>
      </c>
      <c r="D211" s="64">
        <v>44673</v>
      </c>
      <c r="E211" s="65">
        <v>2</v>
      </c>
      <c r="F211" s="24" t="s">
        <v>22</v>
      </c>
      <c r="G211" s="55" t="s">
        <v>30</v>
      </c>
      <c r="H211" s="55" t="s">
        <v>24</v>
      </c>
      <c r="I211" s="55" t="s">
        <v>30</v>
      </c>
      <c r="J211" s="66">
        <v>44684</v>
      </c>
      <c r="K211" s="66">
        <v>44684</v>
      </c>
      <c r="L211" s="67">
        <f t="shared" si="6"/>
        <v>7</v>
      </c>
      <c r="M211" s="59" t="s">
        <v>4349</v>
      </c>
      <c r="N211" s="68" t="s">
        <v>26</v>
      </c>
      <c r="O211" s="55" t="s">
        <v>4350</v>
      </c>
      <c r="P211" s="55" t="s">
        <v>4351</v>
      </c>
      <c r="Q211" s="68" t="str">
        <f t="shared" si="7"/>
        <v>DENTRO DEL TIEMPO</v>
      </c>
      <c r="R211" s="6"/>
      <c r="S211" s="69"/>
    </row>
    <row r="212" spans="1:19" ht="48.75" x14ac:dyDescent="0.25">
      <c r="A212" s="63">
        <v>206</v>
      </c>
      <c r="B212" s="55" t="s">
        <v>4352</v>
      </c>
      <c r="C212" s="64">
        <v>44671</v>
      </c>
      <c r="D212" s="64">
        <v>44671</v>
      </c>
      <c r="E212" s="65">
        <v>2</v>
      </c>
      <c r="F212" s="24" t="s">
        <v>22</v>
      </c>
      <c r="G212" s="55" t="s">
        <v>30</v>
      </c>
      <c r="H212" s="55" t="s">
        <v>24</v>
      </c>
      <c r="I212" s="55" t="s">
        <v>30</v>
      </c>
      <c r="J212" s="66">
        <v>44672</v>
      </c>
      <c r="K212" s="66">
        <v>44672</v>
      </c>
      <c r="L212" s="67">
        <f t="shared" si="6"/>
        <v>1</v>
      </c>
      <c r="M212" s="59" t="s">
        <v>4353</v>
      </c>
      <c r="N212" s="68" t="s">
        <v>26</v>
      </c>
      <c r="O212" s="55" t="s">
        <v>3275</v>
      </c>
      <c r="P212" s="55" t="s">
        <v>3919</v>
      </c>
      <c r="Q212" s="68" t="str">
        <f t="shared" si="7"/>
        <v>DENTRO DEL TIEMPO</v>
      </c>
      <c r="R212" s="6"/>
      <c r="S212" s="69"/>
    </row>
    <row r="213" spans="1:19" ht="48.75" x14ac:dyDescent="0.25">
      <c r="A213" s="63">
        <v>207</v>
      </c>
      <c r="B213" s="55" t="s">
        <v>4354</v>
      </c>
      <c r="C213" s="64">
        <v>44671</v>
      </c>
      <c r="D213" s="64">
        <v>44671</v>
      </c>
      <c r="E213" s="65">
        <v>2</v>
      </c>
      <c r="F213" s="24" t="s">
        <v>22</v>
      </c>
      <c r="G213" s="55" t="s">
        <v>30</v>
      </c>
      <c r="H213" s="55" t="s">
        <v>24</v>
      </c>
      <c r="I213" s="55" t="s">
        <v>30</v>
      </c>
      <c r="J213" s="66">
        <v>44673</v>
      </c>
      <c r="K213" s="66">
        <v>44673</v>
      </c>
      <c r="L213" s="67">
        <f t="shared" si="6"/>
        <v>2</v>
      </c>
      <c r="M213" s="59" t="s">
        <v>4355</v>
      </c>
      <c r="N213" s="68" t="s">
        <v>26</v>
      </c>
      <c r="O213" s="55" t="s">
        <v>4356</v>
      </c>
      <c r="P213" s="55" t="s">
        <v>4357</v>
      </c>
      <c r="Q213" s="68" t="str">
        <f t="shared" si="7"/>
        <v>DENTRO DEL TIEMPO</v>
      </c>
      <c r="R213" s="6"/>
      <c r="S213" s="69"/>
    </row>
    <row r="214" spans="1:19" ht="48.75" x14ac:dyDescent="0.25">
      <c r="A214" s="63">
        <v>208</v>
      </c>
      <c r="B214" s="55" t="s">
        <v>4358</v>
      </c>
      <c r="C214" s="64">
        <v>44672</v>
      </c>
      <c r="D214" s="64">
        <v>44672</v>
      </c>
      <c r="E214" s="65">
        <v>2</v>
      </c>
      <c r="F214" s="24" t="s">
        <v>22</v>
      </c>
      <c r="G214" s="55" t="s">
        <v>30</v>
      </c>
      <c r="H214" s="55" t="s">
        <v>24</v>
      </c>
      <c r="I214" s="55" t="s">
        <v>30</v>
      </c>
      <c r="J214" s="66">
        <v>44673</v>
      </c>
      <c r="K214" s="66">
        <v>44673</v>
      </c>
      <c r="L214" s="67">
        <f t="shared" si="6"/>
        <v>1</v>
      </c>
      <c r="M214" s="59" t="s">
        <v>4359</v>
      </c>
      <c r="N214" s="68" t="s">
        <v>26</v>
      </c>
      <c r="O214" s="55" t="s">
        <v>4360</v>
      </c>
      <c r="P214" s="55" t="s">
        <v>3780</v>
      </c>
      <c r="Q214" s="68" t="str">
        <f t="shared" si="7"/>
        <v>DENTRO DEL TIEMPO</v>
      </c>
      <c r="R214" s="6"/>
      <c r="S214" s="69"/>
    </row>
    <row r="215" spans="1:19" ht="48.75" x14ac:dyDescent="0.25">
      <c r="A215" s="63">
        <v>209</v>
      </c>
      <c r="B215" s="55" t="s">
        <v>4361</v>
      </c>
      <c r="C215" s="64">
        <v>44672</v>
      </c>
      <c r="D215" s="64">
        <v>44672</v>
      </c>
      <c r="E215" s="65">
        <v>2</v>
      </c>
      <c r="F215" s="24" t="s">
        <v>22</v>
      </c>
      <c r="G215" s="55" t="s">
        <v>30</v>
      </c>
      <c r="H215" s="55" t="s">
        <v>24</v>
      </c>
      <c r="I215" s="55" t="s">
        <v>30</v>
      </c>
      <c r="J215" s="66">
        <v>44673</v>
      </c>
      <c r="K215" s="66">
        <v>44673</v>
      </c>
      <c r="L215" s="67">
        <f t="shared" si="6"/>
        <v>1</v>
      </c>
      <c r="M215" s="59" t="s">
        <v>4362</v>
      </c>
      <c r="N215" s="68" t="s">
        <v>26</v>
      </c>
      <c r="O215" s="55" t="s">
        <v>3275</v>
      </c>
      <c r="P215" s="55" t="s">
        <v>4363</v>
      </c>
      <c r="Q215" s="68" t="str">
        <f t="shared" si="7"/>
        <v>DENTRO DEL TIEMPO</v>
      </c>
      <c r="R215" s="6"/>
      <c r="S215" s="69"/>
    </row>
    <row r="216" spans="1:19" ht="48.75" x14ac:dyDescent="0.25">
      <c r="A216" s="63">
        <v>210</v>
      </c>
      <c r="B216" s="55" t="s">
        <v>4364</v>
      </c>
      <c r="C216" s="64">
        <v>44672</v>
      </c>
      <c r="D216" s="64">
        <v>44672</v>
      </c>
      <c r="E216" s="65">
        <v>2</v>
      </c>
      <c r="F216" s="24" t="s">
        <v>22</v>
      </c>
      <c r="G216" s="55" t="s">
        <v>30</v>
      </c>
      <c r="H216" s="55" t="s">
        <v>24</v>
      </c>
      <c r="I216" s="55" t="s">
        <v>30</v>
      </c>
      <c r="J216" s="66">
        <v>44673</v>
      </c>
      <c r="K216" s="66">
        <v>44673</v>
      </c>
      <c r="L216" s="67">
        <f t="shared" si="6"/>
        <v>1</v>
      </c>
      <c r="M216" s="59" t="s">
        <v>4365</v>
      </c>
      <c r="N216" s="68" t="s">
        <v>26</v>
      </c>
      <c r="O216" s="55" t="s">
        <v>2583</v>
      </c>
      <c r="P216" s="55" t="s">
        <v>4366</v>
      </c>
      <c r="Q216" s="68" t="str">
        <f t="shared" si="7"/>
        <v>DENTRO DEL TIEMPO</v>
      </c>
      <c r="R216" s="6"/>
      <c r="S216" s="69"/>
    </row>
    <row r="217" spans="1:19" ht="48.75" x14ac:dyDescent="0.25">
      <c r="A217" s="63">
        <v>211</v>
      </c>
      <c r="B217" s="55" t="s">
        <v>4367</v>
      </c>
      <c r="C217" s="64">
        <v>44672</v>
      </c>
      <c r="D217" s="64">
        <v>44672</v>
      </c>
      <c r="E217" s="65">
        <v>2</v>
      </c>
      <c r="F217" s="24" t="s">
        <v>22</v>
      </c>
      <c r="G217" s="55" t="s">
        <v>30</v>
      </c>
      <c r="H217" s="55" t="s">
        <v>24</v>
      </c>
      <c r="I217" s="55" t="s">
        <v>30</v>
      </c>
      <c r="J217" s="66">
        <v>44673</v>
      </c>
      <c r="K217" s="66">
        <v>44673</v>
      </c>
      <c r="L217" s="67">
        <f t="shared" si="6"/>
        <v>1</v>
      </c>
      <c r="M217" s="59" t="s">
        <v>4368</v>
      </c>
      <c r="N217" s="68" t="s">
        <v>26</v>
      </c>
      <c r="O217" s="55" t="s">
        <v>4369</v>
      </c>
      <c r="P217" s="55" t="s">
        <v>4370</v>
      </c>
      <c r="Q217" s="68" t="str">
        <f t="shared" si="7"/>
        <v>DENTRO DEL TIEMPO</v>
      </c>
      <c r="R217" s="6"/>
      <c r="S217" s="69"/>
    </row>
    <row r="218" spans="1:19" ht="48.75" x14ac:dyDescent="0.25">
      <c r="A218" s="63">
        <v>212</v>
      </c>
      <c r="B218" s="55" t="s">
        <v>4371</v>
      </c>
      <c r="C218" s="64">
        <v>44672</v>
      </c>
      <c r="D218" s="64">
        <v>44672</v>
      </c>
      <c r="E218" s="65">
        <v>2</v>
      </c>
      <c r="F218" s="24" t="s">
        <v>22</v>
      </c>
      <c r="G218" s="55" t="s">
        <v>30</v>
      </c>
      <c r="H218" s="55" t="s">
        <v>24</v>
      </c>
      <c r="I218" s="55" t="s">
        <v>30</v>
      </c>
      <c r="J218" s="66">
        <v>44673</v>
      </c>
      <c r="K218" s="66">
        <v>44673</v>
      </c>
      <c r="L218" s="67">
        <f t="shared" si="6"/>
        <v>1</v>
      </c>
      <c r="M218" s="59" t="s">
        <v>4372</v>
      </c>
      <c r="N218" s="68" t="s">
        <v>26</v>
      </c>
      <c r="O218" s="55" t="s">
        <v>4373</v>
      </c>
      <c r="P218" s="55" t="s">
        <v>4374</v>
      </c>
      <c r="Q218" s="68" t="str">
        <f t="shared" si="7"/>
        <v>DENTRO DEL TIEMPO</v>
      </c>
      <c r="R218" s="6"/>
      <c r="S218" s="69"/>
    </row>
    <row r="219" spans="1:19" ht="48.75" x14ac:dyDescent="0.25">
      <c r="A219" s="63">
        <v>213</v>
      </c>
      <c r="B219" s="55" t="s">
        <v>4375</v>
      </c>
      <c r="C219" s="64">
        <v>44672</v>
      </c>
      <c r="D219" s="64">
        <v>44672</v>
      </c>
      <c r="E219" s="65">
        <v>2</v>
      </c>
      <c r="F219" s="24" t="s">
        <v>22</v>
      </c>
      <c r="G219" s="55" t="s">
        <v>23</v>
      </c>
      <c r="H219" s="55" t="s">
        <v>24</v>
      </c>
      <c r="I219" s="55" t="s">
        <v>23</v>
      </c>
      <c r="J219" s="66">
        <v>44676</v>
      </c>
      <c r="K219" s="66">
        <v>44676</v>
      </c>
      <c r="L219" s="67">
        <f t="shared" si="6"/>
        <v>2</v>
      </c>
      <c r="M219" s="59" t="s">
        <v>4376</v>
      </c>
      <c r="N219" s="68" t="s">
        <v>26</v>
      </c>
      <c r="O219" s="55" t="s">
        <v>4377</v>
      </c>
      <c r="P219" s="55" t="s">
        <v>4317</v>
      </c>
      <c r="Q219" s="68" t="str">
        <f t="shared" si="7"/>
        <v>DENTRO DEL TIEMPO</v>
      </c>
      <c r="R219" s="6"/>
      <c r="S219" s="69"/>
    </row>
    <row r="220" spans="1:19" ht="48.75" x14ac:dyDescent="0.25">
      <c r="A220" s="63">
        <v>214</v>
      </c>
      <c r="B220" s="55" t="s">
        <v>4378</v>
      </c>
      <c r="C220" s="64">
        <v>44672</v>
      </c>
      <c r="D220" s="64">
        <v>44672</v>
      </c>
      <c r="E220" s="65">
        <v>2</v>
      </c>
      <c r="F220" s="24" t="s">
        <v>22</v>
      </c>
      <c r="G220" s="55" t="s">
        <v>30</v>
      </c>
      <c r="H220" s="55" t="s">
        <v>24</v>
      </c>
      <c r="I220" s="55" t="s">
        <v>30</v>
      </c>
      <c r="J220" s="66">
        <v>44673</v>
      </c>
      <c r="K220" s="66">
        <v>44673</v>
      </c>
      <c r="L220" s="67">
        <f t="shared" si="6"/>
        <v>1</v>
      </c>
      <c r="M220" s="59" t="s">
        <v>4379</v>
      </c>
      <c r="N220" s="68" t="s">
        <v>26</v>
      </c>
      <c r="O220" s="55" t="s">
        <v>4380</v>
      </c>
      <c r="P220" s="55" t="s">
        <v>4381</v>
      </c>
      <c r="Q220" s="68" t="str">
        <f t="shared" si="7"/>
        <v>DENTRO DEL TIEMPO</v>
      </c>
      <c r="R220" s="6"/>
      <c r="S220" s="69"/>
    </row>
    <row r="221" spans="1:19" ht="48.75" x14ac:dyDescent="0.25">
      <c r="A221" s="63">
        <v>215</v>
      </c>
      <c r="B221" s="55" t="s">
        <v>4382</v>
      </c>
      <c r="C221" s="64">
        <v>44672</v>
      </c>
      <c r="D221" s="64">
        <v>44672</v>
      </c>
      <c r="E221" s="65">
        <v>2</v>
      </c>
      <c r="F221" s="24" t="s">
        <v>22</v>
      </c>
      <c r="G221" s="55" t="s">
        <v>23</v>
      </c>
      <c r="H221" s="55" t="s">
        <v>24</v>
      </c>
      <c r="I221" s="55" t="s">
        <v>23</v>
      </c>
      <c r="J221" s="66">
        <v>44678</v>
      </c>
      <c r="K221" s="66">
        <v>44678</v>
      </c>
      <c r="L221" s="67">
        <f t="shared" si="6"/>
        <v>4</v>
      </c>
      <c r="M221" s="59" t="s">
        <v>4383</v>
      </c>
      <c r="N221" s="68" t="s">
        <v>26</v>
      </c>
      <c r="O221" s="55" t="s">
        <v>4384</v>
      </c>
      <c r="P221" s="55" t="s">
        <v>4385</v>
      </c>
      <c r="Q221" s="68" t="str">
        <f t="shared" si="7"/>
        <v>DENTRO DEL TIEMPO</v>
      </c>
      <c r="R221" s="6"/>
      <c r="S221" s="69"/>
    </row>
    <row r="222" spans="1:19" ht="48.75" x14ac:dyDescent="0.25">
      <c r="A222" s="63">
        <v>216</v>
      </c>
      <c r="B222" s="55" t="s">
        <v>4386</v>
      </c>
      <c r="C222" s="64">
        <v>44672</v>
      </c>
      <c r="D222" s="64">
        <v>44672</v>
      </c>
      <c r="E222" s="65">
        <v>2</v>
      </c>
      <c r="F222" s="24" t="s">
        <v>22</v>
      </c>
      <c r="G222" s="55" t="s">
        <v>30</v>
      </c>
      <c r="H222" s="55" t="s">
        <v>24</v>
      </c>
      <c r="I222" s="55" t="s">
        <v>30</v>
      </c>
      <c r="J222" s="66">
        <v>44673</v>
      </c>
      <c r="K222" s="66">
        <v>44673</v>
      </c>
      <c r="L222" s="67">
        <f t="shared" si="6"/>
        <v>1</v>
      </c>
      <c r="M222" s="59" t="s">
        <v>4387</v>
      </c>
      <c r="N222" s="68" t="s">
        <v>26</v>
      </c>
      <c r="O222" s="55" t="s">
        <v>4388</v>
      </c>
      <c r="P222" s="55" t="s">
        <v>4389</v>
      </c>
      <c r="Q222" s="68" t="str">
        <f t="shared" si="7"/>
        <v>DENTRO DEL TIEMPO</v>
      </c>
      <c r="R222" s="6"/>
      <c r="S222" s="69"/>
    </row>
    <row r="223" spans="1:19" ht="48.75" x14ac:dyDescent="0.25">
      <c r="A223" s="63">
        <v>217</v>
      </c>
      <c r="B223" s="55" t="s">
        <v>4390</v>
      </c>
      <c r="C223" s="64">
        <v>44672</v>
      </c>
      <c r="D223" s="64">
        <v>44672</v>
      </c>
      <c r="E223" s="65">
        <v>2</v>
      </c>
      <c r="F223" s="24" t="s">
        <v>22</v>
      </c>
      <c r="G223" s="55" t="s">
        <v>30</v>
      </c>
      <c r="H223" s="55" t="s">
        <v>24</v>
      </c>
      <c r="I223" s="55" t="s">
        <v>30</v>
      </c>
      <c r="J223" s="66">
        <v>44673</v>
      </c>
      <c r="K223" s="66">
        <v>44673</v>
      </c>
      <c r="L223" s="67">
        <f t="shared" si="6"/>
        <v>1</v>
      </c>
      <c r="M223" s="59" t="s">
        <v>4391</v>
      </c>
      <c r="N223" s="68" t="s">
        <v>26</v>
      </c>
      <c r="O223" s="55" t="s">
        <v>4392</v>
      </c>
      <c r="P223" s="55" t="s">
        <v>4393</v>
      </c>
      <c r="Q223" s="68" t="str">
        <f t="shared" si="7"/>
        <v>DENTRO DEL TIEMPO</v>
      </c>
      <c r="R223" s="6"/>
      <c r="S223" s="69"/>
    </row>
    <row r="224" spans="1:19" ht="58.5" x14ac:dyDescent="0.25">
      <c r="A224" s="63">
        <v>218</v>
      </c>
      <c r="B224" s="55" t="s">
        <v>4394</v>
      </c>
      <c r="C224" s="64">
        <v>44673</v>
      </c>
      <c r="D224" s="64">
        <v>44673</v>
      </c>
      <c r="E224" s="65">
        <v>2</v>
      </c>
      <c r="F224" s="24" t="s">
        <v>22</v>
      </c>
      <c r="G224" s="55" t="s">
        <v>23</v>
      </c>
      <c r="H224" s="55" t="s">
        <v>24</v>
      </c>
      <c r="I224" s="55" t="s">
        <v>23</v>
      </c>
      <c r="J224" s="66">
        <v>44676</v>
      </c>
      <c r="K224" s="66">
        <v>44676</v>
      </c>
      <c r="L224" s="67">
        <f t="shared" si="6"/>
        <v>1</v>
      </c>
      <c r="M224" s="59" t="s">
        <v>4395</v>
      </c>
      <c r="N224" s="68" t="s">
        <v>26</v>
      </c>
      <c r="O224" s="55" t="s">
        <v>3080</v>
      </c>
      <c r="P224" s="55" t="s">
        <v>4396</v>
      </c>
      <c r="Q224" s="68" t="str">
        <f t="shared" si="7"/>
        <v>DENTRO DEL TIEMPO</v>
      </c>
      <c r="R224" s="6"/>
      <c r="S224" s="69"/>
    </row>
    <row r="225" spans="1:19" ht="58.5" x14ac:dyDescent="0.25">
      <c r="A225" s="63">
        <v>219</v>
      </c>
      <c r="B225" s="55" t="s">
        <v>4397</v>
      </c>
      <c r="C225" s="64">
        <v>44673</v>
      </c>
      <c r="D225" s="64">
        <v>44673</v>
      </c>
      <c r="E225" s="65">
        <v>2</v>
      </c>
      <c r="F225" s="24" t="s">
        <v>22</v>
      </c>
      <c r="G225" s="55" t="s">
        <v>23</v>
      </c>
      <c r="H225" s="55" t="s">
        <v>24</v>
      </c>
      <c r="I225" s="55" t="s">
        <v>23</v>
      </c>
      <c r="J225" s="66">
        <v>44676</v>
      </c>
      <c r="K225" s="66">
        <v>44676</v>
      </c>
      <c r="L225" s="67">
        <f t="shared" si="6"/>
        <v>1</v>
      </c>
      <c r="M225" s="59" t="s">
        <v>4398</v>
      </c>
      <c r="N225" s="68" t="s">
        <v>26</v>
      </c>
      <c r="O225" s="55" t="s">
        <v>3080</v>
      </c>
      <c r="P225" s="55" t="s">
        <v>4396</v>
      </c>
      <c r="Q225" s="68" t="str">
        <f t="shared" si="7"/>
        <v>DENTRO DEL TIEMPO</v>
      </c>
      <c r="R225" s="6"/>
      <c r="S225" s="69"/>
    </row>
    <row r="226" spans="1:19" ht="58.5" x14ac:dyDescent="0.25">
      <c r="A226" s="63">
        <v>220</v>
      </c>
      <c r="B226" s="55" t="s">
        <v>4399</v>
      </c>
      <c r="C226" s="64">
        <v>44673</v>
      </c>
      <c r="D226" s="64">
        <v>44673</v>
      </c>
      <c r="E226" s="65">
        <v>2</v>
      </c>
      <c r="F226" s="24" t="s">
        <v>22</v>
      </c>
      <c r="G226" s="55" t="s">
        <v>23</v>
      </c>
      <c r="H226" s="55" t="s">
        <v>24</v>
      </c>
      <c r="I226" s="55" t="s">
        <v>23</v>
      </c>
      <c r="J226" s="66">
        <v>44676</v>
      </c>
      <c r="K226" s="66">
        <v>44676</v>
      </c>
      <c r="L226" s="67">
        <f t="shared" si="6"/>
        <v>1</v>
      </c>
      <c r="M226" s="59" t="s">
        <v>4400</v>
      </c>
      <c r="N226" s="68" t="s">
        <v>26</v>
      </c>
      <c r="O226" s="55" t="s">
        <v>3080</v>
      </c>
      <c r="P226" s="55" t="s">
        <v>4396</v>
      </c>
      <c r="Q226" s="68" t="str">
        <f t="shared" si="7"/>
        <v>DENTRO DEL TIEMPO</v>
      </c>
      <c r="R226" s="6"/>
      <c r="S226" s="69"/>
    </row>
    <row r="227" spans="1:19" ht="58.5" x14ac:dyDescent="0.25">
      <c r="A227" s="63">
        <v>221</v>
      </c>
      <c r="B227" s="55" t="s">
        <v>4401</v>
      </c>
      <c r="C227" s="64">
        <v>44673</v>
      </c>
      <c r="D227" s="64">
        <v>44673</v>
      </c>
      <c r="E227" s="65">
        <v>2</v>
      </c>
      <c r="F227" s="24" t="s">
        <v>22</v>
      </c>
      <c r="G227" s="55" t="s">
        <v>23</v>
      </c>
      <c r="H227" s="55" t="s">
        <v>24</v>
      </c>
      <c r="I227" s="55" t="s">
        <v>23</v>
      </c>
      <c r="J227" s="66">
        <v>44676</v>
      </c>
      <c r="K227" s="66">
        <v>44676</v>
      </c>
      <c r="L227" s="67">
        <f t="shared" si="6"/>
        <v>1</v>
      </c>
      <c r="M227" s="59" t="s">
        <v>4402</v>
      </c>
      <c r="N227" s="68" t="s">
        <v>26</v>
      </c>
      <c r="O227" s="55" t="s">
        <v>3080</v>
      </c>
      <c r="P227" s="55" t="s">
        <v>4396</v>
      </c>
      <c r="Q227" s="68" t="str">
        <f t="shared" si="7"/>
        <v>DENTRO DEL TIEMPO</v>
      </c>
      <c r="R227" s="6"/>
      <c r="S227" s="69"/>
    </row>
    <row r="228" spans="1:19" ht="48.75" x14ac:dyDescent="0.25">
      <c r="A228" s="63">
        <v>222</v>
      </c>
      <c r="B228" s="59" t="s">
        <v>4403</v>
      </c>
      <c r="C228" s="64">
        <v>44656</v>
      </c>
      <c r="D228" s="64">
        <v>44656</v>
      </c>
      <c r="E228" s="65">
        <v>28</v>
      </c>
      <c r="F228" s="24" t="s">
        <v>22</v>
      </c>
      <c r="G228" s="55" t="s">
        <v>23</v>
      </c>
      <c r="H228" s="55" t="s">
        <v>24</v>
      </c>
      <c r="I228" s="55" t="s">
        <v>23</v>
      </c>
      <c r="J228" s="66">
        <v>44658</v>
      </c>
      <c r="K228" s="66">
        <v>44658</v>
      </c>
      <c r="L228" s="67">
        <f t="shared" si="6"/>
        <v>2</v>
      </c>
      <c r="M228" s="59" t="s">
        <v>4404</v>
      </c>
      <c r="N228" s="68" t="s">
        <v>26</v>
      </c>
      <c r="O228" s="55" t="s">
        <v>4405</v>
      </c>
      <c r="P228" s="55" t="s">
        <v>4406</v>
      </c>
      <c r="Q228" s="68" t="str">
        <f t="shared" si="7"/>
        <v>DENTRO DEL TIEMPO</v>
      </c>
      <c r="R228" s="6"/>
      <c r="S228" s="69"/>
    </row>
    <row r="229" spans="1:19" ht="48.75" x14ac:dyDescent="0.25">
      <c r="A229" s="63">
        <v>223</v>
      </c>
      <c r="B229" s="59" t="s">
        <v>4407</v>
      </c>
      <c r="C229" s="64">
        <v>44635</v>
      </c>
      <c r="D229" s="64">
        <v>44663</v>
      </c>
      <c r="E229" s="65">
        <v>29</v>
      </c>
      <c r="F229" s="24" t="s">
        <v>22</v>
      </c>
      <c r="G229" s="55" t="s">
        <v>23</v>
      </c>
      <c r="H229" s="55" t="s">
        <v>24</v>
      </c>
      <c r="I229" s="55" t="s">
        <v>23</v>
      </c>
      <c r="J229" s="66">
        <v>44664</v>
      </c>
      <c r="K229" s="66">
        <v>44664</v>
      </c>
      <c r="L229" s="67">
        <f t="shared" si="6"/>
        <v>1</v>
      </c>
      <c r="M229" s="59" t="s">
        <v>4408</v>
      </c>
      <c r="N229" s="68" t="s">
        <v>1104</v>
      </c>
      <c r="O229" s="55" t="s">
        <v>4409</v>
      </c>
      <c r="P229" s="55" t="s">
        <v>4410</v>
      </c>
      <c r="Q229" s="68" t="str">
        <f t="shared" si="7"/>
        <v>DENTRO DEL TIEMPO</v>
      </c>
      <c r="R229" s="6"/>
      <c r="S229" s="69"/>
    </row>
    <row r="230" spans="1:19" ht="48.75" x14ac:dyDescent="0.25">
      <c r="A230" s="63">
        <v>224</v>
      </c>
      <c r="B230" s="59" t="s">
        <v>4411</v>
      </c>
      <c r="C230" s="64">
        <v>44642</v>
      </c>
      <c r="D230" s="64">
        <v>44663</v>
      </c>
      <c r="E230" s="65">
        <v>11</v>
      </c>
      <c r="F230" s="24" t="s">
        <v>22</v>
      </c>
      <c r="G230" s="55" t="s">
        <v>23</v>
      </c>
      <c r="H230" s="55" t="s">
        <v>24</v>
      </c>
      <c r="I230" s="55" t="s">
        <v>23</v>
      </c>
      <c r="J230" s="66">
        <v>44664</v>
      </c>
      <c r="K230" s="66">
        <v>44664</v>
      </c>
      <c r="L230" s="67">
        <f t="shared" si="6"/>
        <v>1</v>
      </c>
      <c r="M230" s="59" t="s">
        <v>4412</v>
      </c>
      <c r="N230" s="68" t="s">
        <v>26</v>
      </c>
      <c r="O230" s="55" t="s">
        <v>4413</v>
      </c>
      <c r="P230" s="55" t="s">
        <v>4414</v>
      </c>
      <c r="Q230" s="68" t="str">
        <f t="shared" si="7"/>
        <v>DENTRO DEL TIEMPO</v>
      </c>
      <c r="R230" s="6"/>
      <c r="S230" s="69"/>
    </row>
    <row r="231" spans="1:19" ht="48.75" x14ac:dyDescent="0.25">
      <c r="A231" s="63">
        <v>225</v>
      </c>
      <c r="B231" s="59" t="s">
        <v>4415</v>
      </c>
      <c r="C231" s="64">
        <v>44643</v>
      </c>
      <c r="D231" s="64">
        <v>44663</v>
      </c>
      <c r="E231" s="65">
        <v>3</v>
      </c>
      <c r="F231" s="24" t="s">
        <v>22</v>
      </c>
      <c r="G231" s="55" t="s">
        <v>23</v>
      </c>
      <c r="H231" s="55" t="s">
        <v>24</v>
      </c>
      <c r="I231" s="55" t="s">
        <v>23</v>
      </c>
      <c r="J231" s="66">
        <v>44664</v>
      </c>
      <c r="K231" s="66">
        <v>44664</v>
      </c>
      <c r="L231" s="67">
        <f t="shared" si="6"/>
        <v>1</v>
      </c>
      <c r="M231" s="59" t="s">
        <v>4416</v>
      </c>
      <c r="N231" s="68" t="s">
        <v>1104</v>
      </c>
      <c r="O231" s="55" t="s">
        <v>4417</v>
      </c>
      <c r="P231" s="55" t="s">
        <v>4418</v>
      </c>
      <c r="Q231" s="68" t="str">
        <f t="shared" si="7"/>
        <v>DENTRO DEL TIEMPO</v>
      </c>
      <c r="R231" s="6"/>
      <c r="S231" s="69"/>
    </row>
    <row r="232" spans="1:19" ht="48.75" x14ac:dyDescent="0.25">
      <c r="A232" s="63">
        <v>226</v>
      </c>
      <c r="B232" s="59" t="s">
        <v>4419</v>
      </c>
      <c r="C232" s="64">
        <v>44658</v>
      </c>
      <c r="D232" s="64">
        <v>44658</v>
      </c>
      <c r="E232" s="65">
        <v>84</v>
      </c>
      <c r="F232" s="24" t="s">
        <v>22</v>
      </c>
      <c r="G232" s="55" t="s">
        <v>23</v>
      </c>
      <c r="H232" s="55" t="s">
        <v>24</v>
      </c>
      <c r="I232" s="55" t="s">
        <v>23</v>
      </c>
      <c r="J232" s="66">
        <v>44664</v>
      </c>
      <c r="K232" s="66">
        <v>44664</v>
      </c>
      <c r="L232" s="67">
        <f t="shared" si="6"/>
        <v>4</v>
      </c>
      <c r="M232" s="59" t="s">
        <v>4420</v>
      </c>
      <c r="N232" s="68" t="s">
        <v>26</v>
      </c>
      <c r="O232" s="55" t="s">
        <v>4421</v>
      </c>
      <c r="P232" s="55" t="s">
        <v>4422</v>
      </c>
      <c r="Q232" s="68" t="str">
        <f t="shared" si="7"/>
        <v>DENTRO DEL TIEMPO</v>
      </c>
      <c r="R232" s="6"/>
      <c r="S232" s="69"/>
    </row>
    <row r="233" spans="1:19" ht="48.75" x14ac:dyDescent="0.25">
      <c r="A233" s="63">
        <v>227</v>
      </c>
      <c r="B233" s="59" t="s">
        <v>4423</v>
      </c>
      <c r="C233" s="64">
        <v>44658</v>
      </c>
      <c r="D233" s="64">
        <v>44658</v>
      </c>
      <c r="E233" s="65">
        <v>40</v>
      </c>
      <c r="F233" s="24" t="s">
        <v>22</v>
      </c>
      <c r="G233" s="55" t="s">
        <v>23</v>
      </c>
      <c r="H233" s="55" t="s">
        <v>24</v>
      </c>
      <c r="I233" s="55" t="s">
        <v>23</v>
      </c>
      <c r="J233" s="66">
        <v>44664</v>
      </c>
      <c r="K233" s="66">
        <v>44664</v>
      </c>
      <c r="L233" s="67">
        <f t="shared" si="6"/>
        <v>4</v>
      </c>
      <c r="M233" s="59" t="s">
        <v>4424</v>
      </c>
      <c r="N233" s="68" t="s">
        <v>26</v>
      </c>
      <c r="O233" s="55" t="s">
        <v>4425</v>
      </c>
      <c r="P233" s="55" t="s">
        <v>4426</v>
      </c>
      <c r="Q233" s="68" t="str">
        <f t="shared" si="7"/>
        <v>DENTRO DEL TIEMPO</v>
      </c>
      <c r="R233" s="6"/>
      <c r="S233" s="69"/>
    </row>
    <row r="234" spans="1:19" ht="48.75" x14ac:dyDescent="0.25">
      <c r="A234" s="63">
        <v>228</v>
      </c>
      <c r="B234" s="59" t="s">
        <v>4427</v>
      </c>
      <c r="C234" s="64">
        <v>44658</v>
      </c>
      <c r="D234" s="64">
        <v>44658</v>
      </c>
      <c r="E234" s="65">
        <v>108</v>
      </c>
      <c r="F234" s="24" t="s">
        <v>22</v>
      </c>
      <c r="G234" s="55" t="s">
        <v>23</v>
      </c>
      <c r="H234" s="55" t="s">
        <v>24</v>
      </c>
      <c r="I234" s="55" t="s">
        <v>23</v>
      </c>
      <c r="J234" s="66">
        <v>44665</v>
      </c>
      <c r="K234" s="66">
        <v>44665</v>
      </c>
      <c r="L234" s="67">
        <f t="shared" si="6"/>
        <v>5</v>
      </c>
      <c r="M234" s="59" t="s">
        <v>4428</v>
      </c>
      <c r="N234" s="68" t="s">
        <v>26</v>
      </c>
      <c r="O234" s="55" t="s">
        <v>4429</v>
      </c>
      <c r="P234" s="55" t="s">
        <v>4385</v>
      </c>
      <c r="Q234" s="68" t="str">
        <f t="shared" si="7"/>
        <v>DENTRO DEL TIEMPO</v>
      </c>
      <c r="R234" s="6"/>
      <c r="S234" s="69"/>
    </row>
    <row r="235" spans="1:19" ht="48.75" x14ac:dyDescent="0.25">
      <c r="A235" s="63">
        <v>229</v>
      </c>
      <c r="B235" s="59" t="s">
        <v>4430</v>
      </c>
      <c r="C235" s="64">
        <v>44662</v>
      </c>
      <c r="D235" s="64">
        <v>44662</v>
      </c>
      <c r="E235" s="65">
        <v>2</v>
      </c>
      <c r="F235" s="24" t="s">
        <v>22</v>
      </c>
      <c r="G235" s="55" t="s">
        <v>23</v>
      </c>
      <c r="H235" s="55" t="s">
        <v>24</v>
      </c>
      <c r="I235" s="55" t="s">
        <v>23</v>
      </c>
      <c r="J235" s="66">
        <v>44670</v>
      </c>
      <c r="K235" s="66">
        <v>44670</v>
      </c>
      <c r="L235" s="67">
        <f t="shared" si="6"/>
        <v>6</v>
      </c>
      <c r="M235" s="59" t="s">
        <v>4431</v>
      </c>
      <c r="N235" s="68" t="s">
        <v>26</v>
      </c>
      <c r="O235" s="55" t="s">
        <v>4432</v>
      </c>
      <c r="P235" s="55" t="s">
        <v>4433</v>
      </c>
      <c r="Q235" s="68" t="str">
        <f t="shared" si="7"/>
        <v>DENTRO DEL TIEMPO</v>
      </c>
      <c r="R235" s="6"/>
      <c r="S235" s="69"/>
    </row>
    <row r="236" spans="1:19" ht="48.75" x14ac:dyDescent="0.25">
      <c r="A236" s="63">
        <v>230</v>
      </c>
      <c r="B236" s="59" t="s">
        <v>4434</v>
      </c>
      <c r="C236" s="64">
        <v>44669</v>
      </c>
      <c r="D236" s="64">
        <v>44669</v>
      </c>
      <c r="E236" s="65">
        <v>232</v>
      </c>
      <c r="F236" s="24" t="s">
        <v>22</v>
      </c>
      <c r="G236" s="55" t="s">
        <v>23</v>
      </c>
      <c r="H236" s="55" t="s">
        <v>24</v>
      </c>
      <c r="I236" s="55" t="s">
        <v>23</v>
      </c>
      <c r="J236" s="66">
        <v>44670</v>
      </c>
      <c r="K236" s="66">
        <v>44670</v>
      </c>
      <c r="L236" s="67">
        <f t="shared" si="6"/>
        <v>1</v>
      </c>
      <c r="M236" s="59" t="s">
        <v>4435</v>
      </c>
      <c r="N236" s="68" t="s">
        <v>26</v>
      </c>
      <c r="O236" s="55" t="s">
        <v>4436</v>
      </c>
      <c r="P236" s="55" t="s">
        <v>4437</v>
      </c>
      <c r="Q236" s="68" t="str">
        <f t="shared" si="7"/>
        <v>DENTRO DEL TIEMPO</v>
      </c>
      <c r="R236" s="6"/>
      <c r="S236" s="69"/>
    </row>
    <row r="237" spans="1:19" ht="48.75" x14ac:dyDescent="0.25">
      <c r="A237" s="63">
        <v>231</v>
      </c>
      <c r="B237" s="55" t="s">
        <v>4438</v>
      </c>
      <c r="C237" s="64">
        <v>44676</v>
      </c>
      <c r="D237" s="64">
        <v>44676</v>
      </c>
      <c r="E237" s="65">
        <v>2</v>
      </c>
      <c r="F237" s="24" t="s">
        <v>22</v>
      </c>
      <c r="G237" s="55" t="s">
        <v>23</v>
      </c>
      <c r="H237" s="55" t="s">
        <v>24</v>
      </c>
      <c r="I237" s="55" t="s">
        <v>23</v>
      </c>
      <c r="J237" s="66">
        <v>44676</v>
      </c>
      <c r="K237" s="66">
        <v>44676</v>
      </c>
      <c r="L237" s="67">
        <f t="shared" si="6"/>
        <v>0</v>
      </c>
      <c r="M237" s="59" t="s">
        <v>4439</v>
      </c>
      <c r="N237" s="68" t="s">
        <v>26</v>
      </c>
      <c r="O237" s="55" t="s">
        <v>2735</v>
      </c>
      <c r="P237" s="55" t="s">
        <v>4440</v>
      </c>
      <c r="Q237" s="68" t="str">
        <f t="shared" si="7"/>
        <v>DENTRO DEL TIEMPO</v>
      </c>
      <c r="R237" s="6"/>
      <c r="S237" s="69"/>
    </row>
    <row r="238" spans="1:19" ht="48.75" x14ac:dyDescent="0.25">
      <c r="A238" s="63">
        <v>232</v>
      </c>
      <c r="B238" s="55" t="s">
        <v>4441</v>
      </c>
      <c r="C238" s="64">
        <v>44676</v>
      </c>
      <c r="D238" s="64">
        <v>44676</v>
      </c>
      <c r="E238" s="65">
        <v>2</v>
      </c>
      <c r="F238" s="24" t="s">
        <v>22</v>
      </c>
      <c r="G238" s="55" t="s">
        <v>23</v>
      </c>
      <c r="H238" s="55" t="s">
        <v>24</v>
      </c>
      <c r="I238" s="55" t="s">
        <v>23</v>
      </c>
      <c r="J238" s="66">
        <v>44676</v>
      </c>
      <c r="K238" s="66">
        <v>44676</v>
      </c>
      <c r="L238" s="67">
        <f t="shared" si="6"/>
        <v>0</v>
      </c>
      <c r="M238" s="59" t="s">
        <v>4442</v>
      </c>
      <c r="N238" s="68" t="s">
        <v>26</v>
      </c>
      <c r="O238" s="55" t="s">
        <v>2735</v>
      </c>
      <c r="P238" s="55" t="s">
        <v>4440</v>
      </c>
      <c r="Q238" s="68" t="str">
        <f t="shared" si="7"/>
        <v>DENTRO DEL TIEMPO</v>
      </c>
      <c r="R238" s="6"/>
      <c r="S238" s="69"/>
    </row>
    <row r="239" spans="1:19" ht="58.5" x14ac:dyDescent="0.25">
      <c r="A239" s="63">
        <v>233</v>
      </c>
      <c r="B239" s="55" t="s">
        <v>4443</v>
      </c>
      <c r="C239" s="64">
        <v>44676</v>
      </c>
      <c r="D239" s="64">
        <v>44676</v>
      </c>
      <c r="E239" s="65">
        <v>2</v>
      </c>
      <c r="F239" s="24" t="s">
        <v>22</v>
      </c>
      <c r="G239" s="55" t="s">
        <v>30</v>
      </c>
      <c r="H239" s="55" t="s">
        <v>24</v>
      </c>
      <c r="I239" s="55" t="s">
        <v>30</v>
      </c>
      <c r="J239" s="66">
        <v>44676</v>
      </c>
      <c r="K239" s="66">
        <v>44676</v>
      </c>
      <c r="L239" s="67">
        <f t="shared" si="6"/>
        <v>0</v>
      </c>
      <c r="M239" s="59" t="s">
        <v>4444</v>
      </c>
      <c r="N239" s="68" t="s">
        <v>26</v>
      </c>
      <c r="O239" s="55" t="s">
        <v>3018</v>
      </c>
      <c r="P239" s="55" t="s">
        <v>4445</v>
      </c>
      <c r="Q239" s="68" t="str">
        <f t="shared" si="7"/>
        <v>DENTRO DEL TIEMPO</v>
      </c>
      <c r="R239" s="6"/>
      <c r="S239" s="69"/>
    </row>
    <row r="240" spans="1:19" ht="48.75" x14ac:dyDescent="0.25">
      <c r="A240" s="63">
        <v>234</v>
      </c>
      <c r="B240" s="55" t="s">
        <v>4446</v>
      </c>
      <c r="C240" s="64">
        <v>44676</v>
      </c>
      <c r="D240" s="64">
        <v>44676</v>
      </c>
      <c r="E240" s="65">
        <v>2</v>
      </c>
      <c r="F240" s="24" t="s">
        <v>22</v>
      </c>
      <c r="G240" s="55" t="s">
        <v>30</v>
      </c>
      <c r="H240" s="55" t="s">
        <v>24</v>
      </c>
      <c r="I240" s="55" t="s">
        <v>30</v>
      </c>
      <c r="J240" s="66">
        <v>44676</v>
      </c>
      <c r="K240" s="66">
        <v>44676</v>
      </c>
      <c r="L240" s="67">
        <f t="shared" si="6"/>
        <v>0</v>
      </c>
      <c r="M240" s="59" t="s">
        <v>4447</v>
      </c>
      <c r="N240" s="68" t="s">
        <v>26</v>
      </c>
      <c r="O240" s="55" t="s">
        <v>4448</v>
      </c>
      <c r="P240" s="55" t="s">
        <v>4449</v>
      </c>
      <c r="Q240" s="68" t="str">
        <f t="shared" si="7"/>
        <v>DENTRO DEL TIEMPO</v>
      </c>
      <c r="R240" s="6"/>
      <c r="S240" s="69"/>
    </row>
    <row r="241" spans="1:19" ht="48.75" x14ac:dyDescent="0.25">
      <c r="A241" s="63">
        <v>235</v>
      </c>
      <c r="B241" s="55" t="s">
        <v>4450</v>
      </c>
      <c r="C241" s="64">
        <v>44676</v>
      </c>
      <c r="D241" s="64">
        <v>44676</v>
      </c>
      <c r="E241" s="65">
        <v>2</v>
      </c>
      <c r="F241" s="24" t="s">
        <v>22</v>
      </c>
      <c r="G241" s="55" t="s">
        <v>30</v>
      </c>
      <c r="H241" s="55" t="s">
        <v>24</v>
      </c>
      <c r="I241" s="55" t="s">
        <v>30</v>
      </c>
      <c r="J241" s="66">
        <v>44676</v>
      </c>
      <c r="K241" s="66">
        <v>44676</v>
      </c>
      <c r="L241" s="67">
        <f t="shared" si="6"/>
        <v>0</v>
      </c>
      <c r="M241" s="59" t="s">
        <v>4451</v>
      </c>
      <c r="N241" s="68" t="s">
        <v>26</v>
      </c>
      <c r="O241" s="55" t="s">
        <v>4452</v>
      </c>
      <c r="P241" s="55" t="s">
        <v>4453</v>
      </c>
      <c r="Q241" s="68" t="str">
        <f t="shared" si="7"/>
        <v>DENTRO DEL TIEMPO</v>
      </c>
      <c r="R241" s="6"/>
      <c r="S241" s="69"/>
    </row>
    <row r="242" spans="1:19" ht="48.75" x14ac:dyDescent="0.25">
      <c r="A242" s="63">
        <v>236</v>
      </c>
      <c r="B242" s="55" t="s">
        <v>4454</v>
      </c>
      <c r="C242" s="64">
        <v>44676</v>
      </c>
      <c r="D242" s="64">
        <v>44676</v>
      </c>
      <c r="E242" s="65">
        <v>2</v>
      </c>
      <c r="F242" s="24" t="s">
        <v>22</v>
      </c>
      <c r="G242" s="55" t="s">
        <v>30</v>
      </c>
      <c r="H242" s="55" t="s">
        <v>24</v>
      </c>
      <c r="I242" s="55" t="s">
        <v>30</v>
      </c>
      <c r="J242" s="66">
        <v>44676</v>
      </c>
      <c r="K242" s="66">
        <v>44676</v>
      </c>
      <c r="L242" s="67">
        <f t="shared" si="6"/>
        <v>0</v>
      </c>
      <c r="M242" s="59" t="s">
        <v>4455</v>
      </c>
      <c r="N242" s="68" t="s">
        <v>26</v>
      </c>
      <c r="O242" s="55" t="s">
        <v>2456</v>
      </c>
      <c r="P242" s="55" t="s">
        <v>4317</v>
      </c>
      <c r="Q242" s="68" t="str">
        <f t="shared" si="7"/>
        <v>DENTRO DEL TIEMPO</v>
      </c>
      <c r="R242" s="6"/>
      <c r="S242" s="69"/>
    </row>
    <row r="243" spans="1:19" ht="48.75" x14ac:dyDescent="0.25">
      <c r="A243" s="63">
        <v>237</v>
      </c>
      <c r="B243" s="55" t="s">
        <v>4456</v>
      </c>
      <c r="C243" s="64">
        <v>44676</v>
      </c>
      <c r="D243" s="64">
        <v>44676</v>
      </c>
      <c r="E243" s="65">
        <v>2</v>
      </c>
      <c r="F243" s="24" t="s">
        <v>22</v>
      </c>
      <c r="G243" s="55" t="s">
        <v>30</v>
      </c>
      <c r="H243" s="55" t="s">
        <v>24</v>
      </c>
      <c r="I243" s="55" t="s">
        <v>30</v>
      </c>
      <c r="J243" s="66">
        <v>44676</v>
      </c>
      <c r="K243" s="66">
        <v>44676</v>
      </c>
      <c r="L243" s="67">
        <f t="shared" si="6"/>
        <v>0</v>
      </c>
      <c r="M243" s="59" t="s">
        <v>4457</v>
      </c>
      <c r="N243" s="68" t="s">
        <v>26</v>
      </c>
      <c r="O243" s="55" t="s">
        <v>4458</v>
      </c>
      <c r="P243" s="55" t="s">
        <v>4459</v>
      </c>
      <c r="Q243" s="68" t="str">
        <f t="shared" si="7"/>
        <v>DENTRO DEL TIEMPO</v>
      </c>
      <c r="R243" s="6"/>
      <c r="S243" s="69"/>
    </row>
    <row r="244" spans="1:19" ht="48.75" x14ac:dyDescent="0.25">
      <c r="A244" s="63">
        <v>238</v>
      </c>
      <c r="B244" s="55" t="s">
        <v>4460</v>
      </c>
      <c r="C244" s="64">
        <v>44676</v>
      </c>
      <c r="D244" s="64">
        <v>44676</v>
      </c>
      <c r="E244" s="65">
        <v>2</v>
      </c>
      <c r="F244" s="24" t="s">
        <v>22</v>
      </c>
      <c r="G244" s="55" t="s">
        <v>30</v>
      </c>
      <c r="H244" s="55" t="s">
        <v>24</v>
      </c>
      <c r="I244" s="55" t="s">
        <v>30</v>
      </c>
      <c r="J244" s="66">
        <v>44676</v>
      </c>
      <c r="K244" s="66">
        <v>44676</v>
      </c>
      <c r="L244" s="67">
        <f t="shared" si="6"/>
        <v>0</v>
      </c>
      <c r="M244" s="59" t="s">
        <v>4461</v>
      </c>
      <c r="N244" s="68" t="s">
        <v>26</v>
      </c>
      <c r="O244" s="55" t="s">
        <v>4458</v>
      </c>
      <c r="P244" s="55" t="s">
        <v>4459</v>
      </c>
      <c r="Q244" s="68" t="str">
        <f t="shared" si="7"/>
        <v>DENTRO DEL TIEMPO</v>
      </c>
      <c r="R244" s="6"/>
      <c r="S244" s="69"/>
    </row>
    <row r="245" spans="1:19" ht="48.75" x14ac:dyDescent="0.25">
      <c r="A245" s="63">
        <v>239</v>
      </c>
      <c r="B245" s="55" t="s">
        <v>4462</v>
      </c>
      <c r="C245" s="64">
        <v>44676</v>
      </c>
      <c r="D245" s="64">
        <v>44676</v>
      </c>
      <c r="E245" s="65">
        <v>2</v>
      </c>
      <c r="F245" s="24" t="s">
        <v>22</v>
      </c>
      <c r="G245" s="55" t="s">
        <v>30</v>
      </c>
      <c r="H245" s="55" t="s">
        <v>24</v>
      </c>
      <c r="I245" s="55" t="s">
        <v>30</v>
      </c>
      <c r="J245" s="66">
        <v>44676</v>
      </c>
      <c r="K245" s="66">
        <v>44676</v>
      </c>
      <c r="L245" s="67">
        <f t="shared" si="6"/>
        <v>0</v>
      </c>
      <c r="M245" s="59" t="s">
        <v>4463</v>
      </c>
      <c r="N245" s="68" t="s">
        <v>26</v>
      </c>
      <c r="O245" s="55" t="s">
        <v>4458</v>
      </c>
      <c r="P245" s="55" t="s">
        <v>4459</v>
      </c>
      <c r="Q245" s="68" t="str">
        <f t="shared" si="7"/>
        <v>DENTRO DEL TIEMPO</v>
      </c>
      <c r="R245" s="6"/>
      <c r="S245" s="69"/>
    </row>
    <row r="246" spans="1:19" ht="48.75" x14ac:dyDescent="0.25">
      <c r="A246" s="63">
        <v>240</v>
      </c>
      <c r="B246" s="55" t="s">
        <v>4464</v>
      </c>
      <c r="C246" s="64">
        <v>44676</v>
      </c>
      <c r="D246" s="64">
        <v>44676</v>
      </c>
      <c r="E246" s="65">
        <v>2</v>
      </c>
      <c r="F246" s="24" t="s">
        <v>22</v>
      </c>
      <c r="G246" s="55" t="s">
        <v>30</v>
      </c>
      <c r="H246" s="55" t="s">
        <v>24</v>
      </c>
      <c r="I246" s="55" t="s">
        <v>30</v>
      </c>
      <c r="J246" s="66">
        <v>44676</v>
      </c>
      <c r="K246" s="66">
        <v>44676</v>
      </c>
      <c r="L246" s="67">
        <f t="shared" si="6"/>
        <v>0</v>
      </c>
      <c r="M246" s="59" t="s">
        <v>4465</v>
      </c>
      <c r="N246" s="68" t="s">
        <v>26</v>
      </c>
      <c r="O246" s="55" t="s">
        <v>4458</v>
      </c>
      <c r="P246" s="55" t="s">
        <v>4459</v>
      </c>
      <c r="Q246" s="68" t="str">
        <f t="shared" si="7"/>
        <v>DENTRO DEL TIEMPO</v>
      </c>
      <c r="R246" s="6"/>
      <c r="S246" s="69"/>
    </row>
    <row r="247" spans="1:19" ht="48.75" x14ac:dyDescent="0.25">
      <c r="A247" s="63">
        <v>241</v>
      </c>
      <c r="B247" s="55" t="s">
        <v>4466</v>
      </c>
      <c r="C247" s="64">
        <v>44676</v>
      </c>
      <c r="D247" s="64">
        <v>44676</v>
      </c>
      <c r="E247" s="65">
        <v>2</v>
      </c>
      <c r="F247" s="24" t="s">
        <v>22</v>
      </c>
      <c r="G247" s="55" t="s">
        <v>30</v>
      </c>
      <c r="H247" s="55" t="s">
        <v>24</v>
      </c>
      <c r="I247" s="55" t="s">
        <v>30</v>
      </c>
      <c r="J247" s="66">
        <v>44676</v>
      </c>
      <c r="K247" s="66">
        <v>44676</v>
      </c>
      <c r="L247" s="67">
        <f t="shared" si="6"/>
        <v>0</v>
      </c>
      <c r="M247" s="59" t="s">
        <v>4467</v>
      </c>
      <c r="N247" s="68" t="s">
        <v>26</v>
      </c>
      <c r="O247" s="55" t="s">
        <v>2683</v>
      </c>
      <c r="P247" s="55" t="s">
        <v>4459</v>
      </c>
      <c r="Q247" s="68" t="str">
        <f t="shared" si="7"/>
        <v>DENTRO DEL TIEMPO</v>
      </c>
      <c r="R247" s="6"/>
      <c r="S247" s="69"/>
    </row>
    <row r="248" spans="1:19" ht="48.75" x14ac:dyDescent="0.25">
      <c r="A248" s="63">
        <v>242</v>
      </c>
      <c r="B248" s="55" t="s">
        <v>4468</v>
      </c>
      <c r="C248" s="64">
        <v>44676</v>
      </c>
      <c r="D248" s="64">
        <v>44676</v>
      </c>
      <c r="E248" s="65">
        <v>2</v>
      </c>
      <c r="F248" s="24" t="s">
        <v>22</v>
      </c>
      <c r="G248" s="55" t="s">
        <v>30</v>
      </c>
      <c r="H248" s="55" t="s">
        <v>24</v>
      </c>
      <c r="I248" s="55" t="s">
        <v>30</v>
      </c>
      <c r="J248" s="66">
        <v>44677</v>
      </c>
      <c r="K248" s="66">
        <v>44677</v>
      </c>
      <c r="L248" s="67">
        <f t="shared" si="6"/>
        <v>1</v>
      </c>
      <c r="M248" s="59" t="s">
        <v>4469</v>
      </c>
      <c r="N248" s="68" t="s">
        <v>26</v>
      </c>
      <c r="O248" s="55" t="s">
        <v>2683</v>
      </c>
      <c r="P248" s="55" t="s">
        <v>4459</v>
      </c>
      <c r="Q248" s="68" t="str">
        <f t="shared" si="7"/>
        <v>DENTRO DEL TIEMPO</v>
      </c>
      <c r="R248" s="6"/>
      <c r="S248" s="69"/>
    </row>
    <row r="249" spans="1:19" ht="48.75" x14ac:dyDescent="0.25">
      <c r="A249" s="63">
        <v>243</v>
      </c>
      <c r="B249" s="55" t="s">
        <v>4470</v>
      </c>
      <c r="C249" s="64">
        <v>44676</v>
      </c>
      <c r="D249" s="64">
        <v>44676</v>
      </c>
      <c r="E249" s="65">
        <v>2</v>
      </c>
      <c r="F249" s="24" t="s">
        <v>22</v>
      </c>
      <c r="G249" s="55" t="s">
        <v>30</v>
      </c>
      <c r="H249" s="55" t="s">
        <v>24</v>
      </c>
      <c r="I249" s="55" t="s">
        <v>30</v>
      </c>
      <c r="J249" s="66">
        <v>44677</v>
      </c>
      <c r="K249" s="66">
        <v>44677</v>
      </c>
      <c r="L249" s="67">
        <f t="shared" si="6"/>
        <v>1</v>
      </c>
      <c r="M249" s="59" t="s">
        <v>4471</v>
      </c>
      <c r="N249" s="68" t="s">
        <v>26</v>
      </c>
      <c r="O249" s="55" t="s">
        <v>2683</v>
      </c>
      <c r="P249" s="55" t="s">
        <v>4459</v>
      </c>
      <c r="Q249" s="68" t="str">
        <f t="shared" si="7"/>
        <v>DENTRO DEL TIEMPO</v>
      </c>
      <c r="R249" s="6"/>
      <c r="S249" s="69"/>
    </row>
    <row r="250" spans="1:19" ht="48.75" x14ac:dyDescent="0.25">
      <c r="A250" s="63">
        <v>244</v>
      </c>
      <c r="B250" s="55" t="s">
        <v>4472</v>
      </c>
      <c r="C250" s="64">
        <v>44676</v>
      </c>
      <c r="D250" s="64">
        <v>44676</v>
      </c>
      <c r="E250" s="65">
        <v>2</v>
      </c>
      <c r="F250" s="24" t="s">
        <v>22</v>
      </c>
      <c r="G250" s="55" t="s">
        <v>30</v>
      </c>
      <c r="H250" s="55" t="s">
        <v>24</v>
      </c>
      <c r="I250" s="55" t="s">
        <v>30</v>
      </c>
      <c r="J250" s="66">
        <v>44677</v>
      </c>
      <c r="K250" s="66">
        <v>44677</v>
      </c>
      <c r="L250" s="67">
        <f t="shared" si="6"/>
        <v>1</v>
      </c>
      <c r="M250" s="59" t="s">
        <v>4473</v>
      </c>
      <c r="N250" s="68" t="s">
        <v>26</v>
      </c>
      <c r="O250" s="55" t="s">
        <v>2683</v>
      </c>
      <c r="P250" s="55" t="s">
        <v>4459</v>
      </c>
      <c r="Q250" s="68" t="str">
        <f t="shared" si="7"/>
        <v>DENTRO DEL TIEMPO</v>
      </c>
      <c r="R250" s="6"/>
      <c r="S250" s="69"/>
    </row>
    <row r="251" spans="1:19" ht="48.75" x14ac:dyDescent="0.25">
      <c r="A251" s="63">
        <v>245</v>
      </c>
      <c r="B251" s="55" t="s">
        <v>4474</v>
      </c>
      <c r="C251" s="64">
        <v>44676</v>
      </c>
      <c r="D251" s="64">
        <v>44676</v>
      </c>
      <c r="E251" s="65">
        <v>2</v>
      </c>
      <c r="F251" s="24" t="s">
        <v>22</v>
      </c>
      <c r="G251" s="55" t="s">
        <v>30</v>
      </c>
      <c r="H251" s="55" t="s">
        <v>24</v>
      </c>
      <c r="I251" s="55" t="s">
        <v>30</v>
      </c>
      <c r="J251" s="66">
        <v>44677</v>
      </c>
      <c r="K251" s="66">
        <v>44677</v>
      </c>
      <c r="L251" s="67">
        <f t="shared" si="6"/>
        <v>1</v>
      </c>
      <c r="M251" s="59" t="s">
        <v>4475</v>
      </c>
      <c r="N251" s="68" t="s">
        <v>26</v>
      </c>
      <c r="O251" s="55" t="s">
        <v>2683</v>
      </c>
      <c r="P251" s="55" t="s">
        <v>4459</v>
      </c>
      <c r="Q251" s="68" t="str">
        <f t="shared" si="7"/>
        <v>DENTRO DEL TIEMPO</v>
      </c>
      <c r="R251" s="6"/>
      <c r="S251" s="69"/>
    </row>
    <row r="252" spans="1:19" ht="48.75" x14ac:dyDescent="0.25">
      <c r="A252" s="63">
        <v>246</v>
      </c>
      <c r="B252" s="55" t="s">
        <v>4476</v>
      </c>
      <c r="C252" s="64">
        <v>44676</v>
      </c>
      <c r="D252" s="64">
        <v>44676</v>
      </c>
      <c r="E252" s="65">
        <v>2</v>
      </c>
      <c r="F252" s="24" t="s">
        <v>22</v>
      </c>
      <c r="G252" s="55" t="s">
        <v>30</v>
      </c>
      <c r="H252" s="55" t="s">
        <v>24</v>
      </c>
      <c r="I252" s="55" t="s">
        <v>30</v>
      </c>
      <c r="J252" s="66">
        <v>44677</v>
      </c>
      <c r="K252" s="66">
        <v>44677</v>
      </c>
      <c r="L252" s="67">
        <f t="shared" si="6"/>
        <v>1</v>
      </c>
      <c r="M252" s="59" t="s">
        <v>4477</v>
      </c>
      <c r="N252" s="68" t="s">
        <v>26</v>
      </c>
      <c r="O252" s="55" t="s">
        <v>2683</v>
      </c>
      <c r="P252" s="55" t="s">
        <v>4459</v>
      </c>
      <c r="Q252" s="68" t="str">
        <f t="shared" si="7"/>
        <v>DENTRO DEL TIEMPO</v>
      </c>
      <c r="R252" s="6"/>
      <c r="S252" s="69"/>
    </row>
    <row r="253" spans="1:19" ht="48.75" x14ac:dyDescent="0.25">
      <c r="A253" s="63">
        <v>247</v>
      </c>
      <c r="B253" s="55" t="s">
        <v>4478</v>
      </c>
      <c r="C253" s="64">
        <v>44676</v>
      </c>
      <c r="D253" s="64">
        <v>44676</v>
      </c>
      <c r="E253" s="65">
        <v>2</v>
      </c>
      <c r="F253" s="24" t="s">
        <v>22</v>
      </c>
      <c r="G253" s="55" t="s">
        <v>30</v>
      </c>
      <c r="H253" s="55" t="s">
        <v>24</v>
      </c>
      <c r="I253" s="55" t="s">
        <v>30</v>
      </c>
      <c r="J253" s="66">
        <v>44677</v>
      </c>
      <c r="K253" s="66">
        <v>44677</v>
      </c>
      <c r="L253" s="67">
        <f t="shared" si="6"/>
        <v>1</v>
      </c>
      <c r="M253" s="59" t="s">
        <v>4479</v>
      </c>
      <c r="N253" s="68" t="s">
        <v>26</v>
      </c>
      <c r="O253" s="55" t="s">
        <v>2683</v>
      </c>
      <c r="P253" s="55" t="s">
        <v>4459</v>
      </c>
      <c r="Q253" s="68" t="str">
        <f t="shared" si="7"/>
        <v>DENTRO DEL TIEMPO</v>
      </c>
      <c r="R253" s="6"/>
      <c r="S253" s="69"/>
    </row>
    <row r="254" spans="1:19" ht="48.75" x14ac:dyDescent="0.25">
      <c r="A254" s="63">
        <v>248</v>
      </c>
      <c r="B254" s="55" t="s">
        <v>4480</v>
      </c>
      <c r="C254" s="64">
        <v>44676</v>
      </c>
      <c r="D254" s="64">
        <v>44676</v>
      </c>
      <c r="E254" s="65">
        <v>2</v>
      </c>
      <c r="F254" s="24" t="s">
        <v>22</v>
      </c>
      <c r="G254" s="55" t="s">
        <v>30</v>
      </c>
      <c r="H254" s="55" t="s">
        <v>24</v>
      </c>
      <c r="I254" s="55" t="s">
        <v>30</v>
      </c>
      <c r="J254" s="66">
        <v>44677</v>
      </c>
      <c r="K254" s="66">
        <v>44677</v>
      </c>
      <c r="L254" s="67">
        <f t="shared" si="6"/>
        <v>1</v>
      </c>
      <c r="M254" s="59" t="s">
        <v>4481</v>
      </c>
      <c r="N254" s="68" t="s">
        <v>26</v>
      </c>
      <c r="O254" s="55" t="s">
        <v>2683</v>
      </c>
      <c r="P254" s="55" t="s">
        <v>4459</v>
      </c>
      <c r="Q254" s="68" t="str">
        <f t="shared" si="7"/>
        <v>DENTRO DEL TIEMPO</v>
      </c>
      <c r="R254" s="6"/>
      <c r="S254" s="69"/>
    </row>
    <row r="255" spans="1:19" ht="48.75" x14ac:dyDescent="0.25">
      <c r="A255" s="63">
        <v>249</v>
      </c>
      <c r="B255" s="55" t="s">
        <v>4482</v>
      </c>
      <c r="C255" s="64">
        <v>44676</v>
      </c>
      <c r="D255" s="64">
        <v>44676</v>
      </c>
      <c r="E255" s="65">
        <v>2</v>
      </c>
      <c r="F255" s="24" t="s">
        <v>22</v>
      </c>
      <c r="G255" s="55" t="s">
        <v>30</v>
      </c>
      <c r="H255" s="55" t="s">
        <v>24</v>
      </c>
      <c r="I255" s="55" t="s">
        <v>30</v>
      </c>
      <c r="J255" s="66">
        <v>44677</v>
      </c>
      <c r="K255" s="66">
        <v>44677</v>
      </c>
      <c r="L255" s="67">
        <f t="shared" si="6"/>
        <v>1</v>
      </c>
      <c r="M255" s="59" t="s">
        <v>4483</v>
      </c>
      <c r="N255" s="68" t="s">
        <v>26</v>
      </c>
      <c r="O255" s="55" t="s">
        <v>2683</v>
      </c>
      <c r="P255" s="55" t="s">
        <v>4459</v>
      </c>
      <c r="Q255" s="68" t="str">
        <f t="shared" si="7"/>
        <v>DENTRO DEL TIEMPO</v>
      </c>
      <c r="R255" s="6"/>
      <c r="S255" s="69"/>
    </row>
    <row r="256" spans="1:19" ht="48.75" x14ac:dyDescent="0.25">
      <c r="A256" s="63">
        <v>250</v>
      </c>
      <c r="B256" s="55" t="s">
        <v>4484</v>
      </c>
      <c r="C256" s="64">
        <v>44676</v>
      </c>
      <c r="D256" s="64">
        <v>44676</v>
      </c>
      <c r="E256" s="65">
        <v>2</v>
      </c>
      <c r="F256" s="24" t="s">
        <v>22</v>
      </c>
      <c r="G256" s="55" t="s">
        <v>30</v>
      </c>
      <c r="H256" s="55" t="s">
        <v>24</v>
      </c>
      <c r="I256" s="55" t="s">
        <v>30</v>
      </c>
      <c r="J256" s="66">
        <v>44677</v>
      </c>
      <c r="K256" s="66">
        <v>44677</v>
      </c>
      <c r="L256" s="67">
        <f t="shared" si="6"/>
        <v>1</v>
      </c>
      <c r="M256" s="59" t="s">
        <v>4485</v>
      </c>
      <c r="N256" s="68" t="s">
        <v>26</v>
      </c>
      <c r="O256" s="55" t="s">
        <v>2683</v>
      </c>
      <c r="P256" s="55" t="s">
        <v>4459</v>
      </c>
      <c r="Q256" s="68" t="str">
        <f t="shared" si="7"/>
        <v>DENTRO DEL TIEMPO</v>
      </c>
      <c r="R256" s="6"/>
      <c r="S256" s="69"/>
    </row>
    <row r="257" spans="1:19" ht="48.75" x14ac:dyDescent="0.25">
      <c r="A257" s="63">
        <v>251</v>
      </c>
      <c r="B257" s="55" t="s">
        <v>4486</v>
      </c>
      <c r="C257" s="64">
        <v>44676</v>
      </c>
      <c r="D257" s="64">
        <v>44676</v>
      </c>
      <c r="E257" s="65">
        <v>2</v>
      </c>
      <c r="F257" s="24" t="s">
        <v>22</v>
      </c>
      <c r="G257" s="55" t="s">
        <v>30</v>
      </c>
      <c r="H257" s="55" t="s">
        <v>24</v>
      </c>
      <c r="I257" s="55" t="s">
        <v>30</v>
      </c>
      <c r="J257" s="66">
        <v>44677</v>
      </c>
      <c r="K257" s="66">
        <v>44677</v>
      </c>
      <c r="L257" s="67">
        <f t="shared" si="6"/>
        <v>1</v>
      </c>
      <c r="M257" s="59" t="s">
        <v>4487</v>
      </c>
      <c r="N257" s="68" t="s">
        <v>26</v>
      </c>
      <c r="O257" s="55" t="s">
        <v>2683</v>
      </c>
      <c r="P257" s="55" t="s">
        <v>4459</v>
      </c>
      <c r="Q257" s="68" t="str">
        <f t="shared" si="7"/>
        <v>DENTRO DEL TIEMPO</v>
      </c>
      <c r="R257" s="6"/>
      <c r="S257" s="69"/>
    </row>
    <row r="258" spans="1:19" ht="48.75" x14ac:dyDescent="0.25">
      <c r="A258" s="63">
        <v>252</v>
      </c>
      <c r="B258" s="55" t="s">
        <v>4488</v>
      </c>
      <c r="C258" s="64">
        <v>44676</v>
      </c>
      <c r="D258" s="64">
        <v>44676</v>
      </c>
      <c r="E258" s="65">
        <v>2</v>
      </c>
      <c r="F258" s="24" t="s">
        <v>22</v>
      </c>
      <c r="G258" s="55" t="s">
        <v>30</v>
      </c>
      <c r="H258" s="55" t="s">
        <v>24</v>
      </c>
      <c r="I258" s="55" t="s">
        <v>30</v>
      </c>
      <c r="J258" s="66">
        <v>44677</v>
      </c>
      <c r="K258" s="66">
        <v>44677</v>
      </c>
      <c r="L258" s="67">
        <f t="shared" si="6"/>
        <v>1</v>
      </c>
      <c r="M258" s="59" t="s">
        <v>4489</v>
      </c>
      <c r="N258" s="68" t="s">
        <v>26</v>
      </c>
      <c r="O258" s="55" t="s">
        <v>2683</v>
      </c>
      <c r="P258" s="55" t="s">
        <v>4459</v>
      </c>
      <c r="Q258" s="68" t="str">
        <f t="shared" si="7"/>
        <v>DENTRO DEL TIEMPO</v>
      </c>
      <c r="R258" s="6"/>
      <c r="S258" s="69"/>
    </row>
    <row r="259" spans="1:19" ht="48.75" x14ac:dyDescent="0.25">
      <c r="A259" s="63">
        <v>253</v>
      </c>
      <c r="B259" s="55" t="s">
        <v>4490</v>
      </c>
      <c r="C259" s="64">
        <v>44676</v>
      </c>
      <c r="D259" s="64">
        <v>44676</v>
      </c>
      <c r="E259" s="65">
        <v>2</v>
      </c>
      <c r="F259" s="24" t="s">
        <v>22</v>
      </c>
      <c r="G259" s="55" t="s">
        <v>30</v>
      </c>
      <c r="H259" s="55" t="s">
        <v>24</v>
      </c>
      <c r="I259" s="55" t="s">
        <v>30</v>
      </c>
      <c r="J259" s="66">
        <v>44677</v>
      </c>
      <c r="K259" s="66">
        <v>44677</v>
      </c>
      <c r="L259" s="67">
        <f t="shared" si="6"/>
        <v>1</v>
      </c>
      <c r="M259" s="59" t="s">
        <v>4491</v>
      </c>
      <c r="N259" s="68" t="s">
        <v>26</v>
      </c>
      <c r="O259" s="55" t="s">
        <v>2683</v>
      </c>
      <c r="P259" s="55" t="s">
        <v>4459</v>
      </c>
      <c r="Q259" s="68" t="str">
        <f t="shared" si="7"/>
        <v>DENTRO DEL TIEMPO</v>
      </c>
      <c r="R259" s="6"/>
      <c r="S259" s="69"/>
    </row>
    <row r="260" spans="1:19" ht="48.75" x14ac:dyDescent="0.25">
      <c r="A260" s="63">
        <v>254</v>
      </c>
      <c r="B260" s="55" t="s">
        <v>4492</v>
      </c>
      <c r="C260" s="64">
        <v>44676</v>
      </c>
      <c r="D260" s="64">
        <v>44676</v>
      </c>
      <c r="E260" s="65">
        <v>2</v>
      </c>
      <c r="F260" s="24" t="s">
        <v>22</v>
      </c>
      <c r="G260" s="55" t="s">
        <v>30</v>
      </c>
      <c r="H260" s="55" t="s">
        <v>24</v>
      </c>
      <c r="I260" s="55" t="s">
        <v>30</v>
      </c>
      <c r="J260" s="66">
        <v>44677</v>
      </c>
      <c r="K260" s="66">
        <v>44677</v>
      </c>
      <c r="L260" s="67">
        <f t="shared" si="6"/>
        <v>1</v>
      </c>
      <c r="M260" s="59" t="s">
        <v>4493</v>
      </c>
      <c r="N260" s="68" t="s">
        <v>26</v>
      </c>
      <c r="O260" s="55" t="s">
        <v>2683</v>
      </c>
      <c r="P260" s="55" t="s">
        <v>4459</v>
      </c>
      <c r="Q260" s="68" t="str">
        <f t="shared" si="7"/>
        <v>DENTRO DEL TIEMPO</v>
      </c>
      <c r="R260" s="6"/>
      <c r="S260" s="69"/>
    </row>
    <row r="261" spans="1:19" ht="48.75" x14ac:dyDescent="0.25">
      <c r="A261" s="63">
        <v>255</v>
      </c>
      <c r="B261" s="55" t="s">
        <v>4494</v>
      </c>
      <c r="C261" s="64">
        <v>44676</v>
      </c>
      <c r="D261" s="64">
        <v>44676</v>
      </c>
      <c r="E261" s="65">
        <v>2</v>
      </c>
      <c r="F261" s="24" t="s">
        <v>22</v>
      </c>
      <c r="G261" s="55" t="s">
        <v>30</v>
      </c>
      <c r="H261" s="55" t="s">
        <v>24</v>
      </c>
      <c r="I261" s="55" t="s">
        <v>30</v>
      </c>
      <c r="J261" s="66">
        <v>44677</v>
      </c>
      <c r="K261" s="66">
        <v>44677</v>
      </c>
      <c r="L261" s="67">
        <f t="shared" si="6"/>
        <v>1</v>
      </c>
      <c r="M261" s="59" t="s">
        <v>4495</v>
      </c>
      <c r="N261" s="68" t="s">
        <v>26</v>
      </c>
      <c r="O261" s="55" t="s">
        <v>2683</v>
      </c>
      <c r="P261" s="55" t="s">
        <v>4459</v>
      </c>
      <c r="Q261" s="68" t="str">
        <f t="shared" si="7"/>
        <v>DENTRO DEL TIEMPO</v>
      </c>
      <c r="R261" s="6"/>
      <c r="S261" s="69"/>
    </row>
    <row r="262" spans="1:19" ht="48.75" x14ac:dyDescent="0.25">
      <c r="A262" s="63">
        <v>256</v>
      </c>
      <c r="B262" s="55" t="s">
        <v>4496</v>
      </c>
      <c r="C262" s="64">
        <v>44676</v>
      </c>
      <c r="D262" s="64">
        <v>44676</v>
      </c>
      <c r="E262" s="65">
        <v>2</v>
      </c>
      <c r="F262" s="24" t="s">
        <v>22</v>
      </c>
      <c r="G262" s="55" t="s">
        <v>30</v>
      </c>
      <c r="H262" s="55" t="s">
        <v>24</v>
      </c>
      <c r="I262" s="55" t="s">
        <v>30</v>
      </c>
      <c r="J262" s="66">
        <v>44677</v>
      </c>
      <c r="K262" s="66">
        <v>44677</v>
      </c>
      <c r="L262" s="67">
        <f t="shared" si="6"/>
        <v>1</v>
      </c>
      <c r="M262" s="59" t="s">
        <v>4497</v>
      </c>
      <c r="N262" s="68" t="s">
        <v>26</v>
      </c>
      <c r="O262" s="55" t="s">
        <v>2683</v>
      </c>
      <c r="P262" s="55" t="s">
        <v>4459</v>
      </c>
      <c r="Q262" s="68" t="str">
        <f t="shared" si="7"/>
        <v>DENTRO DEL TIEMPO</v>
      </c>
      <c r="R262" s="6"/>
      <c r="S262" s="69"/>
    </row>
    <row r="263" spans="1:19" ht="48.75" x14ac:dyDescent="0.25">
      <c r="A263" s="63">
        <v>257</v>
      </c>
      <c r="B263" s="55" t="s">
        <v>4498</v>
      </c>
      <c r="C263" s="64">
        <v>44676</v>
      </c>
      <c r="D263" s="64">
        <v>44676</v>
      </c>
      <c r="E263" s="65">
        <v>2</v>
      </c>
      <c r="F263" s="24" t="s">
        <v>22</v>
      </c>
      <c r="G263" s="55" t="s">
        <v>23</v>
      </c>
      <c r="H263" s="55" t="s">
        <v>24</v>
      </c>
      <c r="I263" s="55" t="s">
        <v>23</v>
      </c>
      <c r="J263" s="66">
        <v>44677</v>
      </c>
      <c r="K263" s="66">
        <v>44677</v>
      </c>
      <c r="L263" s="67">
        <f t="shared" si="6"/>
        <v>1</v>
      </c>
      <c r="M263" s="59" t="s">
        <v>4499</v>
      </c>
      <c r="N263" s="68" t="s">
        <v>26</v>
      </c>
      <c r="O263" s="55" t="s">
        <v>2735</v>
      </c>
      <c r="P263" s="55" t="s">
        <v>4440</v>
      </c>
      <c r="Q263" s="68" t="str">
        <f t="shared" si="7"/>
        <v>DENTRO DEL TIEMPO</v>
      </c>
      <c r="R263" s="6"/>
      <c r="S263" s="69"/>
    </row>
    <row r="264" spans="1:19" ht="48.75" x14ac:dyDescent="0.25">
      <c r="A264" s="63">
        <v>258</v>
      </c>
      <c r="B264" s="55" t="s">
        <v>4500</v>
      </c>
      <c r="C264" s="64">
        <v>44676</v>
      </c>
      <c r="D264" s="64">
        <v>44676</v>
      </c>
      <c r="E264" s="65">
        <v>2</v>
      </c>
      <c r="F264" s="24" t="s">
        <v>22</v>
      </c>
      <c r="G264" s="55" t="s">
        <v>30</v>
      </c>
      <c r="H264" s="55" t="s">
        <v>24</v>
      </c>
      <c r="I264" s="55" t="s">
        <v>30</v>
      </c>
      <c r="J264" s="66">
        <v>44677</v>
      </c>
      <c r="K264" s="66">
        <v>44677</v>
      </c>
      <c r="L264" s="67">
        <f t="shared" ref="L264:L327" si="8">+NETWORKDAYS(D264,K264,$R$7:$R$10)-1</f>
        <v>1</v>
      </c>
      <c r="M264" s="59" t="s">
        <v>4501</v>
      </c>
      <c r="N264" s="68" t="s">
        <v>26</v>
      </c>
      <c r="O264" s="55" t="s">
        <v>4502</v>
      </c>
      <c r="P264" s="55" t="s">
        <v>4503</v>
      </c>
      <c r="Q264" s="68" t="str">
        <f t="shared" ref="Q264:Q327" si="9">IF(L264&gt;15,"FUERA DE TIEMPO","DENTRO DEL TIEMPO")</f>
        <v>DENTRO DEL TIEMPO</v>
      </c>
      <c r="R264" s="6"/>
      <c r="S264" s="69"/>
    </row>
    <row r="265" spans="1:19" ht="48.75" hidden="1" x14ac:dyDescent="0.25">
      <c r="A265" s="63">
        <v>259</v>
      </c>
      <c r="B265" s="59" t="s">
        <v>4504</v>
      </c>
      <c r="C265" s="64">
        <v>44676</v>
      </c>
      <c r="D265" s="64">
        <v>44676</v>
      </c>
      <c r="E265" s="65">
        <v>0</v>
      </c>
      <c r="F265" s="24" t="s">
        <v>790</v>
      </c>
      <c r="G265" s="55" t="s">
        <v>4505</v>
      </c>
      <c r="H265" s="55" t="s">
        <v>2592</v>
      </c>
      <c r="I265" s="55" t="s">
        <v>4505</v>
      </c>
      <c r="J265" s="66">
        <v>44706</v>
      </c>
      <c r="K265" s="66">
        <v>44706</v>
      </c>
      <c r="L265" s="67">
        <f t="shared" si="8"/>
        <v>22</v>
      </c>
      <c r="M265" s="59" t="s">
        <v>4506</v>
      </c>
      <c r="N265" s="68" t="s">
        <v>26</v>
      </c>
      <c r="O265" s="55" t="s">
        <v>2530</v>
      </c>
      <c r="P265" s="55" t="s">
        <v>4507</v>
      </c>
      <c r="Q265" s="68" t="str">
        <f t="shared" si="9"/>
        <v>FUERA DE TIEMPO</v>
      </c>
      <c r="R265" s="6"/>
      <c r="S265" s="69"/>
    </row>
    <row r="266" spans="1:19" ht="48.75" x14ac:dyDescent="0.25">
      <c r="A266" s="63">
        <v>260</v>
      </c>
      <c r="B266" s="55" t="s">
        <v>4508</v>
      </c>
      <c r="C266" s="64">
        <v>44676</v>
      </c>
      <c r="D266" s="64">
        <v>44676</v>
      </c>
      <c r="E266" s="65">
        <v>2</v>
      </c>
      <c r="F266" s="24" t="s">
        <v>22</v>
      </c>
      <c r="G266" s="55" t="s">
        <v>30</v>
      </c>
      <c r="H266" s="55" t="s">
        <v>24</v>
      </c>
      <c r="I266" s="55" t="s">
        <v>30</v>
      </c>
      <c r="J266" s="66">
        <v>44677</v>
      </c>
      <c r="K266" s="66">
        <v>44677</v>
      </c>
      <c r="L266" s="67">
        <f t="shared" si="8"/>
        <v>1</v>
      </c>
      <c r="M266" s="59" t="s">
        <v>4509</v>
      </c>
      <c r="N266" s="68" t="s">
        <v>26</v>
      </c>
      <c r="O266" s="55" t="s">
        <v>4510</v>
      </c>
      <c r="P266" s="55" t="s">
        <v>4511</v>
      </c>
      <c r="Q266" s="68" t="str">
        <f t="shared" si="9"/>
        <v>DENTRO DEL TIEMPO</v>
      </c>
      <c r="R266" s="6"/>
      <c r="S266" s="69"/>
    </row>
    <row r="267" spans="1:19" ht="48.75" x14ac:dyDescent="0.25">
      <c r="A267" s="63">
        <v>261</v>
      </c>
      <c r="B267" s="55" t="s">
        <v>4512</v>
      </c>
      <c r="C267" s="64">
        <v>44676</v>
      </c>
      <c r="D267" s="64">
        <v>44676</v>
      </c>
      <c r="E267" s="65">
        <v>2</v>
      </c>
      <c r="F267" s="24" t="s">
        <v>22</v>
      </c>
      <c r="G267" s="55" t="s">
        <v>23</v>
      </c>
      <c r="H267" s="55" t="s">
        <v>24</v>
      </c>
      <c r="I267" s="55" t="s">
        <v>23</v>
      </c>
      <c r="J267" s="66">
        <v>44677</v>
      </c>
      <c r="K267" s="66">
        <v>44677</v>
      </c>
      <c r="L267" s="67">
        <f t="shared" si="8"/>
        <v>1</v>
      </c>
      <c r="M267" s="59" t="s">
        <v>4513</v>
      </c>
      <c r="N267" s="68" t="s">
        <v>26</v>
      </c>
      <c r="O267" s="55" t="s">
        <v>4377</v>
      </c>
      <c r="P267" s="55" t="s">
        <v>4514</v>
      </c>
      <c r="Q267" s="68" t="str">
        <f t="shared" si="9"/>
        <v>DENTRO DEL TIEMPO</v>
      </c>
      <c r="R267" s="6"/>
      <c r="S267" s="69"/>
    </row>
    <row r="268" spans="1:19" ht="48.75" x14ac:dyDescent="0.25">
      <c r="A268" s="63">
        <v>262</v>
      </c>
      <c r="B268" s="55" t="s">
        <v>4515</v>
      </c>
      <c r="C268" s="64">
        <v>44676</v>
      </c>
      <c r="D268" s="64">
        <v>44676</v>
      </c>
      <c r="E268" s="65">
        <v>2</v>
      </c>
      <c r="F268" s="24" t="s">
        <v>22</v>
      </c>
      <c r="G268" s="55" t="s">
        <v>23</v>
      </c>
      <c r="H268" s="55" t="s">
        <v>24</v>
      </c>
      <c r="I268" s="55" t="s">
        <v>23</v>
      </c>
      <c r="J268" s="66">
        <v>44691</v>
      </c>
      <c r="K268" s="66">
        <v>44691</v>
      </c>
      <c r="L268" s="67">
        <f t="shared" si="8"/>
        <v>11</v>
      </c>
      <c r="M268" s="59" t="s">
        <v>4516</v>
      </c>
      <c r="N268" s="68" t="s">
        <v>26</v>
      </c>
      <c r="O268" s="55" t="s">
        <v>4502</v>
      </c>
      <c r="P268" s="55" t="s">
        <v>4503</v>
      </c>
      <c r="Q268" s="68" t="str">
        <f t="shared" si="9"/>
        <v>DENTRO DEL TIEMPO</v>
      </c>
      <c r="R268" s="6"/>
      <c r="S268" s="69"/>
    </row>
    <row r="269" spans="1:19" ht="48.75" x14ac:dyDescent="0.25">
      <c r="A269" s="63">
        <v>263</v>
      </c>
      <c r="B269" s="55" t="s">
        <v>4517</v>
      </c>
      <c r="C269" s="64">
        <v>44654</v>
      </c>
      <c r="D269" s="51">
        <v>44655</v>
      </c>
      <c r="E269" s="65">
        <v>62</v>
      </c>
      <c r="F269" s="24" t="s">
        <v>22</v>
      </c>
      <c r="G269" s="55" t="s">
        <v>23</v>
      </c>
      <c r="H269" s="55" t="s">
        <v>24</v>
      </c>
      <c r="I269" s="55" t="s">
        <v>23</v>
      </c>
      <c r="J269" s="66">
        <v>44676</v>
      </c>
      <c r="K269" s="66">
        <v>44676</v>
      </c>
      <c r="L269" s="67">
        <f t="shared" si="8"/>
        <v>15</v>
      </c>
      <c r="M269" s="59" t="s">
        <v>4518</v>
      </c>
      <c r="N269" s="68" t="s">
        <v>26</v>
      </c>
      <c r="O269" s="53" t="s">
        <v>4519</v>
      </c>
      <c r="P269" s="55" t="s">
        <v>4520</v>
      </c>
      <c r="Q269" s="68" t="str">
        <f t="shared" si="9"/>
        <v>DENTRO DEL TIEMPO</v>
      </c>
      <c r="R269" s="6"/>
      <c r="S269" s="69"/>
    </row>
    <row r="270" spans="1:19" ht="48.75" x14ac:dyDescent="0.25">
      <c r="A270" s="63">
        <v>264</v>
      </c>
      <c r="B270" s="55" t="s">
        <v>4521</v>
      </c>
      <c r="C270" s="64">
        <v>44676</v>
      </c>
      <c r="D270" s="64">
        <v>44676</v>
      </c>
      <c r="E270" s="65">
        <v>2</v>
      </c>
      <c r="F270" s="24" t="s">
        <v>22</v>
      </c>
      <c r="G270" s="55" t="s">
        <v>30</v>
      </c>
      <c r="H270" s="55" t="s">
        <v>24</v>
      </c>
      <c r="I270" s="55" t="s">
        <v>30</v>
      </c>
      <c r="J270" s="66">
        <v>44677</v>
      </c>
      <c r="K270" s="66">
        <v>44677</v>
      </c>
      <c r="L270" s="67">
        <f t="shared" si="8"/>
        <v>1</v>
      </c>
      <c r="M270" s="59" t="s">
        <v>4522</v>
      </c>
      <c r="N270" s="68" t="s">
        <v>26</v>
      </c>
      <c r="O270" s="55" t="s">
        <v>4523</v>
      </c>
      <c r="P270" s="55" t="s">
        <v>4524</v>
      </c>
      <c r="Q270" s="68" t="str">
        <f t="shared" si="9"/>
        <v>DENTRO DEL TIEMPO</v>
      </c>
      <c r="R270" s="6"/>
      <c r="S270" s="69"/>
    </row>
    <row r="271" spans="1:19" ht="48.75" x14ac:dyDescent="0.25">
      <c r="A271" s="63">
        <v>265</v>
      </c>
      <c r="B271" s="55" t="s">
        <v>4525</v>
      </c>
      <c r="C271" s="64">
        <v>44677</v>
      </c>
      <c r="D271" s="64">
        <v>44677</v>
      </c>
      <c r="E271" s="65">
        <v>15</v>
      </c>
      <c r="F271" s="24" t="s">
        <v>22</v>
      </c>
      <c r="G271" s="55" t="s">
        <v>23</v>
      </c>
      <c r="H271" s="55" t="s">
        <v>24</v>
      </c>
      <c r="I271" s="55" t="s">
        <v>23</v>
      </c>
      <c r="J271" s="66">
        <v>44677</v>
      </c>
      <c r="K271" s="66">
        <v>44677</v>
      </c>
      <c r="L271" s="67">
        <f t="shared" si="8"/>
        <v>0</v>
      </c>
      <c r="M271" s="59" t="s">
        <v>4526</v>
      </c>
      <c r="N271" s="68" t="s">
        <v>26</v>
      </c>
      <c r="O271" s="55" t="s">
        <v>4527</v>
      </c>
      <c r="P271" s="55" t="s">
        <v>4528</v>
      </c>
      <c r="Q271" s="68" t="str">
        <f t="shared" si="9"/>
        <v>DENTRO DEL TIEMPO</v>
      </c>
      <c r="R271" s="6"/>
      <c r="S271" s="69"/>
    </row>
    <row r="272" spans="1:19" ht="48.75" x14ac:dyDescent="0.25">
      <c r="A272" s="63">
        <v>266</v>
      </c>
      <c r="B272" s="55" t="s">
        <v>4529</v>
      </c>
      <c r="C272" s="64">
        <v>44677</v>
      </c>
      <c r="D272" s="64">
        <v>44677</v>
      </c>
      <c r="E272" s="65">
        <v>2</v>
      </c>
      <c r="F272" s="24" t="s">
        <v>22</v>
      </c>
      <c r="G272" s="55" t="s">
        <v>30</v>
      </c>
      <c r="H272" s="55" t="s">
        <v>24</v>
      </c>
      <c r="I272" s="55" t="s">
        <v>30</v>
      </c>
      <c r="J272" s="66">
        <v>44677</v>
      </c>
      <c r="K272" s="66">
        <v>44677</v>
      </c>
      <c r="L272" s="67">
        <f t="shared" si="8"/>
        <v>0</v>
      </c>
      <c r="M272" s="59" t="s">
        <v>4530</v>
      </c>
      <c r="N272" s="68" t="s">
        <v>26</v>
      </c>
      <c r="O272" s="55" t="s">
        <v>4531</v>
      </c>
      <c r="P272" s="55" t="s">
        <v>4532</v>
      </c>
      <c r="Q272" s="68" t="str">
        <f t="shared" si="9"/>
        <v>DENTRO DEL TIEMPO</v>
      </c>
      <c r="R272" s="6"/>
      <c r="S272" s="69"/>
    </row>
    <row r="273" spans="1:19" ht="48.75" x14ac:dyDescent="0.25">
      <c r="A273" s="63">
        <v>267</v>
      </c>
      <c r="B273" s="55" t="s">
        <v>4533</v>
      </c>
      <c r="C273" s="64">
        <v>44677</v>
      </c>
      <c r="D273" s="64">
        <v>44677</v>
      </c>
      <c r="E273" s="65">
        <v>2</v>
      </c>
      <c r="F273" s="24" t="s">
        <v>22</v>
      </c>
      <c r="G273" s="55" t="s">
        <v>23</v>
      </c>
      <c r="H273" s="55" t="s">
        <v>24</v>
      </c>
      <c r="I273" s="55" t="s">
        <v>23</v>
      </c>
      <c r="J273" s="66">
        <v>44694</v>
      </c>
      <c r="K273" s="66">
        <v>44694</v>
      </c>
      <c r="L273" s="67">
        <f t="shared" si="8"/>
        <v>13</v>
      </c>
      <c r="M273" s="59" t="s">
        <v>4534</v>
      </c>
      <c r="N273" s="68" t="s">
        <v>26</v>
      </c>
      <c r="O273" s="55" t="s">
        <v>4159</v>
      </c>
      <c r="P273" s="55" t="s">
        <v>4535</v>
      </c>
      <c r="Q273" s="68" t="str">
        <f t="shared" si="9"/>
        <v>DENTRO DEL TIEMPO</v>
      </c>
      <c r="R273" s="6"/>
      <c r="S273" s="69"/>
    </row>
    <row r="274" spans="1:19" ht="48.75" x14ac:dyDescent="0.25">
      <c r="A274" s="63">
        <v>268</v>
      </c>
      <c r="B274" s="55" t="s">
        <v>4536</v>
      </c>
      <c r="C274" s="64">
        <v>44677</v>
      </c>
      <c r="D274" s="64">
        <v>44677</v>
      </c>
      <c r="E274" s="65">
        <v>2</v>
      </c>
      <c r="F274" s="24" t="s">
        <v>22</v>
      </c>
      <c r="G274" s="55" t="s">
        <v>30</v>
      </c>
      <c r="H274" s="55" t="s">
        <v>24</v>
      </c>
      <c r="I274" s="55" t="s">
        <v>30</v>
      </c>
      <c r="J274" s="66">
        <v>44678</v>
      </c>
      <c r="K274" s="66">
        <v>44678</v>
      </c>
      <c r="L274" s="67">
        <f t="shared" si="8"/>
        <v>1</v>
      </c>
      <c r="M274" s="59" t="s">
        <v>4537</v>
      </c>
      <c r="N274" s="68" t="s">
        <v>26</v>
      </c>
      <c r="O274" s="55" t="s">
        <v>4245</v>
      </c>
      <c r="P274" s="55" t="s">
        <v>4246</v>
      </c>
      <c r="Q274" s="68" t="str">
        <f t="shared" si="9"/>
        <v>DENTRO DEL TIEMPO</v>
      </c>
      <c r="R274" s="6"/>
      <c r="S274" s="69"/>
    </row>
    <row r="275" spans="1:19" ht="48.75" x14ac:dyDescent="0.25">
      <c r="A275" s="63">
        <v>269</v>
      </c>
      <c r="B275" s="55" t="s">
        <v>4538</v>
      </c>
      <c r="C275" s="64">
        <v>44677</v>
      </c>
      <c r="D275" s="64">
        <v>44677</v>
      </c>
      <c r="E275" s="65">
        <v>2</v>
      </c>
      <c r="F275" s="24" t="s">
        <v>22</v>
      </c>
      <c r="G275" s="55" t="s">
        <v>30</v>
      </c>
      <c r="H275" s="55" t="s">
        <v>24</v>
      </c>
      <c r="I275" s="55" t="s">
        <v>30</v>
      </c>
      <c r="J275" s="66">
        <v>44678</v>
      </c>
      <c r="K275" s="66">
        <v>44678</v>
      </c>
      <c r="L275" s="67">
        <f t="shared" si="8"/>
        <v>1</v>
      </c>
      <c r="M275" s="59" t="s">
        <v>4539</v>
      </c>
      <c r="N275" s="68" t="s">
        <v>26</v>
      </c>
      <c r="O275" s="55" t="s">
        <v>2999</v>
      </c>
      <c r="P275" s="55" t="s">
        <v>4540</v>
      </c>
      <c r="Q275" s="68" t="str">
        <f t="shared" si="9"/>
        <v>DENTRO DEL TIEMPO</v>
      </c>
      <c r="R275" s="6"/>
      <c r="S275" s="69"/>
    </row>
    <row r="276" spans="1:19" ht="48.75" x14ac:dyDescent="0.25">
      <c r="A276" s="63">
        <v>270</v>
      </c>
      <c r="B276" s="55" t="s">
        <v>4541</v>
      </c>
      <c r="C276" s="64">
        <v>44677</v>
      </c>
      <c r="D276" s="64">
        <v>44677</v>
      </c>
      <c r="E276" s="65">
        <v>2</v>
      </c>
      <c r="F276" s="24" t="s">
        <v>22</v>
      </c>
      <c r="G276" s="55" t="s">
        <v>30</v>
      </c>
      <c r="H276" s="55" t="s">
        <v>24</v>
      </c>
      <c r="I276" s="55" t="s">
        <v>30</v>
      </c>
      <c r="J276" s="66">
        <v>44678</v>
      </c>
      <c r="K276" s="66">
        <v>44678</v>
      </c>
      <c r="L276" s="67">
        <f t="shared" si="8"/>
        <v>1</v>
      </c>
      <c r="M276" s="59" t="s">
        <v>4542</v>
      </c>
      <c r="N276" s="68" t="s">
        <v>26</v>
      </c>
      <c r="O276" s="55" t="s">
        <v>4543</v>
      </c>
      <c r="P276" s="55" t="s">
        <v>4544</v>
      </c>
      <c r="Q276" s="68" t="str">
        <f t="shared" si="9"/>
        <v>DENTRO DEL TIEMPO</v>
      </c>
      <c r="R276" s="6"/>
      <c r="S276" s="69"/>
    </row>
    <row r="277" spans="1:19" ht="48.75" x14ac:dyDescent="0.25">
      <c r="A277" s="63">
        <v>271</v>
      </c>
      <c r="B277" s="55" t="s">
        <v>4545</v>
      </c>
      <c r="C277" s="64">
        <v>44677</v>
      </c>
      <c r="D277" s="64">
        <v>44677</v>
      </c>
      <c r="E277" s="65">
        <v>2</v>
      </c>
      <c r="F277" s="24" t="s">
        <v>22</v>
      </c>
      <c r="G277" s="55" t="s">
        <v>30</v>
      </c>
      <c r="H277" s="55" t="s">
        <v>24</v>
      </c>
      <c r="I277" s="55" t="s">
        <v>30</v>
      </c>
      <c r="J277" s="66">
        <v>44678</v>
      </c>
      <c r="K277" s="66">
        <v>44678</v>
      </c>
      <c r="L277" s="67">
        <f t="shared" si="8"/>
        <v>1</v>
      </c>
      <c r="M277" s="59" t="s">
        <v>4546</v>
      </c>
      <c r="N277" s="68" t="s">
        <v>26</v>
      </c>
      <c r="O277" s="55" t="s">
        <v>4283</v>
      </c>
      <c r="P277" s="55" t="s">
        <v>4284</v>
      </c>
      <c r="Q277" s="68" t="str">
        <f t="shared" si="9"/>
        <v>DENTRO DEL TIEMPO</v>
      </c>
      <c r="R277" s="6"/>
      <c r="S277" s="69"/>
    </row>
    <row r="278" spans="1:19" ht="48.75" x14ac:dyDescent="0.25">
      <c r="A278" s="63">
        <v>272</v>
      </c>
      <c r="B278" s="55" t="s">
        <v>4547</v>
      </c>
      <c r="C278" s="64">
        <v>44677</v>
      </c>
      <c r="D278" s="64">
        <v>44677</v>
      </c>
      <c r="E278" s="65">
        <v>2</v>
      </c>
      <c r="F278" s="24" t="s">
        <v>22</v>
      </c>
      <c r="G278" s="55" t="s">
        <v>30</v>
      </c>
      <c r="H278" s="55" t="s">
        <v>24</v>
      </c>
      <c r="I278" s="55" t="s">
        <v>30</v>
      </c>
      <c r="J278" s="66">
        <v>44678</v>
      </c>
      <c r="K278" s="66">
        <v>44678</v>
      </c>
      <c r="L278" s="67">
        <f t="shared" si="8"/>
        <v>1</v>
      </c>
      <c r="M278" s="59" t="s">
        <v>4548</v>
      </c>
      <c r="N278" s="68" t="s">
        <v>26</v>
      </c>
      <c r="O278" s="55" t="s">
        <v>4549</v>
      </c>
      <c r="P278" s="55" t="s">
        <v>4550</v>
      </c>
      <c r="Q278" s="68" t="str">
        <f t="shared" si="9"/>
        <v>DENTRO DEL TIEMPO</v>
      </c>
      <c r="R278" s="6"/>
      <c r="S278" s="69"/>
    </row>
    <row r="279" spans="1:19" ht="39" hidden="1" x14ac:dyDescent="0.25">
      <c r="A279" s="63">
        <v>273</v>
      </c>
      <c r="B279" s="59" t="s">
        <v>4551</v>
      </c>
      <c r="C279" s="64">
        <v>44677</v>
      </c>
      <c r="D279" s="64">
        <v>44677</v>
      </c>
      <c r="E279" s="65">
        <v>0</v>
      </c>
      <c r="F279" s="24" t="s">
        <v>790</v>
      </c>
      <c r="G279" s="55" t="s">
        <v>4552</v>
      </c>
      <c r="H279" s="55" t="s">
        <v>4553</v>
      </c>
      <c r="I279" s="55" t="s">
        <v>4552</v>
      </c>
      <c r="J279" s="66">
        <v>44701</v>
      </c>
      <c r="K279" s="66">
        <v>44701</v>
      </c>
      <c r="L279" s="67">
        <f t="shared" si="8"/>
        <v>18</v>
      </c>
      <c r="M279" s="59" t="s">
        <v>4554</v>
      </c>
      <c r="N279" s="68" t="s">
        <v>26</v>
      </c>
      <c r="O279" s="55" t="s">
        <v>4555</v>
      </c>
      <c r="P279" s="55" t="s">
        <v>4556</v>
      </c>
      <c r="Q279" s="68" t="str">
        <f t="shared" si="9"/>
        <v>FUERA DE TIEMPO</v>
      </c>
      <c r="R279" s="6"/>
      <c r="S279" s="69"/>
    </row>
    <row r="280" spans="1:19" ht="48.75" x14ac:dyDescent="0.25">
      <c r="A280" s="63">
        <v>274</v>
      </c>
      <c r="B280" s="55" t="s">
        <v>4557</v>
      </c>
      <c r="C280" s="64">
        <v>44677</v>
      </c>
      <c r="D280" s="64">
        <v>44677</v>
      </c>
      <c r="E280" s="65">
        <v>2</v>
      </c>
      <c r="F280" s="24" t="s">
        <v>22</v>
      </c>
      <c r="G280" s="55" t="s">
        <v>30</v>
      </c>
      <c r="H280" s="55" t="s">
        <v>24</v>
      </c>
      <c r="I280" s="55" t="s">
        <v>30</v>
      </c>
      <c r="J280" s="66">
        <v>44678</v>
      </c>
      <c r="K280" s="66">
        <v>44678</v>
      </c>
      <c r="L280" s="67">
        <f t="shared" si="8"/>
        <v>1</v>
      </c>
      <c r="M280" s="59" t="s">
        <v>4558</v>
      </c>
      <c r="N280" s="68" t="s">
        <v>26</v>
      </c>
      <c r="O280" s="55" t="s">
        <v>4559</v>
      </c>
      <c r="P280" s="55" t="s">
        <v>4560</v>
      </c>
      <c r="Q280" s="68" t="str">
        <f t="shared" si="9"/>
        <v>DENTRO DEL TIEMPO</v>
      </c>
      <c r="R280" s="6"/>
      <c r="S280" s="69"/>
    </row>
    <row r="281" spans="1:19" ht="48.75" x14ac:dyDescent="0.25">
      <c r="A281" s="63">
        <v>275</v>
      </c>
      <c r="B281" s="55" t="s">
        <v>4561</v>
      </c>
      <c r="C281" s="64">
        <v>44677</v>
      </c>
      <c r="D281" s="64">
        <v>44677</v>
      </c>
      <c r="E281" s="65">
        <v>2</v>
      </c>
      <c r="F281" s="24" t="s">
        <v>22</v>
      </c>
      <c r="G281" s="55" t="s">
        <v>30</v>
      </c>
      <c r="H281" s="55" t="s">
        <v>24</v>
      </c>
      <c r="I281" s="55" t="s">
        <v>30</v>
      </c>
      <c r="J281" s="66">
        <v>44678</v>
      </c>
      <c r="K281" s="66">
        <v>44678</v>
      </c>
      <c r="L281" s="67">
        <f t="shared" si="8"/>
        <v>1</v>
      </c>
      <c r="M281" s="59" t="s">
        <v>4562</v>
      </c>
      <c r="N281" s="68" t="s">
        <v>26</v>
      </c>
      <c r="O281" s="55" t="s">
        <v>4563</v>
      </c>
      <c r="P281" s="55" t="s">
        <v>4564</v>
      </c>
      <c r="Q281" s="68" t="str">
        <f t="shared" si="9"/>
        <v>DENTRO DEL TIEMPO</v>
      </c>
      <c r="R281" s="6"/>
      <c r="S281" s="69"/>
    </row>
    <row r="282" spans="1:19" ht="48.75" x14ac:dyDescent="0.25">
      <c r="A282" s="63">
        <v>276</v>
      </c>
      <c r="B282" s="55" t="s">
        <v>4565</v>
      </c>
      <c r="C282" s="64">
        <v>44678</v>
      </c>
      <c r="D282" s="64">
        <v>44678</v>
      </c>
      <c r="E282" s="65">
        <v>2</v>
      </c>
      <c r="F282" s="24" t="s">
        <v>22</v>
      </c>
      <c r="G282" s="55" t="s">
        <v>30</v>
      </c>
      <c r="H282" s="55" t="s">
        <v>24</v>
      </c>
      <c r="I282" s="55" t="s">
        <v>30</v>
      </c>
      <c r="J282" s="66">
        <v>44678</v>
      </c>
      <c r="K282" s="66">
        <v>44678</v>
      </c>
      <c r="L282" s="67">
        <f t="shared" si="8"/>
        <v>0</v>
      </c>
      <c r="M282" s="59" t="s">
        <v>4566</v>
      </c>
      <c r="N282" s="68" t="s">
        <v>26</v>
      </c>
      <c r="O282" s="55" t="s">
        <v>4567</v>
      </c>
      <c r="P282" s="55" t="s">
        <v>4568</v>
      </c>
      <c r="Q282" s="68" t="str">
        <f t="shared" si="9"/>
        <v>DENTRO DEL TIEMPO</v>
      </c>
      <c r="R282" s="6"/>
      <c r="S282" s="69"/>
    </row>
    <row r="283" spans="1:19" ht="48.75" x14ac:dyDescent="0.25">
      <c r="A283" s="63">
        <v>277</v>
      </c>
      <c r="B283" s="55" t="s">
        <v>4569</v>
      </c>
      <c r="C283" s="64">
        <v>44678</v>
      </c>
      <c r="D283" s="64">
        <v>44678</v>
      </c>
      <c r="E283" s="65">
        <v>2</v>
      </c>
      <c r="F283" s="24" t="s">
        <v>22</v>
      </c>
      <c r="G283" s="55" t="s">
        <v>30</v>
      </c>
      <c r="H283" s="55" t="s">
        <v>24</v>
      </c>
      <c r="I283" s="55" t="s">
        <v>30</v>
      </c>
      <c r="J283" s="66">
        <v>44678</v>
      </c>
      <c r="K283" s="66">
        <v>44678</v>
      </c>
      <c r="L283" s="67">
        <f t="shared" si="8"/>
        <v>0</v>
      </c>
      <c r="M283" s="59" t="s">
        <v>4570</v>
      </c>
      <c r="N283" s="68" t="s">
        <v>26</v>
      </c>
      <c r="O283" s="55" t="s">
        <v>2396</v>
      </c>
      <c r="P283" s="55" t="s">
        <v>3791</v>
      </c>
      <c r="Q283" s="68" t="str">
        <f t="shared" si="9"/>
        <v>DENTRO DEL TIEMPO</v>
      </c>
      <c r="R283" s="6"/>
      <c r="S283" s="69"/>
    </row>
    <row r="284" spans="1:19" ht="48.75" x14ac:dyDescent="0.25">
      <c r="A284" s="63">
        <v>278</v>
      </c>
      <c r="B284" s="55" t="s">
        <v>4571</v>
      </c>
      <c r="C284" s="64">
        <v>44678</v>
      </c>
      <c r="D284" s="64">
        <v>44678</v>
      </c>
      <c r="E284" s="65">
        <v>2</v>
      </c>
      <c r="F284" s="24" t="s">
        <v>22</v>
      </c>
      <c r="G284" s="55" t="s">
        <v>30</v>
      </c>
      <c r="H284" s="55" t="s">
        <v>24</v>
      </c>
      <c r="I284" s="55" t="s">
        <v>30</v>
      </c>
      <c r="J284" s="66">
        <v>44679</v>
      </c>
      <c r="K284" s="66">
        <v>44679</v>
      </c>
      <c r="L284" s="67">
        <f t="shared" si="8"/>
        <v>1</v>
      </c>
      <c r="M284" s="59" t="s">
        <v>4572</v>
      </c>
      <c r="N284" s="68" t="s">
        <v>26</v>
      </c>
      <c r="O284" s="55" t="s">
        <v>2396</v>
      </c>
      <c r="P284" s="55" t="s">
        <v>3791</v>
      </c>
      <c r="Q284" s="68" t="str">
        <f t="shared" si="9"/>
        <v>DENTRO DEL TIEMPO</v>
      </c>
      <c r="R284" s="6"/>
      <c r="S284" s="69"/>
    </row>
    <row r="285" spans="1:19" ht="48.75" x14ac:dyDescent="0.25">
      <c r="A285" s="63">
        <v>279</v>
      </c>
      <c r="B285" s="55" t="s">
        <v>4573</v>
      </c>
      <c r="C285" s="64">
        <v>44678</v>
      </c>
      <c r="D285" s="64">
        <v>44678</v>
      </c>
      <c r="E285" s="65">
        <v>2</v>
      </c>
      <c r="F285" s="24" t="s">
        <v>22</v>
      </c>
      <c r="G285" s="55" t="s">
        <v>30</v>
      </c>
      <c r="H285" s="55" t="s">
        <v>24</v>
      </c>
      <c r="I285" s="55" t="s">
        <v>30</v>
      </c>
      <c r="J285" s="66">
        <v>44679</v>
      </c>
      <c r="K285" s="66">
        <v>44679</v>
      </c>
      <c r="L285" s="67">
        <f t="shared" si="8"/>
        <v>1</v>
      </c>
      <c r="M285" s="59" t="s">
        <v>4574</v>
      </c>
      <c r="N285" s="68" t="s">
        <v>26</v>
      </c>
      <c r="O285" s="55" t="s">
        <v>2792</v>
      </c>
      <c r="P285" s="55" t="s">
        <v>4575</v>
      </c>
      <c r="Q285" s="68" t="str">
        <f t="shared" si="9"/>
        <v>DENTRO DEL TIEMPO</v>
      </c>
      <c r="R285" s="6"/>
      <c r="S285" s="69"/>
    </row>
    <row r="286" spans="1:19" ht="48.75" hidden="1" x14ac:dyDescent="0.25">
      <c r="A286" s="63">
        <v>280</v>
      </c>
      <c r="B286" s="59" t="s">
        <v>4576</v>
      </c>
      <c r="C286" s="64">
        <v>44678</v>
      </c>
      <c r="D286" s="64">
        <v>44678</v>
      </c>
      <c r="E286" s="65">
        <v>0</v>
      </c>
      <c r="F286" s="24" t="s">
        <v>790</v>
      </c>
      <c r="G286" s="55" t="s">
        <v>4577</v>
      </c>
      <c r="H286" s="55" t="s">
        <v>4578</v>
      </c>
      <c r="I286" s="55" t="s">
        <v>4577</v>
      </c>
      <c r="J286" s="66">
        <v>44680</v>
      </c>
      <c r="K286" s="66">
        <v>44680</v>
      </c>
      <c r="L286" s="67">
        <f t="shared" si="8"/>
        <v>2</v>
      </c>
      <c r="M286" s="59" t="s">
        <v>4579</v>
      </c>
      <c r="N286" s="68" t="s">
        <v>26</v>
      </c>
      <c r="O286" s="55" t="s">
        <v>4580</v>
      </c>
      <c r="P286" s="55" t="s">
        <v>3750</v>
      </c>
      <c r="Q286" s="68" t="str">
        <f t="shared" si="9"/>
        <v>DENTRO DEL TIEMPO</v>
      </c>
      <c r="R286" s="6"/>
      <c r="S286" s="69"/>
    </row>
    <row r="287" spans="1:19" ht="48.75" x14ac:dyDescent="0.25">
      <c r="A287" s="63">
        <v>281</v>
      </c>
      <c r="B287" s="55" t="s">
        <v>4581</v>
      </c>
      <c r="C287" s="64">
        <v>44678</v>
      </c>
      <c r="D287" s="64">
        <v>44678</v>
      </c>
      <c r="E287" s="65">
        <v>2</v>
      </c>
      <c r="F287" s="24" t="s">
        <v>22</v>
      </c>
      <c r="G287" s="55" t="s">
        <v>30</v>
      </c>
      <c r="H287" s="55" t="s">
        <v>24</v>
      </c>
      <c r="I287" s="55" t="s">
        <v>30</v>
      </c>
      <c r="J287" s="66">
        <v>44679</v>
      </c>
      <c r="K287" s="66">
        <v>44679</v>
      </c>
      <c r="L287" s="67">
        <f t="shared" si="8"/>
        <v>1</v>
      </c>
      <c r="M287" s="59" t="s">
        <v>4582</v>
      </c>
      <c r="N287" s="68" t="s">
        <v>26</v>
      </c>
      <c r="O287" s="55" t="s">
        <v>4583</v>
      </c>
      <c r="P287" s="55" t="s">
        <v>4584</v>
      </c>
      <c r="Q287" s="68" t="str">
        <f t="shared" si="9"/>
        <v>DENTRO DEL TIEMPO</v>
      </c>
      <c r="R287" s="6"/>
      <c r="S287" s="69"/>
    </row>
    <row r="288" spans="1:19" ht="48.75" x14ac:dyDescent="0.25">
      <c r="A288" s="63">
        <v>282</v>
      </c>
      <c r="B288" s="55" t="s">
        <v>4585</v>
      </c>
      <c r="C288" s="64">
        <v>44678</v>
      </c>
      <c r="D288" s="64">
        <v>44678</v>
      </c>
      <c r="E288" s="65">
        <v>2</v>
      </c>
      <c r="F288" s="24" t="s">
        <v>22</v>
      </c>
      <c r="G288" s="55" t="s">
        <v>30</v>
      </c>
      <c r="H288" s="55" t="s">
        <v>24</v>
      </c>
      <c r="I288" s="55" t="s">
        <v>30</v>
      </c>
      <c r="J288" s="66">
        <v>44679</v>
      </c>
      <c r="K288" s="66">
        <v>44679</v>
      </c>
      <c r="L288" s="67">
        <f t="shared" si="8"/>
        <v>1</v>
      </c>
      <c r="M288" s="59" t="s">
        <v>4586</v>
      </c>
      <c r="N288" s="68" t="s">
        <v>26</v>
      </c>
      <c r="O288" s="55" t="s">
        <v>3275</v>
      </c>
      <c r="P288" s="55" t="s">
        <v>4587</v>
      </c>
      <c r="Q288" s="68" t="str">
        <f t="shared" si="9"/>
        <v>DENTRO DEL TIEMPO</v>
      </c>
      <c r="R288" s="6"/>
      <c r="S288" s="69"/>
    </row>
    <row r="289" spans="1:19" ht="48.75" x14ac:dyDescent="0.25">
      <c r="A289" s="63">
        <v>283</v>
      </c>
      <c r="B289" s="55" t="s">
        <v>4588</v>
      </c>
      <c r="C289" s="64">
        <v>44678</v>
      </c>
      <c r="D289" s="64">
        <v>44678</v>
      </c>
      <c r="E289" s="65">
        <v>2</v>
      </c>
      <c r="F289" s="24" t="s">
        <v>22</v>
      </c>
      <c r="G289" s="55" t="s">
        <v>30</v>
      </c>
      <c r="H289" s="55" t="s">
        <v>24</v>
      </c>
      <c r="I289" s="55" t="s">
        <v>30</v>
      </c>
      <c r="J289" s="66">
        <v>44679</v>
      </c>
      <c r="K289" s="66">
        <v>44679</v>
      </c>
      <c r="L289" s="67">
        <f t="shared" si="8"/>
        <v>1</v>
      </c>
      <c r="M289" s="59" t="s">
        <v>4589</v>
      </c>
      <c r="N289" s="68" t="s">
        <v>26</v>
      </c>
      <c r="O289" s="55" t="s">
        <v>3100</v>
      </c>
      <c r="P289" s="55" t="s">
        <v>4590</v>
      </c>
      <c r="Q289" s="68" t="str">
        <f t="shared" si="9"/>
        <v>DENTRO DEL TIEMPO</v>
      </c>
      <c r="R289" s="6"/>
      <c r="S289" s="69"/>
    </row>
    <row r="290" spans="1:19" ht="48.75" x14ac:dyDescent="0.25">
      <c r="A290" s="63">
        <v>284</v>
      </c>
      <c r="B290" s="55" t="s">
        <v>4591</v>
      </c>
      <c r="C290" s="64">
        <v>44678</v>
      </c>
      <c r="D290" s="64">
        <v>44678</v>
      </c>
      <c r="E290" s="65">
        <v>2</v>
      </c>
      <c r="F290" s="24" t="s">
        <v>22</v>
      </c>
      <c r="G290" s="55" t="s">
        <v>30</v>
      </c>
      <c r="H290" s="55" t="s">
        <v>24</v>
      </c>
      <c r="I290" s="55" t="s">
        <v>30</v>
      </c>
      <c r="J290" s="66">
        <v>44679</v>
      </c>
      <c r="K290" s="66">
        <v>44679</v>
      </c>
      <c r="L290" s="67">
        <f t="shared" si="8"/>
        <v>1</v>
      </c>
      <c r="M290" s="59" t="s">
        <v>4592</v>
      </c>
      <c r="N290" s="68" t="s">
        <v>26</v>
      </c>
      <c r="O290" s="55" t="s">
        <v>3100</v>
      </c>
      <c r="P290" s="55" t="s">
        <v>4590</v>
      </c>
      <c r="Q290" s="68" t="str">
        <f t="shared" si="9"/>
        <v>DENTRO DEL TIEMPO</v>
      </c>
      <c r="R290" s="6"/>
      <c r="S290" s="69"/>
    </row>
    <row r="291" spans="1:19" ht="48.75" x14ac:dyDescent="0.25">
      <c r="A291" s="63">
        <v>285</v>
      </c>
      <c r="B291" s="55" t="s">
        <v>4593</v>
      </c>
      <c r="C291" s="64">
        <v>44678</v>
      </c>
      <c r="D291" s="64">
        <v>44678</v>
      </c>
      <c r="E291" s="65">
        <v>2</v>
      </c>
      <c r="F291" s="24" t="s">
        <v>22</v>
      </c>
      <c r="G291" s="55" t="s">
        <v>30</v>
      </c>
      <c r="H291" s="55" t="s">
        <v>24</v>
      </c>
      <c r="I291" s="55" t="s">
        <v>30</v>
      </c>
      <c r="J291" s="66">
        <v>44679</v>
      </c>
      <c r="K291" s="66">
        <v>44679</v>
      </c>
      <c r="L291" s="67">
        <f t="shared" si="8"/>
        <v>1</v>
      </c>
      <c r="M291" s="59" t="s">
        <v>4594</v>
      </c>
      <c r="N291" s="68" t="s">
        <v>26</v>
      </c>
      <c r="O291" s="55" t="s">
        <v>3100</v>
      </c>
      <c r="P291" s="55" t="s">
        <v>4590</v>
      </c>
      <c r="Q291" s="68" t="str">
        <f t="shared" si="9"/>
        <v>DENTRO DEL TIEMPO</v>
      </c>
      <c r="R291" s="6"/>
      <c r="S291" s="69"/>
    </row>
    <row r="292" spans="1:19" ht="48.75" x14ac:dyDescent="0.25">
      <c r="A292" s="63">
        <v>286</v>
      </c>
      <c r="B292" s="55" t="s">
        <v>4595</v>
      </c>
      <c r="C292" s="64">
        <v>44678</v>
      </c>
      <c r="D292" s="64">
        <v>44678</v>
      </c>
      <c r="E292" s="65">
        <v>2</v>
      </c>
      <c r="F292" s="24" t="s">
        <v>22</v>
      </c>
      <c r="G292" s="55" t="s">
        <v>30</v>
      </c>
      <c r="H292" s="55" t="s">
        <v>24</v>
      </c>
      <c r="I292" s="55" t="s">
        <v>30</v>
      </c>
      <c r="J292" s="66">
        <v>44679</v>
      </c>
      <c r="K292" s="66">
        <v>44679</v>
      </c>
      <c r="L292" s="67">
        <f t="shared" si="8"/>
        <v>1</v>
      </c>
      <c r="M292" s="59" t="s">
        <v>4596</v>
      </c>
      <c r="N292" s="68" t="s">
        <v>26</v>
      </c>
      <c r="O292" s="55" t="s">
        <v>3100</v>
      </c>
      <c r="P292" s="55" t="s">
        <v>4590</v>
      </c>
      <c r="Q292" s="68" t="str">
        <f t="shared" si="9"/>
        <v>DENTRO DEL TIEMPO</v>
      </c>
      <c r="R292" s="6"/>
      <c r="S292" s="69"/>
    </row>
    <row r="293" spans="1:19" ht="48.75" x14ac:dyDescent="0.25">
      <c r="A293" s="63">
        <v>287</v>
      </c>
      <c r="B293" s="55" t="s">
        <v>4597</v>
      </c>
      <c r="C293" s="64">
        <v>44678</v>
      </c>
      <c r="D293" s="64">
        <v>44678</v>
      </c>
      <c r="E293" s="65">
        <v>22</v>
      </c>
      <c r="F293" s="24" t="s">
        <v>22</v>
      </c>
      <c r="G293" s="55" t="s">
        <v>23</v>
      </c>
      <c r="H293" s="55" t="s">
        <v>24</v>
      </c>
      <c r="I293" s="55" t="s">
        <v>23</v>
      </c>
      <c r="J293" s="66">
        <v>44678</v>
      </c>
      <c r="K293" s="66">
        <v>44678</v>
      </c>
      <c r="L293" s="67">
        <f t="shared" si="8"/>
        <v>0</v>
      </c>
      <c r="M293" s="59" t="s">
        <v>4598</v>
      </c>
      <c r="N293" s="68" t="s">
        <v>26</v>
      </c>
      <c r="O293" s="55" t="s">
        <v>4599</v>
      </c>
      <c r="P293" s="55" t="s">
        <v>4600</v>
      </c>
      <c r="Q293" s="68" t="str">
        <f t="shared" si="9"/>
        <v>DENTRO DEL TIEMPO</v>
      </c>
      <c r="R293" s="6"/>
      <c r="S293" s="69"/>
    </row>
    <row r="294" spans="1:19" ht="48.75" x14ac:dyDescent="0.25">
      <c r="A294" s="63">
        <v>288</v>
      </c>
      <c r="B294" s="55" t="s">
        <v>4601</v>
      </c>
      <c r="C294" s="64">
        <v>44678</v>
      </c>
      <c r="D294" s="64">
        <v>44678</v>
      </c>
      <c r="E294" s="65">
        <v>2</v>
      </c>
      <c r="F294" s="24" t="s">
        <v>22</v>
      </c>
      <c r="G294" s="55" t="s">
        <v>30</v>
      </c>
      <c r="H294" s="55" t="s">
        <v>24</v>
      </c>
      <c r="I294" s="55" t="s">
        <v>30</v>
      </c>
      <c r="J294" s="66">
        <v>44679</v>
      </c>
      <c r="K294" s="66">
        <v>44679</v>
      </c>
      <c r="L294" s="67">
        <f t="shared" si="8"/>
        <v>1</v>
      </c>
      <c r="M294" s="59" t="s">
        <v>4602</v>
      </c>
      <c r="N294" s="68" t="s">
        <v>26</v>
      </c>
      <c r="O294" s="55" t="s">
        <v>4603</v>
      </c>
      <c r="P294" s="55" t="s">
        <v>4604</v>
      </c>
      <c r="Q294" s="68" t="str">
        <f t="shared" si="9"/>
        <v>DENTRO DEL TIEMPO</v>
      </c>
      <c r="R294" s="6"/>
      <c r="S294" s="69"/>
    </row>
    <row r="295" spans="1:19" ht="48.75" x14ac:dyDescent="0.25">
      <c r="A295" s="63">
        <v>289</v>
      </c>
      <c r="B295" s="55" t="s">
        <v>4605</v>
      </c>
      <c r="C295" s="64">
        <v>44678</v>
      </c>
      <c r="D295" s="64">
        <v>44678</v>
      </c>
      <c r="E295" s="65">
        <v>2</v>
      </c>
      <c r="F295" s="24" t="s">
        <v>22</v>
      </c>
      <c r="G295" s="55" t="s">
        <v>30</v>
      </c>
      <c r="H295" s="55" t="s">
        <v>24</v>
      </c>
      <c r="I295" s="55" t="s">
        <v>30</v>
      </c>
      <c r="J295" s="66">
        <v>44679</v>
      </c>
      <c r="K295" s="66">
        <v>44679</v>
      </c>
      <c r="L295" s="67">
        <f t="shared" si="8"/>
        <v>1</v>
      </c>
      <c r="M295" s="59" t="s">
        <v>4606</v>
      </c>
      <c r="N295" s="68" t="s">
        <v>26</v>
      </c>
      <c r="O295" s="55" t="s">
        <v>2676</v>
      </c>
      <c r="P295" s="55" t="s">
        <v>4607</v>
      </c>
      <c r="Q295" s="68" t="str">
        <f t="shared" si="9"/>
        <v>DENTRO DEL TIEMPO</v>
      </c>
      <c r="R295" s="6"/>
      <c r="S295" s="69"/>
    </row>
    <row r="296" spans="1:19" ht="48.75" x14ac:dyDescent="0.25">
      <c r="A296" s="63">
        <v>290</v>
      </c>
      <c r="B296" s="55" t="s">
        <v>4608</v>
      </c>
      <c r="C296" s="64">
        <v>44678</v>
      </c>
      <c r="D296" s="64">
        <v>44678</v>
      </c>
      <c r="E296" s="65">
        <v>2</v>
      </c>
      <c r="F296" s="24" t="s">
        <v>22</v>
      </c>
      <c r="G296" s="55" t="s">
        <v>30</v>
      </c>
      <c r="H296" s="55" t="s">
        <v>24</v>
      </c>
      <c r="I296" s="55" t="s">
        <v>30</v>
      </c>
      <c r="J296" s="66">
        <v>44679</v>
      </c>
      <c r="K296" s="66">
        <v>44679</v>
      </c>
      <c r="L296" s="67">
        <f t="shared" si="8"/>
        <v>1</v>
      </c>
      <c r="M296" s="59" t="s">
        <v>4609</v>
      </c>
      <c r="N296" s="68" t="s">
        <v>26</v>
      </c>
      <c r="O296" s="55" t="s">
        <v>2614</v>
      </c>
      <c r="P296" s="55" t="s">
        <v>4610</v>
      </c>
      <c r="Q296" s="68" t="str">
        <f t="shared" si="9"/>
        <v>DENTRO DEL TIEMPO</v>
      </c>
      <c r="R296" s="6"/>
      <c r="S296" s="69"/>
    </row>
    <row r="297" spans="1:19" ht="48.75" x14ac:dyDescent="0.25">
      <c r="A297" s="63">
        <v>291</v>
      </c>
      <c r="B297" s="55" t="s">
        <v>4611</v>
      </c>
      <c r="C297" s="64">
        <v>44678</v>
      </c>
      <c r="D297" s="64">
        <v>44678</v>
      </c>
      <c r="E297" s="65">
        <v>2</v>
      </c>
      <c r="F297" s="24" t="s">
        <v>22</v>
      </c>
      <c r="G297" s="55" t="s">
        <v>30</v>
      </c>
      <c r="H297" s="55" t="s">
        <v>24</v>
      </c>
      <c r="I297" s="55" t="s">
        <v>30</v>
      </c>
      <c r="J297" s="66">
        <v>44679</v>
      </c>
      <c r="K297" s="66">
        <v>44679</v>
      </c>
      <c r="L297" s="67">
        <f t="shared" si="8"/>
        <v>1</v>
      </c>
      <c r="M297" s="59" t="s">
        <v>4612</v>
      </c>
      <c r="N297" s="68" t="s">
        <v>26</v>
      </c>
      <c r="O297" s="55" t="s">
        <v>2614</v>
      </c>
      <c r="P297" s="55" t="s">
        <v>4613</v>
      </c>
      <c r="Q297" s="68" t="str">
        <f t="shared" si="9"/>
        <v>DENTRO DEL TIEMPO</v>
      </c>
      <c r="R297" s="6"/>
      <c r="S297" s="69"/>
    </row>
    <row r="298" spans="1:19" ht="48.75" x14ac:dyDescent="0.25">
      <c r="A298" s="63">
        <v>292</v>
      </c>
      <c r="B298" s="55" t="s">
        <v>4614</v>
      </c>
      <c r="C298" s="64">
        <v>44679</v>
      </c>
      <c r="D298" s="64">
        <v>44679</v>
      </c>
      <c r="E298" s="65">
        <v>2</v>
      </c>
      <c r="F298" s="24" t="s">
        <v>22</v>
      </c>
      <c r="G298" s="55" t="s">
        <v>30</v>
      </c>
      <c r="H298" s="55" t="s">
        <v>24</v>
      </c>
      <c r="I298" s="55" t="s">
        <v>30</v>
      </c>
      <c r="J298" s="66">
        <v>44680</v>
      </c>
      <c r="K298" s="66">
        <v>44680</v>
      </c>
      <c r="L298" s="67">
        <f t="shared" si="8"/>
        <v>1</v>
      </c>
      <c r="M298" s="59" t="s">
        <v>4615</v>
      </c>
      <c r="N298" s="68" t="s">
        <v>26</v>
      </c>
      <c r="O298" s="55" t="s">
        <v>4616</v>
      </c>
      <c r="P298" s="55" t="s">
        <v>4617</v>
      </c>
      <c r="Q298" s="68" t="str">
        <f t="shared" si="9"/>
        <v>DENTRO DEL TIEMPO</v>
      </c>
      <c r="R298" s="6"/>
      <c r="S298" s="69"/>
    </row>
    <row r="299" spans="1:19" ht="39" hidden="1" x14ac:dyDescent="0.25">
      <c r="A299" s="63">
        <v>293</v>
      </c>
      <c r="B299" s="59" t="s">
        <v>4618</v>
      </c>
      <c r="C299" s="64">
        <v>44679</v>
      </c>
      <c r="D299" s="64">
        <v>44679</v>
      </c>
      <c r="E299" s="65">
        <v>0</v>
      </c>
      <c r="F299" s="24" t="s">
        <v>790</v>
      </c>
      <c r="G299" s="55" t="s">
        <v>4505</v>
      </c>
      <c r="H299" s="55" t="s">
        <v>2592</v>
      </c>
      <c r="I299" s="55" t="s">
        <v>4505</v>
      </c>
      <c r="J299" s="66"/>
      <c r="K299" s="66"/>
      <c r="L299" s="67">
        <f t="shared" si="8"/>
        <v>-31915</v>
      </c>
      <c r="M299" s="6"/>
      <c r="N299" s="68" t="s">
        <v>26</v>
      </c>
      <c r="O299" s="55" t="s">
        <v>4163</v>
      </c>
      <c r="P299" s="55" t="s">
        <v>3763</v>
      </c>
      <c r="Q299" s="68" t="str">
        <f t="shared" si="9"/>
        <v>DENTRO DEL TIEMPO</v>
      </c>
      <c r="R299" s="6"/>
      <c r="S299" s="69"/>
    </row>
    <row r="300" spans="1:19" ht="48.75" x14ac:dyDescent="0.25">
      <c r="A300" s="63">
        <v>294</v>
      </c>
      <c r="B300" s="55" t="s">
        <v>4619</v>
      </c>
      <c r="C300" s="64">
        <v>44679</v>
      </c>
      <c r="D300" s="64">
        <v>44679</v>
      </c>
      <c r="E300" s="65">
        <v>2</v>
      </c>
      <c r="F300" s="24" t="s">
        <v>22</v>
      </c>
      <c r="G300" s="55" t="s">
        <v>30</v>
      </c>
      <c r="H300" s="55" t="s">
        <v>24</v>
      </c>
      <c r="I300" s="55" t="s">
        <v>30</v>
      </c>
      <c r="J300" s="66">
        <v>44680</v>
      </c>
      <c r="K300" s="66">
        <v>44680</v>
      </c>
      <c r="L300" s="67">
        <f t="shared" si="8"/>
        <v>1</v>
      </c>
      <c r="M300" s="59" t="s">
        <v>4620</v>
      </c>
      <c r="N300" s="68" t="s">
        <v>26</v>
      </c>
      <c r="O300" s="55" t="s">
        <v>4621</v>
      </c>
      <c r="P300" s="55" t="s">
        <v>4622</v>
      </c>
      <c r="Q300" s="68" t="str">
        <f t="shared" si="9"/>
        <v>DENTRO DEL TIEMPO</v>
      </c>
      <c r="R300" s="6"/>
      <c r="S300" s="69"/>
    </row>
    <row r="301" spans="1:19" ht="48.75" x14ac:dyDescent="0.25">
      <c r="A301" s="63">
        <v>295</v>
      </c>
      <c r="B301" s="55" t="s">
        <v>4623</v>
      </c>
      <c r="C301" s="64">
        <v>44679</v>
      </c>
      <c r="D301" s="64">
        <v>44679</v>
      </c>
      <c r="E301" s="65">
        <v>2</v>
      </c>
      <c r="F301" s="24" t="s">
        <v>22</v>
      </c>
      <c r="G301" s="55" t="s">
        <v>30</v>
      </c>
      <c r="H301" s="55" t="s">
        <v>24</v>
      </c>
      <c r="I301" s="55" t="s">
        <v>30</v>
      </c>
      <c r="J301" s="66">
        <v>44680</v>
      </c>
      <c r="K301" s="66">
        <v>44680</v>
      </c>
      <c r="L301" s="67">
        <f t="shared" si="8"/>
        <v>1</v>
      </c>
      <c r="M301" s="59" t="s">
        <v>4624</v>
      </c>
      <c r="N301" s="68" t="s">
        <v>26</v>
      </c>
      <c r="O301" s="55" t="s">
        <v>4625</v>
      </c>
      <c r="P301" s="55" t="s">
        <v>3904</v>
      </c>
      <c r="Q301" s="68" t="str">
        <f t="shared" si="9"/>
        <v>DENTRO DEL TIEMPO</v>
      </c>
      <c r="R301" s="6"/>
      <c r="S301" s="69"/>
    </row>
    <row r="302" spans="1:19" ht="39" hidden="1" x14ac:dyDescent="0.25">
      <c r="A302" s="63">
        <v>296</v>
      </c>
      <c r="B302" s="59" t="s">
        <v>4626</v>
      </c>
      <c r="C302" s="64">
        <v>44679</v>
      </c>
      <c r="D302" s="64">
        <v>44679</v>
      </c>
      <c r="E302" s="65">
        <v>0</v>
      </c>
      <c r="F302" s="24" t="s">
        <v>790</v>
      </c>
      <c r="G302" s="55" t="s">
        <v>4627</v>
      </c>
      <c r="H302" s="55" t="s">
        <v>2592</v>
      </c>
      <c r="I302" s="55" t="s">
        <v>4627</v>
      </c>
      <c r="J302" s="66"/>
      <c r="K302" s="66"/>
      <c r="L302" s="67">
        <f t="shared" si="8"/>
        <v>-31915</v>
      </c>
      <c r="M302" s="6"/>
      <c r="N302" s="68" t="s">
        <v>26</v>
      </c>
      <c r="O302" s="55" t="s">
        <v>2999</v>
      </c>
      <c r="P302" s="55" t="s">
        <v>3763</v>
      </c>
      <c r="Q302" s="68" t="str">
        <f t="shared" si="9"/>
        <v>DENTRO DEL TIEMPO</v>
      </c>
      <c r="R302" s="6"/>
      <c r="S302" s="69"/>
    </row>
    <row r="303" spans="1:19" ht="48.75" x14ac:dyDescent="0.25">
      <c r="A303" s="63">
        <v>297</v>
      </c>
      <c r="B303" s="55" t="s">
        <v>4628</v>
      </c>
      <c r="C303" s="64">
        <v>44679</v>
      </c>
      <c r="D303" s="64">
        <v>44679</v>
      </c>
      <c r="E303" s="65">
        <v>2</v>
      </c>
      <c r="F303" s="24" t="s">
        <v>22</v>
      </c>
      <c r="G303" s="55" t="s">
        <v>30</v>
      </c>
      <c r="H303" s="55" t="s">
        <v>24</v>
      </c>
      <c r="I303" s="55" t="s">
        <v>30</v>
      </c>
      <c r="J303" s="66">
        <v>44680</v>
      </c>
      <c r="K303" s="66">
        <v>44680</v>
      </c>
      <c r="L303" s="67">
        <f t="shared" si="8"/>
        <v>1</v>
      </c>
      <c r="M303" s="59" t="s">
        <v>4629</v>
      </c>
      <c r="N303" s="68" t="s">
        <v>26</v>
      </c>
      <c r="O303" s="55" t="s">
        <v>4630</v>
      </c>
      <c r="P303" s="55" t="s">
        <v>4631</v>
      </c>
      <c r="Q303" s="68" t="str">
        <f t="shared" si="9"/>
        <v>DENTRO DEL TIEMPO</v>
      </c>
      <c r="R303" s="6"/>
      <c r="S303" s="69"/>
    </row>
    <row r="304" spans="1:19" ht="48.75" x14ac:dyDescent="0.25">
      <c r="A304" s="63">
        <v>298</v>
      </c>
      <c r="B304" s="55" t="s">
        <v>4632</v>
      </c>
      <c r="C304" s="64">
        <v>44679</v>
      </c>
      <c r="D304" s="64">
        <v>44679</v>
      </c>
      <c r="E304" s="65">
        <v>2</v>
      </c>
      <c r="F304" s="24" t="s">
        <v>22</v>
      </c>
      <c r="G304" s="55" t="s">
        <v>30</v>
      </c>
      <c r="H304" s="55" t="s">
        <v>24</v>
      </c>
      <c r="I304" s="55" t="s">
        <v>30</v>
      </c>
      <c r="J304" s="66">
        <v>44680</v>
      </c>
      <c r="K304" s="66">
        <v>44680</v>
      </c>
      <c r="L304" s="67">
        <f t="shared" si="8"/>
        <v>1</v>
      </c>
      <c r="M304" s="59" t="s">
        <v>4633</v>
      </c>
      <c r="N304" s="68" t="s">
        <v>26</v>
      </c>
      <c r="O304" s="55" t="s">
        <v>2518</v>
      </c>
      <c r="P304" s="55" t="s">
        <v>4634</v>
      </c>
      <c r="Q304" s="68" t="str">
        <f t="shared" si="9"/>
        <v>DENTRO DEL TIEMPO</v>
      </c>
      <c r="R304" s="6"/>
      <c r="S304" s="69"/>
    </row>
    <row r="305" spans="1:19" ht="48.75" x14ac:dyDescent="0.25">
      <c r="A305" s="63">
        <v>299</v>
      </c>
      <c r="B305" s="55" t="s">
        <v>4635</v>
      </c>
      <c r="C305" s="64">
        <v>44670</v>
      </c>
      <c r="D305" s="64">
        <v>44670</v>
      </c>
      <c r="E305" s="65">
        <v>42</v>
      </c>
      <c r="F305" s="24" t="s">
        <v>22</v>
      </c>
      <c r="G305" s="55" t="s">
        <v>23</v>
      </c>
      <c r="H305" s="55" t="s">
        <v>24</v>
      </c>
      <c r="I305" s="55" t="s">
        <v>23</v>
      </c>
      <c r="J305" s="66">
        <v>44680</v>
      </c>
      <c r="K305" s="66">
        <v>44680</v>
      </c>
      <c r="L305" s="67">
        <f t="shared" si="8"/>
        <v>8</v>
      </c>
      <c r="M305" s="59" t="s">
        <v>4636</v>
      </c>
      <c r="N305" s="68" t="s">
        <v>1104</v>
      </c>
      <c r="O305" s="55" t="s">
        <v>4637</v>
      </c>
      <c r="P305" s="55" t="s">
        <v>4638</v>
      </c>
      <c r="Q305" s="68" t="str">
        <f t="shared" si="9"/>
        <v>DENTRO DEL TIEMPO</v>
      </c>
      <c r="R305" s="6"/>
      <c r="S305" s="69"/>
    </row>
    <row r="306" spans="1:19" ht="48.75" x14ac:dyDescent="0.25">
      <c r="A306" s="63">
        <v>300</v>
      </c>
      <c r="B306" s="55" t="s">
        <v>4639</v>
      </c>
      <c r="C306" s="64">
        <v>44641</v>
      </c>
      <c r="D306" s="64">
        <v>44652</v>
      </c>
      <c r="E306" s="65">
        <v>36</v>
      </c>
      <c r="F306" s="24" t="s">
        <v>22</v>
      </c>
      <c r="G306" s="55" t="s">
        <v>23</v>
      </c>
      <c r="H306" s="55" t="s">
        <v>24</v>
      </c>
      <c r="I306" s="55" t="s">
        <v>23</v>
      </c>
      <c r="J306" s="66">
        <v>44655</v>
      </c>
      <c r="K306" s="66">
        <v>44655</v>
      </c>
      <c r="L306" s="67">
        <f t="shared" si="8"/>
        <v>1</v>
      </c>
      <c r="M306" s="59" t="s">
        <v>4640</v>
      </c>
      <c r="N306" s="68" t="s">
        <v>1104</v>
      </c>
      <c r="O306" s="55" t="s">
        <v>4641</v>
      </c>
      <c r="P306" s="55" t="s">
        <v>4642</v>
      </c>
      <c r="Q306" s="68" t="str">
        <f t="shared" si="9"/>
        <v>DENTRO DEL TIEMPO</v>
      </c>
      <c r="R306" s="6"/>
      <c r="S306" s="69"/>
    </row>
    <row r="307" spans="1:19" ht="48.75" x14ac:dyDescent="0.25">
      <c r="A307" s="63">
        <v>301</v>
      </c>
      <c r="B307" s="55" t="s">
        <v>4643</v>
      </c>
      <c r="C307" s="64">
        <v>44616</v>
      </c>
      <c r="D307" s="64">
        <v>44657</v>
      </c>
      <c r="E307" s="65">
        <v>6</v>
      </c>
      <c r="F307" s="24" t="s">
        <v>22</v>
      </c>
      <c r="G307" s="55" t="s">
        <v>23</v>
      </c>
      <c r="H307" s="55" t="s">
        <v>24</v>
      </c>
      <c r="I307" s="55" t="s">
        <v>23</v>
      </c>
      <c r="J307" s="66">
        <v>44658</v>
      </c>
      <c r="K307" s="66">
        <v>44658</v>
      </c>
      <c r="L307" s="67">
        <f t="shared" si="8"/>
        <v>1</v>
      </c>
      <c r="M307" s="59" t="s">
        <v>4644</v>
      </c>
      <c r="N307" s="68" t="s">
        <v>26</v>
      </c>
      <c r="O307" s="55" t="s">
        <v>4645</v>
      </c>
      <c r="P307" s="55" t="s">
        <v>4646</v>
      </c>
      <c r="Q307" s="68" t="str">
        <f t="shared" si="9"/>
        <v>DENTRO DEL TIEMPO</v>
      </c>
      <c r="R307" s="6"/>
      <c r="S307" s="69"/>
    </row>
    <row r="308" spans="1:19" ht="48.75" x14ac:dyDescent="0.25">
      <c r="A308" s="63">
        <v>302</v>
      </c>
      <c r="B308" s="55" t="s">
        <v>4647</v>
      </c>
      <c r="C308" s="64">
        <v>44680</v>
      </c>
      <c r="D308" s="64">
        <v>44680</v>
      </c>
      <c r="E308" s="65">
        <v>4</v>
      </c>
      <c r="F308" s="24" t="s">
        <v>22</v>
      </c>
      <c r="G308" s="55" t="s">
        <v>23</v>
      </c>
      <c r="H308" s="55" t="s">
        <v>24</v>
      </c>
      <c r="I308" s="55" t="s">
        <v>23</v>
      </c>
      <c r="J308" s="66">
        <v>44686</v>
      </c>
      <c r="K308" s="66">
        <v>44686</v>
      </c>
      <c r="L308" s="67">
        <f t="shared" si="8"/>
        <v>4</v>
      </c>
      <c r="M308" s="59" t="s">
        <v>4648</v>
      </c>
      <c r="N308" s="68" t="s">
        <v>26</v>
      </c>
      <c r="O308" s="55" t="s">
        <v>4032</v>
      </c>
      <c r="P308" s="55" t="s">
        <v>4033</v>
      </c>
      <c r="Q308" s="68" t="str">
        <f t="shared" si="9"/>
        <v>DENTRO DEL TIEMPO</v>
      </c>
      <c r="R308" s="6"/>
      <c r="S308" s="69"/>
    </row>
    <row r="309" spans="1:19" ht="48.75" x14ac:dyDescent="0.25">
      <c r="A309" s="63">
        <v>303</v>
      </c>
      <c r="B309" s="55" t="s">
        <v>4649</v>
      </c>
      <c r="C309" s="64">
        <v>44680</v>
      </c>
      <c r="D309" s="64">
        <v>44680</v>
      </c>
      <c r="E309" s="65">
        <v>2</v>
      </c>
      <c r="F309" s="24" t="s">
        <v>22</v>
      </c>
      <c r="G309" s="55" t="s">
        <v>30</v>
      </c>
      <c r="H309" s="55" t="s">
        <v>24</v>
      </c>
      <c r="I309" s="55" t="s">
        <v>30</v>
      </c>
      <c r="J309" s="66">
        <v>44680</v>
      </c>
      <c r="K309" s="66">
        <v>44680</v>
      </c>
      <c r="L309" s="67">
        <f t="shared" si="8"/>
        <v>0</v>
      </c>
      <c r="M309" s="59" t="s">
        <v>4650</v>
      </c>
      <c r="N309" s="68" t="s">
        <v>26</v>
      </c>
      <c r="O309" s="55" t="s">
        <v>4331</v>
      </c>
      <c r="P309" s="55" t="s">
        <v>4651</v>
      </c>
      <c r="Q309" s="68" t="str">
        <f t="shared" si="9"/>
        <v>DENTRO DEL TIEMPO</v>
      </c>
      <c r="R309" s="6"/>
      <c r="S309" s="69"/>
    </row>
    <row r="310" spans="1:19" ht="48.75" x14ac:dyDescent="0.25">
      <c r="A310" s="63">
        <v>304</v>
      </c>
      <c r="B310" s="55" t="s">
        <v>4652</v>
      </c>
      <c r="C310" s="64">
        <v>44680</v>
      </c>
      <c r="D310" s="64">
        <v>44680</v>
      </c>
      <c r="E310" s="65">
        <v>2</v>
      </c>
      <c r="F310" s="24" t="s">
        <v>22</v>
      </c>
      <c r="G310" s="55" t="s">
        <v>30</v>
      </c>
      <c r="H310" s="55" t="s">
        <v>24</v>
      </c>
      <c r="I310" s="55" t="s">
        <v>30</v>
      </c>
      <c r="J310" s="66">
        <v>44680</v>
      </c>
      <c r="K310" s="66">
        <v>44680</v>
      </c>
      <c r="L310" s="67">
        <f t="shared" si="8"/>
        <v>0</v>
      </c>
      <c r="M310" s="59" t="s">
        <v>4653</v>
      </c>
      <c r="N310" s="68" t="s">
        <v>26</v>
      </c>
      <c r="O310" s="55" t="s">
        <v>4654</v>
      </c>
      <c r="P310" s="55" t="s">
        <v>4414</v>
      </c>
      <c r="Q310" s="68" t="str">
        <f t="shared" si="9"/>
        <v>DENTRO DEL TIEMPO</v>
      </c>
      <c r="R310" s="6"/>
      <c r="S310" s="69"/>
    </row>
    <row r="311" spans="1:19" ht="48.75" x14ac:dyDescent="0.25">
      <c r="A311" s="63">
        <v>305</v>
      </c>
      <c r="B311" s="55" t="s">
        <v>4655</v>
      </c>
      <c r="C311" s="64">
        <v>44680</v>
      </c>
      <c r="D311" s="64">
        <v>44680</v>
      </c>
      <c r="E311" s="65">
        <v>2</v>
      </c>
      <c r="F311" s="24" t="s">
        <v>22</v>
      </c>
      <c r="G311" s="55" t="s">
        <v>30</v>
      </c>
      <c r="H311" s="55" t="s">
        <v>24</v>
      </c>
      <c r="I311" s="55" t="s">
        <v>30</v>
      </c>
      <c r="J311" s="66">
        <v>44680</v>
      </c>
      <c r="K311" s="66">
        <v>44680</v>
      </c>
      <c r="L311" s="67">
        <f t="shared" si="8"/>
        <v>0</v>
      </c>
      <c r="M311" s="59" t="s">
        <v>4656</v>
      </c>
      <c r="N311" s="68" t="s">
        <v>26</v>
      </c>
      <c r="O311" s="55" t="s">
        <v>4331</v>
      </c>
      <c r="P311" s="55" t="s">
        <v>4657</v>
      </c>
      <c r="Q311" s="68" t="str">
        <f t="shared" si="9"/>
        <v>DENTRO DEL TIEMPO</v>
      </c>
      <c r="R311" s="6"/>
      <c r="S311" s="69"/>
    </row>
    <row r="312" spans="1:19" ht="48.75" x14ac:dyDescent="0.25">
      <c r="A312" s="63">
        <v>306</v>
      </c>
      <c r="B312" s="55" t="s">
        <v>4658</v>
      </c>
      <c r="C312" s="64">
        <v>44680</v>
      </c>
      <c r="D312" s="64">
        <v>44680</v>
      </c>
      <c r="E312" s="65">
        <v>2</v>
      </c>
      <c r="F312" s="24" t="s">
        <v>22</v>
      </c>
      <c r="G312" s="55" t="s">
        <v>30</v>
      </c>
      <c r="H312" s="55" t="s">
        <v>24</v>
      </c>
      <c r="I312" s="55" t="s">
        <v>30</v>
      </c>
      <c r="J312" s="66">
        <v>44680</v>
      </c>
      <c r="K312" s="66">
        <v>44680</v>
      </c>
      <c r="L312" s="67">
        <f t="shared" si="8"/>
        <v>0</v>
      </c>
      <c r="M312" s="59" t="s">
        <v>4653</v>
      </c>
      <c r="N312" s="68" t="s">
        <v>26</v>
      </c>
      <c r="O312" s="55" t="s">
        <v>2792</v>
      </c>
      <c r="P312" s="55" t="s">
        <v>4659</v>
      </c>
      <c r="Q312" s="68" t="str">
        <f t="shared" si="9"/>
        <v>DENTRO DEL TIEMPO</v>
      </c>
      <c r="R312" s="6"/>
      <c r="S312" s="69"/>
    </row>
    <row r="313" spans="1:19" ht="48.75" x14ac:dyDescent="0.25">
      <c r="A313" s="63">
        <v>307</v>
      </c>
      <c r="B313" s="55" t="s">
        <v>4660</v>
      </c>
      <c r="C313" s="64">
        <v>44680</v>
      </c>
      <c r="D313" s="64">
        <v>44680</v>
      </c>
      <c r="E313" s="65">
        <v>2</v>
      </c>
      <c r="F313" s="24" t="s">
        <v>22</v>
      </c>
      <c r="G313" s="55" t="s">
        <v>30</v>
      </c>
      <c r="H313" s="55" t="s">
        <v>24</v>
      </c>
      <c r="I313" s="55" t="s">
        <v>30</v>
      </c>
      <c r="J313" s="66">
        <v>44680</v>
      </c>
      <c r="K313" s="66">
        <v>44680</v>
      </c>
      <c r="L313" s="67">
        <f t="shared" si="8"/>
        <v>0</v>
      </c>
      <c r="M313" s="59" t="s">
        <v>4661</v>
      </c>
      <c r="N313" s="68" t="s">
        <v>26</v>
      </c>
      <c r="O313" s="55" t="s">
        <v>2557</v>
      </c>
      <c r="P313" s="55" t="s">
        <v>4662</v>
      </c>
      <c r="Q313" s="68" t="str">
        <f t="shared" si="9"/>
        <v>DENTRO DEL TIEMPO</v>
      </c>
      <c r="R313" s="6"/>
      <c r="S313" s="69"/>
    </row>
    <row r="314" spans="1:19" ht="48.75" x14ac:dyDescent="0.25">
      <c r="A314" s="63">
        <v>308</v>
      </c>
      <c r="B314" s="55" t="s">
        <v>4663</v>
      </c>
      <c r="C314" s="64">
        <v>44680</v>
      </c>
      <c r="D314" s="64">
        <v>44680</v>
      </c>
      <c r="E314" s="65">
        <v>2</v>
      </c>
      <c r="F314" s="24" t="s">
        <v>22</v>
      </c>
      <c r="G314" s="55" t="s">
        <v>30</v>
      </c>
      <c r="H314" s="55" t="s">
        <v>24</v>
      </c>
      <c r="I314" s="55" t="s">
        <v>30</v>
      </c>
      <c r="J314" s="66">
        <v>44680</v>
      </c>
      <c r="K314" s="66">
        <v>44680</v>
      </c>
      <c r="L314" s="67">
        <f t="shared" si="8"/>
        <v>0</v>
      </c>
      <c r="M314" s="59" t="s">
        <v>4664</v>
      </c>
      <c r="N314" s="68" t="s">
        <v>26</v>
      </c>
      <c r="O314" s="55" t="s">
        <v>4625</v>
      </c>
      <c r="P314" s="55" t="s">
        <v>3904</v>
      </c>
      <c r="Q314" s="68" t="str">
        <f t="shared" si="9"/>
        <v>DENTRO DEL TIEMPO</v>
      </c>
      <c r="R314" s="6"/>
      <c r="S314" s="69"/>
    </row>
    <row r="315" spans="1:19" ht="48.75" x14ac:dyDescent="0.25">
      <c r="A315" s="63">
        <v>309</v>
      </c>
      <c r="B315" s="55" t="s">
        <v>4665</v>
      </c>
      <c r="C315" s="64">
        <v>44680</v>
      </c>
      <c r="D315" s="64">
        <v>44680</v>
      </c>
      <c r="E315" s="65">
        <v>2</v>
      </c>
      <c r="F315" s="24" t="s">
        <v>22</v>
      </c>
      <c r="G315" s="55" t="s">
        <v>30</v>
      </c>
      <c r="H315" s="55" t="s">
        <v>24</v>
      </c>
      <c r="I315" s="55" t="s">
        <v>30</v>
      </c>
      <c r="J315" s="66">
        <v>44680</v>
      </c>
      <c r="K315" s="66">
        <v>44680</v>
      </c>
      <c r="L315" s="67">
        <f t="shared" si="8"/>
        <v>0</v>
      </c>
      <c r="M315" s="59" t="s">
        <v>4666</v>
      </c>
      <c r="N315" s="68" t="s">
        <v>26</v>
      </c>
      <c r="O315" s="55" t="s">
        <v>4563</v>
      </c>
      <c r="P315" s="55" t="s">
        <v>4189</v>
      </c>
      <c r="Q315" s="68" t="str">
        <f t="shared" si="9"/>
        <v>DENTRO DEL TIEMPO</v>
      </c>
      <c r="R315" s="6"/>
      <c r="S315" s="69"/>
    </row>
    <row r="316" spans="1:19" ht="48.75" x14ac:dyDescent="0.25">
      <c r="A316" s="63">
        <v>310</v>
      </c>
      <c r="B316" s="55" t="s">
        <v>4667</v>
      </c>
      <c r="C316" s="64">
        <v>44680</v>
      </c>
      <c r="D316" s="64">
        <v>44680</v>
      </c>
      <c r="E316" s="65">
        <v>2</v>
      </c>
      <c r="F316" s="24" t="s">
        <v>22</v>
      </c>
      <c r="G316" s="55" t="s">
        <v>30</v>
      </c>
      <c r="H316" s="55" t="s">
        <v>24</v>
      </c>
      <c r="I316" s="55" t="s">
        <v>30</v>
      </c>
      <c r="J316" s="66">
        <v>44680</v>
      </c>
      <c r="K316" s="66">
        <v>44680</v>
      </c>
      <c r="L316" s="67">
        <f t="shared" si="8"/>
        <v>0</v>
      </c>
      <c r="M316" s="59" t="s">
        <v>4668</v>
      </c>
      <c r="N316" s="68" t="s">
        <v>26</v>
      </c>
      <c r="O316" s="55" t="s">
        <v>4669</v>
      </c>
      <c r="P316" s="55" t="s">
        <v>4670</v>
      </c>
      <c r="Q316" s="68" t="str">
        <f t="shared" si="9"/>
        <v>DENTRO DEL TIEMPO</v>
      </c>
      <c r="R316" s="6"/>
      <c r="S316" s="69"/>
    </row>
    <row r="317" spans="1:19" ht="48.75" x14ac:dyDescent="0.25">
      <c r="A317" s="63">
        <v>311</v>
      </c>
      <c r="B317" s="55" t="s">
        <v>4671</v>
      </c>
      <c r="C317" s="64">
        <v>44680</v>
      </c>
      <c r="D317" s="64">
        <v>44680</v>
      </c>
      <c r="E317" s="65">
        <v>11</v>
      </c>
      <c r="F317" s="24" t="s">
        <v>22</v>
      </c>
      <c r="G317" s="55" t="s">
        <v>4672</v>
      </c>
      <c r="H317" s="55" t="s">
        <v>24</v>
      </c>
      <c r="I317" s="55" t="s">
        <v>4672</v>
      </c>
      <c r="J317" s="66">
        <v>44686</v>
      </c>
      <c r="K317" s="66">
        <v>44686</v>
      </c>
      <c r="L317" s="67">
        <f t="shared" si="8"/>
        <v>4</v>
      </c>
      <c r="M317" s="59" t="s">
        <v>4673</v>
      </c>
      <c r="N317" s="68" t="s">
        <v>26</v>
      </c>
      <c r="O317" s="55" t="s">
        <v>4356</v>
      </c>
      <c r="P317" s="55" t="s">
        <v>4674</v>
      </c>
      <c r="Q317" s="68" t="str">
        <f t="shared" si="9"/>
        <v>DENTRO DEL TIEMPO</v>
      </c>
      <c r="R317" s="6"/>
      <c r="S317" s="69"/>
    </row>
    <row r="318" spans="1:19" ht="48.75" x14ac:dyDescent="0.25">
      <c r="A318" s="63">
        <v>312</v>
      </c>
      <c r="B318" s="55" t="s">
        <v>4675</v>
      </c>
      <c r="C318" s="64">
        <v>44657</v>
      </c>
      <c r="D318" s="64">
        <v>44657</v>
      </c>
      <c r="E318" s="65">
        <v>2</v>
      </c>
      <c r="F318" s="24" t="s">
        <v>22</v>
      </c>
      <c r="G318" s="59" t="s">
        <v>937</v>
      </c>
      <c r="H318" s="55" t="s">
        <v>24</v>
      </c>
      <c r="I318" s="59" t="s">
        <v>937</v>
      </c>
      <c r="J318" s="66">
        <v>44659</v>
      </c>
      <c r="K318" s="66">
        <v>44659</v>
      </c>
      <c r="L318" s="67">
        <f t="shared" si="8"/>
        <v>2</v>
      </c>
      <c r="M318" s="59" t="s">
        <v>4676</v>
      </c>
      <c r="N318" s="68" t="s">
        <v>26</v>
      </c>
      <c r="O318" s="55" t="s">
        <v>4677</v>
      </c>
      <c r="P318" s="55" t="s">
        <v>4678</v>
      </c>
      <c r="Q318" s="68" t="str">
        <f t="shared" si="9"/>
        <v>DENTRO DEL TIEMPO</v>
      </c>
      <c r="R318" s="6"/>
      <c r="S318" s="69"/>
    </row>
    <row r="319" spans="1:19" ht="58.5" x14ac:dyDescent="0.25">
      <c r="A319" s="63">
        <v>313</v>
      </c>
      <c r="B319" s="55" t="s">
        <v>922</v>
      </c>
      <c r="C319" s="64">
        <v>44592</v>
      </c>
      <c r="D319" s="64">
        <v>44663</v>
      </c>
      <c r="E319" s="65">
        <v>2</v>
      </c>
      <c r="F319" s="24" t="s">
        <v>22</v>
      </c>
      <c r="G319" s="55" t="s">
        <v>30</v>
      </c>
      <c r="H319" s="55" t="s">
        <v>24</v>
      </c>
      <c r="I319" s="55" t="s">
        <v>30</v>
      </c>
      <c r="J319" s="66">
        <v>44664</v>
      </c>
      <c r="K319" s="66">
        <v>44664</v>
      </c>
      <c r="L319" s="67">
        <f t="shared" si="8"/>
        <v>1</v>
      </c>
      <c r="M319" s="59" t="s">
        <v>4679</v>
      </c>
      <c r="N319" s="68" t="s">
        <v>26</v>
      </c>
      <c r="O319" s="55" t="s">
        <v>165</v>
      </c>
      <c r="P319" s="55" t="s">
        <v>4680</v>
      </c>
      <c r="Q319" s="68" t="str">
        <f t="shared" si="9"/>
        <v>DENTRO DEL TIEMPO</v>
      </c>
      <c r="R319" s="6"/>
      <c r="S319" s="69"/>
    </row>
    <row r="320" spans="1:19" ht="48.75" x14ac:dyDescent="0.25">
      <c r="A320" s="63">
        <v>314</v>
      </c>
      <c r="B320" s="55" t="s">
        <v>4681</v>
      </c>
      <c r="C320" s="64">
        <v>44665</v>
      </c>
      <c r="D320" s="64">
        <v>44665</v>
      </c>
      <c r="E320" s="65">
        <v>2</v>
      </c>
      <c r="F320" s="24" t="s">
        <v>22</v>
      </c>
      <c r="G320" s="59" t="s">
        <v>937</v>
      </c>
      <c r="H320" s="55" t="s">
        <v>24</v>
      </c>
      <c r="I320" s="59" t="s">
        <v>937</v>
      </c>
      <c r="J320" s="66">
        <v>44671</v>
      </c>
      <c r="K320" s="66">
        <v>44671</v>
      </c>
      <c r="L320" s="67">
        <f t="shared" si="8"/>
        <v>4</v>
      </c>
      <c r="M320" s="59" t="s">
        <v>4682</v>
      </c>
      <c r="N320" s="68" t="s">
        <v>26</v>
      </c>
      <c r="O320" s="55" t="s">
        <v>4683</v>
      </c>
      <c r="P320" s="55" t="s">
        <v>4684</v>
      </c>
      <c r="Q320" s="68" t="str">
        <f t="shared" si="9"/>
        <v>DENTRO DEL TIEMPO</v>
      </c>
      <c r="R320" s="6"/>
      <c r="S320" s="69"/>
    </row>
    <row r="321" spans="1:19" ht="48.75" x14ac:dyDescent="0.25">
      <c r="A321" s="63">
        <v>315</v>
      </c>
      <c r="B321" s="55" t="s">
        <v>4685</v>
      </c>
      <c r="C321" s="64">
        <v>44677</v>
      </c>
      <c r="D321" s="64">
        <v>44677</v>
      </c>
      <c r="E321" s="65">
        <v>2</v>
      </c>
      <c r="F321" s="24" t="s">
        <v>22</v>
      </c>
      <c r="G321" s="59" t="s">
        <v>937</v>
      </c>
      <c r="H321" s="55" t="s">
        <v>24</v>
      </c>
      <c r="I321" s="59" t="s">
        <v>937</v>
      </c>
      <c r="J321" s="66">
        <v>44679</v>
      </c>
      <c r="K321" s="66">
        <v>44679</v>
      </c>
      <c r="L321" s="67">
        <f t="shared" si="8"/>
        <v>2</v>
      </c>
      <c r="M321" s="59" t="s">
        <v>4686</v>
      </c>
      <c r="N321" s="68" t="s">
        <v>26</v>
      </c>
      <c r="O321" s="55" t="s">
        <v>4687</v>
      </c>
      <c r="P321" s="55" t="s">
        <v>4688</v>
      </c>
      <c r="Q321" s="68" t="str">
        <f t="shared" si="9"/>
        <v>DENTRO DEL TIEMPO</v>
      </c>
      <c r="R321" s="6"/>
      <c r="S321" s="69"/>
    </row>
    <row r="322" spans="1:19" ht="48.75" x14ac:dyDescent="0.25">
      <c r="A322" s="63">
        <v>316</v>
      </c>
      <c r="B322" s="55" t="s">
        <v>4689</v>
      </c>
      <c r="C322" s="64">
        <v>44678</v>
      </c>
      <c r="D322" s="64">
        <v>44678</v>
      </c>
      <c r="E322" s="65">
        <v>2</v>
      </c>
      <c r="F322" s="24" t="s">
        <v>22</v>
      </c>
      <c r="G322" s="59" t="s">
        <v>937</v>
      </c>
      <c r="H322" s="55" t="s">
        <v>24</v>
      </c>
      <c r="I322" s="59" t="s">
        <v>937</v>
      </c>
      <c r="J322" s="66">
        <v>44679</v>
      </c>
      <c r="K322" s="66">
        <v>44679</v>
      </c>
      <c r="L322" s="67">
        <f t="shared" si="8"/>
        <v>1</v>
      </c>
      <c r="M322" s="59" t="s">
        <v>4690</v>
      </c>
      <c r="N322" s="68" t="s">
        <v>26</v>
      </c>
      <c r="O322" s="55" t="s">
        <v>4691</v>
      </c>
      <c r="P322" s="55" t="s">
        <v>4692</v>
      </c>
      <c r="Q322" s="68" t="str">
        <f t="shared" si="9"/>
        <v>DENTRO DEL TIEMPO</v>
      </c>
      <c r="R322" s="6"/>
      <c r="S322" s="69"/>
    </row>
    <row r="323" spans="1:19" ht="48.75" x14ac:dyDescent="0.25">
      <c r="A323" s="63">
        <v>317</v>
      </c>
      <c r="B323" s="55" t="s">
        <v>4693</v>
      </c>
      <c r="C323" s="64">
        <v>44678</v>
      </c>
      <c r="D323" s="64">
        <v>44678</v>
      </c>
      <c r="E323" s="65">
        <v>2</v>
      </c>
      <c r="F323" s="24" t="s">
        <v>22</v>
      </c>
      <c r="G323" s="59" t="s">
        <v>937</v>
      </c>
      <c r="H323" s="55" t="s">
        <v>24</v>
      </c>
      <c r="I323" s="59" t="s">
        <v>937</v>
      </c>
      <c r="J323" s="66">
        <v>44680</v>
      </c>
      <c r="K323" s="66">
        <v>44680</v>
      </c>
      <c r="L323" s="67">
        <f t="shared" si="8"/>
        <v>2</v>
      </c>
      <c r="M323" s="59" t="s">
        <v>4694</v>
      </c>
      <c r="N323" s="68" t="s">
        <v>26</v>
      </c>
      <c r="O323" s="55" t="s">
        <v>4687</v>
      </c>
      <c r="P323" s="55" t="s">
        <v>4688</v>
      </c>
      <c r="Q323" s="68" t="str">
        <f t="shared" si="9"/>
        <v>DENTRO DEL TIEMPO</v>
      </c>
      <c r="R323" s="6"/>
      <c r="S323" s="69"/>
    </row>
    <row r="324" spans="1:19" ht="48.75" x14ac:dyDescent="0.25">
      <c r="A324" s="63">
        <v>318</v>
      </c>
      <c r="B324" s="59" t="s">
        <v>4695</v>
      </c>
      <c r="C324" s="70">
        <v>44677</v>
      </c>
      <c r="D324" s="70">
        <v>44677</v>
      </c>
      <c r="E324" s="71">
        <v>292</v>
      </c>
      <c r="F324" s="24" t="s">
        <v>22</v>
      </c>
      <c r="G324" s="59" t="s">
        <v>23</v>
      </c>
      <c r="H324" s="59" t="s">
        <v>24</v>
      </c>
      <c r="I324" s="59" t="s">
        <v>23</v>
      </c>
      <c r="J324" s="66">
        <v>44677</v>
      </c>
      <c r="K324" s="66">
        <v>44677</v>
      </c>
      <c r="L324" s="67">
        <f t="shared" si="8"/>
        <v>0</v>
      </c>
      <c r="M324" s="59" t="s">
        <v>4696</v>
      </c>
      <c r="N324" s="68" t="s">
        <v>26</v>
      </c>
      <c r="O324" s="59" t="s">
        <v>937</v>
      </c>
      <c r="P324" s="55" t="s">
        <v>4697</v>
      </c>
      <c r="Q324" s="68" t="str">
        <f t="shared" si="9"/>
        <v>DENTRO DEL TIEMPO</v>
      </c>
      <c r="R324" s="6"/>
      <c r="S324" s="69"/>
    </row>
    <row r="325" spans="1:19" ht="48.75" x14ac:dyDescent="0.25">
      <c r="A325" s="63">
        <v>319</v>
      </c>
      <c r="B325" s="59" t="s">
        <v>4698</v>
      </c>
      <c r="C325" s="70">
        <v>44676</v>
      </c>
      <c r="D325" s="70">
        <v>44676</v>
      </c>
      <c r="E325" s="71">
        <v>16</v>
      </c>
      <c r="F325" s="24" t="s">
        <v>22</v>
      </c>
      <c r="G325" s="59" t="s">
        <v>23</v>
      </c>
      <c r="H325" s="59" t="s">
        <v>24</v>
      </c>
      <c r="I325" s="59" t="s">
        <v>23</v>
      </c>
      <c r="J325" s="66">
        <v>44676</v>
      </c>
      <c r="K325" s="66">
        <v>44676</v>
      </c>
      <c r="L325" s="67">
        <f t="shared" si="8"/>
        <v>0</v>
      </c>
      <c r="M325" s="59" t="s">
        <v>4699</v>
      </c>
      <c r="N325" s="68" t="s">
        <v>26</v>
      </c>
      <c r="O325" s="59" t="s">
        <v>937</v>
      </c>
      <c r="P325" s="55" t="s">
        <v>4697</v>
      </c>
      <c r="Q325" s="68" t="str">
        <f t="shared" si="9"/>
        <v>DENTRO DEL TIEMPO</v>
      </c>
      <c r="R325" s="6"/>
      <c r="S325" s="69"/>
    </row>
    <row r="326" spans="1:19" ht="48.75" x14ac:dyDescent="0.25">
      <c r="A326" s="63">
        <v>320</v>
      </c>
      <c r="B326" s="59" t="s">
        <v>4700</v>
      </c>
      <c r="C326" s="70">
        <v>44672</v>
      </c>
      <c r="D326" s="70">
        <v>44672</v>
      </c>
      <c r="E326" s="71">
        <v>308</v>
      </c>
      <c r="F326" s="24" t="s">
        <v>22</v>
      </c>
      <c r="G326" s="59" t="s">
        <v>23</v>
      </c>
      <c r="H326" s="59" t="s">
        <v>24</v>
      </c>
      <c r="I326" s="59" t="s">
        <v>23</v>
      </c>
      <c r="J326" s="66">
        <v>44672</v>
      </c>
      <c r="K326" s="66">
        <v>44672</v>
      </c>
      <c r="L326" s="67">
        <f t="shared" si="8"/>
        <v>0</v>
      </c>
      <c r="M326" s="59" t="s">
        <v>4701</v>
      </c>
      <c r="N326" s="68" t="s">
        <v>26</v>
      </c>
      <c r="O326" s="59" t="s">
        <v>937</v>
      </c>
      <c r="P326" s="55" t="s">
        <v>4697</v>
      </c>
      <c r="Q326" s="68" t="str">
        <f t="shared" si="9"/>
        <v>DENTRO DEL TIEMPO</v>
      </c>
      <c r="R326" s="6"/>
      <c r="S326" s="69"/>
    </row>
    <row r="327" spans="1:19" ht="48.75" x14ac:dyDescent="0.25">
      <c r="A327" s="63">
        <v>321</v>
      </c>
      <c r="B327" s="59" t="s">
        <v>4702</v>
      </c>
      <c r="C327" s="70">
        <v>44670</v>
      </c>
      <c r="D327" s="70">
        <v>44670</v>
      </c>
      <c r="E327" s="71">
        <v>8</v>
      </c>
      <c r="F327" s="24" t="s">
        <v>22</v>
      </c>
      <c r="G327" s="59" t="s">
        <v>23</v>
      </c>
      <c r="H327" s="59" t="s">
        <v>24</v>
      </c>
      <c r="I327" s="59" t="s">
        <v>23</v>
      </c>
      <c r="J327" s="66">
        <v>44671</v>
      </c>
      <c r="K327" s="66">
        <v>44671</v>
      </c>
      <c r="L327" s="67">
        <f t="shared" si="8"/>
        <v>1</v>
      </c>
      <c r="M327" s="59" t="s">
        <v>4703</v>
      </c>
      <c r="N327" s="68" t="s">
        <v>26</v>
      </c>
      <c r="O327" s="59" t="s">
        <v>4704</v>
      </c>
      <c r="P327" s="55" t="s">
        <v>4705</v>
      </c>
      <c r="Q327" s="68" t="str">
        <f t="shared" si="9"/>
        <v>DENTRO DEL TIEMPO</v>
      </c>
      <c r="R327" s="6"/>
      <c r="S327" s="69"/>
    </row>
    <row r="328" spans="1:19" ht="48.75" x14ac:dyDescent="0.25">
      <c r="A328" s="63">
        <v>322</v>
      </c>
      <c r="B328" s="59" t="s">
        <v>4706</v>
      </c>
      <c r="C328" s="70">
        <v>44670</v>
      </c>
      <c r="D328" s="70">
        <v>44670</v>
      </c>
      <c r="E328" s="71">
        <v>31</v>
      </c>
      <c r="F328" s="24" t="s">
        <v>22</v>
      </c>
      <c r="G328" s="59" t="s">
        <v>23</v>
      </c>
      <c r="H328" s="59" t="s">
        <v>24</v>
      </c>
      <c r="I328" s="59" t="s">
        <v>23</v>
      </c>
      <c r="J328" s="66">
        <v>44670</v>
      </c>
      <c r="K328" s="66">
        <v>44670</v>
      </c>
      <c r="L328" s="67">
        <f t="shared" ref="L328:L382" si="10">+NETWORKDAYS(D328,K328,$R$7:$R$10)-1</f>
        <v>0</v>
      </c>
      <c r="M328" s="59" t="s">
        <v>4707</v>
      </c>
      <c r="N328" s="68" t="s">
        <v>26</v>
      </c>
      <c r="O328" s="59" t="s">
        <v>4708</v>
      </c>
      <c r="P328" s="55" t="s">
        <v>4709</v>
      </c>
      <c r="Q328" s="68" t="str">
        <f t="shared" ref="Q328:Q391" si="11">IF(L328&gt;15,"FUERA DE TIEMPO","DENTRO DEL TIEMPO")</f>
        <v>DENTRO DEL TIEMPO</v>
      </c>
      <c r="R328" s="6"/>
      <c r="S328" s="69"/>
    </row>
    <row r="329" spans="1:19" ht="48.75" x14ac:dyDescent="0.25">
      <c r="A329" s="63">
        <v>323</v>
      </c>
      <c r="B329" s="59" t="s">
        <v>4710</v>
      </c>
      <c r="C329" s="70">
        <v>44670</v>
      </c>
      <c r="D329" s="70">
        <v>44670</v>
      </c>
      <c r="E329" s="71">
        <v>162</v>
      </c>
      <c r="F329" s="24" t="s">
        <v>22</v>
      </c>
      <c r="G329" s="59" t="s">
        <v>23</v>
      </c>
      <c r="H329" s="59" t="s">
        <v>24</v>
      </c>
      <c r="I329" s="59" t="s">
        <v>23</v>
      </c>
      <c r="J329" s="66">
        <v>44670</v>
      </c>
      <c r="K329" s="66">
        <v>44670</v>
      </c>
      <c r="L329" s="67">
        <f t="shared" si="10"/>
        <v>0</v>
      </c>
      <c r="M329" s="59" t="s">
        <v>4711</v>
      </c>
      <c r="N329" s="68" t="s">
        <v>26</v>
      </c>
      <c r="O329" s="59" t="s">
        <v>937</v>
      </c>
      <c r="P329" s="55" t="s">
        <v>4697</v>
      </c>
      <c r="Q329" s="68" t="str">
        <f t="shared" si="11"/>
        <v>DENTRO DEL TIEMPO</v>
      </c>
      <c r="R329" s="6"/>
      <c r="S329" s="69"/>
    </row>
    <row r="330" spans="1:19" ht="48.75" x14ac:dyDescent="0.25">
      <c r="A330" s="63">
        <v>324</v>
      </c>
      <c r="B330" s="59" t="s">
        <v>4712</v>
      </c>
      <c r="C330" s="70">
        <v>44670</v>
      </c>
      <c r="D330" s="70">
        <v>44670</v>
      </c>
      <c r="E330" s="71">
        <v>416</v>
      </c>
      <c r="F330" s="24" t="s">
        <v>22</v>
      </c>
      <c r="G330" s="59" t="s">
        <v>23</v>
      </c>
      <c r="H330" s="59" t="s">
        <v>24</v>
      </c>
      <c r="I330" s="59" t="s">
        <v>23</v>
      </c>
      <c r="J330" s="66">
        <v>44670</v>
      </c>
      <c r="K330" s="66">
        <v>44670</v>
      </c>
      <c r="L330" s="67">
        <f t="shared" si="10"/>
        <v>0</v>
      </c>
      <c r="M330" s="59" t="s">
        <v>4713</v>
      </c>
      <c r="N330" s="68" t="s">
        <v>26</v>
      </c>
      <c r="O330" s="59" t="s">
        <v>937</v>
      </c>
      <c r="P330" s="55" t="s">
        <v>4697</v>
      </c>
      <c r="Q330" s="68" t="str">
        <f t="shared" si="11"/>
        <v>DENTRO DEL TIEMPO</v>
      </c>
      <c r="R330" s="6"/>
      <c r="S330" s="69"/>
    </row>
    <row r="331" spans="1:19" ht="48.75" x14ac:dyDescent="0.25">
      <c r="A331" s="63">
        <v>325</v>
      </c>
      <c r="B331" s="59" t="s">
        <v>4714</v>
      </c>
      <c r="C331" s="70">
        <v>44669</v>
      </c>
      <c r="D331" s="70">
        <v>44669</v>
      </c>
      <c r="E331" s="71">
        <v>36</v>
      </c>
      <c r="F331" s="24" t="s">
        <v>22</v>
      </c>
      <c r="G331" s="59" t="s">
        <v>23</v>
      </c>
      <c r="H331" s="59" t="s">
        <v>24</v>
      </c>
      <c r="I331" s="59" t="s">
        <v>23</v>
      </c>
      <c r="J331" s="66">
        <v>44670</v>
      </c>
      <c r="K331" s="66">
        <v>44670</v>
      </c>
      <c r="L331" s="67">
        <f t="shared" si="10"/>
        <v>1</v>
      </c>
      <c r="M331" s="59" t="s">
        <v>4715</v>
      </c>
      <c r="N331" s="68" t="s">
        <v>26</v>
      </c>
      <c r="O331" s="59" t="s">
        <v>937</v>
      </c>
      <c r="P331" s="55" t="s">
        <v>4697</v>
      </c>
      <c r="Q331" s="68" t="str">
        <f t="shared" si="11"/>
        <v>DENTRO DEL TIEMPO</v>
      </c>
      <c r="R331" s="6"/>
      <c r="S331" s="69"/>
    </row>
    <row r="332" spans="1:19" ht="48.75" x14ac:dyDescent="0.25">
      <c r="A332" s="63">
        <v>326</v>
      </c>
      <c r="B332" s="59" t="s">
        <v>4716</v>
      </c>
      <c r="C332" s="70">
        <v>44663</v>
      </c>
      <c r="D332" s="70">
        <v>44663</v>
      </c>
      <c r="E332" s="71">
        <v>5</v>
      </c>
      <c r="F332" s="24" t="s">
        <v>22</v>
      </c>
      <c r="G332" s="59" t="s">
        <v>23</v>
      </c>
      <c r="H332" s="59" t="s">
        <v>24</v>
      </c>
      <c r="I332" s="59" t="s">
        <v>23</v>
      </c>
      <c r="J332" s="66">
        <v>44664</v>
      </c>
      <c r="K332" s="66">
        <v>44664</v>
      </c>
      <c r="L332" s="67">
        <f t="shared" si="10"/>
        <v>1</v>
      </c>
      <c r="M332" s="59" t="s">
        <v>4717</v>
      </c>
      <c r="N332" s="68" t="s">
        <v>26</v>
      </c>
      <c r="O332" s="59" t="s">
        <v>4718</v>
      </c>
      <c r="P332" s="55" t="s">
        <v>4719</v>
      </c>
      <c r="Q332" s="68" t="str">
        <f t="shared" si="11"/>
        <v>DENTRO DEL TIEMPO</v>
      </c>
      <c r="R332" s="6"/>
      <c r="S332" s="69"/>
    </row>
    <row r="333" spans="1:19" ht="48.75" x14ac:dyDescent="0.25">
      <c r="A333" s="63">
        <v>327</v>
      </c>
      <c r="B333" s="59" t="s">
        <v>4720</v>
      </c>
      <c r="C333" s="70">
        <v>44664</v>
      </c>
      <c r="D333" s="70">
        <v>44664</v>
      </c>
      <c r="E333" s="71">
        <v>180</v>
      </c>
      <c r="F333" s="24" t="s">
        <v>22</v>
      </c>
      <c r="G333" s="59" t="s">
        <v>23</v>
      </c>
      <c r="H333" s="59" t="s">
        <v>24</v>
      </c>
      <c r="I333" s="59" t="s">
        <v>23</v>
      </c>
      <c r="J333" s="66">
        <v>44664</v>
      </c>
      <c r="K333" s="66">
        <v>44664</v>
      </c>
      <c r="L333" s="67">
        <f t="shared" si="10"/>
        <v>0</v>
      </c>
      <c r="M333" s="59" t="s">
        <v>4721</v>
      </c>
      <c r="N333" s="68" t="s">
        <v>26</v>
      </c>
      <c r="O333" s="59" t="s">
        <v>937</v>
      </c>
      <c r="P333" s="55" t="s">
        <v>4697</v>
      </c>
      <c r="Q333" s="68" t="str">
        <f t="shared" si="11"/>
        <v>DENTRO DEL TIEMPO</v>
      </c>
      <c r="R333" s="6"/>
      <c r="S333" s="69"/>
    </row>
    <row r="334" spans="1:19" ht="48.75" x14ac:dyDescent="0.25">
      <c r="A334" s="63">
        <v>328</v>
      </c>
      <c r="B334" s="59" t="s">
        <v>4722</v>
      </c>
      <c r="C334" s="70">
        <v>44662</v>
      </c>
      <c r="D334" s="70">
        <v>44662</v>
      </c>
      <c r="E334" s="71">
        <v>32</v>
      </c>
      <c r="F334" s="24" t="s">
        <v>22</v>
      </c>
      <c r="G334" s="59" t="s">
        <v>23</v>
      </c>
      <c r="H334" s="59" t="s">
        <v>24</v>
      </c>
      <c r="I334" s="59" t="s">
        <v>23</v>
      </c>
      <c r="J334" s="66">
        <v>44662</v>
      </c>
      <c r="K334" s="66">
        <v>44662</v>
      </c>
      <c r="L334" s="67">
        <f t="shared" si="10"/>
        <v>0</v>
      </c>
      <c r="M334" s="59" t="s">
        <v>4723</v>
      </c>
      <c r="N334" s="68" t="s">
        <v>26</v>
      </c>
      <c r="O334" s="59" t="s">
        <v>937</v>
      </c>
      <c r="P334" s="55" t="s">
        <v>4697</v>
      </c>
      <c r="Q334" s="68" t="str">
        <f t="shared" si="11"/>
        <v>DENTRO DEL TIEMPO</v>
      </c>
      <c r="R334" s="6"/>
      <c r="S334" s="69"/>
    </row>
    <row r="335" spans="1:19" ht="48.75" x14ac:dyDescent="0.25">
      <c r="A335" s="63">
        <v>329</v>
      </c>
      <c r="B335" s="59" t="s">
        <v>4724</v>
      </c>
      <c r="C335" s="70">
        <v>44659</v>
      </c>
      <c r="D335" s="70">
        <v>44659</v>
      </c>
      <c r="E335" s="71">
        <v>62</v>
      </c>
      <c r="F335" s="24" t="s">
        <v>22</v>
      </c>
      <c r="G335" s="59" t="s">
        <v>23</v>
      </c>
      <c r="H335" s="59" t="s">
        <v>24</v>
      </c>
      <c r="I335" s="59" t="s">
        <v>23</v>
      </c>
      <c r="J335" s="66">
        <v>44659</v>
      </c>
      <c r="K335" s="66">
        <v>44659</v>
      </c>
      <c r="L335" s="67">
        <f t="shared" si="10"/>
        <v>0</v>
      </c>
      <c r="M335" s="59" t="s">
        <v>4725</v>
      </c>
      <c r="N335" s="68" t="s">
        <v>26</v>
      </c>
      <c r="O335" s="59" t="s">
        <v>937</v>
      </c>
      <c r="P335" s="55" t="s">
        <v>4697</v>
      </c>
      <c r="Q335" s="68" t="str">
        <f t="shared" si="11"/>
        <v>DENTRO DEL TIEMPO</v>
      </c>
      <c r="R335" s="6"/>
      <c r="S335" s="69"/>
    </row>
    <row r="336" spans="1:19" ht="48.75" x14ac:dyDescent="0.25">
      <c r="A336" s="63">
        <v>330</v>
      </c>
      <c r="B336" s="59" t="s">
        <v>4726</v>
      </c>
      <c r="C336" s="70">
        <v>44652</v>
      </c>
      <c r="D336" s="70">
        <v>44652</v>
      </c>
      <c r="E336" s="71">
        <v>132</v>
      </c>
      <c r="F336" s="24" t="s">
        <v>22</v>
      </c>
      <c r="G336" s="59" t="s">
        <v>23</v>
      </c>
      <c r="H336" s="59" t="s">
        <v>24</v>
      </c>
      <c r="I336" s="59" t="s">
        <v>23</v>
      </c>
      <c r="J336" s="66">
        <v>44657</v>
      </c>
      <c r="K336" s="66">
        <v>44657</v>
      </c>
      <c r="L336" s="67">
        <f t="shared" si="10"/>
        <v>3</v>
      </c>
      <c r="M336" s="59" t="s">
        <v>4727</v>
      </c>
      <c r="N336" s="68" t="s">
        <v>26</v>
      </c>
      <c r="O336" s="59" t="s">
        <v>937</v>
      </c>
      <c r="P336" s="55" t="s">
        <v>4697</v>
      </c>
      <c r="Q336" s="68" t="str">
        <f t="shared" si="11"/>
        <v>DENTRO DEL TIEMPO</v>
      </c>
      <c r="R336" s="6"/>
      <c r="S336" s="69"/>
    </row>
    <row r="337" spans="1:18" ht="56.25" x14ac:dyDescent="0.25">
      <c r="A337" s="63">
        <v>331</v>
      </c>
      <c r="B337" s="59" t="s">
        <v>4728</v>
      </c>
      <c r="C337" s="70">
        <v>44645</v>
      </c>
      <c r="D337" s="70">
        <v>44662</v>
      </c>
      <c r="E337" s="72">
        <v>43</v>
      </c>
      <c r="F337" s="24" t="s">
        <v>22</v>
      </c>
      <c r="G337" s="73" t="s">
        <v>2090</v>
      </c>
      <c r="H337" s="73" t="s">
        <v>3511</v>
      </c>
      <c r="I337" s="73" t="s">
        <v>2090</v>
      </c>
      <c r="J337" s="66">
        <v>44662</v>
      </c>
      <c r="K337" s="66">
        <v>44662</v>
      </c>
      <c r="L337" s="67">
        <f t="shared" si="10"/>
        <v>0</v>
      </c>
      <c r="M337" s="59" t="s">
        <v>3688</v>
      </c>
      <c r="N337" s="74" t="s">
        <v>1104</v>
      </c>
      <c r="O337" s="75" t="s">
        <v>1026</v>
      </c>
      <c r="P337" s="59" t="s">
        <v>4729</v>
      </c>
      <c r="Q337" s="68" t="str">
        <f t="shared" si="11"/>
        <v>DENTRO DEL TIEMPO</v>
      </c>
      <c r="R337" s="6"/>
    </row>
    <row r="338" spans="1:18" ht="56.25" x14ac:dyDescent="0.25">
      <c r="A338" s="63">
        <v>332</v>
      </c>
      <c r="B338" s="59" t="s">
        <v>3687</v>
      </c>
      <c r="C338" s="70">
        <v>44650</v>
      </c>
      <c r="D338" s="70">
        <v>44663</v>
      </c>
      <c r="E338" s="76">
        <v>50</v>
      </c>
      <c r="F338" s="24" t="s">
        <v>22</v>
      </c>
      <c r="G338" s="73" t="s">
        <v>2090</v>
      </c>
      <c r="H338" s="73" t="s">
        <v>3511</v>
      </c>
      <c r="I338" s="73" t="s">
        <v>2090</v>
      </c>
      <c r="J338" s="66">
        <v>44663</v>
      </c>
      <c r="K338" s="66">
        <v>44663</v>
      </c>
      <c r="L338" s="67">
        <f t="shared" si="10"/>
        <v>0</v>
      </c>
      <c r="M338" s="59" t="s">
        <v>4730</v>
      </c>
      <c r="N338" s="74" t="s">
        <v>1104</v>
      </c>
      <c r="O338" s="75" t="s">
        <v>1026</v>
      </c>
      <c r="P338" s="59" t="s">
        <v>4729</v>
      </c>
      <c r="Q338" s="68" t="str">
        <f t="shared" si="11"/>
        <v>DENTRO DEL TIEMPO</v>
      </c>
      <c r="R338" s="6"/>
    </row>
    <row r="339" spans="1:18" ht="56.25" x14ac:dyDescent="0.25">
      <c r="A339" s="63">
        <v>333</v>
      </c>
      <c r="B339" s="59" t="s">
        <v>4731</v>
      </c>
      <c r="C339" s="70">
        <v>44651</v>
      </c>
      <c r="D339" s="70">
        <v>44665</v>
      </c>
      <c r="E339" s="72">
        <v>267</v>
      </c>
      <c r="F339" s="24" t="s">
        <v>22</v>
      </c>
      <c r="G339" s="73" t="s">
        <v>2090</v>
      </c>
      <c r="H339" s="73" t="s">
        <v>3511</v>
      </c>
      <c r="I339" s="73" t="s">
        <v>2090</v>
      </c>
      <c r="J339" s="66">
        <v>44669</v>
      </c>
      <c r="K339" s="66">
        <v>44669</v>
      </c>
      <c r="L339" s="67">
        <f t="shared" si="10"/>
        <v>2</v>
      </c>
      <c r="M339" s="59" t="s">
        <v>4732</v>
      </c>
      <c r="N339" s="74" t="s">
        <v>1104</v>
      </c>
      <c r="O339" s="75" t="s">
        <v>1026</v>
      </c>
      <c r="P339" s="59" t="s">
        <v>4729</v>
      </c>
      <c r="Q339" s="68" t="str">
        <f t="shared" si="11"/>
        <v>DENTRO DEL TIEMPO</v>
      </c>
      <c r="R339" s="6"/>
    </row>
    <row r="340" spans="1:18" ht="56.25" x14ac:dyDescent="0.25">
      <c r="A340" s="63">
        <v>334</v>
      </c>
      <c r="B340" s="59" t="s">
        <v>4733</v>
      </c>
      <c r="C340" s="70">
        <v>44652</v>
      </c>
      <c r="D340" s="70">
        <v>44652</v>
      </c>
      <c r="E340" s="72">
        <v>1</v>
      </c>
      <c r="F340" s="24" t="s">
        <v>22</v>
      </c>
      <c r="G340" s="73" t="s">
        <v>2090</v>
      </c>
      <c r="H340" s="73" t="s">
        <v>3511</v>
      </c>
      <c r="I340" s="73" t="s">
        <v>2090</v>
      </c>
      <c r="J340" s="66">
        <v>44655</v>
      </c>
      <c r="K340" s="66">
        <v>44655</v>
      </c>
      <c r="L340" s="67">
        <f t="shared" si="10"/>
        <v>1</v>
      </c>
      <c r="M340" s="59" t="s">
        <v>4734</v>
      </c>
      <c r="N340" s="74" t="s">
        <v>1104</v>
      </c>
      <c r="O340" s="75" t="s">
        <v>1026</v>
      </c>
      <c r="P340" s="59" t="s">
        <v>4729</v>
      </c>
      <c r="Q340" s="68" t="str">
        <f t="shared" si="11"/>
        <v>DENTRO DEL TIEMPO</v>
      </c>
      <c r="R340" s="6"/>
    </row>
    <row r="341" spans="1:18" ht="56.25" x14ac:dyDescent="0.25">
      <c r="A341" s="63">
        <v>335</v>
      </c>
      <c r="B341" s="59" t="s">
        <v>4735</v>
      </c>
      <c r="C341" s="70">
        <v>44652</v>
      </c>
      <c r="D341" s="70">
        <v>44652</v>
      </c>
      <c r="E341" s="77">
        <v>1</v>
      </c>
      <c r="F341" s="24" t="s">
        <v>22</v>
      </c>
      <c r="G341" s="73" t="s">
        <v>2090</v>
      </c>
      <c r="H341" s="73" t="s">
        <v>3511</v>
      </c>
      <c r="I341" s="73" t="s">
        <v>2090</v>
      </c>
      <c r="J341" s="66">
        <v>44657</v>
      </c>
      <c r="K341" s="66">
        <v>44657</v>
      </c>
      <c r="L341" s="67">
        <f t="shared" si="10"/>
        <v>3</v>
      </c>
      <c r="M341" s="59" t="s">
        <v>4736</v>
      </c>
      <c r="N341" s="74" t="s">
        <v>1104</v>
      </c>
      <c r="O341" s="75" t="s">
        <v>1026</v>
      </c>
      <c r="P341" s="59" t="s">
        <v>4729</v>
      </c>
      <c r="Q341" s="68" t="str">
        <f t="shared" si="11"/>
        <v>DENTRO DEL TIEMPO</v>
      </c>
      <c r="R341" s="6"/>
    </row>
    <row r="342" spans="1:18" ht="56.25" x14ac:dyDescent="0.25">
      <c r="A342" s="63">
        <v>336</v>
      </c>
      <c r="B342" s="59" t="s">
        <v>4737</v>
      </c>
      <c r="C342" s="70">
        <v>44652</v>
      </c>
      <c r="D342" s="70">
        <v>44652</v>
      </c>
      <c r="E342" s="72">
        <v>1</v>
      </c>
      <c r="F342" s="24" t="s">
        <v>22</v>
      </c>
      <c r="G342" s="73" t="s">
        <v>2090</v>
      </c>
      <c r="H342" s="73" t="s">
        <v>3511</v>
      </c>
      <c r="I342" s="73" t="s">
        <v>2090</v>
      </c>
      <c r="J342" s="66">
        <v>44658</v>
      </c>
      <c r="K342" s="66">
        <v>44658</v>
      </c>
      <c r="L342" s="67">
        <f t="shared" si="10"/>
        <v>4</v>
      </c>
      <c r="M342" s="59" t="s">
        <v>4738</v>
      </c>
      <c r="N342" s="74" t="s">
        <v>1104</v>
      </c>
      <c r="O342" s="75" t="s">
        <v>1026</v>
      </c>
      <c r="P342" s="59" t="s">
        <v>4729</v>
      </c>
      <c r="Q342" s="68" t="str">
        <f t="shared" si="11"/>
        <v>DENTRO DEL TIEMPO</v>
      </c>
      <c r="R342" s="6"/>
    </row>
    <row r="343" spans="1:18" ht="56.25" x14ac:dyDescent="0.25">
      <c r="A343" s="63">
        <v>337</v>
      </c>
      <c r="B343" s="59" t="s">
        <v>4739</v>
      </c>
      <c r="C343" s="70">
        <v>44655</v>
      </c>
      <c r="D343" s="70">
        <v>44655</v>
      </c>
      <c r="E343" s="72">
        <f>12+6</f>
        <v>18</v>
      </c>
      <c r="F343" s="24" t="s">
        <v>22</v>
      </c>
      <c r="G343" s="73" t="s">
        <v>2090</v>
      </c>
      <c r="H343" s="73" t="s">
        <v>3511</v>
      </c>
      <c r="I343" s="73" t="s">
        <v>2090</v>
      </c>
      <c r="J343" s="66">
        <v>44658</v>
      </c>
      <c r="K343" s="66">
        <v>44658</v>
      </c>
      <c r="L343" s="67">
        <f t="shared" si="10"/>
        <v>3</v>
      </c>
      <c r="M343" s="59" t="s">
        <v>4740</v>
      </c>
      <c r="N343" s="74" t="s">
        <v>1104</v>
      </c>
      <c r="O343" s="75" t="s">
        <v>1026</v>
      </c>
      <c r="P343" s="59" t="s">
        <v>4729</v>
      </c>
      <c r="Q343" s="68" t="str">
        <f t="shared" si="11"/>
        <v>DENTRO DEL TIEMPO</v>
      </c>
      <c r="R343" s="6"/>
    </row>
    <row r="344" spans="1:18" ht="56.25" x14ac:dyDescent="0.25">
      <c r="A344" s="63">
        <v>338</v>
      </c>
      <c r="B344" s="59" t="s">
        <v>4741</v>
      </c>
      <c r="C344" s="70">
        <v>44655</v>
      </c>
      <c r="D344" s="70">
        <v>44655</v>
      </c>
      <c r="E344" s="72">
        <v>1</v>
      </c>
      <c r="F344" s="24" t="s">
        <v>22</v>
      </c>
      <c r="G344" s="73" t="s">
        <v>2090</v>
      </c>
      <c r="H344" s="73" t="s">
        <v>3511</v>
      </c>
      <c r="I344" s="73" t="s">
        <v>2090</v>
      </c>
      <c r="J344" s="66">
        <v>44658</v>
      </c>
      <c r="K344" s="66">
        <v>44658</v>
      </c>
      <c r="L344" s="67">
        <f t="shared" si="10"/>
        <v>3</v>
      </c>
      <c r="M344" s="59" t="s">
        <v>4742</v>
      </c>
      <c r="N344" s="74" t="s">
        <v>1104</v>
      </c>
      <c r="O344" s="75" t="s">
        <v>1026</v>
      </c>
      <c r="P344" s="59" t="s">
        <v>4729</v>
      </c>
      <c r="Q344" s="68" t="str">
        <f t="shared" si="11"/>
        <v>DENTRO DEL TIEMPO</v>
      </c>
      <c r="R344" s="6"/>
    </row>
    <row r="345" spans="1:18" ht="56.25" x14ac:dyDescent="0.25">
      <c r="A345" s="63">
        <v>339</v>
      </c>
      <c r="B345" s="59" t="s">
        <v>4743</v>
      </c>
      <c r="C345" s="70">
        <v>44656</v>
      </c>
      <c r="D345" s="70">
        <v>44656</v>
      </c>
      <c r="E345" s="72">
        <v>4</v>
      </c>
      <c r="F345" s="24" t="s">
        <v>22</v>
      </c>
      <c r="G345" s="73" t="s">
        <v>2090</v>
      </c>
      <c r="H345" s="73" t="s">
        <v>3511</v>
      </c>
      <c r="I345" s="73" t="s">
        <v>2090</v>
      </c>
      <c r="J345" s="66">
        <v>44658</v>
      </c>
      <c r="K345" s="66">
        <v>44658</v>
      </c>
      <c r="L345" s="67">
        <f t="shared" si="10"/>
        <v>2</v>
      </c>
      <c r="M345" s="59" t="s">
        <v>4744</v>
      </c>
      <c r="N345" s="74" t="s">
        <v>1104</v>
      </c>
      <c r="O345" s="75" t="s">
        <v>1026</v>
      </c>
      <c r="P345" s="59" t="s">
        <v>4729</v>
      </c>
      <c r="Q345" s="68" t="str">
        <f t="shared" si="11"/>
        <v>DENTRO DEL TIEMPO</v>
      </c>
      <c r="R345" s="6"/>
    </row>
    <row r="346" spans="1:18" ht="56.25" x14ac:dyDescent="0.25">
      <c r="A346" s="63">
        <v>340</v>
      </c>
      <c r="B346" s="59" t="s">
        <v>4745</v>
      </c>
      <c r="C346" s="70">
        <v>44656</v>
      </c>
      <c r="D346" s="70">
        <v>44656</v>
      </c>
      <c r="E346" s="72">
        <v>4</v>
      </c>
      <c r="F346" s="24" t="s">
        <v>22</v>
      </c>
      <c r="G346" s="73" t="s">
        <v>2090</v>
      </c>
      <c r="H346" s="73" t="s">
        <v>3511</v>
      </c>
      <c r="I346" s="73" t="s">
        <v>2090</v>
      </c>
      <c r="J346" s="66">
        <v>44658</v>
      </c>
      <c r="K346" s="66">
        <v>44658</v>
      </c>
      <c r="L346" s="67">
        <f t="shared" si="10"/>
        <v>2</v>
      </c>
      <c r="M346" s="59" t="s">
        <v>4746</v>
      </c>
      <c r="N346" s="74" t="s">
        <v>1104</v>
      </c>
      <c r="O346" s="75" t="s">
        <v>1026</v>
      </c>
      <c r="P346" s="59" t="s">
        <v>4729</v>
      </c>
      <c r="Q346" s="68" t="str">
        <f t="shared" si="11"/>
        <v>DENTRO DEL TIEMPO</v>
      </c>
      <c r="R346" s="6"/>
    </row>
    <row r="347" spans="1:18" ht="56.25" x14ac:dyDescent="0.25">
      <c r="A347" s="63">
        <v>341</v>
      </c>
      <c r="B347" s="59" t="s">
        <v>4747</v>
      </c>
      <c r="C347" s="70">
        <v>44658</v>
      </c>
      <c r="D347" s="70">
        <v>44658</v>
      </c>
      <c r="E347" s="78">
        <v>4</v>
      </c>
      <c r="F347" s="24" t="s">
        <v>22</v>
      </c>
      <c r="G347" s="73" t="s">
        <v>2090</v>
      </c>
      <c r="H347" s="73" t="s">
        <v>3511</v>
      </c>
      <c r="I347" s="73" t="s">
        <v>2090</v>
      </c>
      <c r="J347" s="66">
        <v>44659</v>
      </c>
      <c r="K347" s="66">
        <v>44659</v>
      </c>
      <c r="L347" s="67">
        <f t="shared" si="10"/>
        <v>1</v>
      </c>
      <c r="M347" s="59" t="s">
        <v>4748</v>
      </c>
      <c r="N347" s="74" t="s">
        <v>1104</v>
      </c>
      <c r="O347" s="75" t="s">
        <v>1026</v>
      </c>
      <c r="P347" s="59" t="s">
        <v>4729</v>
      </c>
      <c r="Q347" s="68" t="str">
        <f t="shared" si="11"/>
        <v>DENTRO DEL TIEMPO</v>
      </c>
      <c r="R347" s="6"/>
    </row>
    <row r="348" spans="1:18" ht="56.25" x14ac:dyDescent="0.25">
      <c r="A348" s="63">
        <v>342</v>
      </c>
      <c r="B348" s="59" t="s">
        <v>4749</v>
      </c>
      <c r="C348" s="70">
        <v>44658</v>
      </c>
      <c r="D348" s="70">
        <v>44658</v>
      </c>
      <c r="E348" s="72">
        <v>3</v>
      </c>
      <c r="F348" s="24" t="s">
        <v>22</v>
      </c>
      <c r="G348" s="73" t="s">
        <v>2090</v>
      </c>
      <c r="H348" s="73" t="s">
        <v>3511</v>
      </c>
      <c r="I348" s="73" t="s">
        <v>2090</v>
      </c>
      <c r="J348" s="66">
        <v>44659</v>
      </c>
      <c r="K348" s="66">
        <v>44659</v>
      </c>
      <c r="L348" s="67">
        <f t="shared" si="10"/>
        <v>1</v>
      </c>
      <c r="M348" s="59" t="s">
        <v>4750</v>
      </c>
      <c r="N348" s="74" t="s">
        <v>1104</v>
      </c>
      <c r="O348" s="75" t="s">
        <v>1026</v>
      </c>
      <c r="P348" s="59" t="s">
        <v>4729</v>
      </c>
      <c r="Q348" s="68" t="str">
        <f t="shared" si="11"/>
        <v>DENTRO DEL TIEMPO</v>
      </c>
      <c r="R348" s="6"/>
    </row>
    <row r="349" spans="1:18" ht="56.25" x14ac:dyDescent="0.25">
      <c r="A349" s="63">
        <v>343</v>
      </c>
      <c r="B349" s="59" t="s">
        <v>4751</v>
      </c>
      <c r="C349" s="70">
        <v>44659</v>
      </c>
      <c r="D349" s="70">
        <v>44659</v>
      </c>
      <c r="E349" s="72">
        <v>1</v>
      </c>
      <c r="F349" s="24" t="s">
        <v>22</v>
      </c>
      <c r="G349" s="73" t="s">
        <v>2090</v>
      </c>
      <c r="H349" s="73" t="s">
        <v>3511</v>
      </c>
      <c r="I349" s="73" t="s">
        <v>2090</v>
      </c>
      <c r="J349" s="66">
        <v>44662</v>
      </c>
      <c r="K349" s="66">
        <v>44662</v>
      </c>
      <c r="L349" s="67">
        <f t="shared" si="10"/>
        <v>1</v>
      </c>
      <c r="M349" s="59" t="s">
        <v>4752</v>
      </c>
      <c r="N349" s="74" t="s">
        <v>1104</v>
      </c>
      <c r="O349" s="75" t="s">
        <v>1026</v>
      </c>
      <c r="P349" s="59" t="s">
        <v>4729</v>
      </c>
      <c r="Q349" s="68" t="str">
        <f t="shared" si="11"/>
        <v>DENTRO DEL TIEMPO</v>
      </c>
      <c r="R349" s="6"/>
    </row>
    <row r="350" spans="1:18" ht="56.25" x14ac:dyDescent="0.25">
      <c r="A350" s="63">
        <v>344</v>
      </c>
      <c r="B350" s="59" t="s">
        <v>4753</v>
      </c>
      <c r="C350" s="70">
        <v>44659</v>
      </c>
      <c r="D350" s="70">
        <v>44659</v>
      </c>
      <c r="E350" s="72">
        <v>1</v>
      </c>
      <c r="F350" s="24" t="s">
        <v>22</v>
      </c>
      <c r="G350" s="73" t="s">
        <v>2090</v>
      </c>
      <c r="H350" s="73" t="s">
        <v>3511</v>
      </c>
      <c r="I350" s="73" t="s">
        <v>2090</v>
      </c>
      <c r="J350" s="66">
        <v>44662</v>
      </c>
      <c r="K350" s="66">
        <v>44662</v>
      </c>
      <c r="L350" s="67">
        <f t="shared" si="10"/>
        <v>1</v>
      </c>
      <c r="M350" s="59" t="s">
        <v>4754</v>
      </c>
      <c r="N350" s="74" t="s">
        <v>1104</v>
      </c>
      <c r="O350" s="75" t="s">
        <v>1026</v>
      </c>
      <c r="P350" s="59" t="s">
        <v>4729</v>
      </c>
      <c r="Q350" s="68" t="str">
        <f t="shared" si="11"/>
        <v>DENTRO DEL TIEMPO</v>
      </c>
      <c r="R350" s="6"/>
    </row>
    <row r="351" spans="1:18" ht="56.25" x14ac:dyDescent="0.25">
      <c r="A351" s="63">
        <v>345</v>
      </c>
      <c r="B351" s="59" t="s">
        <v>4755</v>
      </c>
      <c r="C351" s="70">
        <v>44662</v>
      </c>
      <c r="D351" s="70">
        <v>44662</v>
      </c>
      <c r="E351" s="72">
        <v>1</v>
      </c>
      <c r="F351" s="24" t="s">
        <v>22</v>
      </c>
      <c r="G351" s="73" t="s">
        <v>2090</v>
      </c>
      <c r="H351" s="73" t="s">
        <v>3511</v>
      </c>
      <c r="I351" s="73" t="s">
        <v>2090</v>
      </c>
      <c r="J351" s="66">
        <v>44662</v>
      </c>
      <c r="K351" s="66">
        <v>44662</v>
      </c>
      <c r="L351" s="67">
        <f t="shared" si="10"/>
        <v>0</v>
      </c>
      <c r="M351" s="59" t="s">
        <v>4756</v>
      </c>
      <c r="N351" s="74" t="s">
        <v>1104</v>
      </c>
      <c r="O351" s="75" t="s">
        <v>1026</v>
      </c>
      <c r="P351" s="59" t="s">
        <v>4729</v>
      </c>
      <c r="Q351" s="68" t="str">
        <f t="shared" si="11"/>
        <v>DENTRO DEL TIEMPO</v>
      </c>
      <c r="R351" s="6"/>
    </row>
    <row r="352" spans="1:18" ht="56.25" x14ac:dyDescent="0.25">
      <c r="A352" s="63">
        <v>346</v>
      </c>
      <c r="B352" s="59" t="s">
        <v>4757</v>
      </c>
      <c r="C352" s="70">
        <v>44663</v>
      </c>
      <c r="D352" s="70">
        <v>44663</v>
      </c>
      <c r="E352" s="72">
        <v>1</v>
      </c>
      <c r="F352" s="24" t="s">
        <v>22</v>
      </c>
      <c r="G352" s="73" t="s">
        <v>2090</v>
      </c>
      <c r="H352" s="73" t="s">
        <v>3511</v>
      </c>
      <c r="I352" s="73" t="s">
        <v>2090</v>
      </c>
      <c r="J352" s="66">
        <v>44665</v>
      </c>
      <c r="K352" s="66">
        <v>44665</v>
      </c>
      <c r="L352" s="67">
        <f t="shared" si="10"/>
        <v>2</v>
      </c>
      <c r="M352" s="59" t="s">
        <v>4758</v>
      </c>
      <c r="N352" s="74" t="s">
        <v>1104</v>
      </c>
      <c r="O352" s="75" t="s">
        <v>1026</v>
      </c>
      <c r="P352" s="59" t="s">
        <v>4729</v>
      </c>
      <c r="Q352" s="68" t="str">
        <f t="shared" si="11"/>
        <v>DENTRO DEL TIEMPO</v>
      </c>
      <c r="R352" s="6"/>
    </row>
    <row r="353" spans="1:18" ht="56.25" x14ac:dyDescent="0.25">
      <c r="A353" s="63">
        <v>347</v>
      </c>
      <c r="B353" s="59" t="s">
        <v>4759</v>
      </c>
      <c r="C353" s="70">
        <v>44663</v>
      </c>
      <c r="D353" s="70">
        <v>44663</v>
      </c>
      <c r="E353" s="72">
        <v>1</v>
      </c>
      <c r="F353" s="24" t="s">
        <v>22</v>
      </c>
      <c r="G353" s="73" t="s">
        <v>2090</v>
      </c>
      <c r="H353" s="73" t="s">
        <v>3511</v>
      </c>
      <c r="I353" s="73" t="s">
        <v>2090</v>
      </c>
      <c r="J353" s="66">
        <v>44664</v>
      </c>
      <c r="K353" s="66">
        <v>44664</v>
      </c>
      <c r="L353" s="67">
        <f t="shared" si="10"/>
        <v>1</v>
      </c>
      <c r="M353" s="59" t="s">
        <v>4760</v>
      </c>
      <c r="N353" s="74" t="s">
        <v>1104</v>
      </c>
      <c r="O353" s="75" t="s">
        <v>1026</v>
      </c>
      <c r="P353" s="59" t="s">
        <v>4729</v>
      </c>
      <c r="Q353" s="68" t="str">
        <f t="shared" si="11"/>
        <v>DENTRO DEL TIEMPO</v>
      </c>
      <c r="R353" s="6"/>
    </row>
    <row r="354" spans="1:18" ht="56.25" x14ac:dyDescent="0.25">
      <c r="A354" s="63">
        <v>348</v>
      </c>
      <c r="B354" s="59" t="s">
        <v>4761</v>
      </c>
      <c r="C354" s="70">
        <v>44663</v>
      </c>
      <c r="D354" s="70">
        <v>44663</v>
      </c>
      <c r="E354" s="72">
        <v>1</v>
      </c>
      <c r="F354" s="24" t="s">
        <v>22</v>
      </c>
      <c r="G354" s="73" t="s">
        <v>2090</v>
      </c>
      <c r="H354" s="73" t="s">
        <v>3511</v>
      </c>
      <c r="I354" s="73" t="s">
        <v>2090</v>
      </c>
      <c r="J354" s="66">
        <v>44665</v>
      </c>
      <c r="K354" s="66">
        <v>44665</v>
      </c>
      <c r="L354" s="67">
        <f t="shared" si="10"/>
        <v>2</v>
      </c>
      <c r="M354" s="59" t="s">
        <v>4756</v>
      </c>
      <c r="N354" s="74" t="s">
        <v>1104</v>
      </c>
      <c r="O354" s="75" t="s">
        <v>1026</v>
      </c>
      <c r="P354" s="59" t="s">
        <v>4729</v>
      </c>
      <c r="Q354" s="68" t="str">
        <f t="shared" si="11"/>
        <v>DENTRO DEL TIEMPO</v>
      </c>
      <c r="R354" s="6"/>
    </row>
    <row r="355" spans="1:18" ht="56.25" x14ac:dyDescent="0.25">
      <c r="A355" s="63">
        <v>349</v>
      </c>
      <c r="B355" s="59" t="s">
        <v>4757</v>
      </c>
      <c r="C355" s="70">
        <v>44663</v>
      </c>
      <c r="D355" s="70">
        <v>44663</v>
      </c>
      <c r="E355" s="72">
        <v>1</v>
      </c>
      <c r="F355" s="24" t="s">
        <v>22</v>
      </c>
      <c r="G355" s="73" t="s">
        <v>2090</v>
      </c>
      <c r="H355" s="73" t="s">
        <v>3511</v>
      </c>
      <c r="I355" s="73" t="s">
        <v>2090</v>
      </c>
      <c r="J355" s="66">
        <v>44665</v>
      </c>
      <c r="K355" s="66">
        <v>44665</v>
      </c>
      <c r="L355" s="67">
        <f t="shared" si="10"/>
        <v>2</v>
      </c>
      <c r="M355" s="59" t="s">
        <v>4762</v>
      </c>
      <c r="N355" s="74" t="s">
        <v>1104</v>
      </c>
      <c r="O355" s="75" t="s">
        <v>1026</v>
      </c>
      <c r="P355" s="59" t="s">
        <v>4729</v>
      </c>
      <c r="Q355" s="68" t="str">
        <f t="shared" si="11"/>
        <v>DENTRO DEL TIEMPO</v>
      </c>
      <c r="R355" s="6"/>
    </row>
    <row r="356" spans="1:18" ht="56.25" x14ac:dyDescent="0.25">
      <c r="A356" s="63">
        <v>350</v>
      </c>
      <c r="B356" s="59" t="s">
        <v>4763</v>
      </c>
      <c r="C356" s="70">
        <v>44664</v>
      </c>
      <c r="D356" s="70">
        <v>44664</v>
      </c>
      <c r="E356" s="72">
        <v>4</v>
      </c>
      <c r="F356" s="24" t="s">
        <v>22</v>
      </c>
      <c r="G356" s="73" t="s">
        <v>2090</v>
      </c>
      <c r="H356" s="73" t="s">
        <v>3511</v>
      </c>
      <c r="I356" s="73" t="s">
        <v>2090</v>
      </c>
      <c r="J356" s="66">
        <v>44664</v>
      </c>
      <c r="K356" s="66">
        <v>44664</v>
      </c>
      <c r="L356" s="67">
        <f t="shared" si="10"/>
        <v>0</v>
      </c>
      <c r="M356" s="59" t="s">
        <v>4764</v>
      </c>
      <c r="N356" s="74" t="s">
        <v>1104</v>
      </c>
      <c r="O356" s="75" t="s">
        <v>1026</v>
      </c>
      <c r="P356" s="59" t="s">
        <v>4729</v>
      </c>
      <c r="Q356" s="68" t="str">
        <f t="shared" si="11"/>
        <v>DENTRO DEL TIEMPO</v>
      </c>
      <c r="R356" s="6"/>
    </row>
    <row r="357" spans="1:18" ht="56.25" x14ac:dyDescent="0.25">
      <c r="A357" s="63">
        <v>351</v>
      </c>
      <c r="B357" s="59" t="s">
        <v>4765</v>
      </c>
      <c r="C357" s="70">
        <v>44664</v>
      </c>
      <c r="D357" s="70">
        <v>44664</v>
      </c>
      <c r="E357" s="72">
        <v>1</v>
      </c>
      <c r="F357" s="24" t="s">
        <v>22</v>
      </c>
      <c r="G357" s="73" t="s">
        <v>2090</v>
      </c>
      <c r="H357" s="73" t="s">
        <v>3511</v>
      </c>
      <c r="I357" s="73" t="s">
        <v>2090</v>
      </c>
      <c r="J357" s="66">
        <v>44665</v>
      </c>
      <c r="K357" s="66">
        <v>44665</v>
      </c>
      <c r="L357" s="67">
        <f t="shared" si="10"/>
        <v>1</v>
      </c>
      <c r="M357" s="59" t="s">
        <v>4766</v>
      </c>
      <c r="N357" s="74" t="s">
        <v>1104</v>
      </c>
      <c r="O357" s="75" t="s">
        <v>1026</v>
      </c>
      <c r="P357" s="59" t="s">
        <v>4729</v>
      </c>
      <c r="Q357" s="68" t="str">
        <f t="shared" si="11"/>
        <v>DENTRO DEL TIEMPO</v>
      </c>
      <c r="R357" s="6"/>
    </row>
    <row r="358" spans="1:18" ht="56.25" x14ac:dyDescent="0.25">
      <c r="A358" s="63">
        <v>352</v>
      </c>
      <c r="B358" s="59" t="s">
        <v>4767</v>
      </c>
      <c r="C358" s="70">
        <v>44664</v>
      </c>
      <c r="D358" s="70">
        <v>44664</v>
      </c>
      <c r="E358" s="72">
        <v>71</v>
      </c>
      <c r="F358" s="24" t="s">
        <v>22</v>
      </c>
      <c r="G358" s="73" t="s">
        <v>2090</v>
      </c>
      <c r="H358" s="73" t="s">
        <v>3511</v>
      </c>
      <c r="I358" s="73" t="s">
        <v>2090</v>
      </c>
      <c r="J358" s="66">
        <v>44669</v>
      </c>
      <c r="K358" s="66">
        <v>44669</v>
      </c>
      <c r="L358" s="67">
        <f t="shared" si="10"/>
        <v>3</v>
      </c>
      <c r="M358" s="59" t="s">
        <v>4768</v>
      </c>
      <c r="N358" s="74" t="s">
        <v>1104</v>
      </c>
      <c r="O358" s="75" t="s">
        <v>1026</v>
      </c>
      <c r="P358" s="59" t="s">
        <v>4729</v>
      </c>
      <c r="Q358" s="68" t="str">
        <f t="shared" si="11"/>
        <v>DENTRO DEL TIEMPO</v>
      </c>
      <c r="R358" s="6"/>
    </row>
    <row r="359" spans="1:18" ht="56.25" x14ac:dyDescent="0.25">
      <c r="A359" s="63">
        <v>353</v>
      </c>
      <c r="B359" s="59" t="s">
        <v>4769</v>
      </c>
      <c r="C359" s="70">
        <v>44665</v>
      </c>
      <c r="D359" s="70">
        <v>44665</v>
      </c>
      <c r="E359" s="72">
        <v>16</v>
      </c>
      <c r="F359" s="24" t="s">
        <v>22</v>
      </c>
      <c r="G359" s="73" t="s">
        <v>2090</v>
      </c>
      <c r="H359" s="73" t="s">
        <v>3511</v>
      </c>
      <c r="I359" s="73" t="s">
        <v>2090</v>
      </c>
      <c r="J359" s="66">
        <v>44669</v>
      </c>
      <c r="K359" s="66">
        <v>44669</v>
      </c>
      <c r="L359" s="67">
        <f t="shared" si="10"/>
        <v>2</v>
      </c>
      <c r="M359" s="59" t="s">
        <v>4770</v>
      </c>
      <c r="N359" s="74" t="s">
        <v>1104</v>
      </c>
      <c r="O359" s="75" t="s">
        <v>1026</v>
      </c>
      <c r="P359" s="59" t="s">
        <v>4729</v>
      </c>
      <c r="Q359" s="68" t="str">
        <f t="shared" si="11"/>
        <v>DENTRO DEL TIEMPO</v>
      </c>
      <c r="R359" s="6"/>
    </row>
    <row r="360" spans="1:18" ht="56.25" x14ac:dyDescent="0.25">
      <c r="A360" s="63">
        <v>354</v>
      </c>
      <c r="B360" s="59" t="s">
        <v>4771</v>
      </c>
      <c r="C360" s="70">
        <v>44665</v>
      </c>
      <c r="D360" s="70">
        <v>44665</v>
      </c>
      <c r="E360" s="72">
        <v>5</v>
      </c>
      <c r="F360" s="24" t="s">
        <v>22</v>
      </c>
      <c r="G360" s="73" t="s">
        <v>2090</v>
      </c>
      <c r="H360" s="73" t="s">
        <v>3511</v>
      </c>
      <c r="I360" s="73" t="s">
        <v>2090</v>
      </c>
      <c r="J360" s="66">
        <v>44665</v>
      </c>
      <c r="K360" s="66">
        <v>44665</v>
      </c>
      <c r="L360" s="67">
        <f t="shared" si="10"/>
        <v>0</v>
      </c>
      <c r="M360" s="59" t="s">
        <v>3680</v>
      </c>
      <c r="N360" s="74" t="s">
        <v>1104</v>
      </c>
      <c r="O360" s="75" t="s">
        <v>1026</v>
      </c>
      <c r="P360" s="59" t="s">
        <v>4729</v>
      </c>
      <c r="Q360" s="68" t="str">
        <f t="shared" si="11"/>
        <v>DENTRO DEL TIEMPO</v>
      </c>
      <c r="R360" s="6"/>
    </row>
    <row r="361" spans="1:18" ht="56.25" x14ac:dyDescent="0.25">
      <c r="A361" s="63">
        <v>355</v>
      </c>
      <c r="B361" s="59" t="s">
        <v>4772</v>
      </c>
      <c r="C361" s="70">
        <v>44665</v>
      </c>
      <c r="D361" s="70">
        <v>44665</v>
      </c>
      <c r="E361" s="72">
        <v>5</v>
      </c>
      <c r="F361" s="24" t="s">
        <v>22</v>
      </c>
      <c r="G361" s="73" t="s">
        <v>2090</v>
      </c>
      <c r="H361" s="73" t="s">
        <v>3511</v>
      </c>
      <c r="I361" s="73" t="s">
        <v>2090</v>
      </c>
      <c r="J361" s="66">
        <v>44665</v>
      </c>
      <c r="K361" s="66">
        <v>44665</v>
      </c>
      <c r="L361" s="67">
        <f t="shared" si="10"/>
        <v>0</v>
      </c>
      <c r="M361" s="59" t="s">
        <v>4773</v>
      </c>
      <c r="N361" s="74" t="s">
        <v>1104</v>
      </c>
      <c r="O361" s="75" t="s">
        <v>1026</v>
      </c>
      <c r="P361" s="59" t="s">
        <v>4729</v>
      </c>
      <c r="Q361" s="68" t="str">
        <f t="shared" si="11"/>
        <v>DENTRO DEL TIEMPO</v>
      </c>
      <c r="R361" s="6"/>
    </row>
    <row r="362" spans="1:18" ht="56.25" x14ac:dyDescent="0.25">
      <c r="A362" s="63">
        <v>356</v>
      </c>
      <c r="B362" s="59" t="s">
        <v>4774</v>
      </c>
      <c r="C362" s="70">
        <v>44665</v>
      </c>
      <c r="D362" s="70">
        <v>44665</v>
      </c>
      <c r="E362" s="72">
        <v>11</v>
      </c>
      <c r="F362" s="24" t="s">
        <v>22</v>
      </c>
      <c r="G362" s="73" t="s">
        <v>2090</v>
      </c>
      <c r="H362" s="73" t="s">
        <v>3511</v>
      </c>
      <c r="I362" s="73" t="s">
        <v>2090</v>
      </c>
      <c r="J362" s="66">
        <v>44665</v>
      </c>
      <c r="K362" s="66">
        <v>44665</v>
      </c>
      <c r="L362" s="67">
        <f t="shared" si="10"/>
        <v>0</v>
      </c>
      <c r="M362" s="59" t="s">
        <v>4775</v>
      </c>
      <c r="N362" s="74" t="s">
        <v>1104</v>
      </c>
      <c r="O362" s="75" t="s">
        <v>1026</v>
      </c>
      <c r="P362" s="59" t="s">
        <v>4729</v>
      </c>
      <c r="Q362" s="68" t="str">
        <f t="shared" si="11"/>
        <v>DENTRO DEL TIEMPO</v>
      </c>
      <c r="R362" s="6"/>
    </row>
    <row r="363" spans="1:18" ht="56.25" x14ac:dyDescent="0.25">
      <c r="A363" s="63">
        <v>357</v>
      </c>
      <c r="B363" s="59" t="s">
        <v>4776</v>
      </c>
      <c r="C363" s="70">
        <v>44670</v>
      </c>
      <c r="D363" s="70">
        <v>44670</v>
      </c>
      <c r="E363" s="72">
        <v>1</v>
      </c>
      <c r="F363" s="24" t="s">
        <v>22</v>
      </c>
      <c r="G363" s="73" t="s">
        <v>2090</v>
      </c>
      <c r="H363" s="73" t="s">
        <v>3511</v>
      </c>
      <c r="I363" s="73" t="s">
        <v>2090</v>
      </c>
      <c r="J363" s="66">
        <v>44671</v>
      </c>
      <c r="K363" s="66">
        <v>44671</v>
      </c>
      <c r="L363" s="67">
        <f t="shared" si="10"/>
        <v>1</v>
      </c>
      <c r="M363" s="59" t="s">
        <v>4777</v>
      </c>
      <c r="N363" s="74" t="s">
        <v>1104</v>
      </c>
      <c r="O363" s="75" t="s">
        <v>1026</v>
      </c>
      <c r="P363" s="59" t="s">
        <v>4729</v>
      </c>
      <c r="Q363" s="68" t="str">
        <f t="shared" si="11"/>
        <v>DENTRO DEL TIEMPO</v>
      </c>
      <c r="R363" s="6"/>
    </row>
    <row r="364" spans="1:18" ht="56.25" x14ac:dyDescent="0.25">
      <c r="A364" s="63">
        <v>358</v>
      </c>
      <c r="B364" s="59" t="s">
        <v>4778</v>
      </c>
      <c r="C364" s="70">
        <v>44670</v>
      </c>
      <c r="D364" s="70">
        <v>44670</v>
      </c>
      <c r="E364" s="72">
        <v>4</v>
      </c>
      <c r="F364" s="24" t="s">
        <v>22</v>
      </c>
      <c r="G364" s="73" t="s">
        <v>2090</v>
      </c>
      <c r="H364" s="73" t="s">
        <v>3511</v>
      </c>
      <c r="I364" s="73" t="s">
        <v>2090</v>
      </c>
      <c r="J364" s="66">
        <v>44671</v>
      </c>
      <c r="K364" s="66">
        <v>44671</v>
      </c>
      <c r="L364" s="67">
        <f t="shared" si="10"/>
        <v>1</v>
      </c>
      <c r="M364" s="59" t="s">
        <v>4779</v>
      </c>
      <c r="N364" s="74" t="s">
        <v>1104</v>
      </c>
      <c r="O364" s="75" t="s">
        <v>1026</v>
      </c>
      <c r="P364" s="59" t="s">
        <v>4729</v>
      </c>
      <c r="Q364" s="68" t="str">
        <f t="shared" si="11"/>
        <v>DENTRO DEL TIEMPO</v>
      </c>
      <c r="R364" s="6"/>
    </row>
    <row r="365" spans="1:18" ht="56.25" x14ac:dyDescent="0.25">
      <c r="A365" s="63">
        <v>359</v>
      </c>
      <c r="B365" s="59" t="s">
        <v>4780</v>
      </c>
      <c r="C365" s="70">
        <v>44671</v>
      </c>
      <c r="D365" s="70">
        <v>44671</v>
      </c>
      <c r="E365" s="72">
        <v>71</v>
      </c>
      <c r="F365" s="24" t="s">
        <v>22</v>
      </c>
      <c r="G365" s="73" t="s">
        <v>2090</v>
      </c>
      <c r="H365" s="73" t="s">
        <v>3511</v>
      </c>
      <c r="I365" s="73" t="s">
        <v>2090</v>
      </c>
      <c r="J365" s="66">
        <v>44680</v>
      </c>
      <c r="K365" s="66">
        <v>44680</v>
      </c>
      <c r="L365" s="67">
        <f t="shared" si="10"/>
        <v>7</v>
      </c>
      <c r="M365" s="59" t="s">
        <v>4781</v>
      </c>
      <c r="N365" s="74" t="s">
        <v>1104</v>
      </c>
      <c r="O365" s="75" t="s">
        <v>1026</v>
      </c>
      <c r="P365" s="59" t="s">
        <v>4729</v>
      </c>
      <c r="Q365" s="68" t="str">
        <f t="shared" si="11"/>
        <v>DENTRO DEL TIEMPO</v>
      </c>
      <c r="R365" s="6"/>
    </row>
    <row r="366" spans="1:18" ht="56.25" x14ac:dyDescent="0.25">
      <c r="A366" s="63">
        <v>360</v>
      </c>
      <c r="B366" s="59" t="s">
        <v>4782</v>
      </c>
      <c r="C366" s="70">
        <v>44671</v>
      </c>
      <c r="D366" s="70">
        <v>44671</v>
      </c>
      <c r="E366" s="72">
        <v>1</v>
      </c>
      <c r="F366" s="24" t="s">
        <v>22</v>
      </c>
      <c r="G366" s="73" t="s">
        <v>2090</v>
      </c>
      <c r="H366" s="73" t="s">
        <v>3511</v>
      </c>
      <c r="I366" s="73" t="s">
        <v>2090</v>
      </c>
      <c r="J366" s="66">
        <v>44676</v>
      </c>
      <c r="K366" s="66">
        <v>44676</v>
      </c>
      <c r="L366" s="67">
        <f t="shared" si="10"/>
        <v>3</v>
      </c>
      <c r="M366" s="59" t="s">
        <v>4783</v>
      </c>
      <c r="N366" s="74" t="s">
        <v>1104</v>
      </c>
      <c r="O366" s="75" t="s">
        <v>1026</v>
      </c>
      <c r="P366" s="59" t="s">
        <v>4729</v>
      </c>
      <c r="Q366" s="68" t="str">
        <f t="shared" si="11"/>
        <v>DENTRO DEL TIEMPO</v>
      </c>
      <c r="R366" s="6"/>
    </row>
    <row r="367" spans="1:18" ht="56.25" x14ac:dyDescent="0.25">
      <c r="A367" s="63">
        <v>361</v>
      </c>
      <c r="B367" s="59" t="s">
        <v>4784</v>
      </c>
      <c r="C367" s="70">
        <v>44672</v>
      </c>
      <c r="D367" s="70">
        <v>44672</v>
      </c>
      <c r="E367" s="72">
        <v>158</v>
      </c>
      <c r="F367" s="24" t="s">
        <v>22</v>
      </c>
      <c r="G367" s="73" t="s">
        <v>2090</v>
      </c>
      <c r="H367" s="73" t="s">
        <v>3511</v>
      </c>
      <c r="I367" s="73" t="s">
        <v>2090</v>
      </c>
      <c r="J367" s="66">
        <v>44679</v>
      </c>
      <c r="K367" s="66">
        <v>44679</v>
      </c>
      <c r="L367" s="67">
        <f t="shared" si="10"/>
        <v>5</v>
      </c>
      <c r="M367" s="59" t="s">
        <v>4785</v>
      </c>
      <c r="N367" s="74" t="s">
        <v>1104</v>
      </c>
      <c r="O367" s="75" t="s">
        <v>1026</v>
      </c>
      <c r="P367" s="59" t="s">
        <v>4729</v>
      </c>
      <c r="Q367" s="68" t="str">
        <f t="shared" si="11"/>
        <v>DENTRO DEL TIEMPO</v>
      </c>
      <c r="R367" s="6"/>
    </row>
    <row r="368" spans="1:18" ht="56.25" x14ac:dyDescent="0.25">
      <c r="A368" s="63">
        <v>362</v>
      </c>
      <c r="B368" s="59" t="s">
        <v>4786</v>
      </c>
      <c r="C368" s="70">
        <v>44672</v>
      </c>
      <c r="D368" s="70">
        <v>44672</v>
      </c>
      <c r="E368" s="72">
        <v>1</v>
      </c>
      <c r="F368" s="24" t="s">
        <v>22</v>
      </c>
      <c r="G368" s="73" t="s">
        <v>2090</v>
      </c>
      <c r="H368" s="73" t="s">
        <v>3511</v>
      </c>
      <c r="I368" s="73" t="s">
        <v>2090</v>
      </c>
      <c r="J368" s="66">
        <v>44676</v>
      </c>
      <c r="K368" s="66">
        <v>44676</v>
      </c>
      <c r="L368" s="67">
        <f t="shared" si="10"/>
        <v>2</v>
      </c>
      <c r="M368" s="59" t="s">
        <v>4787</v>
      </c>
      <c r="N368" s="74" t="s">
        <v>1104</v>
      </c>
      <c r="O368" s="75" t="s">
        <v>1026</v>
      </c>
      <c r="P368" s="59" t="s">
        <v>4729</v>
      </c>
      <c r="Q368" s="68" t="str">
        <f t="shared" si="11"/>
        <v>DENTRO DEL TIEMPO</v>
      </c>
      <c r="R368" s="6"/>
    </row>
    <row r="369" spans="1:18" ht="56.25" x14ac:dyDescent="0.25">
      <c r="A369" s="63">
        <v>363</v>
      </c>
      <c r="B369" s="59" t="s">
        <v>4788</v>
      </c>
      <c r="C369" s="70">
        <v>44672</v>
      </c>
      <c r="D369" s="70">
        <v>44672</v>
      </c>
      <c r="E369" s="72">
        <v>1</v>
      </c>
      <c r="F369" s="24" t="s">
        <v>22</v>
      </c>
      <c r="G369" s="73" t="s">
        <v>2090</v>
      </c>
      <c r="H369" s="73" t="s">
        <v>3511</v>
      </c>
      <c r="I369" s="73" t="s">
        <v>2090</v>
      </c>
      <c r="J369" s="66">
        <v>44676</v>
      </c>
      <c r="K369" s="66">
        <v>44676</v>
      </c>
      <c r="L369" s="67">
        <f t="shared" si="10"/>
        <v>2</v>
      </c>
      <c r="M369" s="59" t="s">
        <v>4789</v>
      </c>
      <c r="N369" s="74" t="s">
        <v>1104</v>
      </c>
      <c r="O369" s="75" t="s">
        <v>1026</v>
      </c>
      <c r="P369" s="59" t="s">
        <v>4729</v>
      </c>
      <c r="Q369" s="68" t="str">
        <f t="shared" si="11"/>
        <v>DENTRO DEL TIEMPO</v>
      </c>
      <c r="R369" s="6"/>
    </row>
    <row r="370" spans="1:18" ht="56.25" x14ac:dyDescent="0.25">
      <c r="A370" s="63">
        <v>364</v>
      </c>
      <c r="B370" s="59" t="s">
        <v>4790</v>
      </c>
      <c r="C370" s="70">
        <v>44672</v>
      </c>
      <c r="D370" s="70">
        <v>44672</v>
      </c>
      <c r="E370" s="72">
        <f>36*5</f>
        <v>180</v>
      </c>
      <c r="F370" s="24" t="s">
        <v>22</v>
      </c>
      <c r="G370" s="73" t="s">
        <v>2090</v>
      </c>
      <c r="H370" s="73" t="s">
        <v>3511</v>
      </c>
      <c r="I370" s="73" t="s">
        <v>2090</v>
      </c>
      <c r="J370" s="66">
        <v>44686</v>
      </c>
      <c r="K370" s="66">
        <v>44686</v>
      </c>
      <c r="L370" s="67">
        <f t="shared" si="10"/>
        <v>10</v>
      </c>
      <c r="M370" s="59" t="s">
        <v>4791</v>
      </c>
      <c r="N370" s="74" t="s">
        <v>1104</v>
      </c>
      <c r="O370" s="75" t="s">
        <v>1026</v>
      </c>
      <c r="P370" s="59" t="s">
        <v>4729</v>
      </c>
      <c r="Q370" s="68" t="str">
        <f t="shared" si="11"/>
        <v>DENTRO DEL TIEMPO</v>
      </c>
      <c r="R370" s="6"/>
    </row>
    <row r="371" spans="1:18" ht="56.25" x14ac:dyDescent="0.25">
      <c r="A371" s="63">
        <v>365</v>
      </c>
      <c r="B371" s="59" t="s">
        <v>4792</v>
      </c>
      <c r="C371" s="70">
        <v>44676</v>
      </c>
      <c r="D371" s="70">
        <v>44676</v>
      </c>
      <c r="E371" s="72">
        <v>1</v>
      </c>
      <c r="F371" s="24" t="s">
        <v>22</v>
      </c>
      <c r="G371" s="73" t="s">
        <v>2090</v>
      </c>
      <c r="H371" s="73" t="s">
        <v>3511</v>
      </c>
      <c r="I371" s="73" t="s">
        <v>2090</v>
      </c>
      <c r="J371" s="66">
        <v>44679</v>
      </c>
      <c r="K371" s="66">
        <v>44679</v>
      </c>
      <c r="L371" s="67">
        <f t="shared" si="10"/>
        <v>3</v>
      </c>
      <c r="M371" s="59" t="s">
        <v>4793</v>
      </c>
      <c r="N371" s="74" t="s">
        <v>1104</v>
      </c>
      <c r="O371" s="75" t="s">
        <v>1026</v>
      </c>
      <c r="P371" s="59" t="s">
        <v>4729</v>
      </c>
      <c r="Q371" s="68" t="str">
        <f t="shared" si="11"/>
        <v>DENTRO DEL TIEMPO</v>
      </c>
      <c r="R371" s="6"/>
    </row>
    <row r="372" spans="1:18" ht="56.25" x14ac:dyDescent="0.25">
      <c r="A372" s="63">
        <v>366</v>
      </c>
      <c r="B372" s="59" t="s">
        <v>4794</v>
      </c>
      <c r="C372" s="70">
        <v>44677</v>
      </c>
      <c r="D372" s="70">
        <v>44677</v>
      </c>
      <c r="E372" s="72">
        <v>1</v>
      </c>
      <c r="F372" s="24" t="s">
        <v>22</v>
      </c>
      <c r="G372" s="73" t="s">
        <v>2090</v>
      </c>
      <c r="H372" s="73" t="s">
        <v>3511</v>
      </c>
      <c r="I372" s="73" t="s">
        <v>2090</v>
      </c>
      <c r="J372" s="66">
        <v>44679</v>
      </c>
      <c r="K372" s="66">
        <v>44679</v>
      </c>
      <c r="L372" s="67">
        <f t="shared" si="10"/>
        <v>2</v>
      </c>
      <c r="M372" s="59" t="s">
        <v>4795</v>
      </c>
      <c r="N372" s="74" t="s">
        <v>1104</v>
      </c>
      <c r="O372" s="75" t="s">
        <v>1026</v>
      </c>
      <c r="P372" s="59" t="s">
        <v>4729</v>
      </c>
      <c r="Q372" s="68" t="str">
        <f t="shared" si="11"/>
        <v>DENTRO DEL TIEMPO</v>
      </c>
      <c r="R372" s="6"/>
    </row>
    <row r="373" spans="1:18" ht="56.25" x14ac:dyDescent="0.25">
      <c r="A373" s="63">
        <v>367</v>
      </c>
      <c r="B373" s="59" t="s">
        <v>4796</v>
      </c>
      <c r="C373" s="70">
        <v>44677</v>
      </c>
      <c r="D373" s="70">
        <v>44677</v>
      </c>
      <c r="E373" s="72">
        <v>1</v>
      </c>
      <c r="F373" s="24" t="s">
        <v>22</v>
      </c>
      <c r="G373" s="73" t="s">
        <v>2090</v>
      </c>
      <c r="H373" s="73" t="s">
        <v>3511</v>
      </c>
      <c r="I373" s="73" t="s">
        <v>2090</v>
      </c>
      <c r="J373" s="66">
        <v>44679</v>
      </c>
      <c r="K373" s="66">
        <v>44679</v>
      </c>
      <c r="L373" s="67">
        <f t="shared" si="10"/>
        <v>2</v>
      </c>
      <c r="M373" s="59" t="s">
        <v>4797</v>
      </c>
      <c r="N373" s="74" t="s">
        <v>1104</v>
      </c>
      <c r="O373" s="75" t="s">
        <v>1026</v>
      </c>
      <c r="P373" s="59" t="s">
        <v>4729</v>
      </c>
      <c r="Q373" s="68" t="str">
        <f t="shared" si="11"/>
        <v>DENTRO DEL TIEMPO</v>
      </c>
      <c r="R373" s="6"/>
    </row>
    <row r="374" spans="1:18" ht="56.25" x14ac:dyDescent="0.25">
      <c r="A374" s="63">
        <v>368</v>
      </c>
      <c r="B374" s="59" t="s">
        <v>4798</v>
      </c>
      <c r="C374" s="70">
        <v>44677</v>
      </c>
      <c r="D374" s="70">
        <v>44677</v>
      </c>
      <c r="E374" s="72">
        <v>2</v>
      </c>
      <c r="F374" s="24" t="s">
        <v>22</v>
      </c>
      <c r="G374" s="73" t="s">
        <v>2090</v>
      </c>
      <c r="H374" s="73" t="s">
        <v>3511</v>
      </c>
      <c r="I374" s="73" t="s">
        <v>2090</v>
      </c>
      <c r="J374" s="66">
        <v>44679</v>
      </c>
      <c r="K374" s="66">
        <v>44679</v>
      </c>
      <c r="L374" s="67">
        <f t="shared" si="10"/>
        <v>2</v>
      </c>
      <c r="M374" s="59" t="s">
        <v>4799</v>
      </c>
      <c r="N374" s="74" t="s">
        <v>1104</v>
      </c>
      <c r="O374" s="75" t="s">
        <v>1026</v>
      </c>
      <c r="P374" s="59" t="s">
        <v>4729</v>
      </c>
      <c r="Q374" s="68" t="str">
        <f t="shared" si="11"/>
        <v>DENTRO DEL TIEMPO</v>
      </c>
      <c r="R374" s="6"/>
    </row>
    <row r="375" spans="1:18" ht="56.25" x14ac:dyDescent="0.25">
      <c r="A375" s="63">
        <v>369</v>
      </c>
      <c r="B375" s="59" t="s">
        <v>4800</v>
      </c>
      <c r="C375" s="70">
        <v>44677</v>
      </c>
      <c r="D375" s="70">
        <v>44677</v>
      </c>
      <c r="E375" s="72">
        <v>3</v>
      </c>
      <c r="F375" s="24" t="s">
        <v>22</v>
      </c>
      <c r="G375" s="73" t="s">
        <v>2090</v>
      </c>
      <c r="H375" s="73" t="s">
        <v>3511</v>
      </c>
      <c r="I375" s="73" t="s">
        <v>2090</v>
      </c>
      <c r="J375" s="66">
        <v>44677</v>
      </c>
      <c r="K375" s="66">
        <v>44677</v>
      </c>
      <c r="L375" s="67">
        <f t="shared" si="10"/>
        <v>0</v>
      </c>
      <c r="M375" s="59" t="s">
        <v>4801</v>
      </c>
      <c r="N375" s="74" t="s">
        <v>1104</v>
      </c>
      <c r="O375" s="75" t="s">
        <v>1026</v>
      </c>
      <c r="P375" s="59" t="s">
        <v>4729</v>
      </c>
      <c r="Q375" s="68" t="str">
        <f t="shared" si="11"/>
        <v>DENTRO DEL TIEMPO</v>
      </c>
      <c r="R375" s="6"/>
    </row>
    <row r="376" spans="1:18" ht="56.25" x14ac:dyDescent="0.25">
      <c r="A376" s="63">
        <v>370</v>
      </c>
      <c r="B376" s="59" t="s">
        <v>4802</v>
      </c>
      <c r="C376" s="70">
        <v>44677</v>
      </c>
      <c r="D376" s="70">
        <v>44677</v>
      </c>
      <c r="E376" s="72">
        <v>5</v>
      </c>
      <c r="F376" s="24" t="s">
        <v>22</v>
      </c>
      <c r="G376" s="73" t="s">
        <v>2090</v>
      </c>
      <c r="H376" s="73" t="s">
        <v>3511</v>
      </c>
      <c r="I376" s="73" t="s">
        <v>2090</v>
      </c>
      <c r="J376" s="66">
        <v>44684</v>
      </c>
      <c r="K376" s="66">
        <v>44684</v>
      </c>
      <c r="L376" s="67">
        <f t="shared" si="10"/>
        <v>5</v>
      </c>
      <c r="M376" s="59" t="s">
        <v>4803</v>
      </c>
      <c r="N376" s="74" t="s">
        <v>1104</v>
      </c>
      <c r="O376" s="75" t="s">
        <v>1026</v>
      </c>
      <c r="P376" s="59" t="s">
        <v>4729</v>
      </c>
      <c r="Q376" s="68" t="str">
        <f t="shared" si="11"/>
        <v>DENTRO DEL TIEMPO</v>
      </c>
      <c r="R376" s="6"/>
    </row>
    <row r="377" spans="1:18" ht="56.25" x14ac:dyDescent="0.25">
      <c r="A377" s="63">
        <v>371</v>
      </c>
      <c r="B377" s="59" t="s">
        <v>4804</v>
      </c>
      <c r="C377" s="70">
        <v>44678</v>
      </c>
      <c r="D377" s="70">
        <v>44678</v>
      </c>
      <c r="E377" s="72">
        <v>13</v>
      </c>
      <c r="F377" s="24" t="s">
        <v>22</v>
      </c>
      <c r="G377" s="73" t="s">
        <v>2090</v>
      </c>
      <c r="H377" s="73" t="s">
        <v>3511</v>
      </c>
      <c r="I377" s="73" t="s">
        <v>2090</v>
      </c>
      <c r="J377" s="66">
        <v>44678</v>
      </c>
      <c r="K377" s="66">
        <v>44678</v>
      </c>
      <c r="L377" s="67">
        <f t="shared" si="10"/>
        <v>0</v>
      </c>
      <c r="M377" s="59" t="s">
        <v>4805</v>
      </c>
      <c r="N377" s="74" t="s">
        <v>1104</v>
      </c>
      <c r="O377" s="75" t="s">
        <v>1026</v>
      </c>
      <c r="P377" s="59" t="s">
        <v>4729</v>
      </c>
      <c r="Q377" s="68" t="str">
        <f t="shared" si="11"/>
        <v>DENTRO DEL TIEMPO</v>
      </c>
      <c r="R377" s="6"/>
    </row>
    <row r="378" spans="1:18" ht="56.25" x14ac:dyDescent="0.25">
      <c r="A378" s="63">
        <v>372</v>
      </c>
      <c r="B378" s="59" t="s">
        <v>4806</v>
      </c>
      <c r="C378" s="70">
        <v>44678</v>
      </c>
      <c r="D378" s="70">
        <v>44678</v>
      </c>
      <c r="E378" s="72">
        <v>9</v>
      </c>
      <c r="F378" s="24" t="s">
        <v>22</v>
      </c>
      <c r="G378" s="73" t="s">
        <v>2090</v>
      </c>
      <c r="H378" s="73" t="s">
        <v>3511</v>
      </c>
      <c r="I378" s="73" t="s">
        <v>2090</v>
      </c>
      <c r="J378" s="66">
        <v>44684</v>
      </c>
      <c r="K378" s="66">
        <v>44684</v>
      </c>
      <c r="L378" s="67">
        <f t="shared" si="10"/>
        <v>4</v>
      </c>
      <c r="M378" s="59" t="s">
        <v>4807</v>
      </c>
      <c r="N378" s="74" t="s">
        <v>1104</v>
      </c>
      <c r="O378" s="75" t="s">
        <v>1026</v>
      </c>
      <c r="P378" s="59" t="s">
        <v>4729</v>
      </c>
      <c r="Q378" s="68" t="str">
        <f t="shared" si="11"/>
        <v>DENTRO DEL TIEMPO</v>
      </c>
      <c r="R378" s="6"/>
    </row>
    <row r="379" spans="1:18" ht="56.25" x14ac:dyDescent="0.25">
      <c r="A379" s="63">
        <v>373</v>
      </c>
      <c r="B379" s="59" t="s">
        <v>4808</v>
      </c>
      <c r="C379" s="70">
        <v>44679</v>
      </c>
      <c r="D379" s="70">
        <v>44679</v>
      </c>
      <c r="E379" s="72">
        <v>5</v>
      </c>
      <c r="F379" s="24" t="s">
        <v>22</v>
      </c>
      <c r="G379" s="73" t="s">
        <v>2090</v>
      </c>
      <c r="H379" s="73" t="s">
        <v>3511</v>
      </c>
      <c r="I379" s="73" t="s">
        <v>2090</v>
      </c>
      <c r="J379" s="66">
        <v>44679</v>
      </c>
      <c r="K379" s="66">
        <v>44679</v>
      </c>
      <c r="L379" s="67">
        <f t="shared" si="10"/>
        <v>0</v>
      </c>
      <c r="M379" s="59" t="s">
        <v>4809</v>
      </c>
      <c r="N379" s="74" t="s">
        <v>1104</v>
      </c>
      <c r="O379" s="75" t="s">
        <v>1026</v>
      </c>
      <c r="P379" s="59" t="s">
        <v>4729</v>
      </c>
      <c r="Q379" s="68" t="str">
        <f t="shared" si="11"/>
        <v>DENTRO DEL TIEMPO</v>
      </c>
      <c r="R379" s="6"/>
    </row>
    <row r="380" spans="1:18" ht="56.25" x14ac:dyDescent="0.25">
      <c r="A380" s="63">
        <v>374</v>
      </c>
      <c r="B380" s="59" t="s">
        <v>4810</v>
      </c>
      <c r="C380" s="70">
        <v>44679</v>
      </c>
      <c r="D380" s="70">
        <v>44679</v>
      </c>
      <c r="E380" s="72">
        <v>3</v>
      </c>
      <c r="F380" s="24" t="s">
        <v>22</v>
      </c>
      <c r="G380" s="73" t="s">
        <v>2090</v>
      </c>
      <c r="H380" s="73" t="s">
        <v>3511</v>
      </c>
      <c r="I380" s="73" t="s">
        <v>2090</v>
      </c>
      <c r="J380" s="66">
        <v>44686</v>
      </c>
      <c r="K380" s="66">
        <v>44686</v>
      </c>
      <c r="L380" s="67">
        <f t="shared" si="10"/>
        <v>5</v>
      </c>
      <c r="M380" s="59" t="s">
        <v>4811</v>
      </c>
      <c r="N380" s="74" t="s">
        <v>1104</v>
      </c>
      <c r="O380" s="75" t="s">
        <v>1026</v>
      </c>
      <c r="P380" s="59" t="s">
        <v>4729</v>
      </c>
      <c r="Q380" s="68" t="str">
        <f t="shared" si="11"/>
        <v>DENTRO DEL TIEMPO</v>
      </c>
      <c r="R380" s="6"/>
    </row>
    <row r="381" spans="1:18" ht="56.25" x14ac:dyDescent="0.25">
      <c r="A381" s="63">
        <v>375</v>
      </c>
      <c r="B381" s="59" t="s">
        <v>4812</v>
      </c>
      <c r="C381" s="70">
        <v>44679</v>
      </c>
      <c r="D381" s="70">
        <v>44679</v>
      </c>
      <c r="E381" s="78">
        <v>6</v>
      </c>
      <c r="F381" s="24" t="s">
        <v>22</v>
      </c>
      <c r="G381" s="73" t="s">
        <v>2090</v>
      </c>
      <c r="H381" s="73" t="s">
        <v>3511</v>
      </c>
      <c r="I381" s="73" t="s">
        <v>2090</v>
      </c>
      <c r="J381" s="66">
        <v>44687</v>
      </c>
      <c r="K381" s="66">
        <v>44687</v>
      </c>
      <c r="L381" s="67">
        <f t="shared" si="10"/>
        <v>6</v>
      </c>
      <c r="M381" s="59" t="s">
        <v>4813</v>
      </c>
      <c r="N381" s="74" t="s">
        <v>1104</v>
      </c>
      <c r="O381" s="75" t="s">
        <v>1026</v>
      </c>
      <c r="P381" s="59" t="s">
        <v>4729</v>
      </c>
      <c r="Q381" s="68" t="str">
        <f t="shared" si="11"/>
        <v>DENTRO DEL TIEMPO</v>
      </c>
      <c r="R381" s="6"/>
    </row>
    <row r="382" spans="1:18" ht="56.25" x14ac:dyDescent="0.25">
      <c r="A382" s="63">
        <v>376</v>
      </c>
      <c r="B382" s="59" t="s">
        <v>4814</v>
      </c>
      <c r="C382" s="70">
        <v>44679</v>
      </c>
      <c r="D382" s="70">
        <v>44680</v>
      </c>
      <c r="E382" s="78">
        <v>16</v>
      </c>
      <c r="F382" s="24" t="s">
        <v>22</v>
      </c>
      <c r="G382" s="73" t="s">
        <v>2090</v>
      </c>
      <c r="H382" s="73" t="s">
        <v>3511</v>
      </c>
      <c r="I382" s="73" t="s">
        <v>2090</v>
      </c>
      <c r="J382" s="66">
        <v>44686</v>
      </c>
      <c r="K382" s="66">
        <v>44686</v>
      </c>
      <c r="L382" s="67">
        <f t="shared" si="10"/>
        <v>4</v>
      </c>
      <c r="M382" s="59" t="s">
        <v>4815</v>
      </c>
      <c r="N382" s="74" t="s">
        <v>1104</v>
      </c>
      <c r="O382" s="75" t="s">
        <v>1026</v>
      </c>
      <c r="P382" s="59" t="s">
        <v>4729</v>
      </c>
      <c r="Q382" s="68" t="str">
        <f t="shared" si="11"/>
        <v>DENTRO DEL TIEMPO</v>
      </c>
      <c r="R382" s="6"/>
    </row>
    <row r="383" spans="1:18" ht="56.25" x14ac:dyDescent="0.25">
      <c r="A383" s="63">
        <v>377</v>
      </c>
      <c r="B383" s="59" t="s">
        <v>4816</v>
      </c>
      <c r="C383" s="70">
        <v>44655</v>
      </c>
      <c r="D383" s="70">
        <v>44656</v>
      </c>
      <c r="E383" s="78">
        <v>1</v>
      </c>
      <c r="F383" s="24" t="s">
        <v>22</v>
      </c>
      <c r="G383" s="73" t="s">
        <v>1238</v>
      </c>
      <c r="H383" s="73" t="s">
        <v>2248</v>
      </c>
      <c r="I383" s="73" t="s">
        <v>1240</v>
      </c>
      <c r="J383" s="66">
        <v>44669</v>
      </c>
      <c r="K383" s="66">
        <v>44669</v>
      </c>
      <c r="L383" s="67">
        <f>+NETWORKDAYS(D383,K383)-1</f>
        <v>9</v>
      </c>
      <c r="M383" s="59" t="s">
        <v>4817</v>
      </c>
      <c r="N383" s="74" t="s">
        <v>1242</v>
      </c>
      <c r="O383" s="75" t="s">
        <v>1026</v>
      </c>
      <c r="P383" s="59" t="s">
        <v>4729</v>
      </c>
      <c r="Q383" s="68" t="str">
        <f t="shared" si="11"/>
        <v>DENTRO DEL TIEMPO</v>
      </c>
      <c r="R383" s="6"/>
    </row>
    <row r="384" spans="1:18" ht="56.25" x14ac:dyDescent="0.25">
      <c r="A384" s="63">
        <v>378</v>
      </c>
      <c r="B384" s="59" t="s">
        <v>4818</v>
      </c>
      <c r="C384" s="70">
        <v>44663</v>
      </c>
      <c r="D384" s="70">
        <v>44669</v>
      </c>
      <c r="E384" s="78">
        <v>1</v>
      </c>
      <c r="F384" s="24" t="s">
        <v>22</v>
      </c>
      <c r="G384" s="73" t="s">
        <v>1246</v>
      </c>
      <c r="H384" s="73" t="s">
        <v>2248</v>
      </c>
      <c r="I384" s="73" t="s">
        <v>1240</v>
      </c>
      <c r="J384" s="66">
        <v>44669</v>
      </c>
      <c r="K384" s="66">
        <v>44669</v>
      </c>
      <c r="L384" s="67">
        <f>+NETWORKDAYS(D384,K384)-1</f>
        <v>0</v>
      </c>
      <c r="M384" s="59" t="s">
        <v>4819</v>
      </c>
      <c r="N384" s="74" t="s">
        <v>1242</v>
      </c>
      <c r="O384" s="75" t="s">
        <v>1026</v>
      </c>
      <c r="P384" s="59" t="s">
        <v>4729</v>
      </c>
      <c r="Q384" s="68" t="str">
        <f t="shared" si="11"/>
        <v>DENTRO DEL TIEMPO</v>
      </c>
      <c r="R384" s="6"/>
    </row>
    <row r="385" spans="1:18" ht="56.25" x14ac:dyDescent="0.25">
      <c r="A385" s="63">
        <v>379</v>
      </c>
      <c r="B385" s="59" t="s">
        <v>4820</v>
      </c>
      <c r="C385" s="70">
        <v>44652</v>
      </c>
      <c r="D385" s="70">
        <v>44652</v>
      </c>
      <c r="E385" s="78">
        <v>2</v>
      </c>
      <c r="F385" s="24" t="s">
        <v>22</v>
      </c>
      <c r="G385" s="73" t="s">
        <v>1072</v>
      </c>
      <c r="H385" s="73" t="s">
        <v>4821</v>
      </c>
      <c r="I385" s="73" t="s">
        <v>1072</v>
      </c>
      <c r="J385" s="66">
        <v>44652</v>
      </c>
      <c r="K385" s="66">
        <v>44652</v>
      </c>
      <c r="L385" s="67">
        <v>0</v>
      </c>
      <c r="M385" s="59" t="s">
        <v>4822</v>
      </c>
      <c r="N385" s="74" t="s">
        <v>1025</v>
      </c>
      <c r="O385" s="75" t="s">
        <v>1026</v>
      </c>
      <c r="P385" s="59" t="s">
        <v>4729</v>
      </c>
      <c r="Q385" s="68" t="str">
        <f t="shared" si="11"/>
        <v>DENTRO DEL TIEMPO</v>
      </c>
      <c r="R385" s="6"/>
    </row>
    <row r="386" spans="1:18" ht="56.25" x14ac:dyDescent="0.25">
      <c r="A386" s="63">
        <v>380</v>
      </c>
      <c r="B386" s="59" t="s">
        <v>4823</v>
      </c>
      <c r="C386" s="70">
        <v>44655</v>
      </c>
      <c r="D386" s="70">
        <v>44655</v>
      </c>
      <c r="E386" s="78">
        <v>13</v>
      </c>
      <c r="F386" s="24" t="s">
        <v>22</v>
      </c>
      <c r="G386" s="73" t="s">
        <v>1022</v>
      </c>
      <c r="H386" s="73" t="s">
        <v>4821</v>
      </c>
      <c r="I386" s="73" t="s">
        <v>1022</v>
      </c>
      <c r="J386" s="66">
        <v>44655</v>
      </c>
      <c r="K386" s="66">
        <v>44655</v>
      </c>
      <c r="L386" s="67">
        <v>0</v>
      </c>
      <c r="M386" s="59" t="s">
        <v>4824</v>
      </c>
      <c r="N386" s="74" t="s">
        <v>1025</v>
      </c>
      <c r="O386" s="75" t="s">
        <v>1026</v>
      </c>
      <c r="P386" s="59" t="s">
        <v>4729</v>
      </c>
      <c r="Q386" s="68" t="str">
        <f t="shared" si="11"/>
        <v>DENTRO DEL TIEMPO</v>
      </c>
      <c r="R386" s="6"/>
    </row>
    <row r="387" spans="1:18" ht="56.25" x14ac:dyDescent="0.25">
      <c r="A387" s="63">
        <v>381</v>
      </c>
      <c r="B387" s="59" t="s">
        <v>3499</v>
      </c>
      <c r="C387" s="70">
        <v>44656</v>
      </c>
      <c r="D387" s="70">
        <v>44655</v>
      </c>
      <c r="E387" s="78">
        <v>2</v>
      </c>
      <c r="F387" s="24" t="s">
        <v>22</v>
      </c>
      <c r="G387" s="73" t="s">
        <v>1072</v>
      </c>
      <c r="H387" s="73" t="s">
        <v>4821</v>
      </c>
      <c r="I387" s="73" t="s">
        <v>1072</v>
      </c>
      <c r="J387" s="66">
        <v>44656</v>
      </c>
      <c r="K387" s="66">
        <v>44656</v>
      </c>
      <c r="L387" s="67">
        <v>0</v>
      </c>
      <c r="M387" s="59" t="s">
        <v>4825</v>
      </c>
      <c r="N387" s="74" t="s">
        <v>1025</v>
      </c>
      <c r="O387" s="75" t="s">
        <v>1026</v>
      </c>
      <c r="P387" s="59" t="s">
        <v>4729</v>
      </c>
      <c r="Q387" s="68" t="str">
        <f t="shared" si="11"/>
        <v>DENTRO DEL TIEMPO</v>
      </c>
      <c r="R387" s="6"/>
    </row>
    <row r="388" spans="1:18" ht="56.25" x14ac:dyDescent="0.25">
      <c r="A388" s="63">
        <v>382</v>
      </c>
      <c r="B388" s="59" t="s">
        <v>4826</v>
      </c>
      <c r="C388" s="70">
        <v>44657</v>
      </c>
      <c r="D388" s="70">
        <v>44657</v>
      </c>
      <c r="E388" s="78">
        <v>2</v>
      </c>
      <c r="F388" s="24" t="s">
        <v>22</v>
      </c>
      <c r="G388" s="73" t="s">
        <v>1072</v>
      </c>
      <c r="H388" s="73" t="s">
        <v>4821</v>
      </c>
      <c r="I388" s="73" t="s">
        <v>1072</v>
      </c>
      <c r="J388" s="66">
        <v>44657</v>
      </c>
      <c r="K388" s="66">
        <v>44657</v>
      </c>
      <c r="L388" s="67">
        <v>0</v>
      </c>
      <c r="M388" s="59" t="s">
        <v>4827</v>
      </c>
      <c r="N388" s="74" t="s">
        <v>1025</v>
      </c>
      <c r="O388" s="75" t="s">
        <v>1026</v>
      </c>
      <c r="P388" s="59" t="s">
        <v>4729</v>
      </c>
      <c r="Q388" s="68" t="str">
        <f t="shared" si="11"/>
        <v>DENTRO DEL TIEMPO</v>
      </c>
      <c r="R388" s="6"/>
    </row>
    <row r="389" spans="1:18" ht="56.25" x14ac:dyDescent="0.25">
      <c r="A389" s="63">
        <v>383</v>
      </c>
      <c r="B389" s="59" t="s">
        <v>4828</v>
      </c>
      <c r="C389" s="70">
        <v>44658</v>
      </c>
      <c r="D389" s="70">
        <v>44658</v>
      </c>
      <c r="E389" s="78">
        <v>2</v>
      </c>
      <c r="F389" s="24" t="s">
        <v>22</v>
      </c>
      <c r="G389" s="73" t="s">
        <v>1072</v>
      </c>
      <c r="H389" s="73" t="s">
        <v>4821</v>
      </c>
      <c r="I389" s="73" t="s">
        <v>1072</v>
      </c>
      <c r="J389" s="66">
        <v>44658</v>
      </c>
      <c r="K389" s="66">
        <v>44658</v>
      </c>
      <c r="L389" s="67">
        <v>0</v>
      </c>
      <c r="M389" s="59" t="s">
        <v>4829</v>
      </c>
      <c r="N389" s="74" t="s">
        <v>1025</v>
      </c>
      <c r="O389" s="75" t="s">
        <v>1047</v>
      </c>
      <c r="P389" s="59" t="s">
        <v>4729</v>
      </c>
      <c r="Q389" s="68" t="str">
        <f t="shared" si="11"/>
        <v>DENTRO DEL TIEMPO</v>
      </c>
      <c r="R389" s="6"/>
    </row>
    <row r="390" spans="1:18" ht="56.25" x14ac:dyDescent="0.25">
      <c r="A390" s="63">
        <v>384</v>
      </c>
      <c r="B390" s="59" t="s">
        <v>4830</v>
      </c>
      <c r="C390" s="70">
        <v>44658</v>
      </c>
      <c r="D390" s="70">
        <v>44658</v>
      </c>
      <c r="E390" s="78">
        <v>2</v>
      </c>
      <c r="F390" s="24" t="s">
        <v>22</v>
      </c>
      <c r="G390" s="73" t="s">
        <v>1072</v>
      </c>
      <c r="H390" s="73" t="s">
        <v>4821</v>
      </c>
      <c r="I390" s="73" t="s">
        <v>1072</v>
      </c>
      <c r="J390" s="66">
        <v>44658</v>
      </c>
      <c r="K390" s="66">
        <v>44658</v>
      </c>
      <c r="L390" s="67">
        <v>0</v>
      </c>
      <c r="M390" s="59" t="s">
        <v>4831</v>
      </c>
      <c r="N390" s="74" t="s">
        <v>1039</v>
      </c>
      <c r="O390" s="75" t="s">
        <v>1026</v>
      </c>
      <c r="P390" s="59" t="s">
        <v>4729</v>
      </c>
      <c r="Q390" s="68" t="str">
        <f t="shared" si="11"/>
        <v>DENTRO DEL TIEMPO</v>
      </c>
      <c r="R390" s="6"/>
    </row>
    <row r="391" spans="1:18" ht="56.25" x14ac:dyDescent="0.25">
      <c r="A391" s="63">
        <v>385</v>
      </c>
      <c r="B391" s="59" t="s">
        <v>4832</v>
      </c>
      <c r="C391" s="70">
        <v>44657</v>
      </c>
      <c r="D391" s="70">
        <v>44657</v>
      </c>
      <c r="E391" s="78">
        <v>132</v>
      </c>
      <c r="F391" s="24" t="s">
        <v>22</v>
      </c>
      <c r="G391" s="73" t="s">
        <v>1072</v>
      </c>
      <c r="H391" s="73" t="s">
        <v>4821</v>
      </c>
      <c r="I391" s="73" t="s">
        <v>1072</v>
      </c>
      <c r="J391" s="66">
        <v>44658</v>
      </c>
      <c r="K391" s="66">
        <v>44658</v>
      </c>
      <c r="L391" s="67">
        <v>0</v>
      </c>
      <c r="M391" s="59" t="s">
        <v>4833</v>
      </c>
      <c r="N391" s="74" t="s">
        <v>1025</v>
      </c>
      <c r="O391" s="75" t="s">
        <v>1026</v>
      </c>
      <c r="P391" s="59" t="s">
        <v>4729</v>
      </c>
      <c r="Q391" s="68" t="str">
        <f t="shared" si="11"/>
        <v>DENTRO DEL TIEMPO</v>
      </c>
      <c r="R391" s="6"/>
    </row>
    <row r="392" spans="1:18" ht="56.25" x14ac:dyDescent="0.25">
      <c r="A392" s="63">
        <v>386</v>
      </c>
      <c r="B392" s="59" t="s">
        <v>4834</v>
      </c>
      <c r="C392" s="70">
        <v>44657</v>
      </c>
      <c r="D392" s="70">
        <v>44657</v>
      </c>
      <c r="E392" s="78">
        <v>360</v>
      </c>
      <c r="F392" s="24" t="s">
        <v>22</v>
      </c>
      <c r="G392" s="73" t="s">
        <v>1072</v>
      </c>
      <c r="H392" s="73" t="s">
        <v>4821</v>
      </c>
      <c r="I392" s="73" t="s">
        <v>1072</v>
      </c>
      <c r="J392" s="66">
        <v>44658</v>
      </c>
      <c r="K392" s="66">
        <v>44658</v>
      </c>
      <c r="L392" s="67">
        <v>0</v>
      </c>
      <c r="M392" s="59" t="s">
        <v>4835</v>
      </c>
      <c r="N392" s="74" t="s">
        <v>1025</v>
      </c>
      <c r="O392" s="75" t="s">
        <v>1026</v>
      </c>
      <c r="P392" s="59" t="s">
        <v>4729</v>
      </c>
      <c r="Q392" s="68" t="str">
        <f t="shared" ref="Q392:Q419" si="12">IF(L392&gt;15,"FUERA DE TIEMPO","DENTRO DEL TIEMPO")</f>
        <v>DENTRO DEL TIEMPO</v>
      </c>
      <c r="R392" s="6"/>
    </row>
    <row r="393" spans="1:18" ht="56.25" x14ac:dyDescent="0.25">
      <c r="A393" s="63">
        <v>387</v>
      </c>
      <c r="B393" s="59" t="s">
        <v>4836</v>
      </c>
      <c r="C393" s="70">
        <v>44662</v>
      </c>
      <c r="D393" s="70">
        <v>44662</v>
      </c>
      <c r="E393" s="78">
        <v>2</v>
      </c>
      <c r="F393" s="24" t="s">
        <v>22</v>
      </c>
      <c r="G393" s="73" t="s">
        <v>1072</v>
      </c>
      <c r="H393" s="73" t="s">
        <v>4821</v>
      </c>
      <c r="I393" s="73" t="s">
        <v>1072</v>
      </c>
      <c r="J393" s="66">
        <v>44662</v>
      </c>
      <c r="K393" s="66">
        <v>44662</v>
      </c>
      <c r="L393" s="67">
        <v>0</v>
      </c>
      <c r="M393" s="59" t="s">
        <v>4837</v>
      </c>
      <c r="N393" s="74" t="s">
        <v>1025</v>
      </c>
      <c r="O393" s="75" t="s">
        <v>1026</v>
      </c>
      <c r="P393" s="59" t="s">
        <v>4729</v>
      </c>
      <c r="Q393" s="68" t="str">
        <f t="shared" si="12"/>
        <v>DENTRO DEL TIEMPO</v>
      </c>
      <c r="R393" s="6"/>
    </row>
    <row r="394" spans="1:18" ht="56.25" x14ac:dyDescent="0.25">
      <c r="A394" s="63">
        <v>388</v>
      </c>
      <c r="B394" s="59" t="s">
        <v>4838</v>
      </c>
      <c r="C394" s="70">
        <v>44662</v>
      </c>
      <c r="D394" s="70">
        <v>44662</v>
      </c>
      <c r="E394" s="78">
        <v>2</v>
      </c>
      <c r="F394" s="24" t="s">
        <v>22</v>
      </c>
      <c r="G394" s="73" t="s">
        <v>1072</v>
      </c>
      <c r="H394" s="73" t="s">
        <v>4821</v>
      </c>
      <c r="I394" s="73" t="s">
        <v>1072</v>
      </c>
      <c r="J394" s="66">
        <v>44662</v>
      </c>
      <c r="K394" s="66">
        <v>44662</v>
      </c>
      <c r="L394" s="67">
        <v>0</v>
      </c>
      <c r="M394" s="59" t="s">
        <v>4839</v>
      </c>
      <c r="N394" s="74" t="s">
        <v>1025</v>
      </c>
      <c r="O394" s="75" t="s">
        <v>1026</v>
      </c>
      <c r="P394" s="59" t="s">
        <v>4729</v>
      </c>
      <c r="Q394" s="68" t="str">
        <f t="shared" si="12"/>
        <v>DENTRO DEL TIEMPO</v>
      </c>
      <c r="R394" s="6"/>
    </row>
    <row r="395" spans="1:18" ht="56.25" x14ac:dyDescent="0.25">
      <c r="A395" s="63">
        <v>389</v>
      </c>
      <c r="B395" s="59" t="s">
        <v>4840</v>
      </c>
      <c r="C395" s="70">
        <v>44664</v>
      </c>
      <c r="D395" s="70">
        <v>44664</v>
      </c>
      <c r="E395" s="78">
        <v>2</v>
      </c>
      <c r="F395" s="24" t="s">
        <v>22</v>
      </c>
      <c r="G395" s="73" t="s">
        <v>1072</v>
      </c>
      <c r="H395" s="73" t="s">
        <v>4821</v>
      </c>
      <c r="I395" s="73" t="s">
        <v>1072</v>
      </c>
      <c r="J395" s="66">
        <v>44664</v>
      </c>
      <c r="K395" s="66">
        <v>44664</v>
      </c>
      <c r="L395" s="67">
        <v>0</v>
      </c>
      <c r="M395" s="59" t="s">
        <v>4841</v>
      </c>
      <c r="N395" s="74" t="s">
        <v>1025</v>
      </c>
      <c r="O395" s="75" t="s">
        <v>1026</v>
      </c>
      <c r="P395" s="59" t="s">
        <v>4729</v>
      </c>
      <c r="Q395" s="68" t="str">
        <f t="shared" si="12"/>
        <v>DENTRO DEL TIEMPO</v>
      </c>
      <c r="R395" s="6"/>
    </row>
    <row r="396" spans="1:18" ht="56.25" x14ac:dyDescent="0.25">
      <c r="A396" s="63">
        <v>390</v>
      </c>
      <c r="B396" s="59" t="s">
        <v>4842</v>
      </c>
      <c r="C396" s="70">
        <v>44663</v>
      </c>
      <c r="D396" s="70">
        <v>44663</v>
      </c>
      <c r="E396" s="78">
        <v>2</v>
      </c>
      <c r="F396" s="24" t="s">
        <v>22</v>
      </c>
      <c r="G396" s="73" t="s">
        <v>1072</v>
      </c>
      <c r="H396" s="73" t="s">
        <v>4821</v>
      </c>
      <c r="I396" s="73" t="s">
        <v>1072</v>
      </c>
      <c r="J396" s="66">
        <v>44664</v>
      </c>
      <c r="K396" s="66">
        <v>44605</v>
      </c>
      <c r="L396" s="67">
        <v>0</v>
      </c>
      <c r="M396" s="59" t="s">
        <v>4843</v>
      </c>
      <c r="N396" s="74" t="s">
        <v>1025</v>
      </c>
      <c r="O396" s="75" t="s">
        <v>1026</v>
      </c>
      <c r="P396" s="59" t="s">
        <v>4729</v>
      </c>
      <c r="Q396" s="68" t="str">
        <f t="shared" si="12"/>
        <v>DENTRO DEL TIEMPO</v>
      </c>
      <c r="R396" s="6"/>
    </row>
    <row r="397" spans="1:18" ht="56.25" x14ac:dyDescent="0.25">
      <c r="A397" s="63">
        <v>391</v>
      </c>
      <c r="B397" s="59" t="s">
        <v>4844</v>
      </c>
      <c r="C397" s="70">
        <v>44664</v>
      </c>
      <c r="D397" s="70">
        <v>44664</v>
      </c>
      <c r="E397" s="78">
        <v>2</v>
      </c>
      <c r="F397" s="24" t="s">
        <v>22</v>
      </c>
      <c r="G397" s="73" t="s">
        <v>1072</v>
      </c>
      <c r="H397" s="73" t="s">
        <v>4821</v>
      </c>
      <c r="I397" s="73" t="s">
        <v>1072</v>
      </c>
      <c r="J397" s="66">
        <v>44664</v>
      </c>
      <c r="K397" s="66">
        <v>44664</v>
      </c>
      <c r="L397" s="67">
        <v>0</v>
      </c>
      <c r="M397" s="59" t="s">
        <v>4845</v>
      </c>
      <c r="N397" s="74" t="s">
        <v>1025</v>
      </c>
      <c r="O397" s="75" t="s">
        <v>1026</v>
      </c>
      <c r="P397" s="59" t="s">
        <v>4729</v>
      </c>
      <c r="Q397" s="68" t="str">
        <f t="shared" si="12"/>
        <v>DENTRO DEL TIEMPO</v>
      </c>
      <c r="R397" s="6"/>
    </row>
    <row r="398" spans="1:18" ht="56.25" x14ac:dyDescent="0.25">
      <c r="A398" s="63">
        <v>392</v>
      </c>
      <c r="B398" s="59" t="s">
        <v>4846</v>
      </c>
      <c r="C398" s="70">
        <v>44664</v>
      </c>
      <c r="D398" s="70">
        <v>44664</v>
      </c>
      <c r="E398" s="78">
        <v>2</v>
      </c>
      <c r="F398" s="24" t="s">
        <v>22</v>
      </c>
      <c r="G398" s="73" t="s">
        <v>1072</v>
      </c>
      <c r="H398" s="73" t="s">
        <v>4821</v>
      </c>
      <c r="I398" s="73" t="s">
        <v>1072</v>
      </c>
      <c r="J398" s="66">
        <v>44664</v>
      </c>
      <c r="K398" s="66">
        <v>44664</v>
      </c>
      <c r="L398" s="67">
        <v>0</v>
      </c>
      <c r="M398" s="59" t="s">
        <v>4847</v>
      </c>
      <c r="N398" s="74" t="s">
        <v>1025</v>
      </c>
      <c r="O398" s="75" t="s">
        <v>1026</v>
      </c>
      <c r="P398" s="59" t="s">
        <v>4729</v>
      </c>
      <c r="Q398" s="68" t="str">
        <f t="shared" si="12"/>
        <v>DENTRO DEL TIEMPO</v>
      </c>
      <c r="R398" s="6"/>
    </row>
    <row r="399" spans="1:18" ht="56.25" x14ac:dyDescent="0.25">
      <c r="A399" s="63">
        <v>393</v>
      </c>
      <c r="B399" s="59" t="s">
        <v>4848</v>
      </c>
      <c r="C399" s="70">
        <v>44669</v>
      </c>
      <c r="D399" s="70">
        <v>44669</v>
      </c>
      <c r="E399" s="78">
        <v>2</v>
      </c>
      <c r="F399" s="24" t="s">
        <v>22</v>
      </c>
      <c r="G399" s="73" t="s">
        <v>1072</v>
      </c>
      <c r="H399" s="73" t="s">
        <v>4821</v>
      </c>
      <c r="I399" s="73" t="s">
        <v>1072</v>
      </c>
      <c r="J399" s="66" t="s">
        <v>4849</v>
      </c>
      <c r="K399" s="66">
        <v>44669</v>
      </c>
      <c r="L399" s="67">
        <v>0</v>
      </c>
      <c r="M399" s="59" t="s">
        <v>4850</v>
      </c>
      <c r="N399" s="74" t="s">
        <v>1025</v>
      </c>
      <c r="O399" s="75" t="s">
        <v>1026</v>
      </c>
      <c r="P399" s="59" t="s">
        <v>4729</v>
      </c>
      <c r="Q399" s="68" t="str">
        <f t="shared" si="12"/>
        <v>DENTRO DEL TIEMPO</v>
      </c>
      <c r="R399" s="6"/>
    </row>
    <row r="400" spans="1:18" ht="56.25" x14ac:dyDescent="0.25">
      <c r="A400" s="63">
        <v>394</v>
      </c>
      <c r="B400" s="59" t="s">
        <v>4851</v>
      </c>
      <c r="C400" s="70">
        <v>44669</v>
      </c>
      <c r="D400" s="70">
        <v>44669</v>
      </c>
      <c r="E400" s="78">
        <v>8</v>
      </c>
      <c r="F400" s="24" t="s">
        <v>22</v>
      </c>
      <c r="G400" s="73" t="s">
        <v>1022</v>
      </c>
      <c r="H400" s="73" t="s">
        <v>4821</v>
      </c>
      <c r="I400" s="73" t="s">
        <v>1022</v>
      </c>
      <c r="J400" s="66">
        <v>44669</v>
      </c>
      <c r="K400" s="66">
        <v>44669</v>
      </c>
      <c r="L400" s="67">
        <v>0</v>
      </c>
      <c r="M400" s="59" t="s">
        <v>4852</v>
      </c>
      <c r="N400" s="74" t="s">
        <v>1025</v>
      </c>
      <c r="O400" s="75" t="s">
        <v>1026</v>
      </c>
      <c r="P400" s="59" t="s">
        <v>4729</v>
      </c>
      <c r="Q400" s="68" t="str">
        <f t="shared" si="12"/>
        <v>DENTRO DEL TIEMPO</v>
      </c>
      <c r="R400" s="6"/>
    </row>
    <row r="401" spans="1:18" ht="56.25" x14ac:dyDescent="0.25">
      <c r="A401" s="63">
        <v>395</v>
      </c>
      <c r="B401" s="59" t="s">
        <v>4853</v>
      </c>
      <c r="C401" s="70">
        <v>44669</v>
      </c>
      <c r="D401" s="70">
        <v>44669</v>
      </c>
      <c r="E401" s="78">
        <v>2</v>
      </c>
      <c r="F401" s="24" t="s">
        <v>22</v>
      </c>
      <c r="G401" s="73" t="s">
        <v>1072</v>
      </c>
      <c r="H401" s="73" t="s">
        <v>4821</v>
      </c>
      <c r="I401" s="73" t="s">
        <v>1072</v>
      </c>
      <c r="J401" s="66" t="s">
        <v>4854</v>
      </c>
      <c r="K401" s="66">
        <v>44669</v>
      </c>
      <c r="L401" s="67">
        <v>0</v>
      </c>
      <c r="M401" s="59" t="s">
        <v>4855</v>
      </c>
      <c r="N401" s="74" t="s">
        <v>1025</v>
      </c>
      <c r="O401" s="75" t="s">
        <v>1026</v>
      </c>
      <c r="P401" s="59" t="s">
        <v>4729</v>
      </c>
      <c r="Q401" s="68" t="str">
        <f t="shared" si="12"/>
        <v>DENTRO DEL TIEMPO</v>
      </c>
      <c r="R401" s="6"/>
    </row>
    <row r="402" spans="1:18" ht="56.25" x14ac:dyDescent="0.25">
      <c r="A402" s="63">
        <v>396</v>
      </c>
      <c r="B402" s="59" t="s">
        <v>4856</v>
      </c>
      <c r="C402" s="70">
        <v>44671</v>
      </c>
      <c r="D402" s="70">
        <v>44671</v>
      </c>
      <c r="E402" s="78">
        <v>2</v>
      </c>
      <c r="F402" s="24" t="s">
        <v>22</v>
      </c>
      <c r="G402" s="73" t="s">
        <v>1072</v>
      </c>
      <c r="H402" s="73" t="s">
        <v>4821</v>
      </c>
      <c r="I402" s="73" t="s">
        <v>1072</v>
      </c>
      <c r="J402" s="66">
        <v>44671</v>
      </c>
      <c r="K402" s="66">
        <v>44671</v>
      </c>
      <c r="L402" s="67">
        <v>0</v>
      </c>
      <c r="M402" s="59" t="s">
        <v>4857</v>
      </c>
      <c r="N402" s="74" t="s">
        <v>1025</v>
      </c>
      <c r="O402" s="75" t="s">
        <v>1026</v>
      </c>
      <c r="P402" s="59" t="s">
        <v>4729</v>
      </c>
      <c r="Q402" s="68" t="str">
        <f t="shared" si="12"/>
        <v>DENTRO DEL TIEMPO</v>
      </c>
      <c r="R402" s="6"/>
    </row>
    <row r="403" spans="1:18" ht="56.25" x14ac:dyDescent="0.25">
      <c r="A403" s="63">
        <v>397</v>
      </c>
      <c r="B403" s="59" t="s">
        <v>4858</v>
      </c>
      <c r="C403" s="70">
        <v>44671</v>
      </c>
      <c r="D403" s="70">
        <v>44671</v>
      </c>
      <c r="E403" s="78">
        <v>2</v>
      </c>
      <c r="F403" s="24" t="s">
        <v>22</v>
      </c>
      <c r="G403" s="73" t="s">
        <v>1072</v>
      </c>
      <c r="H403" s="73" t="s">
        <v>4821</v>
      </c>
      <c r="I403" s="73" t="s">
        <v>1072</v>
      </c>
      <c r="J403" s="66">
        <v>44671</v>
      </c>
      <c r="K403" s="66">
        <v>44671</v>
      </c>
      <c r="L403" s="67">
        <v>0</v>
      </c>
      <c r="M403" s="59" t="s">
        <v>4859</v>
      </c>
      <c r="N403" s="74" t="s">
        <v>1025</v>
      </c>
      <c r="O403" s="75" t="s">
        <v>1026</v>
      </c>
      <c r="P403" s="59" t="s">
        <v>4729</v>
      </c>
      <c r="Q403" s="68" t="str">
        <f t="shared" si="12"/>
        <v>DENTRO DEL TIEMPO</v>
      </c>
      <c r="R403" s="6"/>
    </row>
    <row r="404" spans="1:18" ht="56.25" x14ac:dyDescent="0.25">
      <c r="A404" s="63">
        <v>398</v>
      </c>
      <c r="B404" s="59" t="s">
        <v>4860</v>
      </c>
      <c r="C404" s="70">
        <v>44664</v>
      </c>
      <c r="D404" s="70">
        <v>44671</v>
      </c>
      <c r="E404" s="78">
        <v>2</v>
      </c>
      <c r="F404" s="24" t="s">
        <v>22</v>
      </c>
      <c r="G404" s="73" t="s">
        <v>1022</v>
      </c>
      <c r="H404" s="73" t="s">
        <v>4821</v>
      </c>
      <c r="I404" s="73" t="s">
        <v>1022</v>
      </c>
      <c r="J404" s="66" t="s">
        <v>4861</v>
      </c>
      <c r="K404" s="66">
        <v>44671</v>
      </c>
      <c r="L404" s="67">
        <v>0</v>
      </c>
      <c r="M404" s="59" t="s">
        <v>4862</v>
      </c>
      <c r="N404" s="74" t="s">
        <v>1025</v>
      </c>
      <c r="O404" s="75" t="s">
        <v>1026</v>
      </c>
      <c r="P404" s="59" t="s">
        <v>4729</v>
      </c>
      <c r="Q404" s="68" t="str">
        <f t="shared" si="12"/>
        <v>DENTRO DEL TIEMPO</v>
      </c>
      <c r="R404" s="6"/>
    </row>
    <row r="405" spans="1:18" ht="56.25" x14ac:dyDescent="0.25">
      <c r="A405" s="63">
        <v>399</v>
      </c>
      <c r="B405" s="59" t="s">
        <v>4863</v>
      </c>
      <c r="C405" s="70">
        <v>44673</v>
      </c>
      <c r="D405" s="70">
        <v>44673</v>
      </c>
      <c r="E405" s="78">
        <v>2</v>
      </c>
      <c r="F405" s="24" t="s">
        <v>22</v>
      </c>
      <c r="G405" s="73" t="s">
        <v>1072</v>
      </c>
      <c r="H405" s="73" t="s">
        <v>4821</v>
      </c>
      <c r="I405" s="73" t="s">
        <v>1072</v>
      </c>
      <c r="J405" s="66">
        <v>44673</v>
      </c>
      <c r="K405" s="66">
        <v>44673</v>
      </c>
      <c r="L405" s="67">
        <v>0</v>
      </c>
      <c r="M405" s="59" t="s">
        <v>4864</v>
      </c>
      <c r="N405" s="74" t="s">
        <v>1025</v>
      </c>
      <c r="O405" s="75" t="s">
        <v>1026</v>
      </c>
      <c r="P405" s="59" t="s">
        <v>4729</v>
      </c>
      <c r="Q405" s="68" t="str">
        <f t="shared" si="12"/>
        <v>DENTRO DEL TIEMPO</v>
      </c>
      <c r="R405" s="6"/>
    </row>
    <row r="406" spans="1:18" ht="56.25" x14ac:dyDescent="0.25">
      <c r="A406" s="63">
        <v>400</v>
      </c>
      <c r="B406" s="59" t="s">
        <v>4865</v>
      </c>
      <c r="C406" s="70">
        <v>44673</v>
      </c>
      <c r="D406" s="70">
        <v>44673</v>
      </c>
      <c r="E406" s="78">
        <v>2</v>
      </c>
      <c r="F406" s="24" t="s">
        <v>22</v>
      </c>
      <c r="G406" s="73" t="s">
        <v>1072</v>
      </c>
      <c r="H406" s="73" t="s">
        <v>4821</v>
      </c>
      <c r="I406" s="73" t="s">
        <v>1072</v>
      </c>
      <c r="J406" s="66">
        <v>44673</v>
      </c>
      <c r="K406" s="66">
        <v>44673</v>
      </c>
      <c r="L406" s="67">
        <v>0</v>
      </c>
      <c r="M406" s="59" t="s">
        <v>4866</v>
      </c>
      <c r="N406" s="74" t="s">
        <v>1025</v>
      </c>
      <c r="O406" s="75" t="s">
        <v>1026</v>
      </c>
      <c r="P406" s="59" t="s">
        <v>4729</v>
      </c>
      <c r="Q406" s="68" t="str">
        <f t="shared" si="12"/>
        <v>DENTRO DEL TIEMPO</v>
      </c>
      <c r="R406" s="6"/>
    </row>
    <row r="407" spans="1:18" ht="56.25" x14ac:dyDescent="0.25">
      <c r="A407" s="63">
        <v>401</v>
      </c>
      <c r="B407" s="59" t="s">
        <v>4867</v>
      </c>
      <c r="C407" s="70">
        <v>44677</v>
      </c>
      <c r="D407" s="70">
        <v>44677</v>
      </c>
      <c r="E407" s="78">
        <v>2</v>
      </c>
      <c r="F407" s="24" t="s">
        <v>22</v>
      </c>
      <c r="G407" s="73" t="s">
        <v>1072</v>
      </c>
      <c r="H407" s="73" t="s">
        <v>4821</v>
      </c>
      <c r="I407" s="73" t="s">
        <v>1072</v>
      </c>
      <c r="J407" s="66">
        <v>44677</v>
      </c>
      <c r="K407" s="66">
        <v>44677</v>
      </c>
      <c r="L407" s="67">
        <v>0</v>
      </c>
      <c r="M407" s="59" t="s">
        <v>4868</v>
      </c>
      <c r="N407" s="74" t="s">
        <v>1025</v>
      </c>
      <c r="O407" s="75" t="s">
        <v>1026</v>
      </c>
      <c r="P407" s="59" t="s">
        <v>4729</v>
      </c>
      <c r="Q407" s="68" t="str">
        <f t="shared" si="12"/>
        <v>DENTRO DEL TIEMPO</v>
      </c>
      <c r="R407" s="6"/>
    </row>
    <row r="408" spans="1:18" ht="56.25" x14ac:dyDescent="0.25">
      <c r="A408" s="63">
        <v>402</v>
      </c>
      <c r="B408" s="59" t="s">
        <v>4869</v>
      </c>
      <c r="C408" s="70">
        <v>44677</v>
      </c>
      <c r="D408" s="70">
        <v>44677</v>
      </c>
      <c r="E408" s="78">
        <v>2</v>
      </c>
      <c r="F408" s="24" t="s">
        <v>22</v>
      </c>
      <c r="G408" s="73" t="s">
        <v>1072</v>
      </c>
      <c r="H408" s="73" t="s">
        <v>4821</v>
      </c>
      <c r="I408" s="73" t="s">
        <v>1072</v>
      </c>
      <c r="J408" s="66">
        <v>44677</v>
      </c>
      <c r="K408" s="66">
        <v>44677</v>
      </c>
      <c r="L408" s="67">
        <v>0</v>
      </c>
      <c r="M408" s="59" t="s">
        <v>4870</v>
      </c>
      <c r="N408" s="74" t="s">
        <v>1025</v>
      </c>
      <c r="O408" s="75" t="s">
        <v>1026</v>
      </c>
      <c r="P408" s="59" t="s">
        <v>4729</v>
      </c>
      <c r="Q408" s="68" t="str">
        <f t="shared" si="12"/>
        <v>DENTRO DEL TIEMPO</v>
      </c>
      <c r="R408" s="6"/>
    </row>
    <row r="409" spans="1:18" ht="56.25" x14ac:dyDescent="0.25">
      <c r="A409" s="63">
        <v>403</v>
      </c>
      <c r="B409" s="59" t="s">
        <v>4871</v>
      </c>
      <c r="C409" s="70">
        <v>44677</v>
      </c>
      <c r="D409" s="70">
        <v>44677</v>
      </c>
      <c r="E409" s="78">
        <v>2</v>
      </c>
      <c r="F409" s="24" t="s">
        <v>22</v>
      </c>
      <c r="G409" s="73" t="s">
        <v>1072</v>
      </c>
      <c r="H409" s="73" t="s">
        <v>4821</v>
      </c>
      <c r="I409" s="73" t="s">
        <v>1072</v>
      </c>
      <c r="J409" s="66">
        <v>44677</v>
      </c>
      <c r="K409" s="66">
        <v>44677</v>
      </c>
      <c r="L409" s="67">
        <v>0</v>
      </c>
      <c r="M409" s="59" t="s">
        <v>4872</v>
      </c>
      <c r="N409" s="74" t="s">
        <v>1025</v>
      </c>
      <c r="O409" s="75" t="s">
        <v>1026</v>
      </c>
      <c r="P409" s="59" t="s">
        <v>4729</v>
      </c>
      <c r="Q409" s="68" t="str">
        <f t="shared" si="12"/>
        <v>DENTRO DEL TIEMPO</v>
      </c>
      <c r="R409" s="6"/>
    </row>
    <row r="410" spans="1:18" ht="56.25" x14ac:dyDescent="0.25">
      <c r="A410" s="63">
        <v>404</v>
      </c>
      <c r="B410" s="59" t="s">
        <v>4873</v>
      </c>
      <c r="C410" s="70">
        <v>44676</v>
      </c>
      <c r="D410" s="70">
        <v>44678</v>
      </c>
      <c r="E410" s="78">
        <v>2</v>
      </c>
      <c r="F410" s="24" t="s">
        <v>22</v>
      </c>
      <c r="G410" s="73" t="s">
        <v>1022</v>
      </c>
      <c r="H410" s="73" t="s">
        <v>4821</v>
      </c>
      <c r="I410" s="73" t="s">
        <v>1022</v>
      </c>
      <c r="J410" s="66">
        <v>44678</v>
      </c>
      <c r="K410" s="66">
        <v>44678</v>
      </c>
      <c r="L410" s="67">
        <v>0</v>
      </c>
      <c r="M410" s="59" t="s">
        <v>4874</v>
      </c>
      <c r="N410" s="74" t="s">
        <v>1025</v>
      </c>
      <c r="O410" s="75" t="s">
        <v>1026</v>
      </c>
      <c r="P410" s="59" t="s">
        <v>4729</v>
      </c>
      <c r="Q410" s="68" t="str">
        <f t="shared" si="12"/>
        <v>DENTRO DEL TIEMPO</v>
      </c>
      <c r="R410" s="6"/>
    </row>
    <row r="411" spans="1:18" ht="56.25" x14ac:dyDescent="0.25">
      <c r="A411" s="63">
        <v>405</v>
      </c>
      <c r="B411" s="59" t="s">
        <v>4875</v>
      </c>
      <c r="C411" s="70">
        <v>44677</v>
      </c>
      <c r="D411" s="70">
        <v>44678</v>
      </c>
      <c r="E411" s="78">
        <v>2</v>
      </c>
      <c r="F411" s="24" t="s">
        <v>22</v>
      </c>
      <c r="G411" s="73" t="s">
        <v>1072</v>
      </c>
      <c r="H411" s="73" t="s">
        <v>4821</v>
      </c>
      <c r="I411" s="73" t="s">
        <v>1072</v>
      </c>
      <c r="J411" s="66">
        <v>44678</v>
      </c>
      <c r="K411" s="66">
        <v>44678</v>
      </c>
      <c r="L411" s="67">
        <v>0</v>
      </c>
      <c r="M411" s="59" t="s">
        <v>4876</v>
      </c>
      <c r="N411" s="74" t="s">
        <v>1025</v>
      </c>
      <c r="O411" s="75" t="s">
        <v>1026</v>
      </c>
      <c r="P411" s="59" t="s">
        <v>4729</v>
      </c>
      <c r="Q411" s="68" t="str">
        <f t="shared" si="12"/>
        <v>DENTRO DEL TIEMPO</v>
      </c>
      <c r="R411" s="6"/>
    </row>
    <row r="412" spans="1:18" ht="56.25" x14ac:dyDescent="0.25">
      <c r="A412" s="63">
        <v>406</v>
      </c>
      <c r="B412" s="59" t="s">
        <v>4877</v>
      </c>
      <c r="C412" s="70">
        <v>44678</v>
      </c>
      <c r="D412" s="70">
        <v>44678</v>
      </c>
      <c r="E412" s="78">
        <v>2</v>
      </c>
      <c r="F412" s="24" t="s">
        <v>22</v>
      </c>
      <c r="G412" s="73" t="s">
        <v>1072</v>
      </c>
      <c r="H412" s="73" t="s">
        <v>4821</v>
      </c>
      <c r="I412" s="73" t="s">
        <v>1072</v>
      </c>
      <c r="J412" s="66">
        <v>44678</v>
      </c>
      <c r="K412" s="66">
        <v>44678</v>
      </c>
      <c r="L412" s="67">
        <v>0</v>
      </c>
      <c r="M412" s="59" t="s">
        <v>4878</v>
      </c>
      <c r="N412" s="74" t="s">
        <v>1025</v>
      </c>
      <c r="O412" s="75" t="s">
        <v>1026</v>
      </c>
      <c r="P412" s="59" t="s">
        <v>4729</v>
      </c>
      <c r="Q412" s="68" t="str">
        <f t="shared" si="12"/>
        <v>DENTRO DEL TIEMPO</v>
      </c>
      <c r="R412" s="6"/>
    </row>
    <row r="413" spans="1:18" ht="56.25" x14ac:dyDescent="0.25">
      <c r="A413" s="63">
        <v>407</v>
      </c>
      <c r="B413" s="59" t="s">
        <v>4879</v>
      </c>
      <c r="C413" s="70">
        <v>44679</v>
      </c>
      <c r="D413" s="70">
        <v>44679</v>
      </c>
      <c r="E413" s="78">
        <v>2</v>
      </c>
      <c r="F413" s="24" t="s">
        <v>22</v>
      </c>
      <c r="G413" s="73" t="s">
        <v>1022</v>
      </c>
      <c r="H413" s="73" t="s">
        <v>4821</v>
      </c>
      <c r="I413" s="73" t="s">
        <v>1022</v>
      </c>
      <c r="J413" s="66">
        <v>44679</v>
      </c>
      <c r="K413" s="66">
        <v>44679</v>
      </c>
      <c r="L413" s="67">
        <v>0</v>
      </c>
      <c r="M413" s="59" t="s">
        <v>4880</v>
      </c>
      <c r="N413" s="74" t="s">
        <v>1025</v>
      </c>
      <c r="O413" s="75" t="s">
        <v>1026</v>
      </c>
      <c r="P413" s="59" t="s">
        <v>4729</v>
      </c>
      <c r="Q413" s="68" t="str">
        <f t="shared" si="12"/>
        <v>DENTRO DEL TIEMPO</v>
      </c>
      <c r="R413" s="6"/>
    </row>
    <row r="414" spans="1:18" ht="56.25" x14ac:dyDescent="0.25">
      <c r="A414" s="63">
        <v>408</v>
      </c>
      <c r="B414" s="59" t="s">
        <v>4881</v>
      </c>
      <c r="C414" s="70">
        <v>44679</v>
      </c>
      <c r="D414" s="70">
        <v>44680</v>
      </c>
      <c r="E414" s="78">
        <v>2</v>
      </c>
      <c r="F414" s="24" t="s">
        <v>22</v>
      </c>
      <c r="G414" s="73" t="s">
        <v>1022</v>
      </c>
      <c r="H414" s="73" t="s">
        <v>4821</v>
      </c>
      <c r="I414" s="73" t="s">
        <v>1022</v>
      </c>
      <c r="J414" s="66">
        <v>44680</v>
      </c>
      <c r="K414" s="66">
        <v>44680</v>
      </c>
      <c r="L414" s="67">
        <v>0</v>
      </c>
      <c r="M414" s="59" t="s">
        <v>4882</v>
      </c>
      <c r="N414" s="74" t="s">
        <v>1025</v>
      </c>
      <c r="O414" s="75" t="s">
        <v>1026</v>
      </c>
      <c r="P414" s="59" t="s">
        <v>4729</v>
      </c>
      <c r="Q414" s="68" t="str">
        <f t="shared" si="12"/>
        <v>DENTRO DEL TIEMPO</v>
      </c>
      <c r="R414" s="6"/>
    </row>
    <row r="415" spans="1:18" ht="56.25" x14ac:dyDescent="0.25">
      <c r="A415" s="63">
        <v>409</v>
      </c>
      <c r="B415" s="59" t="s">
        <v>4883</v>
      </c>
      <c r="C415" s="70">
        <v>44680</v>
      </c>
      <c r="D415" s="70">
        <v>44680</v>
      </c>
      <c r="E415" s="78">
        <v>9</v>
      </c>
      <c r="F415" s="24" t="s">
        <v>22</v>
      </c>
      <c r="G415" s="73" t="s">
        <v>1072</v>
      </c>
      <c r="H415" s="73" t="s">
        <v>4821</v>
      </c>
      <c r="I415" s="73" t="s">
        <v>1072</v>
      </c>
      <c r="J415" s="66">
        <v>44680</v>
      </c>
      <c r="K415" s="66">
        <v>44680</v>
      </c>
      <c r="L415" s="67">
        <v>0</v>
      </c>
      <c r="M415" s="59" t="s">
        <v>4884</v>
      </c>
      <c r="N415" s="74" t="s">
        <v>1025</v>
      </c>
      <c r="O415" s="75" t="s">
        <v>1026</v>
      </c>
      <c r="P415" s="59" t="s">
        <v>4729</v>
      </c>
      <c r="Q415" s="68" t="str">
        <f t="shared" si="12"/>
        <v>DENTRO DEL TIEMPO</v>
      </c>
      <c r="R415" s="6"/>
    </row>
    <row r="416" spans="1:18" ht="56.25" x14ac:dyDescent="0.25">
      <c r="A416" s="63">
        <v>410</v>
      </c>
      <c r="B416" s="59" t="s">
        <v>4885</v>
      </c>
      <c r="C416" s="70">
        <v>44680</v>
      </c>
      <c r="D416" s="70">
        <v>44680</v>
      </c>
      <c r="E416" s="78">
        <v>2</v>
      </c>
      <c r="F416" s="24" t="s">
        <v>22</v>
      </c>
      <c r="G416" s="73" t="s">
        <v>1072</v>
      </c>
      <c r="H416" s="73" t="s">
        <v>4821</v>
      </c>
      <c r="I416" s="73" t="s">
        <v>1072</v>
      </c>
      <c r="J416" s="66">
        <v>44680</v>
      </c>
      <c r="K416" s="66">
        <v>44680</v>
      </c>
      <c r="L416" s="67">
        <v>0</v>
      </c>
      <c r="M416" s="59" t="s">
        <v>4886</v>
      </c>
      <c r="N416" s="74" t="s">
        <v>1025</v>
      </c>
      <c r="O416" s="75" t="s">
        <v>1026</v>
      </c>
      <c r="P416" s="59" t="s">
        <v>4729</v>
      </c>
      <c r="Q416" s="68" t="str">
        <f t="shared" si="12"/>
        <v>DENTRO DEL TIEMPO</v>
      </c>
      <c r="R416" s="6"/>
    </row>
    <row r="417" spans="1:18" ht="45.75" customHeight="1" x14ac:dyDescent="0.25">
      <c r="A417" s="63">
        <v>411</v>
      </c>
      <c r="B417" s="59" t="s">
        <v>4517</v>
      </c>
      <c r="C417" s="70">
        <v>44650</v>
      </c>
      <c r="D417" s="70">
        <v>44676</v>
      </c>
      <c r="E417" s="78">
        <v>62</v>
      </c>
      <c r="F417" s="24" t="s">
        <v>22</v>
      </c>
      <c r="G417" s="73" t="s">
        <v>23</v>
      </c>
      <c r="H417" s="73" t="s">
        <v>24</v>
      </c>
      <c r="I417" s="73" t="s">
        <v>23</v>
      </c>
      <c r="J417" s="66">
        <v>44676</v>
      </c>
      <c r="K417" s="66">
        <v>44676</v>
      </c>
      <c r="L417" s="67">
        <v>0</v>
      </c>
      <c r="M417" s="59" t="s">
        <v>4518</v>
      </c>
      <c r="N417" s="74" t="s">
        <v>26</v>
      </c>
      <c r="O417" s="75" t="s">
        <v>1026</v>
      </c>
      <c r="P417" s="59" t="s">
        <v>4887</v>
      </c>
      <c r="Q417" s="68" t="str">
        <f t="shared" si="12"/>
        <v>DENTRO DEL TIEMPO</v>
      </c>
      <c r="R417" s="6"/>
    </row>
    <row r="418" spans="1:18" ht="33.75" customHeight="1" x14ac:dyDescent="0.25">
      <c r="A418" s="79">
        <v>412</v>
      </c>
      <c r="B418" s="59" t="s">
        <v>2768</v>
      </c>
      <c r="C418" s="70">
        <v>44635</v>
      </c>
      <c r="D418" s="70">
        <v>44680</v>
      </c>
      <c r="E418" s="78">
        <v>0</v>
      </c>
      <c r="F418" s="80" t="s">
        <v>2769</v>
      </c>
      <c r="G418" s="73" t="s">
        <v>4191</v>
      </c>
      <c r="H418" s="73" t="s">
        <v>24</v>
      </c>
      <c r="I418" s="73" t="s">
        <v>4191</v>
      </c>
      <c r="J418" s="66">
        <v>44680</v>
      </c>
      <c r="K418" s="6"/>
      <c r="L418" s="6"/>
      <c r="M418" s="6"/>
      <c r="N418" s="74" t="s">
        <v>26</v>
      </c>
      <c r="O418" s="55" t="s">
        <v>4192</v>
      </c>
      <c r="P418" s="59" t="s">
        <v>4888</v>
      </c>
      <c r="Q418" s="68" t="str">
        <f t="shared" si="12"/>
        <v>DENTRO DEL TIEMPO</v>
      </c>
      <c r="R418" s="6"/>
    </row>
    <row r="419" spans="1:18" ht="34.5" customHeight="1" x14ac:dyDescent="0.25">
      <c r="A419" s="79">
        <v>413</v>
      </c>
      <c r="B419" s="59" t="s">
        <v>3179</v>
      </c>
      <c r="C419" s="70">
        <v>44645</v>
      </c>
      <c r="D419" s="70">
        <v>44680</v>
      </c>
      <c r="E419" s="78">
        <v>0</v>
      </c>
      <c r="F419" s="80" t="s">
        <v>2769</v>
      </c>
      <c r="G419" s="73" t="s">
        <v>4191</v>
      </c>
      <c r="H419" s="73" t="s">
        <v>24</v>
      </c>
      <c r="I419" s="73" t="s">
        <v>4191</v>
      </c>
      <c r="J419" s="66">
        <v>44680</v>
      </c>
      <c r="K419" s="6"/>
      <c r="L419" s="6"/>
      <c r="M419" s="6"/>
      <c r="N419" s="74" t="s">
        <v>26</v>
      </c>
      <c r="O419" s="55" t="s">
        <v>4192</v>
      </c>
      <c r="P419" s="59" t="s">
        <v>4888</v>
      </c>
      <c r="Q419" s="68" t="str">
        <f t="shared" si="12"/>
        <v>DENTRO DEL TIEMPO</v>
      </c>
      <c r="R419" s="6"/>
    </row>
  </sheetData>
  <autoFilter ref="A6:R419">
    <filterColumn colId="5">
      <filters>
        <filter val="ATENDIDO"/>
        <filter val="EN TRÁMITE"/>
      </filters>
    </filterColumn>
  </autoFilter>
  <mergeCells count="3">
    <mergeCell ref="A2:Q2"/>
    <mergeCell ref="A3:Q3"/>
    <mergeCell ref="A4:Q4"/>
  </mergeCells>
  <dataValidations count="1">
    <dataValidation type="list" allowBlank="1" showInputMessage="1" showErrorMessage="1" sqref="F383:F384">
      <formula1>#REF!</formula1>
    </dataValidation>
  </dataValidations>
  <pageMargins left="0.7" right="0.7" top="0.75" bottom="0.75" header="0.3" footer="0.3"/>
  <pageSetup orientation="portrait" horizontalDpi="4294967292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416"/>
  <sheetViews>
    <sheetView topLeftCell="A405" zoomScale="70" zoomScaleNormal="70" workbookViewId="0">
      <selection activeCell="E412" sqref="E412"/>
    </sheetView>
  </sheetViews>
  <sheetFormatPr baseColWidth="10" defaultRowHeight="15" x14ac:dyDescent="0.25"/>
  <cols>
    <col min="3" max="3" width="14.85546875" customWidth="1"/>
    <col min="4" max="4" width="14.140625" customWidth="1"/>
    <col min="8" max="8" width="14.42578125" customWidth="1"/>
    <col min="16" max="16" width="13.85546875" customWidth="1"/>
    <col min="19" max="19" width="30.85546875" customWidth="1"/>
  </cols>
  <sheetData>
    <row r="1" spans="1:18" ht="18" x14ac:dyDescent="0.25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</row>
    <row r="2" spans="1:18" ht="18" x14ac:dyDescent="0.25">
      <c r="A2" s="103" t="s">
        <v>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</row>
    <row r="3" spans="1:18" ht="18" x14ac:dyDescent="0.25">
      <c r="A3" s="103" t="s">
        <v>4889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</row>
    <row r="5" spans="1:18" ht="45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</row>
    <row r="6" spans="1:18" ht="66.75" customHeight="1" x14ac:dyDescent="0.25">
      <c r="A6" s="6">
        <v>1</v>
      </c>
      <c r="B6" s="8" t="s">
        <v>4890</v>
      </c>
      <c r="C6" s="27">
        <v>44684</v>
      </c>
      <c r="D6" s="27">
        <v>44684</v>
      </c>
      <c r="E6" s="81">
        <v>2</v>
      </c>
      <c r="F6" s="82" t="s">
        <v>22</v>
      </c>
      <c r="G6" s="8" t="s">
        <v>30</v>
      </c>
      <c r="H6" s="8" t="s">
        <v>24</v>
      </c>
      <c r="I6" s="8" t="s">
        <v>30</v>
      </c>
      <c r="J6" s="27">
        <v>44684</v>
      </c>
      <c r="K6" s="27">
        <v>44684</v>
      </c>
      <c r="L6" s="83">
        <f>+NETWORKDAYS(D6,K6,$R$6:$R$9)-1</f>
        <v>0</v>
      </c>
      <c r="M6" s="8" t="s">
        <v>4891</v>
      </c>
      <c r="N6" s="84" t="s">
        <v>26</v>
      </c>
      <c r="O6" s="8" t="s">
        <v>4892</v>
      </c>
      <c r="P6" s="8" t="s">
        <v>4893</v>
      </c>
      <c r="Q6" s="84" t="str">
        <f>IF(L6&gt;15,"FUERA DE TIEMPO","DENTRO DEL TIEMPO")</f>
        <v>DENTRO DEL TIEMPO</v>
      </c>
      <c r="R6" s="81"/>
    </row>
    <row r="7" spans="1:18" ht="50.25" x14ac:dyDescent="0.25">
      <c r="A7" s="6">
        <v>2</v>
      </c>
      <c r="B7" s="8" t="s">
        <v>4894</v>
      </c>
      <c r="C7" s="27">
        <v>44684</v>
      </c>
      <c r="D7" s="27">
        <v>44684</v>
      </c>
      <c r="E7" s="81">
        <v>2</v>
      </c>
      <c r="F7" s="82" t="s">
        <v>22</v>
      </c>
      <c r="G7" s="8" t="s">
        <v>30</v>
      </c>
      <c r="H7" s="8" t="s">
        <v>24</v>
      </c>
      <c r="I7" s="8" t="s">
        <v>30</v>
      </c>
      <c r="J7" s="27">
        <v>44684</v>
      </c>
      <c r="K7" s="27">
        <v>44684</v>
      </c>
      <c r="L7" s="83">
        <f t="shared" ref="L7:L70" si="0">+NETWORKDAYS(D7,K7,$R$6:$R$9)-1</f>
        <v>0</v>
      </c>
      <c r="M7" s="8" t="s">
        <v>4895</v>
      </c>
      <c r="N7" s="84" t="s">
        <v>26</v>
      </c>
      <c r="O7" s="8" t="s">
        <v>4896</v>
      </c>
      <c r="P7" s="8" t="s">
        <v>4897</v>
      </c>
      <c r="Q7" s="84" t="str">
        <f t="shared" ref="Q7:Q70" si="1">IF(L7&gt;15,"FUERA DE TIEMPO","DENTRO DEL TIEMPO")</f>
        <v>DENTRO DEL TIEMPO</v>
      </c>
      <c r="R7" s="81"/>
    </row>
    <row r="8" spans="1:18" ht="50.25" x14ac:dyDescent="0.25">
      <c r="A8" s="6">
        <v>3</v>
      </c>
      <c r="B8" s="8" t="s">
        <v>4898</v>
      </c>
      <c r="C8" s="27">
        <v>44684</v>
      </c>
      <c r="D8" s="27">
        <v>44684</v>
      </c>
      <c r="E8" s="81">
        <v>16</v>
      </c>
      <c r="F8" s="82" t="s">
        <v>22</v>
      </c>
      <c r="G8" s="8" t="s">
        <v>23</v>
      </c>
      <c r="H8" s="8" t="s">
        <v>24</v>
      </c>
      <c r="I8" s="8" t="s">
        <v>23</v>
      </c>
      <c r="J8" s="27">
        <v>44687</v>
      </c>
      <c r="K8" s="27">
        <v>44687</v>
      </c>
      <c r="L8" s="83">
        <f t="shared" si="0"/>
        <v>3</v>
      </c>
      <c r="M8" s="8" t="s">
        <v>4899</v>
      </c>
      <c r="N8" s="84" t="s">
        <v>26</v>
      </c>
      <c r="O8" s="8" t="s">
        <v>4900</v>
      </c>
      <c r="P8" s="8" t="s">
        <v>4901</v>
      </c>
      <c r="Q8" s="84" t="str">
        <f t="shared" si="1"/>
        <v>DENTRO DEL TIEMPO</v>
      </c>
      <c r="R8" s="81"/>
    </row>
    <row r="9" spans="1:18" ht="50.25" x14ac:dyDescent="0.25">
      <c r="A9" s="6">
        <v>4</v>
      </c>
      <c r="B9" s="8" t="s">
        <v>4902</v>
      </c>
      <c r="C9" s="27">
        <v>44684</v>
      </c>
      <c r="D9" s="27">
        <v>44684</v>
      </c>
      <c r="E9" s="81">
        <v>2</v>
      </c>
      <c r="F9" s="82" t="s">
        <v>22</v>
      </c>
      <c r="G9" s="8" t="s">
        <v>30</v>
      </c>
      <c r="H9" s="8" t="s">
        <v>24</v>
      </c>
      <c r="I9" s="8" t="s">
        <v>30</v>
      </c>
      <c r="J9" s="27">
        <v>44687</v>
      </c>
      <c r="K9" s="27">
        <v>44687</v>
      </c>
      <c r="L9" s="83">
        <f t="shared" si="0"/>
        <v>3</v>
      </c>
      <c r="M9" s="8" t="s">
        <v>4903</v>
      </c>
      <c r="N9" s="84" t="s">
        <v>26</v>
      </c>
      <c r="O9" s="8" t="s">
        <v>4904</v>
      </c>
      <c r="P9" s="8" t="s">
        <v>4905</v>
      </c>
      <c r="Q9" s="84" t="str">
        <f t="shared" si="1"/>
        <v>DENTRO DEL TIEMPO</v>
      </c>
      <c r="R9" s="81"/>
    </row>
    <row r="10" spans="1:18" ht="50.25" x14ac:dyDescent="0.25">
      <c r="A10" s="6">
        <v>5</v>
      </c>
      <c r="B10" s="8" t="s">
        <v>4906</v>
      </c>
      <c r="C10" s="27">
        <v>44684</v>
      </c>
      <c r="D10" s="27">
        <v>44684</v>
      </c>
      <c r="E10" s="81">
        <v>374</v>
      </c>
      <c r="F10" s="82" t="s">
        <v>22</v>
      </c>
      <c r="G10" s="8" t="s">
        <v>23</v>
      </c>
      <c r="H10" s="8" t="s">
        <v>24</v>
      </c>
      <c r="I10" s="8" t="s">
        <v>23</v>
      </c>
      <c r="J10" s="27">
        <v>44690</v>
      </c>
      <c r="K10" s="27">
        <v>44690</v>
      </c>
      <c r="L10" s="83">
        <f t="shared" si="0"/>
        <v>4</v>
      </c>
      <c r="M10" s="8" t="s">
        <v>4907</v>
      </c>
      <c r="N10" s="84" t="s">
        <v>26</v>
      </c>
      <c r="O10" s="8" t="s">
        <v>4908</v>
      </c>
      <c r="P10" s="8" t="s">
        <v>4909</v>
      </c>
      <c r="Q10" s="84" t="str">
        <f t="shared" si="1"/>
        <v>DENTRO DEL TIEMPO</v>
      </c>
      <c r="R10" s="81"/>
    </row>
    <row r="11" spans="1:18" ht="50.25" x14ac:dyDescent="0.25">
      <c r="A11" s="6">
        <v>6</v>
      </c>
      <c r="B11" s="8" t="s">
        <v>4910</v>
      </c>
      <c r="C11" s="27">
        <v>44684</v>
      </c>
      <c r="D11" s="27">
        <v>44684</v>
      </c>
      <c r="E11" s="81">
        <v>2</v>
      </c>
      <c r="F11" s="82" t="s">
        <v>22</v>
      </c>
      <c r="G11" s="8" t="s">
        <v>30</v>
      </c>
      <c r="H11" s="8" t="s">
        <v>24</v>
      </c>
      <c r="I11" s="8" t="s">
        <v>30</v>
      </c>
      <c r="J11" s="27">
        <v>44684</v>
      </c>
      <c r="K11" s="27">
        <v>44684</v>
      </c>
      <c r="L11" s="83">
        <f t="shared" si="0"/>
        <v>0</v>
      </c>
      <c r="M11" s="8" t="s">
        <v>4911</v>
      </c>
      <c r="N11" s="84" t="s">
        <v>26</v>
      </c>
      <c r="O11" s="8" t="s">
        <v>402</v>
      </c>
      <c r="P11" s="8" t="s">
        <v>4912</v>
      </c>
      <c r="Q11" s="84" t="str">
        <f t="shared" si="1"/>
        <v>DENTRO DEL TIEMPO</v>
      </c>
      <c r="R11" s="81"/>
    </row>
    <row r="12" spans="1:18" ht="50.25" x14ac:dyDescent="0.25">
      <c r="A12" s="6">
        <v>7</v>
      </c>
      <c r="B12" s="8" t="s">
        <v>4913</v>
      </c>
      <c r="C12" s="27">
        <v>44685</v>
      </c>
      <c r="D12" s="27">
        <v>44685</v>
      </c>
      <c r="E12" s="81">
        <v>2</v>
      </c>
      <c r="F12" s="82" t="s">
        <v>22</v>
      </c>
      <c r="G12" s="8" t="s">
        <v>30</v>
      </c>
      <c r="H12" s="8" t="s">
        <v>24</v>
      </c>
      <c r="I12" s="8" t="s">
        <v>30</v>
      </c>
      <c r="J12" s="27">
        <v>44685</v>
      </c>
      <c r="K12" s="27">
        <v>44685</v>
      </c>
      <c r="L12" s="83">
        <f t="shared" si="0"/>
        <v>0</v>
      </c>
      <c r="M12" s="8" t="s">
        <v>4914</v>
      </c>
      <c r="N12" s="84" t="s">
        <v>26</v>
      </c>
      <c r="O12" s="8" t="s">
        <v>128</v>
      </c>
      <c r="P12" s="8" t="s">
        <v>4915</v>
      </c>
      <c r="Q12" s="84" t="str">
        <f t="shared" si="1"/>
        <v>DENTRO DEL TIEMPO</v>
      </c>
      <c r="R12" s="81"/>
    </row>
    <row r="13" spans="1:18" ht="50.25" x14ac:dyDescent="0.25">
      <c r="A13" s="6">
        <v>8</v>
      </c>
      <c r="B13" s="8" t="s">
        <v>4916</v>
      </c>
      <c r="C13" s="27">
        <v>44685</v>
      </c>
      <c r="D13" s="27">
        <v>44685</v>
      </c>
      <c r="E13" s="81">
        <v>2</v>
      </c>
      <c r="F13" s="82" t="s">
        <v>22</v>
      </c>
      <c r="G13" s="8" t="s">
        <v>30</v>
      </c>
      <c r="H13" s="8" t="s">
        <v>24</v>
      </c>
      <c r="I13" s="8" t="s">
        <v>30</v>
      </c>
      <c r="J13" s="27">
        <v>44685</v>
      </c>
      <c r="K13" s="27">
        <v>44685</v>
      </c>
      <c r="L13" s="83">
        <f t="shared" si="0"/>
        <v>0</v>
      </c>
      <c r="M13" s="8" t="s">
        <v>4917</v>
      </c>
      <c r="N13" s="84" t="s">
        <v>26</v>
      </c>
      <c r="O13" s="8" t="s">
        <v>109</v>
      </c>
      <c r="P13" s="8" t="s">
        <v>4918</v>
      </c>
      <c r="Q13" s="84" t="str">
        <f t="shared" si="1"/>
        <v>DENTRO DEL TIEMPO</v>
      </c>
      <c r="R13" s="81"/>
    </row>
    <row r="14" spans="1:18" ht="50.25" x14ac:dyDescent="0.25">
      <c r="A14" s="6">
        <v>9</v>
      </c>
      <c r="B14" s="8" t="s">
        <v>4919</v>
      </c>
      <c r="C14" s="27">
        <v>44685</v>
      </c>
      <c r="D14" s="27">
        <v>44685</v>
      </c>
      <c r="E14" s="81">
        <v>2</v>
      </c>
      <c r="F14" s="82" t="s">
        <v>22</v>
      </c>
      <c r="G14" s="8" t="s">
        <v>30</v>
      </c>
      <c r="H14" s="8" t="s">
        <v>24</v>
      </c>
      <c r="I14" s="8" t="s">
        <v>30</v>
      </c>
      <c r="J14" s="27">
        <v>44685</v>
      </c>
      <c r="K14" s="27">
        <v>44685</v>
      </c>
      <c r="L14" s="83">
        <f t="shared" si="0"/>
        <v>0</v>
      </c>
      <c r="M14" s="8" t="s">
        <v>4920</v>
      </c>
      <c r="N14" s="84" t="s">
        <v>26</v>
      </c>
      <c r="O14" s="8" t="s">
        <v>422</v>
      </c>
      <c r="P14" s="8" t="s">
        <v>4918</v>
      </c>
      <c r="Q14" s="84" t="str">
        <f t="shared" si="1"/>
        <v>DENTRO DEL TIEMPO</v>
      </c>
      <c r="R14" s="81"/>
    </row>
    <row r="15" spans="1:18" ht="50.25" x14ac:dyDescent="0.25">
      <c r="A15" s="6">
        <v>10</v>
      </c>
      <c r="B15" s="8" t="s">
        <v>4921</v>
      </c>
      <c r="C15" s="27">
        <v>44685</v>
      </c>
      <c r="D15" s="27">
        <v>44685</v>
      </c>
      <c r="E15" s="81">
        <v>2</v>
      </c>
      <c r="F15" s="82" t="s">
        <v>22</v>
      </c>
      <c r="G15" s="8" t="s">
        <v>30</v>
      </c>
      <c r="H15" s="8" t="s">
        <v>24</v>
      </c>
      <c r="I15" s="8" t="s">
        <v>30</v>
      </c>
      <c r="J15" s="27">
        <v>44686</v>
      </c>
      <c r="K15" s="27">
        <v>44686</v>
      </c>
      <c r="L15" s="83">
        <f t="shared" si="0"/>
        <v>1</v>
      </c>
      <c r="M15" s="8" t="s">
        <v>4922</v>
      </c>
      <c r="N15" s="84" t="s">
        <v>26</v>
      </c>
      <c r="O15" s="8" t="s">
        <v>4923</v>
      </c>
      <c r="P15" s="8" t="s">
        <v>4918</v>
      </c>
      <c r="Q15" s="84" t="str">
        <f t="shared" si="1"/>
        <v>DENTRO DEL TIEMPO</v>
      </c>
      <c r="R15" s="81"/>
    </row>
    <row r="16" spans="1:18" ht="50.25" x14ac:dyDescent="0.25">
      <c r="A16" s="6">
        <v>11</v>
      </c>
      <c r="B16" s="8" t="s">
        <v>4924</v>
      </c>
      <c r="C16" s="27">
        <v>44685</v>
      </c>
      <c r="D16" s="27">
        <v>44685</v>
      </c>
      <c r="E16" s="81">
        <v>2</v>
      </c>
      <c r="F16" s="82" t="s">
        <v>22</v>
      </c>
      <c r="G16" s="8" t="s">
        <v>30</v>
      </c>
      <c r="H16" s="8" t="s">
        <v>24</v>
      </c>
      <c r="I16" s="8" t="s">
        <v>30</v>
      </c>
      <c r="J16" s="27">
        <v>44686</v>
      </c>
      <c r="K16" s="27">
        <v>44686</v>
      </c>
      <c r="L16" s="83">
        <f t="shared" si="0"/>
        <v>1</v>
      </c>
      <c r="M16" s="8" t="s">
        <v>4925</v>
      </c>
      <c r="N16" s="84" t="s">
        <v>26</v>
      </c>
      <c r="O16" s="8" t="s">
        <v>4926</v>
      </c>
      <c r="P16" s="8" t="s">
        <v>4927</v>
      </c>
      <c r="Q16" s="84" t="str">
        <f t="shared" si="1"/>
        <v>DENTRO DEL TIEMPO</v>
      </c>
      <c r="R16" s="81"/>
    </row>
    <row r="17" spans="1:18" ht="50.25" x14ac:dyDescent="0.25">
      <c r="A17" s="6">
        <v>12</v>
      </c>
      <c r="B17" s="8" t="s">
        <v>4928</v>
      </c>
      <c r="C17" s="27">
        <v>44685</v>
      </c>
      <c r="D17" s="27">
        <v>44685</v>
      </c>
      <c r="E17" s="81">
        <v>2</v>
      </c>
      <c r="F17" s="82" t="s">
        <v>22</v>
      </c>
      <c r="G17" s="8" t="s">
        <v>30</v>
      </c>
      <c r="H17" s="8" t="s">
        <v>24</v>
      </c>
      <c r="I17" s="8" t="s">
        <v>30</v>
      </c>
      <c r="J17" s="27">
        <v>44686</v>
      </c>
      <c r="K17" s="27">
        <v>44686</v>
      </c>
      <c r="L17" s="83">
        <f t="shared" si="0"/>
        <v>1</v>
      </c>
      <c r="M17" s="8" t="s">
        <v>4929</v>
      </c>
      <c r="N17" s="84" t="s">
        <v>26</v>
      </c>
      <c r="O17" s="8" t="s">
        <v>4930</v>
      </c>
      <c r="P17" s="8" t="s">
        <v>4931</v>
      </c>
      <c r="Q17" s="84" t="str">
        <f t="shared" si="1"/>
        <v>DENTRO DEL TIEMPO</v>
      </c>
      <c r="R17" s="81"/>
    </row>
    <row r="18" spans="1:18" ht="50.25" x14ac:dyDescent="0.25">
      <c r="A18" s="6">
        <v>13</v>
      </c>
      <c r="B18" s="8" t="s">
        <v>4932</v>
      </c>
      <c r="C18" s="27">
        <v>44685</v>
      </c>
      <c r="D18" s="27">
        <v>44685</v>
      </c>
      <c r="E18" s="81">
        <v>2</v>
      </c>
      <c r="F18" s="82" t="s">
        <v>22</v>
      </c>
      <c r="G18" s="8" t="s">
        <v>30</v>
      </c>
      <c r="H18" s="8" t="s">
        <v>24</v>
      </c>
      <c r="I18" s="8" t="s">
        <v>30</v>
      </c>
      <c r="J18" s="27">
        <v>44686</v>
      </c>
      <c r="K18" s="27">
        <v>44686</v>
      </c>
      <c r="L18" s="83">
        <f t="shared" si="0"/>
        <v>1</v>
      </c>
      <c r="M18" s="8" t="s">
        <v>4933</v>
      </c>
      <c r="N18" s="84" t="s">
        <v>26</v>
      </c>
      <c r="O18" s="8" t="s">
        <v>257</v>
      </c>
      <c r="P18" s="8" t="s">
        <v>4934</v>
      </c>
      <c r="Q18" s="84" t="str">
        <f t="shared" si="1"/>
        <v>DENTRO DEL TIEMPO</v>
      </c>
      <c r="R18" s="81"/>
    </row>
    <row r="19" spans="1:18" ht="50.25" x14ac:dyDescent="0.25">
      <c r="A19" s="6">
        <v>14</v>
      </c>
      <c r="B19" s="8" t="s">
        <v>4935</v>
      </c>
      <c r="C19" s="27">
        <v>44685</v>
      </c>
      <c r="D19" s="27">
        <v>44685</v>
      </c>
      <c r="E19" s="81">
        <v>2</v>
      </c>
      <c r="F19" s="82" t="s">
        <v>22</v>
      </c>
      <c r="G19" s="8" t="s">
        <v>30</v>
      </c>
      <c r="H19" s="8" t="s">
        <v>24</v>
      </c>
      <c r="I19" s="8" t="s">
        <v>30</v>
      </c>
      <c r="J19" s="27">
        <v>44686</v>
      </c>
      <c r="K19" s="27">
        <v>44686</v>
      </c>
      <c r="L19" s="83">
        <f t="shared" si="0"/>
        <v>1</v>
      </c>
      <c r="M19" s="8" t="s">
        <v>4936</v>
      </c>
      <c r="N19" s="84" t="s">
        <v>26</v>
      </c>
      <c r="O19" s="8" t="s">
        <v>257</v>
      </c>
      <c r="P19" s="8" t="s">
        <v>4934</v>
      </c>
      <c r="Q19" s="84" t="str">
        <f t="shared" si="1"/>
        <v>DENTRO DEL TIEMPO</v>
      </c>
      <c r="R19" s="81"/>
    </row>
    <row r="20" spans="1:18" ht="50.25" x14ac:dyDescent="0.25">
      <c r="A20" s="6">
        <v>15</v>
      </c>
      <c r="B20" s="8" t="s">
        <v>4937</v>
      </c>
      <c r="C20" s="27">
        <v>44685</v>
      </c>
      <c r="D20" s="27">
        <v>44685</v>
      </c>
      <c r="E20" s="81">
        <v>2</v>
      </c>
      <c r="F20" s="82" t="s">
        <v>22</v>
      </c>
      <c r="G20" s="8" t="s">
        <v>30</v>
      </c>
      <c r="H20" s="8" t="s">
        <v>24</v>
      </c>
      <c r="I20" s="8" t="s">
        <v>30</v>
      </c>
      <c r="J20" s="27">
        <v>44686</v>
      </c>
      <c r="K20" s="27">
        <v>44686</v>
      </c>
      <c r="L20" s="83">
        <f t="shared" si="0"/>
        <v>1</v>
      </c>
      <c r="M20" s="8" t="s">
        <v>4938</v>
      </c>
      <c r="N20" s="84" t="s">
        <v>26</v>
      </c>
      <c r="O20" s="8" t="s">
        <v>257</v>
      </c>
      <c r="P20" s="8" t="s">
        <v>4934</v>
      </c>
      <c r="Q20" s="84" t="str">
        <f t="shared" si="1"/>
        <v>DENTRO DEL TIEMPO</v>
      </c>
      <c r="R20" s="81"/>
    </row>
    <row r="21" spans="1:18" ht="50.25" x14ac:dyDescent="0.25">
      <c r="A21" s="6">
        <v>16</v>
      </c>
      <c r="B21" s="8" t="s">
        <v>4939</v>
      </c>
      <c r="C21" s="27">
        <v>44685</v>
      </c>
      <c r="D21" s="27">
        <v>44685</v>
      </c>
      <c r="E21" s="81">
        <v>2</v>
      </c>
      <c r="F21" s="82" t="s">
        <v>22</v>
      </c>
      <c r="G21" s="8" t="s">
        <v>30</v>
      </c>
      <c r="H21" s="8" t="s">
        <v>24</v>
      </c>
      <c r="I21" s="8" t="s">
        <v>30</v>
      </c>
      <c r="J21" s="27">
        <v>44686</v>
      </c>
      <c r="K21" s="27">
        <v>44686</v>
      </c>
      <c r="L21" s="83">
        <f t="shared" si="0"/>
        <v>1</v>
      </c>
      <c r="M21" s="8" t="s">
        <v>4940</v>
      </c>
      <c r="N21" s="84" t="s">
        <v>26</v>
      </c>
      <c r="O21" s="8" t="s">
        <v>257</v>
      </c>
      <c r="P21" s="8" t="s">
        <v>4934</v>
      </c>
      <c r="Q21" s="84" t="str">
        <f t="shared" si="1"/>
        <v>DENTRO DEL TIEMPO</v>
      </c>
      <c r="R21" s="81"/>
    </row>
    <row r="22" spans="1:18" ht="50.25" x14ac:dyDescent="0.25">
      <c r="A22" s="6">
        <v>17</v>
      </c>
      <c r="B22" s="8" t="s">
        <v>4941</v>
      </c>
      <c r="C22" s="27">
        <v>44685</v>
      </c>
      <c r="D22" s="27">
        <v>44685</v>
      </c>
      <c r="E22" s="81">
        <v>2</v>
      </c>
      <c r="F22" s="82" t="s">
        <v>22</v>
      </c>
      <c r="G22" s="8" t="s">
        <v>30</v>
      </c>
      <c r="H22" s="8" t="s">
        <v>24</v>
      </c>
      <c r="I22" s="8" t="s">
        <v>30</v>
      </c>
      <c r="J22" s="27">
        <v>44686</v>
      </c>
      <c r="K22" s="27">
        <v>44686</v>
      </c>
      <c r="L22" s="83">
        <f t="shared" si="0"/>
        <v>1</v>
      </c>
      <c r="M22" s="8" t="s">
        <v>4942</v>
      </c>
      <c r="N22" s="84" t="s">
        <v>26</v>
      </c>
      <c r="O22" s="8" t="s">
        <v>4943</v>
      </c>
      <c r="P22" s="8" t="s">
        <v>4944</v>
      </c>
      <c r="Q22" s="84" t="str">
        <f t="shared" si="1"/>
        <v>DENTRO DEL TIEMPO</v>
      </c>
      <c r="R22" s="81"/>
    </row>
    <row r="23" spans="1:18" ht="50.25" x14ac:dyDescent="0.25">
      <c r="A23" s="6">
        <v>18</v>
      </c>
      <c r="B23" s="8" t="s">
        <v>4945</v>
      </c>
      <c r="C23" s="27">
        <v>44685</v>
      </c>
      <c r="D23" s="27">
        <v>44685</v>
      </c>
      <c r="E23" s="81">
        <v>2</v>
      </c>
      <c r="F23" s="82" t="s">
        <v>22</v>
      </c>
      <c r="G23" s="8" t="s">
        <v>30</v>
      </c>
      <c r="H23" s="8" t="s">
        <v>24</v>
      </c>
      <c r="I23" s="8" t="s">
        <v>30</v>
      </c>
      <c r="J23" s="27">
        <v>44686</v>
      </c>
      <c r="K23" s="27">
        <v>44686</v>
      </c>
      <c r="L23" s="83">
        <f t="shared" si="0"/>
        <v>1</v>
      </c>
      <c r="M23" s="8" t="s">
        <v>4946</v>
      </c>
      <c r="N23" s="84" t="s">
        <v>26</v>
      </c>
      <c r="O23" s="8" t="s">
        <v>257</v>
      </c>
      <c r="P23" s="8" t="s">
        <v>4934</v>
      </c>
      <c r="Q23" s="84" t="str">
        <f t="shared" si="1"/>
        <v>DENTRO DEL TIEMPO</v>
      </c>
      <c r="R23" s="81"/>
    </row>
    <row r="24" spans="1:18" ht="50.25" x14ac:dyDescent="0.25">
      <c r="A24" s="6">
        <v>19</v>
      </c>
      <c r="B24" s="8" t="s">
        <v>4947</v>
      </c>
      <c r="C24" s="27">
        <v>44685</v>
      </c>
      <c r="D24" s="27">
        <v>44685</v>
      </c>
      <c r="E24" s="81">
        <v>2</v>
      </c>
      <c r="F24" s="82" t="s">
        <v>22</v>
      </c>
      <c r="G24" s="8" t="s">
        <v>30</v>
      </c>
      <c r="H24" s="8" t="s">
        <v>24</v>
      </c>
      <c r="I24" s="8" t="s">
        <v>30</v>
      </c>
      <c r="J24" s="27">
        <v>44686</v>
      </c>
      <c r="K24" s="27">
        <v>44686</v>
      </c>
      <c r="L24" s="83">
        <f t="shared" si="0"/>
        <v>1</v>
      </c>
      <c r="M24" s="8" t="s">
        <v>4948</v>
      </c>
      <c r="N24" s="84" t="s">
        <v>26</v>
      </c>
      <c r="O24" s="8" t="s">
        <v>257</v>
      </c>
      <c r="P24" s="8" t="s">
        <v>4934</v>
      </c>
      <c r="Q24" s="84" t="str">
        <f t="shared" si="1"/>
        <v>DENTRO DEL TIEMPO</v>
      </c>
      <c r="R24" s="81"/>
    </row>
    <row r="25" spans="1:18" ht="50.25" x14ac:dyDescent="0.25">
      <c r="A25" s="6">
        <v>20</v>
      </c>
      <c r="B25" s="8" t="s">
        <v>4949</v>
      </c>
      <c r="C25" s="27">
        <v>44685</v>
      </c>
      <c r="D25" s="27">
        <v>44685</v>
      </c>
      <c r="E25" s="81">
        <v>2</v>
      </c>
      <c r="F25" s="82" t="s">
        <v>22</v>
      </c>
      <c r="G25" s="8" t="s">
        <v>30</v>
      </c>
      <c r="H25" s="8" t="s">
        <v>24</v>
      </c>
      <c r="I25" s="8" t="s">
        <v>30</v>
      </c>
      <c r="J25" s="27">
        <v>44686</v>
      </c>
      <c r="K25" s="27">
        <v>44686</v>
      </c>
      <c r="L25" s="83">
        <f t="shared" si="0"/>
        <v>1</v>
      </c>
      <c r="M25" s="8" t="s">
        <v>4950</v>
      </c>
      <c r="N25" s="84" t="s">
        <v>26</v>
      </c>
      <c r="O25" s="8" t="s">
        <v>257</v>
      </c>
      <c r="P25" s="8" t="s">
        <v>4934</v>
      </c>
      <c r="Q25" s="84" t="str">
        <f t="shared" si="1"/>
        <v>DENTRO DEL TIEMPO</v>
      </c>
      <c r="R25" s="81"/>
    </row>
    <row r="26" spans="1:18" ht="50.25" x14ac:dyDescent="0.25">
      <c r="A26" s="6">
        <v>21</v>
      </c>
      <c r="B26" s="8" t="s">
        <v>4951</v>
      </c>
      <c r="C26" s="27">
        <v>44685</v>
      </c>
      <c r="D26" s="27">
        <v>44685</v>
      </c>
      <c r="E26" s="81">
        <v>2</v>
      </c>
      <c r="F26" s="82" t="s">
        <v>22</v>
      </c>
      <c r="G26" s="8" t="s">
        <v>30</v>
      </c>
      <c r="H26" s="8" t="s">
        <v>24</v>
      </c>
      <c r="I26" s="8" t="s">
        <v>30</v>
      </c>
      <c r="J26" s="27">
        <v>44686</v>
      </c>
      <c r="K26" s="27">
        <v>44686</v>
      </c>
      <c r="L26" s="83">
        <f t="shared" si="0"/>
        <v>1</v>
      </c>
      <c r="M26" s="8" t="s">
        <v>4952</v>
      </c>
      <c r="N26" s="84" t="s">
        <v>26</v>
      </c>
      <c r="O26" s="8" t="s">
        <v>257</v>
      </c>
      <c r="P26" s="8" t="s">
        <v>4934</v>
      </c>
      <c r="Q26" s="84" t="str">
        <f t="shared" si="1"/>
        <v>DENTRO DEL TIEMPO</v>
      </c>
      <c r="R26" s="81"/>
    </row>
    <row r="27" spans="1:18" ht="50.25" x14ac:dyDescent="0.25">
      <c r="A27" s="6">
        <v>22</v>
      </c>
      <c r="B27" s="8" t="s">
        <v>4953</v>
      </c>
      <c r="C27" s="27">
        <v>44685</v>
      </c>
      <c r="D27" s="27">
        <v>44685</v>
      </c>
      <c r="E27" s="81">
        <v>2</v>
      </c>
      <c r="F27" s="82" t="s">
        <v>22</v>
      </c>
      <c r="G27" s="8" t="s">
        <v>30</v>
      </c>
      <c r="H27" s="8" t="s">
        <v>24</v>
      </c>
      <c r="I27" s="8" t="s">
        <v>30</v>
      </c>
      <c r="J27" s="27">
        <v>44686</v>
      </c>
      <c r="K27" s="27">
        <v>44686</v>
      </c>
      <c r="L27" s="83">
        <f t="shared" si="0"/>
        <v>1</v>
      </c>
      <c r="M27" s="8" t="s">
        <v>4954</v>
      </c>
      <c r="N27" s="84" t="s">
        <v>26</v>
      </c>
      <c r="O27" s="8" t="s">
        <v>257</v>
      </c>
      <c r="P27" s="8" t="s">
        <v>4934</v>
      </c>
      <c r="Q27" s="84" t="str">
        <f t="shared" si="1"/>
        <v>DENTRO DEL TIEMPO</v>
      </c>
      <c r="R27" s="81"/>
    </row>
    <row r="28" spans="1:18" ht="50.25" x14ac:dyDescent="0.25">
      <c r="A28" s="6">
        <v>23</v>
      </c>
      <c r="B28" s="8" t="s">
        <v>4955</v>
      </c>
      <c r="C28" s="27">
        <v>44685</v>
      </c>
      <c r="D28" s="27">
        <v>44685</v>
      </c>
      <c r="E28" s="81">
        <v>2</v>
      </c>
      <c r="F28" s="82" t="s">
        <v>22</v>
      </c>
      <c r="G28" s="8" t="s">
        <v>30</v>
      </c>
      <c r="H28" s="8" t="s">
        <v>24</v>
      </c>
      <c r="I28" s="8" t="s">
        <v>30</v>
      </c>
      <c r="J28" s="27">
        <v>44687</v>
      </c>
      <c r="K28" s="27">
        <v>44687</v>
      </c>
      <c r="L28" s="83">
        <f t="shared" si="0"/>
        <v>2</v>
      </c>
      <c r="M28" s="8" t="s">
        <v>4956</v>
      </c>
      <c r="N28" s="84" t="s">
        <v>26</v>
      </c>
      <c r="O28" s="8" t="s">
        <v>257</v>
      </c>
      <c r="P28" s="8" t="s">
        <v>4934</v>
      </c>
      <c r="Q28" s="84" t="str">
        <f t="shared" si="1"/>
        <v>DENTRO DEL TIEMPO</v>
      </c>
      <c r="R28" s="81"/>
    </row>
    <row r="29" spans="1:18" ht="50.25" x14ac:dyDescent="0.25">
      <c r="A29" s="6">
        <v>24</v>
      </c>
      <c r="B29" s="8" t="s">
        <v>4957</v>
      </c>
      <c r="C29" s="27">
        <v>44685</v>
      </c>
      <c r="D29" s="27">
        <v>44685</v>
      </c>
      <c r="E29" s="81">
        <v>2</v>
      </c>
      <c r="F29" s="82" t="s">
        <v>22</v>
      </c>
      <c r="G29" s="8" t="s">
        <v>30</v>
      </c>
      <c r="H29" s="8" t="s">
        <v>24</v>
      </c>
      <c r="I29" s="8" t="s">
        <v>30</v>
      </c>
      <c r="J29" s="27">
        <v>44687</v>
      </c>
      <c r="K29" s="27">
        <v>44687</v>
      </c>
      <c r="L29" s="83">
        <f t="shared" si="0"/>
        <v>2</v>
      </c>
      <c r="M29" s="8" t="s">
        <v>4958</v>
      </c>
      <c r="N29" s="84" t="s">
        <v>26</v>
      </c>
      <c r="O29" s="8" t="s">
        <v>257</v>
      </c>
      <c r="P29" s="8" t="s">
        <v>4934</v>
      </c>
      <c r="Q29" s="84" t="str">
        <f t="shared" si="1"/>
        <v>DENTRO DEL TIEMPO</v>
      </c>
      <c r="R29" s="81"/>
    </row>
    <row r="30" spans="1:18" ht="50.25" x14ac:dyDescent="0.25">
      <c r="A30" s="6">
        <v>25</v>
      </c>
      <c r="B30" s="8" t="s">
        <v>4959</v>
      </c>
      <c r="C30" s="27">
        <v>44685</v>
      </c>
      <c r="D30" s="27">
        <v>44685</v>
      </c>
      <c r="E30" s="81">
        <v>2</v>
      </c>
      <c r="F30" s="82" t="s">
        <v>22</v>
      </c>
      <c r="G30" s="8" t="s">
        <v>30</v>
      </c>
      <c r="H30" s="8" t="s">
        <v>24</v>
      </c>
      <c r="I30" s="8" t="s">
        <v>30</v>
      </c>
      <c r="J30" s="27">
        <v>44687</v>
      </c>
      <c r="K30" s="27">
        <v>44687</v>
      </c>
      <c r="L30" s="83">
        <f t="shared" si="0"/>
        <v>2</v>
      </c>
      <c r="M30" s="8" t="s">
        <v>4960</v>
      </c>
      <c r="N30" s="84" t="s">
        <v>26</v>
      </c>
      <c r="O30" s="8" t="s">
        <v>257</v>
      </c>
      <c r="P30" s="8" t="s">
        <v>4934</v>
      </c>
      <c r="Q30" s="84" t="str">
        <f t="shared" si="1"/>
        <v>DENTRO DEL TIEMPO</v>
      </c>
      <c r="R30" s="81"/>
    </row>
    <row r="31" spans="1:18" ht="50.25" x14ac:dyDescent="0.25">
      <c r="A31" s="6">
        <v>26</v>
      </c>
      <c r="B31" s="8" t="s">
        <v>4961</v>
      </c>
      <c r="C31" s="27">
        <v>44685</v>
      </c>
      <c r="D31" s="27">
        <v>44685</v>
      </c>
      <c r="E31" s="81">
        <v>2</v>
      </c>
      <c r="F31" s="82" t="s">
        <v>22</v>
      </c>
      <c r="G31" s="8" t="s">
        <v>30</v>
      </c>
      <c r="H31" s="8" t="s">
        <v>24</v>
      </c>
      <c r="I31" s="8" t="s">
        <v>30</v>
      </c>
      <c r="J31" s="27">
        <v>44687</v>
      </c>
      <c r="K31" s="27">
        <v>44687</v>
      </c>
      <c r="L31" s="83">
        <f t="shared" si="0"/>
        <v>2</v>
      </c>
      <c r="M31" s="8" t="s">
        <v>4962</v>
      </c>
      <c r="N31" s="84" t="s">
        <v>26</v>
      </c>
      <c r="O31" s="8" t="s">
        <v>4963</v>
      </c>
      <c r="P31" s="8" t="s">
        <v>4964</v>
      </c>
      <c r="Q31" s="84" t="str">
        <f t="shared" si="1"/>
        <v>DENTRO DEL TIEMPO</v>
      </c>
      <c r="R31" s="81"/>
    </row>
    <row r="32" spans="1:18" ht="50.25" x14ac:dyDescent="0.25">
      <c r="A32" s="6">
        <v>27</v>
      </c>
      <c r="B32" s="8" t="s">
        <v>4965</v>
      </c>
      <c r="C32" s="27">
        <v>44685</v>
      </c>
      <c r="D32" s="27">
        <v>44685</v>
      </c>
      <c r="E32" s="81">
        <v>2</v>
      </c>
      <c r="F32" s="82" t="s">
        <v>22</v>
      </c>
      <c r="G32" s="8" t="s">
        <v>30</v>
      </c>
      <c r="H32" s="8" t="s">
        <v>24</v>
      </c>
      <c r="I32" s="8" t="s">
        <v>30</v>
      </c>
      <c r="J32" s="27">
        <v>44687</v>
      </c>
      <c r="K32" s="27">
        <v>44687</v>
      </c>
      <c r="L32" s="83">
        <f t="shared" si="0"/>
        <v>2</v>
      </c>
      <c r="M32" s="8" t="s">
        <v>4966</v>
      </c>
      <c r="N32" s="84" t="s">
        <v>26</v>
      </c>
      <c r="O32" s="8" t="s">
        <v>4967</v>
      </c>
      <c r="P32" s="8" t="s">
        <v>4968</v>
      </c>
      <c r="Q32" s="84" t="str">
        <f t="shared" si="1"/>
        <v>DENTRO DEL TIEMPO</v>
      </c>
      <c r="R32" s="81"/>
    </row>
    <row r="33" spans="1:18" ht="50.25" x14ac:dyDescent="0.25">
      <c r="A33" s="6">
        <v>28</v>
      </c>
      <c r="B33" s="8" t="s">
        <v>4969</v>
      </c>
      <c r="C33" s="27">
        <v>44685</v>
      </c>
      <c r="D33" s="27">
        <v>44685</v>
      </c>
      <c r="E33" s="81">
        <v>2</v>
      </c>
      <c r="F33" s="82" t="s">
        <v>22</v>
      </c>
      <c r="G33" s="8" t="s">
        <v>30</v>
      </c>
      <c r="H33" s="8" t="s">
        <v>24</v>
      </c>
      <c r="I33" s="8" t="s">
        <v>30</v>
      </c>
      <c r="J33" s="27">
        <v>44686</v>
      </c>
      <c r="K33" s="27">
        <v>44686</v>
      </c>
      <c r="L33" s="83">
        <f t="shared" si="0"/>
        <v>1</v>
      </c>
      <c r="M33" s="8" t="s">
        <v>4970</v>
      </c>
      <c r="N33" s="84" t="s">
        <v>26</v>
      </c>
      <c r="O33" s="8" t="s">
        <v>257</v>
      </c>
      <c r="P33" s="8" t="s">
        <v>4934</v>
      </c>
      <c r="Q33" s="84" t="str">
        <f t="shared" si="1"/>
        <v>DENTRO DEL TIEMPO</v>
      </c>
      <c r="R33" s="81"/>
    </row>
    <row r="34" spans="1:18" ht="50.25" x14ac:dyDescent="0.25">
      <c r="A34" s="6">
        <v>29</v>
      </c>
      <c r="B34" s="8" t="s">
        <v>4971</v>
      </c>
      <c r="C34" s="27">
        <v>44685</v>
      </c>
      <c r="D34" s="27">
        <v>44685</v>
      </c>
      <c r="E34" s="81">
        <v>2</v>
      </c>
      <c r="F34" s="82" t="s">
        <v>22</v>
      </c>
      <c r="G34" s="8" t="s">
        <v>30</v>
      </c>
      <c r="H34" s="8" t="s">
        <v>24</v>
      </c>
      <c r="I34" s="8" t="s">
        <v>30</v>
      </c>
      <c r="J34" s="27">
        <v>44686</v>
      </c>
      <c r="K34" s="27">
        <v>44686</v>
      </c>
      <c r="L34" s="83">
        <f t="shared" si="0"/>
        <v>1</v>
      </c>
      <c r="M34" s="8" t="s">
        <v>4972</v>
      </c>
      <c r="N34" s="84" t="s">
        <v>26</v>
      </c>
      <c r="O34" s="8" t="s">
        <v>257</v>
      </c>
      <c r="P34" s="8" t="s">
        <v>4934</v>
      </c>
      <c r="Q34" s="84" t="str">
        <f t="shared" si="1"/>
        <v>DENTRO DEL TIEMPO</v>
      </c>
      <c r="R34" s="81"/>
    </row>
    <row r="35" spans="1:18" ht="50.25" x14ac:dyDescent="0.25">
      <c r="A35" s="6">
        <v>30</v>
      </c>
      <c r="B35" s="8" t="s">
        <v>4973</v>
      </c>
      <c r="C35" s="27">
        <v>44685</v>
      </c>
      <c r="D35" s="27">
        <v>44685</v>
      </c>
      <c r="E35" s="81">
        <v>2</v>
      </c>
      <c r="F35" s="82" t="s">
        <v>22</v>
      </c>
      <c r="G35" s="8" t="s">
        <v>30</v>
      </c>
      <c r="H35" s="8" t="s">
        <v>24</v>
      </c>
      <c r="I35" s="8" t="s">
        <v>30</v>
      </c>
      <c r="J35" s="27">
        <v>44687</v>
      </c>
      <c r="K35" s="27">
        <v>44687</v>
      </c>
      <c r="L35" s="83">
        <f t="shared" si="0"/>
        <v>2</v>
      </c>
      <c r="M35" s="8" t="s">
        <v>4974</v>
      </c>
      <c r="N35" s="84" t="s">
        <v>26</v>
      </c>
      <c r="O35" s="8" t="s">
        <v>257</v>
      </c>
      <c r="P35" s="8" t="s">
        <v>4934</v>
      </c>
      <c r="Q35" s="84" t="str">
        <f t="shared" si="1"/>
        <v>DENTRO DEL TIEMPO</v>
      </c>
      <c r="R35" s="81"/>
    </row>
    <row r="36" spans="1:18" ht="50.25" x14ac:dyDescent="0.25">
      <c r="A36" s="6">
        <v>31</v>
      </c>
      <c r="B36" s="8" t="s">
        <v>4975</v>
      </c>
      <c r="C36" s="27">
        <v>44685</v>
      </c>
      <c r="D36" s="27">
        <v>44685</v>
      </c>
      <c r="E36" s="81">
        <v>2</v>
      </c>
      <c r="F36" s="82" t="s">
        <v>22</v>
      </c>
      <c r="G36" s="8" t="s">
        <v>30</v>
      </c>
      <c r="H36" s="8" t="s">
        <v>24</v>
      </c>
      <c r="I36" s="8" t="s">
        <v>30</v>
      </c>
      <c r="J36" s="27">
        <v>44690</v>
      </c>
      <c r="K36" s="27">
        <v>44690</v>
      </c>
      <c r="L36" s="83">
        <f t="shared" si="0"/>
        <v>3</v>
      </c>
      <c r="M36" s="8" t="s">
        <v>4976</v>
      </c>
      <c r="N36" s="84" t="s">
        <v>26</v>
      </c>
      <c r="O36" s="8" t="s">
        <v>4967</v>
      </c>
      <c r="P36" s="8" t="s">
        <v>4968</v>
      </c>
      <c r="Q36" s="84" t="str">
        <f t="shared" si="1"/>
        <v>DENTRO DEL TIEMPO</v>
      </c>
      <c r="R36" s="81"/>
    </row>
    <row r="37" spans="1:18" ht="50.25" x14ac:dyDescent="0.25">
      <c r="A37" s="6">
        <v>32</v>
      </c>
      <c r="B37" s="8" t="s">
        <v>4977</v>
      </c>
      <c r="C37" s="27">
        <v>44685</v>
      </c>
      <c r="D37" s="27">
        <v>44685</v>
      </c>
      <c r="E37" s="81">
        <v>2</v>
      </c>
      <c r="F37" s="82" t="s">
        <v>22</v>
      </c>
      <c r="G37" s="8" t="s">
        <v>30</v>
      </c>
      <c r="H37" s="8" t="s">
        <v>24</v>
      </c>
      <c r="I37" s="8" t="s">
        <v>30</v>
      </c>
      <c r="J37" s="27">
        <v>44690</v>
      </c>
      <c r="K37" s="27">
        <v>44690</v>
      </c>
      <c r="L37" s="83">
        <f t="shared" si="0"/>
        <v>3</v>
      </c>
      <c r="M37" s="8" t="s">
        <v>4978</v>
      </c>
      <c r="N37" s="84" t="s">
        <v>26</v>
      </c>
      <c r="O37" s="8" t="s">
        <v>257</v>
      </c>
      <c r="P37" s="8" t="s">
        <v>4934</v>
      </c>
      <c r="Q37" s="84" t="str">
        <f t="shared" si="1"/>
        <v>DENTRO DEL TIEMPO</v>
      </c>
      <c r="R37" s="81"/>
    </row>
    <row r="38" spans="1:18" ht="50.25" x14ac:dyDescent="0.25">
      <c r="A38" s="6">
        <v>33</v>
      </c>
      <c r="B38" s="8" t="s">
        <v>4979</v>
      </c>
      <c r="C38" s="27">
        <v>44685</v>
      </c>
      <c r="D38" s="27">
        <v>44685</v>
      </c>
      <c r="E38" s="81">
        <v>2</v>
      </c>
      <c r="F38" s="82" t="s">
        <v>22</v>
      </c>
      <c r="G38" s="8" t="s">
        <v>30</v>
      </c>
      <c r="H38" s="8" t="s">
        <v>24</v>
      </c>
      <c r="I38" s="8" t="s">
        <v>30</v>
      </c>
      <c r="J38" s="27">
        <v>44687</v>
      </c>
      <c r="K38" s="27">
        <v>44687</v>
      </c>
      <c r="L38" s="83">
        <f t="shared" si="0"/>
        <v>2</v>
      </c>
      <c r="M38" s="8" t="s">
        <v>4980</v>
      </c>
      <c r="N38" s="84" t="s">
        <v>26</v>
      </c>
      <c r="O38" s="8" t="s">
        <v>1570</v>
      </c>
      <c r="P38" s="8" t="s">
        <v>4981</v>
      </c>
      <c r="Q38" s="84" t="str">
        <f t="shared" si="1"/>
        <v>DENTRO DEL TIEMPO</v>
      </c>
      <c r="R38" s="81"/>
    </row>
    <row r="39" spans="1:18" ht="50.25" x14ac:dyDescent="0.25">
      <c r="A39" s="6">
        <v>34</v>
      </c>
      <c r="B39" s="8" t="s">
        <v>4982</v>
      </c>
      <c r="C39" s="27">
        <v>44685</v>
      </c>
      <c r="D39" s="27">
        <v>44685</v>
      </c>
      <c r="E39" s="81">
        <v>2</v>
      </c>
      <c r="F39" s="82" t="s">
        <v>22</v>
      </c>
      <c r="G39" s="8" t="s">
        <v>30</v>
      </c>
      <c r="H39" s="8" t="s">
        <v>24</v>
      </c>
      <c r="I39" s="8" t="s">
        <v>30</v>
      </c>
      <c r="J39" s="27">
        <v>44690</v>
      </c>
      <c r="K39" s="27">
        <v>44690</v>
      </c>
      <c r="L39" s="83">
        <f t="shared" si="0"/>
        <v>3</v>
      </c>
      <c r="M39" s="8" t="s">
        <v>4983</v>
      </c>
      <c r="N39" s="84" t="s">
        <v>26</v>
      </c>
      <c r="O39" s="8" t="s">
        <v>4984</v>
      </c>
      <c r="P39" s="8" t="s">
        <v>4985</v>
      </c>
      <c r="Q39" s="84" t="str">
        <f t="shared" si="1"/>
        <v>DENTRO DEL TIEMPO</v>
      </c>
      <c r="R39" s="81"/>
    </row>
    <row r="40" spans="1:18" ht="50.25" hidden="1" x14ac:dyDescent="0.25">
      <c r="A40" s="6">
        <v>35</v>
      </c>
      <c r="B40" s="8" t="s">
        <v>4986</v>
      </c>
      <c r="C40" s="27">
        <v>44685</v>
      </c>
      <c r="D40" s="27">
        <v>44685</v>
      </c>
      <c r="E40" s="81">
        <v>0</v>
      </c>
      <c r="F40" s="85" t="s">
        <v>790</v>
      </c>
      <c r="G40" s="8" t="s">
        <v>4505</v>
      </c>
      <c r="H40" s="8" t="s">
        <v>2592</v>
      </c>
      <c r="I40" s="8" t="s">
        <v>4505</v>
      </c>
      <c r="J40" s="27">
        <v>44738</v>
      </c>
      <c r="K40" s="27">
        <v>44738</v>
      </c>
      <c r="L40" s="83">
        <f t="shared" si="0"/>
        <v>37</v>
      </c>
      <c r="M40" s="8" t="s">
        <v>4987</v>
      </c>
      <c r="N40" s="84" t="s">
        <v>26</v>
      </c>
      <c r="O40" s="8" t="s">
        <v>4988</v>
      </c>
      <c r="P40" s="8" t="s">
        <v>4989</v>
      </c>
      <c r="Q40" s="84" t="str">
        <f t="shared" si="1"/>
        <v>FUERA DE TIEMPO</v>
      </c>
      <c r="R40" s="81"/>
    </row>
    <row r="41" spans="1:18" ht="50.25" x14ac:dyDescent="0.25">
      <c r="A41" s="6">
        <v>36</v>
      </c>
      <c r="B41" s="8" t="s">
        <v>4990</v>
      </c>
      <c r="C41" s="27">
        <v>44685</v>
      </c>
      <c r="D41" s="27">
        <v>44685</v>
      </c>
      <c r="E41" s="81">
        <v>2</v>
      </c>
      <c r="F41" s="82" t="s">
        <v>22</v>
      </c>
      <c r="G41" s="8" t="s">
        <v>30</v>
      </c>
      <c r="H41" s="8" t="s">
        <v>24</v>
      </c>
      <c r="I41" s="8" t="s">
        <v>30</v>
      </c>
      <c r="J41" s="27">
        <v>44690</v>
      </c>
      <c r="K41" s="27">
        <v>44690</v>
      </c>
      <c r="L41" s="83">
        <f t="shared" si="0"/>
        <v>3</v>
      </c>
      <c r="M41" s="8" t="s">
        <v>4991</v>
      </c>
      <c r="N41" s="84" t="s">
        <v>26</v>
      </c>
      <c r="O41" s="8" t="s">
        <v>4992</v>
      </c>
      <c r="P41" s="8" t="s">
        <v>4993</v>
      </c>
      <c r="Q41" s="84" t="str">
        <f t="shared" si="1"/>
        <v>DENTRO DEL TIEMPO</v>
      </c>
      <c r="R41" s="81"/>
    </row>
    <row r="42" spans="1:18" ht="50.25" x14ac:dyDescent="0.25">
      <c r="A42" s="6">
        <v>37</v>
      </c>
      <c r="B42" s="8" t="s">
        <v>4994</v>
      </c>
      <c r="C42" s="27">
        <v>44685</v>
      </c>
      <c r="D42" s="27">
        <v>44685</v>
      </c>
      <c r="E42" s="81">
        <v>2</v>
      </c>
      <c r="F42" s="82" t="s">
        <v>22</v>
      </c>
      <c r="G42" s="8" t="s">
        <v>30</v>
      </c>
      <c r="H42" s="8" t="s">
        <v>24</v>
      </c>
      <c r="I42" s="8" t="s">
        <v>30</v>
      </c>
      <c r="J42" s="27">
        <v>44690</v>
      </c>
      <c r="K42" s="27">
        <v>44690</v>
      </c>
      <c r="L42" s="83">
        <f t="shared" si="0"/>
        <v>3</v>
      </c>
      <c r="M42" s="8" t="s">
        <v>4995</v>
      </c>
      <c r="N42" s="84" t="s">
        <v>26</v>
      </c>
      <c r="O42" s="8" t="s">
        <v>4996</v>
      </c>
      <c r="P42" s="8" t="s">
        <v>4997</v>
      </c>
      <c r="Q42" s="84" t="str">
        <f t="shared" si="1"/>
        <v>DENTRO DEL TIEMPO</v>
      </c>
      <c r="R42" s="81"/>
    </row>
    <row r="43" spans="1:18" ht="50.25" x14ac:dyDescent="0.25">
      <c r="A43" s="6">
        <v>38</v>
      </c>
      <c r="B43" s="8" t="s">
        <v>4998</v>
      </c>
      <c r="C43" s="27">
        <v>44686</v>
      </c>
      <c r="D43" s="27">
        <v>44686</v>
      </c>
      <c r="E43" s="81">
        <v>2</v>
      </c>
      <c r="F43" s="82" t="s">
        <v>22</v>
      </c>
      <c r="G43" s="8" t="s">
        <v>30</v>
      </c>
      <c r="H43" s="8" t="s">
        <v>24</v>
      </c>
      <c r="I43" s="8" t="s">
        <v>30</v>
      </c>
      <c r="J43" s="27">
        <v>44690</v>
      </c>
      <c r="K43" s="27">
        <v>44690</v>
      </c>
      <c r="L43" s="83">
        <f t="shared" si="0"/>
        <v>2</v>
      </c>
      <c r="M43" s="8" t="s">
        <v>4999</v>
      </c>
      <c r="N43" s="84" t="s">
        <v>26</v>
      </c>
      <c r="O43" s="8" t="s">
        <v>1295</v>
      </c>
      <c r="P43" s="8" t="s">
        <v>5000</v>
      </c>
      <c r="Q43" s="84" t="str">
        <f t="shared" si="1"/>
        <v>DENTRO DEL TIEMPO</v>
      </c>
      <c r="R43" s="81"/>
    </row>
    <row r="44" spans="1:18" ht="50.25" x14ac:dyDescent="0.25">
      <c r="A44" s="6">
        <v>39</v>
      </c>
      <c r="B44" s="8" t="s">
        <v>5001</v>
      </c>
      <c r="C44" s="27">
        <v>44686</v>
      </c>
      <c r="D44" s="27">
        <v>44686</v>
      </c>
      <c r="E44" s="81">
        <v>2</v>
      </c>
      <c r="F44" s="82" t="s">
        <v>22</v>
      </c>
      <c r="G44" s="8" t="s">
        <v>30</v>
      </c>
      <c r="H44" s="8" t="s">
        <v>24</v>
      </c>
      <c r="I44" s="8" t="s">
        <v>30</v>
      </c>
      <c r="J44" s="27">
        <v>44690</v>
      </c>
      <c r="K44" s="27">
        <v>44690</v>
      </c>
      <c r="L44" s="83">
        <f t="shared" si="0"/>
        <v>2</v>
      </c>
      <c r="M44" s="8" t="s">
        <v>5002</v>
      </c>
      <c r="N44" s="84" t="s">
        <v>26</v>
      </c>
      <c r="O44" s="8" t="s">
        <v>5003</v>
      </c>
      <c r="P44" s="8" t="s">
        <v>5004</v>
      </c>
      <c r="Q44" s="84" t="str">
        <f t="shared" si="1"/>
        <v>DENTRO DEL TIEMPO</v>
      </c>
      <c r="R44" s="81"/>
    </row>
    <row r="45" spans="1:18" ht="50.25" x14ac:dyDescent="0.25">
      <c r="A45" s="6">
        <v>40</v>
      </c>
      <c r="B45" s="8" t="s">
        <v>5005</v>
      </c>
      <c r="C45" s="27">
        <v>44686</v>
      </c>
      <c r="D45" s="27">
        <v>44686</v>
      </c>
      <c r="E45" s="81">
        <v>2</v>
      </c>
      <c r="F45" s="82" t="s">
        <v>22</v>
      </c>
      <c r="G45" s="8" t="s">
        <v>23</v>
      </c>
      <c r="H45" s="8" t="s">
        <v>24</v>
      </c>
      <c r="I45" s="8" t="s">
        <v>23</v>
      </c>
      <c r="J45" s="27">
        <v>44690</v>
      </c>
      <c r="K45" s="27">
        <v>44690</v>
      </c>
      <c r="L45" s="83">
        <f t="shared" si="0"/>
        <v>2</v>
      </c>
      <c r="M45" s="8" t="s">
        <v>5006</v>
      </c>
      <c r="N45" s="84" t="s">
        <v>26</v>
      </c>
      <c r="O45" s="8" t="s">
        <v>5007</v>
      </c>
      <c r="P45" s="8" t="s">
        <v>5008</v>
      </c>
      <c r="Q45" s="84" t="str">
        <f t="shared" si="1"/>
        <v>DENTRO DEL TIEMPO</v>
      </c>
      <c r="R45" s="81"/>
    </row>
    <row r="46" spans="1:18" ht="50.25" x14ac:dyDescent="0.25">
      <c r="A46" s="6">
        <v>41</v>
      </c>
      <c r="B46" s="8" t="s">
        <v>5009</v>
      </c>
      <c r="C46" s="27">
        <v>44686</v>
      </c>
      <c r="D46" s="27">
        <v>44686</v>
      </c>
      <c r="E46" s="81">
        <v>2</v>
      </c>
      <c r="F46" s="82" t="s">
        <v>22</v>
      </c>
      <c r="G46" s="8" t="s">
        <v>23</v>
      </c>
      <c r="H46" s="8" t="s">
        <v>24</v>
      </c>
      <c r="I46" s="8" t="s">
        <v>23</v>
      </c>
      <c r="J46" s="27">
        <v>44692</v>
      </c>
      <c r="K46" s="27">
        <v>44692</v>
      </c>
      <c r="L46" s="83">
        <f t="shared" si="0"/>
        <v>4</v>
      </c>
      <c r="M46" s="8" t="s">
        <v>5010</v>
      </c>
      <c r="N46" s="84" t="s">
        <v>26</v>
      </c>
      <c r="O46" s="8" t="s">
        <v>5011</v>
      </c>
      <c r="P46" s="8" t="s">
        <v>5012</v>
      </c>
      <c r="Q46" s="84" t="str">
        <f t="shared" si="1"/>
        <v>DENTRO DEL TIEMPO</v>
      </c>
      <c r="R46" s="81"/>
    </row>
    <row r="47" spans="1:18" ht="50.25" x14ac:dyDescent="0.25">
      <c r="A47" s="6">
        <v>42</v>
      </c>
      <c r="B47" s="8" t="s">
        <v>5013</v>
      </c>
      <c r="C47" s="27">
        <v>44686</v>
      </c>
      <c r="D47" s="27">
        <v>44686</v>
      </c>
      <c r="E47" s="81">
        <v>2</v>
      </c>
      <c r="F47" s="82" t="s">
        <v>22</v>
      </c>
      <c r="G47" s="8" t="s">
        <v>30</v>
      </c>
      <c r="H47" s="8" t="s">
        <v>24</v>
      </c>
      <c r="I47" s="8" t="s">
        <v>30</v>
      </c>
      <c r="J47" s="27">
        <v>44690</v>
      </c>
      <c r="K47" s="27">
        <v>44690</v>
      </c>
      <c r="L47" s="83">
        <f t="shared" si="0"/>
        <v>2</v>
      </c>
      <c r="M47" s="8" t="s">
        <v>5014</v>
      </c>
      <c r="N47" s="84" t="s">
        <v>26</v>
      </c>
      <c r="O47" s="8" t="s">
        <v>322</v>
      </c>
      <c r="P47" s="8" t="s">
        <v>5015</v>
      </c>
      <c r="Q47" s="84" t="str">
        <f t="shared" si="1"/>
        <v>DENTRO DEL TIEMPO</v>
      </c>
      <c r="R47" s="81"/>
    </row>
    <row r="48" spans="1:18" ht="50.25" x14ac:dyDescent="0.25">
      <c r="A48" s="6">
        <v>43</v>
      </c>
      <c r="B48" s="8" t="s">
        <v>5016</v>
      </c>
      <c r="C48" s="27">
        <v>44687</v>
      </c>
      <c r="D48" s="27">
        <v>44687</v>
      </c>
      <c r="E48" s="81">
        <v>6</v>
      </c>
      <c r="F48" s="82" t="s">
        <v>22</v>
      </c>
      <c r="G48" s="8" t="s">
        <v>23</v>
      </c>
      <c r="H48" s="8" t="s">
        <v>24</v>
      </c>
      <c r="I48" s="8" t="s">
        <v>23</v>
      </c>
      <c r="J48" s="27">
        <v>44697</v>
      </c>
      <c r="K48" s="27">
        <v>44697</v>
      </c>
      <c r="L48" s="83">
        <f t="shared" si="0"/>
        <v>6</v>
      </c>
      <c r="M48" s="8" t="s">
        <v>5017</v>
      </c>
      <c r="N48" s="84" t="s">
        <v>26</v>
      </c>
      <c r="O48" s="8" t="s">
        <v>4908</v>
      </c>
      <c r="P48" s="8" t="s">
        <v>4909</v>
      </c>
      <c r="Q48" s="84" t="str">
        <f t="shared" si="1"/>
        <v>DENTRO DEL TIEMPO</v>
      </c>
      <c r="R48" s="81"/>
    </row>
    <row r="49" spans="1:18" ht="50.25" x14ac:dyDescent="0.25">
      <c r="A49" s="6">
        <v>44</v>
      </c>
      <c r="B49" s="8" t="s">
        <v>5018</v>
      </c>
      <c r="C49" s="27">
        <v>44687</v>
      </c>
      <c r="D49" s="27">
        <v>44687</v>
      </c>
      <c r="E49" s="81">
        <v>824</v>
      </c>
      <c r="F49" s="82" t="s">
        <v>22</v>
      </c>
      <c r="G49" s="8" t="s">
        <v>23</v>
      </c>
      <c r="H49" s="8" t="s">
        <v>24</v>
      </c>
      <c r="I49" s="8" t="s">
        <v>23</v>
      </c>
      <c r="J49" s="27">
        <v>44694</v>
      </c>
      <c r="K49" s="27">
        <v>44694</v>
      </c>
      <c r="L49" s="83">
        <f t="shared" si="0"/>
        <v>5</v>
      </c>
      <c r="M49" s="8" t="s">
        <v>5019</v>
      </c>
      <c r="N49" s="84" t="s">
        <v>26</v>
      </c>
      <c r="O49" s="8" t="s">
        <v>5007</v>
      </c>
      <c r="P49" s="8" t="s">
        <v>5020</v>
      </c>
      <c r="Q49" s="84" t="str">
        <f t="shared" si="1"/>
        <v>DENTRO DEL TIEMPO</v>
      </c>
      <c r="R49" s="81"/>
    </row>
    <row r="50" spans="1:18" ht="50.25" x14ac:dyDescent="0.25">
      <c r="A50" s="6">
        <v>45</v>
      </c>
      <c r="B50" s="8" t="s">
        <v>5021</v>
      </c>
      <c r="C50" s="27">
        <v>44687</v>
      </c>
      <c r="D50" s="27">
        <v>44687</v>
      </c>
      <c r="E50" s="81">
        <v>2</v>
      </c>
      <c r="F50" s="82" t="s">
        <v>22</v>
      </c>
      <c r="G50" s="8" t="s">
        <v>30</v>
      </c>
      <c r="H50" s="8" t="s">
        <v>24</v>
      </c>
      <c r="I50" s="8" t="s">
        <v>30</v>
      </c>
      <c r="J50" s="27">
        <v>44690</v>
      </c>
      <c r="K50" s="27">
        <v>44690</v>
      </c>
      <c r="L50" s="83">
        <f t="shared" si="0"/>
        <v>1</v>
      </c>
      <c r="M50" s="8" t="s">
        <v>5022</v>
      </c>
      <c r="N50" s="84" t="s">
        <v>26</v>
      </c>
      <c r="O50" s="8" t="s">
        <v>5023</v>
      </c>
      <c r="P50" s="8" t="s">
        <v>5024</v>
      </c>
      <c r="Q50" s="84" t="str">
        <f t="shared" si="1"/>
        <v>DENTRO DEL TIEMPO</v>
      </c>
      <c r="R50" s="81"/>
    </row>
    <row r="51" spans="1:18" ht="50.25" x14ac:dyDescent="0.25">
      <c r="A51" s="6">
        <v>46</v>
      </c>
      <c r="B51" s="8" t="s">
        <v>5025</v>
      </c>
      <c r="C51" s="27">
        <v>44687</v>
      </c>
      <c r="D51" s="27">
        <v>44687</v>
      </c>
      <c r="E51" s="81">
        <v>2</v>
      </c>
      <c r="F51" s="82" t="s">
        <v>22</v>
      </c>
      <c r="G51" s="8" t="s">
        <v>30</v>
      </c>
      <c r="H51" s="8" t="s">
        <v>24</v>
      </c>
      <c r="I51" s="8" t="s">
        <v>30</v>
      </c>
      <c r="J51" s="27">
        <v>44691</v>
      </c>
      <c r="K51" s="27">
        <v>44691</v>
      </c>
      <c r="L51" s="83">
        <f t="shared" si="0"/>
        <v>2</v>
      </c>
      <c r="M51" s="8" t="s">
        <v>5026</v>
      </c>
      <c r="N51" s="84" t="s">
        <v>26</v>
      </c>
      <c r="O51" s="8" t="s">
        <v>402</v>
      </c>
      <c r="P51" s="8" t="s">
        <v>5027</v>
      </c>
      <c r="Q51" s="84" t="str">
        <f t="shared" si="1"/>
        <v>DENTRO DEL TIEMPO</v>
      </c>
      <c r="R51" s="81"/>
    </row>
    <row r="52" spans="1:18" ht="50.25" x14ac:dyDescent="0.25">
      <c r="A52" s="6">
        <v>47</v>
      </c>
      <c r="B52" s="8" t="s">
        <v>5028</v>
      </c>
      <c r="C52" s="27">
        <v>44687</v>
      </c>
      <c r="D52" s="27">
        <v>44687</v>
      </c>
      <c r="E52" s="81">
        <v>2</v>
      </c>
      <c r="F52" s="82" t="s">
        <v>22</v>
      </c>
      <c r="G52" s="8" t="s">
        <v>30</v>
      </c>
      <c r="H52" s="8" t="s">
        <v>24</v>
      </c>
      <c r="I52" s="8" t="s">
        <v>30</v>
      </c>
      <c r="J52" s="27">
        <v>44691</v>
      </c>
      <c r="K52" s="27">
        <v>44691</v>
      </c>
      <c r="L52" s="83">
        <f t="shared" si="0"/>
        <v>2</v>
      </c>
      <c r="M52" s="8" t="s">
        <v>5029</v>
      </c>
      <c r="N52" s="84" t="s">
        <v>26</v>
      </c>
      <c r="O52" s="8" t="s">
        <v>1454</v>
      </c>
      <c r="P52" s="8" t="s">
        <v>5030</v>
      </c>
      <c r="Q52" s="84" t="str">
        <f t="shared" si="1"/>
        <v>DENTRO DEL TIEMPO</v>
      </c>
      <c r="R52" s="81"/>
    </row>
    <row r="53" spans="1:18" ht="50.25" x14ac:dyDescent="0.25">
      <c r="A53" s="6">
        <v>48</v>
      </c>
      <c r="B53" s="8" t="s">
        <v>5031</v>
      </c>
      <c r="C53" s="27">
        <v>44687</v>
      </c>
      <c r="D53" s="27">
        <v>44687</v>
      </c>
      <c r="E53" s="81">
        <v>60</v>
      </c>
      <c r="F53" s="82" t="s">
        <v>22</v>
      </c>
      <c r="G53" s="8" t="s">
        <v>23</v>
      </c>
      <c r="H53" s="8" t="s">
        <v>24</v>
      </c>
      <c r="I53" s="8" t="s">
        <v>23</v>
      </c>
      <c r="J53" s="27">
        <v>44690</v>
      </c>
      <c r="K53" s="27">
        <v>44690</v>
      </c>
      <c r="L53" s="83">
        <f t="shared" si="0"/>
        <v>1</v>
      </c>
      <c r="M53" s="8" t="s">
        <v>5032</v>
      </c>
      <c r="N53" s="84" t="s">
        <v>26</v>
      </c>
      <c r="O53" s="8" t="s">
        <v>5033</v>
      </c>
      <c r="P53" s="8" t="s">
        <v>5034</v>
      </c>
      <c r="Q53" s="84" t="str">
        <f t="shared" si="1"/>
        <v>DENTRO DEL TIEMPO</v>
      </c>
      <c r="R53" s="81"/>
    </row>
    <row r="54" spans="1:18" ht="50.25" x14ac:dyDescent="0.25">
      <c r="A54" s="6">
        <v>49</v>
      </c>
      <c r="B54" s="8" t="s">
        <v>5035</v>
      </c>
      <c r="C54" s="27">
        <v>44687</v>
      </c>
      <c r="D54" s="27">
        <v>44687</v>
      </c>
      <c r="E54" s="81">
        <v>27</v>
      </c>
      <c r="F54" s="82" t="s">
        <v>22</v>
      </c>
      <c r="G54" s="8" t="s">
        <v>23</v>
      </c>
      <c r="H54" s="8" t="s">
        <v>24</v>
      </c>
      <c r="I54" s="8" t="s">
        <v>23</v>
      </c>
      <c r="J54" s="27">
        <v>44690</v>
      </c>
      <c r="K54" s="27">
        <v>44690</v>
      </c>
      <c r="L54" s="83">
        <f t="shared" si="0"/>
        <v>1</v>
      </c>
      <c r="M54" s="8" t="s">
        <v>5036</v>
      </c>
      <c r="N54" s="84" t="s">
        <v>26</v>
      </c>
      <c r="O54" s="8" t="s">
        <v>5037</v>
      </c>
      <c r="P54" s="8" t="s">
        <v>5038</v>
      </c>
      <c r="Q54" s="84" t="str">
        <f t="shared" si="1"/>
        <v>DENTRO DEL TIEMPO</v>
      </c>
      <c r="R54" s="81"/>
    </row>
    <row r="55" spans="1:18" ht="50.25" x14ac:dyDescent="0.25">
      <c r="A55" s="6">
        <v>50</v>
      </c>
      <c r="B55" s="8" t="s">
        <v>5039</v>
      </c>
      <c r="C55" s="27">
        <v>44687</v>
      </c>
      <c r="D55" s="27">
        <v>44687</v>
      </c>
      <c r="E55" s="81">
        <v>2</v>
      </c>
      <c r="F55" s="82" t="s">
        <v>22</v>
      </c>
      <c r="G55" s="8" t="s">
        <v>30</v>
      </c>
      <c r="H55" s="8" t="s">
        <v>24</v>
      </c>
      <c r="I55" s="8" t="s">
        <v>30</v>
      </c>
      <c r="J55" s="27">
        <v>44691</v>
      </c>
      <c r="K55" s="27">
        <v>44691</v>
      </c>
      <c r="L55" s="83">
        <f t="shared" si="0"/>
        <v>2</v>
      </c>
      <c r="M55" s="8" t="s">
        <v>5040</v>
      </c>
      <c r="N55" s="84" t="s">
        <v>26</v>
      </c>
      <c r="O55" s="8" t="s">
        <v>5041</v>
      </c>
      <c r="P55" s="8" t="s">
        <v>5042</v>
      </c>
      <c r="Q55" s="84" t="str">
        <f t="shared" si="1"/>
        <v>DENTRO DEL TIEMPO</v>
      </c>
      <c r="R55" s="81"/>
    </row>
    <row r="56" spans="1:18" ht="50.25" x14ac:dyDescent="0.25">
      <c r="A56" s="6">
        <v>51</v>
      </c>
      <c r="B56" s="8" t="s">
        <v>5043</v>
      </c>
      <c r="C56" s="27">
        <v>44687</v>
      </c>
      <c r="D56" s="27">
        <v>44687</v>
      </c>
      <c r="E56" s="81">
        <v>2</v>
      </c>
      <c r="F56" s="82" t="s">
        <v>22</v>
      </c>
      <c r="G56" s="8" t="s">
        <v>30</v>
      </c>
      <c r="H56" s="8" t="s">
        <v>24</v>
      </c>
      <c r="I56" s="8" t="s">
        <v>30</v>
      </c>
      <c r="J56" s="27">
        <v>44691</v>
      </c>
      <c r="K56" s="27">
        <v>44691</v>
      </c>
      <c r="L56" s="83">
        <f t="shared" si="0"/>
        <v>2</v>
      </c>
      <c r="M56" s="8" t="s">
        <v>5044</v>
      </c>
      <c r="N56" s="84" t="s">
        <v>26</v>
      </c>
      <c r="O56" s="8" t="s">
        <v>5045</v>
      </c>
      <c r="P56" s="8" t="s">
        <v>5046</v>
      </c>
      <c r="Q56" s="84" t="str">
        <f t="shared" si="1"/>
        <v>DENTRO DEL TIEMPO</v>
      </c>
      <c r="R56" s="81"/>
    </row>
    <row r="57" spans="1:18" ht="50.25" x14ac:dyDescent="0.25">
      <c r="A57" s="6">
        <v>52</v>
      </c>
      <c r="B57" s="8" t="s">
        <v>5047</v>
      </c>
      <c r="C57" s="27">
        <v>44687</v>
      </c>
      <c r="D57" s="27">
        <v>44687</v>
      </c>
      <c r="E57" s="81">
        <v>2</v>
      </c>
      <c r="F57" s="82" t="s">
        <v>22</v>
      </c>
      <c r="G57" s="8" t="s">
        <v>30</v>
      </c>
      <c r="H57" s="8" t="s">
        <v>24</v>
      </c>
      <c r="I57" s="8" t="s">
        <v>30</v>
      </c>
      <c r="J57" s="27">
        <v>44691</v>
      </c>
      <c r="K57" s="27">
        <v>44691</v>
      </c>
      <c r="L57" s="83">
        <f t="shared" si="0"/>
        <v>2</v>
      </c>
      <c r="M57" s="8" t="s">
        <v>5048</v>
      </c>
      <c r="N57" s="84" t="s">
        <v>26</v>
      </c>
      <c r="O57" s="8" t="s">
        <v>128</v>
      </c>
      <c r="P57" s="8" t="s">
        <v>5049</v>
      </c>
      <c r="Q57" s="84" t="str">
        <f t="shared" si="1"/>
        <v>DENTRO DEL TIEMPO</v>
      </c>
      <c r="R57" s="81"/>
    </row>
    <row r="58" spans="1:18" ht="50.25" x14ac:dyDescent="0.25">
      <c r="A58" s="6">
        <v>53</v>
      </c>
      <c r="B58" s="8" t="s">
        <v>5050</v>
      </c>
      <c r="C58" s="27">
        <v>44690</v>
      </c>
      <c r="D58" s="27">
        <v>44690</v>
      </c>
      <c r="E58" s="81">
        <v>128</v>
      </c>
      <c r="F58" s="82" t="s">
        <v>22</v>
      </c>
      <c r="G58" s="8" t="s">
        <v>23</v>
      </c>
      <c r="H58" s="8" t="s">
        <v>24</v>
      </c>
      <c r="I58" s="8" t="s">
        <v>23</v>
      </c>
      <c r="J58" s="27">
        <v>44690</v>
      </c>
      <c r="K58" s="27">
        <v>44690</v>
      </c>
      <c r="L58" s="83">
        <f t="shared" si="0"/>
        <v>0</v>
      </c>
      <c r="M58" s="8" t="s">
        <v>5051</v>
      </c>
      <c r="N58" s="84" t="s">
        <v>26</v>
      </c>
      <c r="O58" s="8" t="s">
        <v>5052</v>
      </c>
      <c r="P58" s="8" t="s">
        <v>5053</v>
      </c>
      <c r="Q58" s="84" t="str">
        <f t="shared" si="1"/>
        <v>DENTRO DEL TIEMPO</v>
      </c>
      <c r="R58" s="81"/>
    </row>
    <row r="59" spans="1:18" ht="50.25" x14ac:dyDescent="0.25">
      <c r="A59" s="6">
        <v>54</v>
      </c>
      <c r="B59" s="8" t="s">
        <v>5054</v>
      </c>
      <c r="C59" s="27">
        <v>44690</v>
      </c>
      <c r="D59" s="27">
        <v>44690</v>
      </c>
      <c r="E59" s="81">
        <v>2</v>
      </c>
      <c r="F59" s="82" t="s">
        <v>22</v>
      </c>
      <c r="G59" s="8" t="s">
        <v>30</v>
      </c>
      <c r="H59" s="8" t="s">
        <v>24</v>
      </c>
      <c r="I59" s="8" t="s">
        <v>30</v>
      </c>
      <c r="J59" s="27">
        <v>44691</v>
      </c>
      <c r="K59" s="27">
        <v>44691</v>
      </c>
      <c r="L59" s="83">
        <f t="shared" si="0"/>
        <v>1</v>
      </c>
      <c r="M59" s="8" t="s">
        <v>5055</v>
      </c>
      <c r="N59" s="84" t="s">
        <v>26</v>
      </c>
      <c r="O59" s="8" t="s">
        <v>525</v>
      </c>
      <c r="P59" s="8" t="s">
        <v>5056</v>
      </c>
      <c r="Q59" s="84" t="str">
        <f t="shared" si="1"/>
        <v>DENTRO DEL TIEMPO</v>
      </c>
      <c r="R59" s="81"/>
    </row>
    <row r="60" spans="1:18" ht="50.25" x14ac:dyDescent="0.25">
      <c r="A60" s="6">
        <v>55</v>
      </c>
      <c r="B60" s="8" t="s">
        <v>5057</v>
      </c>
      <c r="C60" s="27">
        <v>44690</v>
      </c>
      <c r="D60" s="27">
        <v>44690</v>
      </c>
      <c r="E60" s="81">
        <v>2</v>
      </c>
      <c r="F60" s="82" t="s">
        <v>22</v>
      </c>
      <c r="G60" s="8" t="s">
        <v>30</v>
      </c>
      <c r="H60" s="8" t="s">
        <v>24</v>
      </c>
      <c r="I60" s="8" t="s">
        <v>30</v>
      </c>
      <c r="J60" s="27">
        <v>44691</v>
      </c>
      <c r="K60" s="27">
        <v>44691</v>
      </c>
      <c r="L60" s="83">
        <f t="shared" si="0"/>
        <v>1</v>
      </c>
      <c r="M60" s="8" t="s">
        <v>5058</v>
      </c>
      <c r="N60" s="84" t="s">
        <v>26</v>
      </c>
      <c r="O60" s="8" t="s">
        <v>729</v>
      </c>
      <c r="P60" s="8" t="s">
        <v>5059</v>
      </c>
      <c r="Q60" s="84" t="str">
        <f t="shared" si="1"/>
        <v>DENTRO DEL TIEMPO</v>
      </c>
      <c r="R60" s="81"/>
    </row>
    <row r="61" spans="1:18" ht="50.25" x14ac:dyDescent="0.25">
      <c r="A61" s="6">
        <v>56</v>
      </c>
      <c r="B61" s="8" t="s">
        <v>5060</v>
      </c>
      <c r="C61" s="27">
        <v>44690</v>
      </c>
      <c r="D61" s="27">
        <v>44690</v>
      </c>
      <c r="E61" s="81">
        <v>2</v>
      </c>
      <c r="F61" s="82" t="s">
        <v>22</v>
      </c>
      <c r="G61" s="8" t="s">
        <v>30</v>
      </c>
      <c r="H61" s="8" t="s">
        <v>24</v>
      </c>
      <c r="I61" s="8" t="s">
        <v>30</v>
      </c>
      <c r="J61" s="27">
        <v>44691</v>
      </c>
      <c r="K61" s="27">
        <v>44691</v>
      </c>
      <c r="L61" s="83">
        <f t="shared" si="0"/>
        <v>1</v>
      </c>
      <c r="M61" s="8" t="s">
        <v>5061</v>
      </c>
      <c r="N61" s="84" t="s">
        <v>26</v>
      </c>
      <c r="O61" s="8" t="s">
        <v>5062</v>
      </c>
      <c r="P61" s="8" t="s">
        <v>5063</v>
      </c>
      <c r="Q61" s="84" t="str">
        <f t="shared" si="1"/>
        <v>DENTRO DEL TIEMPO</v>
      </c>
      <c r="R61" s="81"/>
    </row>
    <row r="62" spans="1:18" ht="50.25" x14ac:dyDescent="0.25">
      <c r="A62" s="6">
        <v>57</v>
      </c>
      <c r="B62" s="8" t="s">
        <v>5064</v>
      </c>
      <c r="C62" s="27">
        <v>44690</v>
      </c>
      <c r="D62" s="27">
        <v>44690</v>
      </c>
      <c r="E62" s="81">
        <v>2</v>
      </c>
      <c r="F62" s="82" t="s">
        <v>22</v>
      </c>
      <c r="G62" s="8" t="s">
        <v>30</v>
      </c>
      <c r="H62" s="8" t="s">
        <v>24</v>
      </c>
      <c r="I62" s="8" t="s">
        <v>30</v>
      </c>
      <c r="J62" s="27">
        <v>44691</v>
      </c>
      <c r="K62" s="27">
        <v>44691</v>
      </c>
      <c r="L62" s="83">
        <f t="shared" si="0"/>
        <v>1</v>
      </c>
      <c r="M62" s="8" t="s">
        <v>5065</v>
      </c>
      <c r="N62" s="84" t="s">
        <v>26</v>
      </c>
      <c r="O62" s="8" t="s">
        <v>402</v>
      </c>
      <c r="P62" s="8" t="s">
        <v>5066</v>
      </c>
      <c r="Q62" s="84" t="str">
        <f t="shared" si="1"/>
        <v>DENTRO DEL TIEMPO</v>
      </c>
      <c r="R62" s="81"/>
    </row>
    <row r="63" spans="1:18" ht="50.25" x14ac:dyDescent="0.25">
      <c r="A63" s="6">
        <v>58</v>
      </c>
      <c r="B63" s="8" t="s">
        <v>5067</v>
      </c>
      <c r="C63" s="27">
        <v>44690</v>
      </c>
      <c r="D63" s="27">
        <v>44698</v>
      </c>
      <c r="E63" s="81">
        <v>2</v>
      </c>
      <c r="F63" s="82" t="s">
        <v>22</v>
      </c>
      <c r="G63" s="8" t="s">
        <v>23</v>
      </c>
      <c r="H63" s="8" t="s">
        <v>24</v>
      </c>
      <c r="I63" s="8" t="s">
        <v>23</v>
      </c>
      <c r="J63" s="27">
        <v>44698</v>
      </c>
      <c r="K63" s="27">
        <v>44698</v>
      </c>
      <c r="L63" s="83">
        <f t="shared" si="0"/>
        <v>0</v>
      </c>
      <c r="M63" s="8" t="s">
        <v>5068</v>
      </c>
      <c r="N63" s="84" t="s">
        <v>26</v>
      </c>
      <c r="O63" s="8" t="s">
        <v>5069</v>
      </c>
      <c r="P63" s="8" t="s">
        <v>5070</v>
      </c>
      <c r="Q63" s="84" t="str">
        <f t="shared" si="1"/>
        <v>DENTRO DEL TIEMPO</v>
      </c>
      <c r="R63" s="81"/>
    </row>
    <row r="64" spans="1:18" ht="50.25" x14ac:dyDescent="0.25">
      <c r="A64" s="6">
        <v>59</v>
      </c>
      <c r="B64" s="8" t="s">
        <v>5071</v>
      </c>
      <c r="C64" s="27">
        <v>44690</v>
      </c>
      <c r="D64" s="27">
        <v>44690</v>
      </c>
      <c r="E64" s="81">
        <v>2</v>
      </c>
      <c r="F64" s="82" t="s">
        <v>22</v>
      </c>
      <c r="G64" s="8" t="s">
        <v>30</v>
      </c>
      <c r="H64" s="8" t="s">
        <v>24</v>
      </c>
      <c r="I64" s="8" t="s">
        <v>30</v>
      </c>
      <c r="J64" s="27">
        <v>44691</v>
      </c>
      <c r="K64" s="27">
        <v>44691</v>
      </c>
      <c r="L64" s="83">
        <f t="shared" si="0"/>
        <v>1</v>
      </c>
      <c r="M64" s="8" t="s">
        <v>5072</v>
      </c>
      <c r="N64" s="84" t="s">
        <v>26</v>
      </c>
      <c r="O64" s="8" t="s">
        <v>5073</v>
      </c>
      <c r="P64" s="8" t="s">
        <v>5074</v>
      </c>
      <c r="Q64" s="84" t="str">
        <f t="shared" si="1"/>
        <v>DENTRO DEL TIEMPO</v>
      </c>
      <c r="R64" s="81"/>
    </row>
    <row r="65" spans="1:18" ht="50.25" x14ac:dyDescent="0.25">
      <c r="A65" s="6">
        <v>60</v>
      </c>
      <c r="B65" s="8" t="s">
        <v>5075</v>
      </c>
      <c r="C65" s="27">
        <v>44690</v>
      </c>
      <c r="D65" s="27">
        <v>44690</v>
      </c>
      <c r="E65" s="81">
        <v>2</v>
      </c>
      <c r="F65" s="82" t="s">
        <v>22</v>
      </c>
      <c r="G65" s="8" t="s">
        <v>30</v>
      </c>
      <c r="H65" s="8" t="s">
        <v>24</v>
      </c>
      <c r="I65" s="8" t="s">
        <v>30</v>
      </c>
      <c r="J65" s="27">
        <v>44691</v>
      </c>
      <c r="K65" s="27">
        <v>44691</v>
      </c>
      <c r="L65" s="83">
        <f t="shared" si="0"/>
        <v>1</v>
      </c>
      <c r="M65" s="8" t="s">
        <v>5076</v>
      </c>
      <c r="N65" s="84" t="s">
        <v>26</v>
      </c>
      <c r="O65" s="8" t="s">
        <v>5077</v>
      </c>
      <c r="P65" s="8" t="s">
        <v>5078</v>
      </c>
      <c r="Q65" s="84" t="str">
        <f t="shared" si="1"/>
        <v>DENTRO DEL TIEMPO</v>
      </c>
      <c r="R65" s="81"/>
    </row>
    <row r="66" spans="1:18" ht="50.25" x14ac:dyDescent="0.25">
      <c r="A66" s="6">
        <v>61</v>
      </c>
      <c r="B66" s="8" t="s">
        <v>5079</v>
      </c>
      <c r="C66" s="27">
        <v>44690</v>
      </c>
      <c r="D66" s="27">
        <v>44690</v>
      </c>
      <c r="E66" s="81">
        <v>2</v>
      </c>
      <c r="F66" s="82" t="s">
        <v>22</v>
      </c>
      <c r="G66" s="8" t="s">
        <v>30</v>
      </c>
      <c r="H66" s="8" t="s">
        <v>24</v>
      </c>
      <c r="I66" s="8" t="s">
        <v>30</v>
      </c>
      <c r="J66" s="27">
        <v>44691</v>
      </c>
      <c r="K66" s="27">
        <v>44691</v>
      </c>
      <c r="L66" s="83">
        <f t="shared" si="0"/>
        <v>1</v>
      </c>
      <c r="M66" s="8" t="s">
        <v>5080</v>
      </c>
      <c r="N66" s="84" t="s">
        <v>26</v>
      </c>
      <c r="O66" s="8" t="s">
        <v>5081</v>
      </c>
      <c r="P66" s="8" t="s">
        <v>5082</v>
      </c>
      <c r="Q66" s="84" t="str">
        <f t="shared" si="1"/>
        <v>DENTRO DEL TIEMPO</v>
      </c>
      <c r="R66" s="81"/>
    </row>
    <row r="67" spans="1:18" ht="50.25" x14ac:dyDescent="0.25">
      <c r="A67" s="6">
        <v>62</v>
      </c>
      <c r="B67" s="8" t="s">
        <v>5083</v>
      </c>
      <c r="C67" s="27">
        <v>44690</v>
      </c>
      <c r="D67" s="27">
        <v>44690</v>
      </c>
      <c r="E67" s="81">
        <v>2</v>
      </c>
      <c r="F67" s="82" t="s">
        <v>22</v>
      </c>
      <c r="G67" s="8" t="s">
        <v>30</v>
      </c>
      <c r="H67" s="8" t="s">
        <v>24</v>
      </c>
      <c r="I67" s="8" t="s">
        <v>30</v>
      </c>
      <c r="J67" s="27">
        <v>44691</v>
      </c>
      <c r="K67" s="27">
        <v>44691</v>
      </c>
      <c r="L67" s="83">
        <f t="shared" si="0"/>
        <v>1</v>
      </c>
      <c r="M67" s="8" t="s">
        <v>5084</v>
      </c>
      <c r="N67" s="84" t="s">
        <v>26</v>
      </c>
      <c r="O67" s="8" t="s">
        <v>5085</v>
      </c>
      <c r="P67" s="8" t="s">
        <v>5086</v>
      </c>
      <c r="Q67" s="84" t="str">
        <f t="shared" si="1"/>
        <v>DENTRO DEL TIEMPO</v>
      </c>
      <c r="R67" s="81"/>
    </row>
    <row r="68" spans="1:18" ht="50.25" x14ac:dyDescent="0.25">
      <c r="A68" s="6">
        <v>63</v>
      </c>
      <c r="B68" s="8" t="s">
        <v>5087</v>
      </c>
      <c r="C68" s="27">
        <v>44690</v>
      </c>
      <c r="D68" s="27">
        <v>44690</v>
      </c>
      <c r="E68" s="81">
        <v>2</v>
      </c>
      <c r="F68" s="82" t="s">
        <v>22</v>
      </c>
      <c r="G68" s="8" t="s">
        <v>30</v>
      </c>
      <c r="H68" s="8" t="s">
        <v>24</v>
      </c>
      <c r="I68" s="8" t="s">
        <v>30</v>
      </c>
      <c r="J68" s="27">
        <v>44691</v>
      </c>
      <c r="K68" s="27">
        <v>44691</v>
      </c>
      <c r="L68" s="83">
        <f t="shared" si="0"/>
        <v>1</v>
      </c>
      <c r="M68" s="8" t="s">
        <v>5088</v>
      </c>
      <c r="N68" s="84" t="s">
        <v>26</v>
      </c>
      <c r="O68" s="8" t="s">
        <v>115</v>
      </c>
      <c r="P68" s="8" t="s">
        <v>5089</v>
      </c>
      <c r="Q68" s="84" t="str">
        <f t="shared" si="1"/>
        <v>DENTRO DEL TIEMPO</v>
      </c>
      <c r="R68" s="81"/>
    </row>
    <row r="69" spans="1:18" ht="50.25" x14ac:dyDescent="0.25">
      <c r="A69" s="6">
        <v>64</v>
      </c>
      <c r="B69" s="8" t="s">
        <v>5090</v>
      </c>
      <c r="C69" s="27">
        <v>44690</v>
      </c>
      <c r="D69" s="27">
        <v>44690</v>
      </c>
      <c r="E69" s="81">
        <v>2</v>
      </c>
      <c r="F69" s="82" t="s">
        <v>22</v>
      </c>
      <c r="G69" s="8" t="s">
        <v>30</v>
      </c>
      <c r="H69" s="8" t="s">
        <v>24</v>
      </c>
      <c r="I69" s="8" t="s">
        <v>30</v>
      </c>
      <c r="J69" s="27">
        <v>44692</v>
      </c>
      <c r="K69" s="27">
        <v>44692</v>
      </c>
      <c r="L69" s="83">
        <f t="shared" si="0"/>
        <v>2</v>
      </c>
      <c r="M69" s="8" t="s">
        <v>5091</v>
      </c>
      <c r="N69" s="84" t="s">
        <v>26</v>
      </c>
      <c r="O69" s="8" t="s">
        <v>5092</v>
      </c>
      <c r="P69" s="8" t="s">
        <v>5093</v>
      </c>
      <c r="Q69" s="84" t="str">
        <f t="shared" si="1"/>
        <v>DENTRO DEL TIEMPO</v>
      </c>
      <c r="R69" s="81"/>
    </row>
    <row r="70" spans="1:18" ht="50.25" x14ac:dyDescent="0.25">
      <c r="A70" s="6">
        <v>65</v>
      </c>
      <c r="B70" s="8" t="s">
        <v>5094</v>
      </c>
      <c r="C70" s="27">
        <v>44690</v>
      </c>
      <c r="D70" s="27">
        <v>44690</v>
      </c>
      <c r="E70" s="81">
        <v>2</v>
      </c>
      <c r="F70" s="82" t="s">
        <v>22</v>
      </c>
      <c r="G70" s="8" t="s">
        <v>30</v>
      </c>
      <c r="H70" s="8" t="s">
        <v>24</v>
      </c>
      <c r="I70" s="8" t="s">
        <v>30</v>
      </c>
      <c r="J70" s="27">
        <v>44692</v>
      </c>
      <c r="K70" s="27">
        <v>44692</v>
      </c>
      <c r="L70" s="83">
        <f t="shared" si="0"/>
        <v>2</v>
      </c>
      <c r="M70" s="8" t="s">
        <v>5095</v>
      </c>
      <c r="N70" s="84" t="s">
        <v>26</v>
      </c>
      <c r="O70" s="8" t="s">
        <v>5096</v>
      </c>
      <c r="P70" s="8" t="s">
        <v>5093</v>
      </c>
      <c r="Q70" s="84" t="str">
        <f t="shared" si="1"/>
        <v>DENTRO DEL TIEMPO</v>
      </c>
      <c r="R70" s="81"/>
    </row>
    <row r="71" spans="1:18" ht="50.25" x14ac:dyDescent="0.25">
      <c r="A71" s="6">
        <v>66</v>
      </c>
      <c r="B71" s="8" t="s">
        <v>5097</v>
      </c>
      <c r="C71" s="27">
        <v>44691</v>
      </c>
      <c r="D71" s="27">
        <v>44691</v>
      </c>
      <c r="E71" s="81">
        <v>2</v>
      </c>
      <c r="F71" s="82" t="s">
        <v>22</v>
      </c>
      <c r="G71" s="8" t="s">
        <v>30</v>
      </c>
      <c r="H71" s="8" t="s">
        <v>24</v>
      </c>
      <c r="I71" s="8" t="s">
        <v>30</v>
      </c>
      <c r="J71" s="27">
        <v>44692</v>
      </c>
      <c r="K71" s="27">
        <v>44692</v>
      </c>
      <c r="L71" s="83">
        <f t="shared" ref="L71:L134" si="2">+NETWORKDAYS(D71,K71,$R$6:$R$9)-1</f>
        <v>1</v>
      </c>
      <c r="M71" s="8" t="s">
        <v>5098</v>
      </c>
      <c r="N71" s="84" t="s">
        <v>26</v>
      </c>
      <c r="O71" s="8" t="s">
        <v>828</v>
      </c>
      <c r="P71" s="8" t="s">
        <v>5099</v>
      </c>
      <c r="Q71" s="84" t="str">
        <f t="shared" ref="Q71:Q134" si="3">IF(L71&gt;15,"FUERA DE TIEMPO","DENTRO DEL TIEMPO")</f>
        <v>DENTRO DEL TIEMPO</v>
      </c>
      <c r="R71" s="81"/>
    </row>
    <row r="72" spans="1:18" ht="50.25" x14ac:dyDescent="0.25">
      <c r="A72" s="6">
        <v>67</v>
      </c>
      <c r="B72" s="8" t="s">
        <v>5100</v>
      </c>
      <c r="C72" s="27">
        <v>44691</v>
      </c>
      <c r="D72" s="27">
        <v>44691</v>
      </c>
      <c r="E72" s="81">
        <v>2</v>
      </c>
      <c r="F72" s="82" t="s">
        <v>22</v>
      </c>
      <c r="G72" s="8" t="s">
        <v>30</v>
      </c>
      <c r="H72" s="8" t="s">
        <v>24</v>
      </c>
      <c r="I72" s="8" t="s">
        <v>30</v>
      </c>
      <c r="J72" s="27">
        <v>44692</v>
      </c>
      <c r="K72" s="27">
        <v>44692</v>
      </c>
      <c r="L72" s="83">
        <f t="shared" si="2"/>
        <v>1</v>
      </c>
      <c r="M72" s="8" t="s">
        <v>5101</v>
      </c>
      <c r="N72" s="84" t="s">
        <v>26</v>
      </c>
      <c r="O72" s="8" t="s">
        <v>5102</v>
      </c>
      <c r="P72" s="8" t="s">
        <v>5103</v>
      </c>
      <c r="Q72" s="84" t="str">
        <f t="shared" si="3"/>
        <v>DENTRO DEL TIEMPO</v>
      </c>
      <c r="R72" s="81"/>
    </row>
    <row r="73" spans="1:18" ht="50.25" x14ac:dyDescent="0.25">
      <c r="A73" s="6">
        <v>68</v>
      </c>
      <c r="B73" s="8" t="s">
        <v>5104</v>
      </c>
      <c r="C73" s="27">
        <v>44691</v>
      </c>
      <c r="D73" s="27">
        <v>44691</v>
      </c>
      <c r="E73" s="81">
        <v>2</v>
      </c>
      <c r="F73" s="82" t="s">
        <v>22</v>
      </c>
      <c r="G73" s="8" t="s">
        <v>30</v>
      </c>
      <c r="H73" s="8" t="s">
        <v>24</v>
      </c>
      <c r="I73" s="8" t="s">
        <v>30</v>
      </c>
      <c r="J73" s="27">
        <v>44692</v>
      </c>
      <c r="K73" s="27">
        <v>44692</v>
      </c>
      <c r="L73" s="83">
        <f t="shared" si="2"/>
        <v>1</v>
      </c>
      <c r="M73" s="8" t="s">
        <v>5105</v>
      </c>
      <c r="N73" s="84" t="s">
        <v>26</v>
      </c>
      <c r="O73" s="8" t="s">
        <v>5106</v>
      </c>
      <c r="P73" s="8" t="s">
        <v>5107</v>
      </c>
      <c r="Q73" s="84" t="str">
        <f t="shared" si="3"/>
        <v>DENTRO DEL TIEMPO</v>
      </c>
      <c r="R73" s="81"/>
    </row>
    <row r="74" spans="1:18" ht="50.25" x14ac:dyDescent="0.25">
      <c r="A74" s="6">
        <v>69</v>
      </c>
      <c r="B74" s="8" t="s">
        <v>5108</v>
      </c>
      <c r="C74" s="27">
        <v>44691</v>
      </c>
      <c r="D74" s="27">
        <v>44691</v>
      </c>
      <c r="E74" s="81">
        <v>2</v>
      </c>
      <c r="F74" s="82" t="s">
        <v>22</v>
      </c>
      <c r="G74" s="8" t="s">
        <v>30</v>
      </c>
      <c r="H74" s="8" t="s">
        <v>24</v>
      </c>
      <c r="I74" s="8" t="s">
        <v>30</v>
      </c>
      <c r="J74" s="27">
        <v>44692</v>
      </c>
      <c r="K74" s="27">
        <v>44692</v>
      </c>
      <c r="L74" s="83">
        <f t="shared" si="2"/>
        <v>1</v>
      </c>
      <c r="M74" s="8" t="s">
        <v>5109</v>
      </c>
      <c r="N74" s="84" t="s">
        <v>26</v>
      </c>
      <c r="O74" s="8" t="s">
        <v>5081</v>
      </c>
      <c r="P74" s="8" t="s">
        <v>5082</v>
      </c>
      <c r="Q74" s="84" t="str">
        <f t="shared" si="3"/>
        <v>DENTRO DEL TIEMPO</v>
      </c>
      <c r="R74" s="81"/>
    </row>
    <row r="75" spans="1:18" ht="50.25" x14ac:dyDescent="0.25">
      <c r="A75" s="6">
        <v>70</v>
      </c>
      <c r="B75" s="8" t="s">
        <v>5110</v>
      </c>
      <c r="C75" s="27">
        <v>44691</v>
      </c>
      <c r="D75" s="27">
        <v>44691</v>
      </c>
      <c r="E75" s="81">
        <v>2</v>
      </c>
      <c r="F75" s="82" t="s">
        <v>22</v>
      </c>
      <c r="G75" s="8" t="s">
        <v>30</v>
      </c>
      <c r="H75" s="8" t="s">
        <v>24</v>
      </c>
      <c r="I75" s="8" t="s">
        <v>30</v>
      </c>
      <c r="J75" s="27">
        <v>44692</v>
      </c>
      <c r="K75" s="27">
        <v>44692</v>
      </c>
      <c r="L75" s="83">
        <f t="shared" si="2"/>
        <v>1</v>
      </c>
      <c r="M75" s="8" t="s">
        <v>5111</v>
      </c>
      <c r="N75" s="84" t="s">
        <v>26</v>
      </c>
      <c r="O75" s="8" t="s">
        <v>5112</v>
      </c>
      <c r="P75" s="8" t="s">
        <v>5113</v>
      </c>
      <c r="Q75" s="84" t="str">
        <f t="shared" si="3"/>
        <v>DENTRO DEL TIEMPO</v>
      </c>
      <c r="R75" s="81"/>
    </row>
    <row r="76" spans="1:18" ht="50.25" x14ac:dyDescent="0.25">
      <c r="A76" s="6">
        <v>71</v>
      </c>
      <c r="B76" s="8" t="s">
        <v>5114</v>
      </c>
      <c r="C76" s="27">
        <v>44691</v>
      </c>
      <c r="D76" s="27">
        <v>44691</v>
      </c>
      <c r="E76" s="81">
        <v>2</v>
      </c>
      <c r="F76" s="82" t="s">
        <v>22</v>
      </c>
      <c r="G76" s="8" t="s">
        <v>30</v>
      </c>
      <c r="H76" s="8" t="s">
        <v>24</v>
      </c>
      <c r="I76" s="8" t="s">
        <v>30</v>
      </c>
      <c r="J76" s="27">
        <v>44692</v>
      </c>
      <c r="K76" s="27">
        <v>44692</v>
      </c>
      <c r="L76" s="83">
        <f t="shared" si="2"/>
        <v>1</v>
      </c>
      <c r="M76" s="8" t="s">
        <v>5115</v>
      </c>
      <c r="N76" s="84" t="s">
        <v>26</v>
      </c>
      <c r="O76" s="8" t="s">
        <v>5116</v>
      </c>
      <c r="P76" s="8" t="s">
        <v>5117</v>
      </c>
      <c r="Q76" s="84" t="str">
        <f t="shared" si="3"/>
        <v>DENTRO DEL TIEMPO</v>
      </c>
      <c r="R76" s="81"/>
    </row>
    <row r="77" spans="1:18" ht="50.25" x14ac:dyDescent="0.25">
      <c r="A77" s="6">
        <v>72</v>
      </c>
      <c r="B77" s="8" t="s">
        <v>5118</v>
      </c>
      <c r="C77" s="27">
        <v>44691</v>
      </c>
      <c r="D77" s="27">
        <v>44691</v>
      </c>
      <c r="E77" s="81">
        <v>2</v>
      </c>
      <c r="F77" s="82" t="s">
        <v>22</v>
      </c>
      <c r="G77" s="8" t="s">
        <v>23</v>
      </c>
      <c r="H77" s="8" t="s">
        <v>24</v>
      </c>
      <c r="I77" s="8" t="s">
        <v>23</v>
      </c>
      <c r="J77" s="27">
        <v>44694</v>
      </c>
      <c r="K77" s="27">
        <v>44694</v>
      </c>
      <c r="L77" s="83">
        <f t="shared" si="2"/>
        <v>3</v>
      </c>
      <c r="M77" s="8" t="s">
        <v>5119</v>
      </c>
      <c r="N77" s="84" t="s">
        <v>26</v>
      </c>
      <c r="O77" s="8" t="s">
        <v>5120</v>
      </c>
      <c r="P77" s="8" t="s">
        <v>5121</v>
      </c>
      <c r="Q77" s="84" t="str">
        <f t="shared" si="3"/>
        <v>DENTRO DEL TIEMPO</v>
      </c>
      <c r="R77" s="81"/>
    </row>
    <row r="78" spans="1:18" ht="50.25" x14ac:dyDescent="0.25">
      <c r="A78" s="6">
        <v>73</v>
      </c>
      <c r="B78" s="8" t="s">
        <v>5122</v>
      </c>
      <c r="C78" s="27">
        <v>44691</v>
      </c>
      <c r="D78" s="27">
        <v>44691</v>
      </c>
      <c r="E78" s="81">
        <v>4</v>
      </c>
      <c r="F78" s="82" t="s">
        <v>22</v>
      </c>
      <c r="G78" s="8" t="s">
        <v>23</v>
      </c>
      <c r="H78" s="8" t="s">
        <v>24</v>
      </c>
      <c r="I78" s="8" t="s">
        <v>23</v>
      </c>
      <c r="J78" s="27">
        <v>44694</v>
      </c>
      <c r="K78" s="27">
        <v>44694</v>
      </c>
      <c r="L78" s="83">
        <f t="shared" si="2"/>
        <v>3</v>
      </c>
      <c r="M78" s="8" t="s">
        <v>5123</v>
      </c>
      <c r="N78" s="84" t="s">
        <v>26</v>
      </c>
      <c r="O78" s="8" t="s">
        <v>5124</v>
      </c>
      <c r="P78" s="8" t="s">
        <v>5125</v>
      </c>
      <c r="Q78" s="84" t="str">
        <f t="shared" si="3"/>
        <v>DENTRO DEL TIEMPO</v>
      </c>
      <c r="R78" s="81"/>
    </row>
    <row r="79" spans="1:18" ht="50.25" x14ac:dyDescent="0.25">
      <c r="A79" s="6">
        <v>74</v>
      </c>
      <c r="B79" s="8" t="s">
        <v>5126</v>
      </c>
      <c r="C79" s="27">
        <v>44691</v>
      </c>
      <c r="D79" s="27">
        <v>44691</v>
      </c>
      <c r="E79" s="81">
        <v>2</v>
      </c>
      <c r="F79" s="82" t="s">
        <v>22</v>
      </c>
      <c r="G79" s="8" t="s">
        <v>30</v>
      </c>
      <c r="H79" s="8" t="s">
        <v>24</v>
      </c>
      <c r="I79" s="8" t="s">
        <v>30</v>
      </c>
      <c r="J79" s="27">
        <v>44692</v>
      </c>
      <c r="K79" s="27">
        <v>44692</v>
      </c>
      <c r="L79" s="83">
        <f t="shared" si="2"/>
        <v>1</v>
      </c>
      <c r="M79" s="8" t="s">
        <v>5127</v>
      </c>
      <c r="N79" s="84" t="s">
        <v>26</v>
      </c>
      <c r="O79" s="8" t="s">
        <v>115</v>
      </c>
      <c r="P79" s="8" t="s">
        <v>5128</v>
      </c>
      <c r="Q79" s="84" t="str">
        <f t="shared" si="3"/>
        <v>DENTRO DEL TIEMPO</v>
      </c>
      <c r="R79" s="81"/>
    </row>
    <row r="80" spans="1:18" ht="50.25" x14ac:dyDescent="0.25">
      <c r="A80" s="6">
        <v>75</v>
      </c>
      <c r="B80" s="8" t="s">
        <v>5129</v>
      </c>
      <c r="C80" s="27">
        <v>44692</v>
      </c>
      <c r="D80" s="27">
        <v>44692</v>
      </c>
      <c r="E80" s="81">
        <v>2</v>
      </c>
      <c r="F80" s="82" t="s">
        <v>22</v>
      </c>
      <c r="G80" s="8" t="s">
        <v>30</v>
      </c>
      <c r="H80" s="8" t="s">
        <v>24</v>
      </c>
      <c r="I80" s="8" t="s">
        <v>30</v>
      </c>
      <c r="J80" s="27">
        <v>44692</v>
      </c>
      <c r="K80" s="27">
        <v>44692</v>
      </c>
      <c r="L80" s="83">
        <f t="shared" si="2"/>
        <v>0</v>
      </c>
      <c r="M80" s="8" t="s">
        <v>5130</v>
      </c>
      <c r="N80" s="84" t="s">
        <v>26</v>
      </c>
      <c r="O80" s="8" t="s">
        <v>1615</v>
      </c>
      <c r="P80" s="8" t="s">
        <v>5131</v>
      </c>
      <c r="Q80" s="84" t="str">
        <f t="shared" si="3"/>
        <v>DENTRO DEL TIEMPO</v>
      </c>
      <c r="R80" s="81"/>
    </row>
    <row r="81" spans="1:18" ht="50.25" x14ac:dyDescent="0.25">
      <c r="A81" s="6">
        <v>76</v>
      </c>
      <c r="B81" s="8" t="s">
        <v>5132</v>
      </c>
      <c r="C81" s="27">
        <v>44692</v>
      </c>
      <c r="D81" s="27">
        <v>44692</v>
      </c>
      <c r="E81" s="81">
        <v>2</v>
      </c>
      <c r="F81" s="82" t="s">
        <v>22</v>
      </c>
      <c r="G81" s="8" t="s">
        <v>30</v>
      </c>
      <c r="H81" s="8" t="s">
        <v>24</v>
      </c>
      <c r="I81" s="8" t="s">
        <v>30</v>
      </c>
      <c r="J81" s="27">
        <v>44692</v>
      </c>
      <c r="K81" s="27">
        <v>44692</v>
      </c>
      <c r="L81" s="83">
        <f t="shared" si="2"/>
        <v>0</v>
      </c>
      <c r="M81" s="8" t="s">
        <v>5133</v>
      </c>
      <c r="N81" s="84" t="s">
        <v>26</v>
      </c>
      <c r="O81" s="8" t="s">
        <v>109</v>
      </c>
      <c r="P81" s="8" t="s">
        <v>5134</v>
      </c>
      <c r="Q81" s="84" t="str">
        <f t="shared" si="3"/>
        <v>DENTRO DEL TIEMPO</v>
      </c>
      <c r="R81" s="81"/>
    </row>
    <row r="82" spans="1:18" ht="40.5" hidden="1" x14ac:dyDescent="0.25">
      <c r="A82" s="6">
        <v>77</v>
      </c>
      <c r="B82" s="8" t="s">
        <v>5135</v>
      </c>
      <c r="C82" s="27">
        <v>44692</v>
      </c>
      <c r="D82" s="27">
        <v>44692</v>
      </c>
      <c r="E82" s="81">
        <v>0</v>
      </c>
      <c r="F82" s="82" t="s">
        <v>790</v>
      </c>
      <c r="G82" s="8" t="s">
        <v>4505</v>
      </c>
      <c r="H82" s="8" t="s">
        <v>2592</v>
      </c>
      <c r="I82" s="8" t="s">
        <v>4505</v>
      </c>
      <c r="J82" s="27">
        <v>44733</v>
      </c>
      <c r="K82" s="27">
        <v>44733</v>
      </c>
      <c r="L82" s="83">
        <f t="shared" si="2"/>
        <v>29</v>
      </c>
      <c r="M82" s="8" t="s">
        <v>5136</v>
      </c>
      <c r="N82" s="84" t="s">
        <v>26</v>
      </c>
      <c r="O82" s="8" t="s">
        <v>5137</v>
      </c>
      <c r="P82" s="8" t="s">
        <v>5004</v>
      </c>
      <c r="Q82" s="84" t="str">
        <f t="shared" si="3"/>
        <v>FUERA DE TIEMPO</v>
      </c>
      <c r="R82" s="81"/>
    </row>
    <row r="83" spans="1:18" ht="50.25" x14ac:dyDescent="0.25">
      <c r="A83" s="6">
        <v>78</v>
      </c>
      <c r="B83" s="8" t="s">
        <v>5138</v>
      </c>
      <c r="C83" s="27">
        <v>44692</v>
      </c>
      <c r="D83" s="27">
        <v>44692</v>
      </c>
      <c r="E83" s="81">
        <v>2</v>
      </c>
      <c r="F83" s="82" t="s">
        <v>22</v>
      </c>
      <c r="G83" s="8" t="s">
        <v>30</v>
      </c>
      <c r="H83" s="8" t="s">
        <v>24</v>
      </c>
      <c r="I83" s="8" t="s">
        <v>30</v>
      </c>
      <c r="J83" s="27">
        <v>44692</v>
      </c>
      <c r="K83" s="27">
        <v>44692</v>
      </c>
      <c r="L83" s="83">
        <f t="shared" si="2"/>
        <v>0</v>
      </c>
      <c r="M83" s="8" t="s">
        <v>5139</v>
      </c>
      <c r="N83" s="84" t="s">
        <v>26</v>
      </c>
      <c r="O83" s="8" t="s">
        <v>5140</v>
      </c>
      <c r="P83" s="8" t="s">
        <v>5141</v>
      </c>
      <c r="Q83" s="84" t="str">
        <f t="shared" si="3"/>
        <v>DENTRO DEL TIEMPO</v>
      </c>
      <c r="R83" s="81"/>
    </row>
    <row r="84" spans="1:18" ht="50.25" x14ac:dyDescent="0.25">
      <c r="A84" s="6">
        <v>79</v>
      </c>
      <c r="B84" s="8" t="s">
        <v>5142</v>
      </c>
      <c r="C84" s="27">
        <v>44692</v>
      </c>
      <c r="D84" s="27">
        <v>44692</v>
      </c>
      <c r="E84" s="81">
        <v>2</v>
      </c>
      <c r="F84" s="82" t="s">
        <v>22</v>
      </c>
      <c r="G84" s="8" t="s">
        <v>30</v>
      </c>
      <c r="H84" s="8" t="s">
        <v>24</v>
      </c>
      <c r="I84" s="8" t="s">
        <v>30</v>
      </c>
      <c r="J84" s="27">
        <v>44692</v>
      </c>
      <c r="K84" s="27">
        <v>44692</v>
      </c>
      <c r="L84" s="83">
        <f t="shared" si="2"/>
        <v>0</v>
      </c>
      <c r="M84" s="8" t="s">
        <v>5143</v>
      </c>
      <c r="N84" s="84" t="s">
        <v>26</v>
      </c>
      <c r="O84" s="8" t="s">
        <v>5144</v>
      </c>
      <c r="P84" s="8" t="s">
        <v>5145</v>
      </c>
      <c r="Q84" s="84" t="str">
        <f t="shared" si="3"/>
        <v>DENTRO DEL TIEMPO</v>
      </c>
      <c r="R84" s="81"/>
    </row>
    <row r="85" spans="1:18" ht="50.25" x14ac:dyDescent="0.25">
      <c r="A85" s="6">
        <v>80</v>
      </c>
      <c r="B85" s="8" t="s">
        <v>5146</v>
      </c>
      <c r="C85" s="27">
        <v>44692</v>
      </c>
      <c r="D85" s="27">
        <v>44692</v>
      </c>
      <c r="E85" s="81">
        <v>2</v>
      </c>
      <c r="F85" s="82" t="s">
        <v>22</v>
      </c>
      <c r="G85" s="8" t="s">
        <v>30</v>
      </c>
      <c r="H85" s="8" t="s">
        <v>24</v>
      </c>
      <c r="I85" s="8" t="s">
        <v>30</v>
      </c>
      <c r="J85" s="27">
        <v>44692</v>
      </c>
      <c r="K85" s="27">
        <v>44692</v>
      </c>
      <c r="L85" s="83">
        <f t="shared" si="2"/>
        <v>0</v>
      </c>
      <c r="M85" s="8" t="s">
        <v>5147</v>
      </c>
      <c r="N85" s="84" t="s">
        <v>26</v>
      </c>
      <c r="O85" s="8" t="s">
        <v>5148</v>
      </c>
      <c r="P85" s="8" t="s">
        <v>5149</v>
      </c>
      <c r="Q85" s="84" t="str">
        <f t="shared" si="3"/>
        <v>DENTRO DEL TIEMPO</v>
      </c>
      <c r="R85" s="81"/>
    </row>
    <row r="86" spans="1:18" ht="50.25" x14ac:dyDescent="0.25">
      <c r="A86" s="6">
        <v>81</v>
      </c>
      <c r="B86" s="8" t="s">
        <v>5150</v>
      </c>
      <c r="C86" s="27">
        <v>44692</v>
      </c>
      <c r="D86" s="27">
        <v>44692</v>
      </c>
      <c r="E86" s="81">
        <v>2</v>
      </c>
      <c r="F86" s="82" t="s">
        <v>22</v>
      </c>
      <c r="G86" s="8" t="s">
        <v>30</v>
      </c>
      <c r="H86" s="8" t="s">
        <v>24</v>
      </c>
      <c r="I86" s="8" t="s">
        <v>30</v>
      </c>
      <c r="J86" s="27">
        <v>44692</v>
      </c>
      <c r="K86" s="27">
        <v>44692</v>
      </c>
      <c r="L86" s="83">
        <f t="shared" si="2"/>
        <v>0</v>
      </c>
      <c r="M86" s="8" t="s">
        <v>5151</v>
      </c>
      <c r="N86" s="84" t="s">
        <v>26</v>
      </c>
      <c r="O86" s="8" t="s">
        <v>5023</v>
      </c>
      <c r="P86" s="8" t="s">
        <v>5024</v>
      </c>
      <c r="Q86" s="84" t="str">
        <f t="shared" si="3"/>
        <v>DENTRO DEL TIEMPO</v>
      </c>
      <c r="R86" s="81"/>
    </row>
    <row r="87" spans="1:18" ht="50.25" x14ac:dyDescent="0.25">
      <c r="A87" s="6">
        <v>82</v>
      </c>
      <c r="B87" s="8" t="s">
        <v>5152</v>
      </c>
      <c r="C87" s="27">
        <v>44692</v>
      </c>
      <c r="D87" s="27">
        <v>44692</v>
      </c>
      <c r="E87" s="81">
        <v>2</v>
      </c>
      <c r="F87" s="82" t="s">
        <v>22</v>
      </c>
      <c r="G87" s="8" t="s">
        <v>30</v>
      </c>
      <c r="H87" s="8" t="s">
        <v>24</v>
      </c>
      <c r="I87" s="8" t="s">
        <v>30</v>
      </c>
      <c r="J87" s="27">
        <v>44693</v>
      </c>
      <c r="K87" s="27">
        <v>44693</v>
      </c>
      <c r="L87" s="83">
        <f t="shared" si="2"/>
        <v>1</v>
      </c>
      <c r="M87" s="8" t="s">
        <v>5153</v>
      </c>
      <c r="N87" s="84" t="s">
        <v>26</v>
      </c>
      <c r="O87" s="8" t="s">
        <v>900</v>
      </c>
      <c r="P87" s="8" t="s">
        <v>5154</v>
      </c>
      <c r="Q87" s="84" t="str">
        <f t="shared" si="3"/>
        <v>DENTRO DEL TIEMPO</v>
      </c>
      <c r="R87" s="81"/>
    </row>
    <row r="88" spans="1:18" ht="50.25" x14ac:dyDescent="0.25">
      <c r="A88" s="6">
        <v>83</v>
      </c>
      <c r="B88" s="8" t="s">
        <v>5155</v>
      </c>
      <c r="C88" s="27">
        <v>44692</v>
      </c>
      <c r="D88" s="27">
        <v>44692</v>
      </c>
      <c r="E88" s="81">
        <v>2</v>
      </c>
      <c r="F88" s="82" t="s">
        <v>22</v>
      </c>
      <c r="G88" s="8" t="s">
        <v>23</v>
      </c>
      <c r="H88" s="8" t="s">
        <v>24</v>
      </c>
      <c r="I88" s="8" t="s">
        <v>23</v>
      </c>
      <c r="J88" s="27">
        <v>44694</v>
      </c>
      <c r="K88" s="27">
        <v>44694</v>
      </c>
      <c r="L88" s="83">
        <f t="shared" si="2"/>
        <v>2</v>
      </c>
      <c r="M88" s="8" t="s">
        <v>5156</v>
      </c>
      <c r="N88" s="84" t="s">
        <v>26</v>
      </c>
      <c r="O88" s="8" t="s">
        <v>5157</v>
      </c>
      <c r="P88" s="8" t="s">
        <v>5158</v>
      </c>
      <c r="Q88" s="84" t="str">
        <f t="shared" si="3"/>
        <v>DENTRO DEL TIEMPO</v>
      </c>
      <c r="R88" s="81"/>
    </row>
    <row r="89" spans="1:18" ht="50.25" x14ac:dyDescent="0.25">
      <c r="A89" s="6">
        <v>84</v>
      </c>
      <c r="B89" s="8" t="s">
        <v>5159</v>
      </c>
      <c r="C89" s="27">
        <v>44692</v>
      </c>
      <c r="D89" s="27">
        <v>44692</v>
      </c>
      <c r="E89" s="81">
        <v>2</v>
      </c>
      <c r="F89" s="82" t="s">
        <v>22</v>
      </c>
      <c r="G89" s="8" t="s">
        <v>30</v>
      </c>
      <c r="H89" s="8" t="s">
        <v>24</v>
      </c>
      <c r="I89" s="8" t="s">
        <v>30</v>
      </c>
      <c r="J89" s="27">
        <v>44694</v>
      </c>
      <c r="K89" s="27">
        <v>44694</v>
      </c>
      <c r="L89" s="83">
        <f t="shared" si="2"/>
        <v>2</v>
      </c>
      <c r="M89" s="8" t="s">
        <v>5160</v>
      </c>
      <c r="N89" s="84" t="s">
        <v>26</v>
      </c>
      <c r="O89" s="8" t="s">
        <v>663</v>
      </c>
      <c r="P89" s="8" t="s">
        <v>5161</v>
      </c>
      <c r="Q89" s="84" t="str">
        <f t="shared" si="3"/>
        <v>DENTRO DEL TIEMPO</v>
      </c>
      <c r="R89" s="81"/>
    </row>
    <row r="90" spans="1:18" ht="50.25" x14ac:dyDescent="0.25">
      <c r="A90" s="6">
        <v>85</v>
      </c>
      <c r="B90" s="8" t="s">
        <v>5162</v>
      </c>
      <c r="C90" s="27">
        <v>44692</v>
      </c>
      <c r="D90" s="27">
        <v>44692</v>
      </c>
      <c r="E90" s="81">
        <v>2</v>
      </c>
      <c r="F90" s="82" t="s">
        <v>22</v>
      </c>
      <c r="G90" s="8" t="s">
        <v>30</v>
      </c>
      <c r="H90" s="8" t="s">
        <v>24</v>
      </c>
      <c r="I90" s="8" t="s">
        <v>30</v>
      </c>
      <c r="J90" s="27">
        <v>44694</v>
      </c>
      <c r="K90" s="27">
        <v>44694</v>
      </c>
      <c r="L90" s="83">
        <f t="shared" si="2"/>
        <v>2</v>
      </c>
      <c r="M90" s="8" t="s">
        <v>5163</v>
      </c>
      <c r="N90" s="84" t="s">
        <v>26</v>
      </c>
      <c r="O90" s="8" t="s">
        <v>121</v>
      </c>
      <c r="P90" s="8" t="s">
        <v>5161</v>
      </c>
      <c r="Q90" s="84" t="str">
        <f t="shared" si="3"/>
        <v>DENTRO DEL TIEMPO</v>
      </c>
      <c r="R90" s="81"/>
    </row>
    <row r="91" spans="1:18" ht="50.25" x14ac:dyDescent="0.25">
      <c r="A91" s="6">
        <v>86</v>
      </c>
      <c r="B91" s="8" t="s">
        <v>5164</v>
      </c>
      <c r="C91" s="27">
        <v>44692</v>
      </c>
      <c r="D91" s="27">
        <v>44692</v>
      </c>
      <c r="E91" s="81">
        <v>2</v>
      </c>
      <c r="F91" s="82" t="s">
        <v>22</v>
      </c>
      <c r="G91" s="8" t="s">
        <v>30</v>
      </c>
      <c r="H91" s="8" t="s">
        <v>24</v>
      </c>
      <c r="I91" s="8" t="s">
        <v>30</v>
      </c>
      <c r="J91" s="27">
        <v>44694</v>
      </c>
      <c r="K91" s="27">
        <v>44694</v>
      </c>
      <c r="L91" s="83">
        <f t="shared" si="2"/>
        <v>2</v>
      </c>
      <c r="M91" s="8" t="s">
        <v>5165</v>
      </c>
      <c r="N91" s="84" t="s">
        <v>26</v>
      </c>
      <c r="O91" s="8" t="s">
        <v>402</v>
      </c>
      <c r="P91" s="8" t="s">
        <v>5161</v>
      </c>
      <c r="Q91" s="84" t="str">
        <f t="shared" si="3"/>
        <v>DENTRO DEL TIEMPO</v>
      </c>
      <c r="R91" s="81"/>
    </row>
    <row r="92" spans="1:18" ht="50.25" x14ac:dyDescent="0.25">
      <c r="A92" s="6">
        <v>87</v>
      </c>
      <c r="B92" s="8" t="s">
        <v>5166</v>
      </c>
      <c r="C92" s="27">
        <v>44692</v>
      </c>
      <c r="D92" s="27">
        <v>44692</v>
      </c>
      <c r="E92" s="81">
        <v>2</v>
      </c>
      <c r="F92" s="82" t="s">
        <v>22</v>
      </c>
      <c r="G92" s="8" t="s">
        <v>30</v>
      </c>
      <c r="H92" s="8" t="s">
        <v>24</v>
      </c>
      <c r="I92" s="8" t="s">
        <v>30</v>
      </c>
      <c r="J92" s="27">
        <v>44694</v>
      </c>
      <c r="K92" s="27">
        <v>44694</v>
      </c>
      <c r="L92" s="83">
        <f t="shared" si="2"/>
        <v>2</v>
      </c>
      <c r="M92" s="8" t="s">
        <v>5167</v>
      </c>
      <c r="N92" s="84" t="s">
        <v>26</v>
      </c>
      <c r="O92" s="8" t="s">
        <v>225</v>
      </c>
      <c r="P92" s="8" t="s">
        <v>5168</v>
      </c>
      <c r="Q92" s="84" t="str">
        <f t="shared" si="3"/>
        <v>DENTRO DEL TIEMPO</v>
      </c>
      <c r="R92" s="81"/>
    </row>
    <row r="93" spans="1:18" ht="50.25" x14ac:dyDescent="0.25">
      <c r="A93" s="6">
        <v>88</v>
      </c>
      <c r="B93" s="8" t="s">
        <v>5169</v>
      </c>
      <c r="C93" s="27">
        <v>44692</v>
      </c>
      <c r="D93" s="27">
        <v>44692</v>
      </c>
      <c r="E93" s="81">
        <v>560</v>
      </c>
      <c r="F93" s="82" t="s">
        <v>22</v>
      </c>
      <c r="G93" s="8" t="s">
        <v>23</v>
      </c>
      <c r="H93" s="8" t="s">
        <v>24</v>
      </c>
      <c r="I93" s="8" t="s">
        <v>23</v>
      </c>
      <c r="J93" s="27">
        <v>44700</v>
      </c>
      <c r="K93" s="27">
        <v>44700</v>
      </c>
      <c r="L93" s="83">
        <f t="shared" si="2"/>
        <v>6</v>
      </c>
      <c r="M93" s="8" t="s">
        <v>5170</v>
      </c>
      <c r="N93" s="84" t="s">
        <v>26</v>
      </c>
      <c r="O93" s="8" t="s">
        <v>5171</v>
      </c>
      <c r="P93" s="8" t="s">
        <v>5172</v>
      </c>
      <c r="Q93" s="84" t="str">
        <f t="shared" si="3"/>
        <v>DENTRO DEL TIEMPO</v>
      </c>
      <c r="R93" s="81"/>
    </row>
    <row r="94" spans="1:18" ht="50.25" x14ac:dyDescent="0.25">
      <c r="A94" s="6">
        <v>89</v>
      </c>
      <c r="B94" s="8" t="s">
        <v>5173</v>
      </c>
      <c r="C94" s="27">
        <v>44692</v>
      </c>
      <c r="D94" s="27">
        <v>44692</v>
      </c>
      <c r="E94" s="81">
        <v>16</v>
      </c>
      <c r="F94" s="82" t="s">
        <v>22</v>
      </c>
      <c r="G94" s="8" t="s">
        <v>23</v>
      </c>
      <c r="H94" s="8" t="s">
        <v>24</v>
      </c>
      <c r="I94" s="8" t="s">
        <v>23</v>
      </c>
      <c r="J94" s="27">
        <v>44700</v>
      </c>
      <c r="K94" s="27">
        <v>44700</v>
      </c>
      <c r="L94" s="83">
        <f t="shared" si="2"/>
        <v>6</v>
      </c>
      <c r="M94" s="8" t="s">
        <v>5174</v>
      </c>
      <c r="N94" s="84" t="s">
        <v>26</v>
      </c>
      <c r="O94" s="8" t="s">
        <v>5175</v>
      </c>
      <c r="P94" s="8" t="s">
        <v>5172</v>
      </c>
      <c r="Q94" s="84" t="str">
        <f t="shared" si="3"/>
        <v>DENTRO DEL TIEMPO</v>
      </c>
      <c r="R94" s="81"/>
    </row>
    <row r="95" spans="1:18" ht="50.25" x14ac:dyDescent="0.25">
      <c r="A95" s="6">
        <v>90</v>
      </c>
      <c r="B95" s="8" t="s">
        <v>5176</v>
      </c>
      <c r="C95" s="27">
        <v>44692</v>
      </c>
      <c r="D95" s="27">
        <v>44692</v>
      </c>
      <c r="E95" s="81">
        <v>2</v>
      </c>
      <c r="F95" s="82" t="s">
        <v>22</v>
      </c>
      <c r="G95" s="8" t="s">
        <v>23</v>
      </c>
      <c r="H95" s="8" t="s">
        <v>24</v>
      </c>
      <c r="I95" s="8" t="s">
        <v>23</v>
      </c>
      <c r="J95" s="27">
        <v>44697</v>
      </c>
      <c r="K95" s="27">
        <v>44697</v>
      </c>
      <c r="L95" s="83">
        <f t="shared" si="2"/>
        <v>3</v>
      </c>
      <c r="M95" s="8" t="s">
        <v>5177</v>
      </c>
      <c r="N95" s="84" t="s">
        <v>26</v>
      </c>
      <c r="O95" s="8" t="s">
        <v>5178</v>
      </c>
      <c r="P95" s="8" t="s">
        <v>5179</v>
      </c>
      <c r="Q95" s="84" t="str">
        <f t="shared" si="3"/>
        <v>DENTRO DEL TIEMPO</v>
      </c>
      <c r="R95" s="81"/>
    </row>
    <row r="96" spans="1:18" ht="50.25" x14ac:dyDescent="0.25">
      <c r="A96" s="6">
        <v>91</v>
      </c>
      <c r="B96" s="8" t="s">
        <v>5180</v>
      </c>
      <c r="C96" s="27">
        <v>44692</v>
      </c>
      <c r="D96" s="27">
        <v>44692</v>
      </c>
      <c r="E96" s="81">
        <v>2</v>
      </c>
      <c r="F96" s="82" t="s">
        <v>22</v>
      </c>
      <c r="G96" s="8" t="s">
        <v>30</v>
      </c>
      <c r="H96" s="8" t="s">
        <v>24</v>
      </c>
      <c r="I96" s="8" t="s">
        <v>30</v>
      </c>
      <c r="J96" s="27">
        <v>44694</v>
      </c>
      <c r="K96" s="27">
        <v>44694</v>
      </c>
      <c r="L96" s="83">
        <f t="shared" si="2"/>
        <v>2</v>
      </c>
      <c r="M96" s="8" t="s">
        <v>5181</v>
      </c>
      <c r="N96" s="84" t="s">
        <v>26</v>
      </c>
      <c r="O96" s="8" t="s">
        <v>5182</v>
      </c>
      <c r="P96" s="8" t="s">
        <v>5183</v>
      </c>
      <c r="Q96" s="84" t="str">
        <f t="shared" si="3"/>
        <v>DENTRO DEL TIEMPO</v>
      </c>
      <c r="R96" s="81"/>
    </row>
    <row r="97" spans="1:18" ht="50.25" x14ac:dyDescent="0.25">
      <c r="A97" s="6">
        <v>92</v>
      </c>
      <c r="B97" s="8" t="s">
        <v>5184</v>
      </c>
      <c r="C97" s="27">
        <v>44692</v>
      </c>
      <c r="D97" s="27">
        <v>44692</v>
      </c>
      <c r="E97" s="81">
        <v>2</v>
      </c>
      <c r="F97" s="82" t="s">
        <v>22</v>
      </c>
      <c r="G97" s="8" t="s">
        <v>30</v>
      </c>
      <c r="H97" s="8" t="s">
        <v>24</v>
      </c>
      <c r="I97" s="8" t="s">
        <v>30</v>
      </c>
      <c r="J97" s="27">
        <v>44694</v>
      </c>
      <c r="K97" s="27">
        <v>44694</v>
      </c>
      <c r="L97" s="83">
        <f t="shared" si="2"/>
        <v>2</v>
      </c>
      <c r="M97" s="8" t="s">
        <v>5185</v>
      </c>
      <c r="N97" s="84" t="s">
        <v>26</v>
      </c>
      <c r="O97" s="8" t="s">
        <v>5186</v>
      </c>
      <c r="P97" s="8" t="s">
        <v>5187</v>
      </c>
      <c r="Q97" s="84" t="str">
        <f t="shared" si="3"/>
        <v>DENTRO DEL TIEMPO</v>
      </c>
      <c r="R97" s="81"/>
    </row>
    <row r="98" spans="1:18" ht="50.25" x14ac:dyDescent="0.25">
      <c r="A98" s="6">
        <v>93</v>
      </c>
      <c r="B98" s="8" t="s">
        <v>5188</v>
      </c>
      <c r="C98" s="27">
        <v>44693</v>
      </c>
      <c r="D98" s="27">
        <v>44693</v>
      </c>
      <c r="E98" s="81">
        <v>2</v>
      </c>
      <c r="F98" s="82" t="s">
        <v>22</v>
      </c>
      <c r="G98" s="8" t="s">
        <v>30</v>
      </c>
      <c r="H98" s="8" t="s">
        <v>24</v>
      </c>
      <c r="I98" s="8" t="s">
        <v>30</v>
      </c>
      <c r="J98" s="27">
        <v>44694</v>
      </c>
      <c r="K98" s="27">
        <v>44694</v>
      </c>
      <c r="L98" s="83">
        <f t="shared" si="2"/>
        <v>1</v>
      </c>
      <c r="M98" s="8" t="s">
        <v>5189</v>
      </c>
      <c r="N98" s="84" t="s">
        <v>26</v>
      </c>
      <c r="O98" s="8" t="s">
        <v>5190</v>
      </c>
      <c r="P98" s="8" t="s">
        <v>5191</v>
      </c>
      <c r="Q98" s="84" t="str">
        <f t="shared" si="3"/>
        <v>DENTRO DEL TIEMPO</v>
      </c>
      <c r="R98" s="81"/>
    </row>
    <row r="99" spans="1:18" ht="50.25" x14ac:dyDescent="0.25">
      <c r="A99" s="6">
        <v>94</v>
      </c>
      <c r="B99" s="8" t="s">
        <v>5192</v>
      </c>
      <c r="C99" s="27">
        <v>44693</v>
      </c>
      <c r="D99" s="27">
        <v>44693</v>
      </c>
      <c r="E99" s="81">
        <v>2</v>
      </c>
      <c r="F99" s="82" t="s">
        <v>22</v>
      </c>
      <c r="G99" s="8" t="s">
        <v>30</v>
      </c>
      <c r="H99" s="8" t="s">
        <v>24</v>
      </c>
      <c r="I99" s="8" t="s">
        <v>30</v>
      </c>
      <c r="J99" s="27">
        <v>44694</v>
      </c>
      <c r="K99" s="27">
        <v>44694</v>
      </c>
      <c r="L99" s="83">
        <f t="shared" si="2"/>
        <v>1</v>
      </c>
      <c r="M99" s="8" t="s">
        <v>5193</v>
      </c>
      <c r="N99" s="84" t="s">
        <v>26</v>
      </c>
      <c r="O99" s="8" t="s">
        <v>131</v>
      </c>
      <c r="P99" s="8" t="s">
        <v>5027</v>
      </c>
      <c r="Q99" s="84" t="str">
        <f t="shared" si="3"/>
        <v>DENTRO DEL TIEMPO</v>
      </c>
      <c r="R99" s="81"/>
    </row>
    <row r="100" spans="1:18" ht="50.25" x14ac:dyDescent="0.25">
      <c r="A100" s="6">
        <v>95</v>
      </c>
      <c r="B100" s="8" t="s">
        <v>5194</v>
      </c>
      <c r="C100" s="27">
        <v>44693</v>
      </c>
      <c r="D100" s="27">
        <v>44693</v>
      </c>
      <c r="E100" s="81">
        <v>2</v>
      </c>
      <c r="F100" s="82" t="s">
        <v>22</v>
      </c>
      <c r="G100" s="8" t="s">
        <v>30</v>
      </c>
      <c r="H100" s="8" t="s">
        <v>24</v>
      </c>
      <c r="I100" s="8" t="s">
        <v>30</v>
      </c>
      <c r="J100" s="27">
        <v>44694</v>
      </c>
      <c r="K100" s="27">
        <v>44694</v>
      </c>
      <c r="L100" s="83">
        <f t="shared" si="2"/>
        <v>1</v>
      </c>
      <c r="M100" s="8" t="s">
        <v>5195</v>
      </c>
      <c r="N100" s="84" t="s">
        <v>26</v>
      </c>
      <c r="O100" s="8" t="s">
        <v>5196</v>
      </c>
      <c r="P100" s="8" t="s">
        <v>5197</v>
      </c>
      <c r="Q100" s="84" t="str">
        <f t="shared" si="3"/>
        <v>DENTRO DEL TIEMPO</v>
      </c>
      <c r="R100" s="81"/>
    </row>
    <row r="101" spans="1:18" ht="50.25" x14ac:dyDescent="0.25">
      <c r="A101" s="6">
        <v>96</v>
      </c>
      <c r="B101" s="8" t="s">
        <v>5198</v>
      </c>
      <c r="C101" s="27">
        <v>44693</v>
      </c>
      <c r="D101" s="27">
        <v>44693</v>
      </c>
      <c r="E101" s="81">
        <v>2</v>
      </c>
      <c r="F101" s="82" t="s">
        <v>22</v>
      </c>
      <c r="G101" s="8" t="s">
        <v>30</v>
      </c>
      <c r="H101" s="8" t="s">
        <v>24</v>
      </c>
      <c r="I101" s="8" t="s">
        <v>30</v>
      </c>
      <c r="J101" s="27">
        <v>44694</v>
      </c>
      <c r="K101" s="27">
        <v>44694</v>
      </c>
      <c r="L101" s="83">
        <f t="shared" si="2"/>
        <v>1</v>
      </c>
      <c r="M101" s="8" t="s">
        <v>5199</v>
      </c>
      <c r="N101" s="84" t="s">
        <v>26</v>
      </c>
      <c r="O101" s="8" t="s">
        <v>5200</v>
      </c>
      <c r="P101" s="8" t="s">
        <v>5201</v>
      </c>
      <c r="Q101" s="84" t="str">
        <f t="shared" si="3"/>
        <v>DENTRO DEL TIEMPO</v>
      </c>
      <c r="R101" s="81"/>
    </row>
    <row r="102" spans="1:18" ht="50.25" x14ac:dyDescent="0.25">
      <c r="A102" s="6">
        <v>97</v>
      </c>
      <c r="B102" s="8" t="s">
        <v>5202</v>
      </c>
      <c r="C102" s="27">
        <v>44693</v>
      </c>
      <c r="D102" s="27">
        <v>44693</v>
      </c>
      <c r="E102" s="81">
        <v>2</v>
      </c>
      <c r="F102" s="82" t="s">
        <v>22</v>
      </c>
      <c r="G102" s="8" t="s">
        <v>30</v>
      </c>
      <c r="H102" s="8" t="s">
        <v>24</v>
      </c>
      <c r="I102" s="8" t="s">
        <v>30</v>
      </c>
      <c r="J102" s="27">
        <v>44694</v>
      </c>
      <c r="K102" s="27">
        <v>44694</v>
      </c>
      <c r="L102" s="83">
        <f t="shared" si="2"/>
        <v>1</v>
      </c>
      <c r="M102" s="8" t="s">
        <v>5203</v>
      </c>
      <c r="N102" s="84" t="s">
        <v>26</v>
      </c>
      <c r="O102" s="8" t="s">
        <v>5204</v>
      </c>
      <c r="P102" s="8" t="s">
        <v>5205</v>
      </c>
      <c r="Q102" s="84" t="str">
        <f t="shared" si="3"/>
        <v>DENTRO DEL TIEMPO</v>
      </c>
      <c r="R102" s="81"/>
    </row>
    <row r="103" spans="1:18" ht="50.25" x14ac:dyDescent="0.25">
      <c r="A103" s="6">
        <v>98</v>
      </c>
      <c r="B103" s="8" t="s">
        <v>5206</v>
      </c>
      <c r="C103" s="27">
        <v>44693</v>
      </c>
      <c r="D103" s="27">
        <v>44693</v>
      </c>
      <c r="E103" s="81">
        <v>2</v>
      </c>
      <c r="F103" s="82" t="s">
        <v>22</v>
      </c>
      <c r="G103" s="8" t="s">
        <v>30</v>
      </c>
      <c r="H103" s="8" t="s">
        <v>24</v>
      </c>
      <c r="I103" s="8" t="s">
        <v>30</v>
      </c>
      <c r="J103" s="27">
        <v>44694</v>
      </c>
      <c r="K103" s="27">
        <v>44694</v>
      </c>
      <c r="L103" s="83">
        <f t="shared" si="2"/>
        <v>1</v>
      </c>
      <c r="M103" s="8" t="s">
        <v>5207</v>
      </c>
      <c r="N103" s="84" t="s">
        <v>26</v>
      </c>
      <c r="O103" s="8" t="s">
        <v>5208</v>
      </c>
      <c r="P103" s="8" t="s">
        <v>5209</v>
      </c>
      <c r="Q103" s="84" t="str">
        <f t="shared" si="3"/>
        <v>DENTRO DEL TIEMPO</v>
      </c>
      <c r="R103" s="81"/>
    </row>
    <row r="104" spans="1:18" ht="50.25" x14ac:dyDescent="0.25">
      <c r="A104" s="6">
        <v>99</v>
      </c>
      <c r="B104" s="8" t="s">
        <v>5210</v>
      </c>
      <c r="C104" s="27">
        <v>44693</v>
      </c>
      <c r="D104" s="27">
        <v>44693</v>
      </c>
      <c r="E104" s="81">
        <v>2</v>
      </c>
      <c r="F104" s="82" t="s">
        <v>22</v>
      </c>
      <c r="G104" s="8" t="s">
        <v>30</v>
      </c>
      <c r="H104" s="8" t="s">
        <v>24</v>
      </c>
      <c r="I104" s="8" t="s">
        <v>30</v>
      </c>
      <c r="J104" s="27">
        <v>44694</v>
      </c>
      <c r="K104" s="27">
        <v>44694</v>
      </c>
      <c r="L104" s="83">
        <f t="shared" si="2"/>
        <v>1</v>
      </c>
      <c r="M104" s="8" t="s">
        <v>5211</v>
      </c>
      <c r="N104" s="84" t="s">
        <v>26</v>
      </c>
      <c r="O104" s="8" t="s">
        <v>5212</v>
      </c>
      <c r="P104" s="8" t="s">
        <v>5046</v>
      </c>
      <c r="Q104" s="84" t="str">
        <f t="shared" si="3"/>
        <v>DENTRO DEL TIEMPO</v>
      </c>
      <c r="R104" s="81"/>
    </row>
    <row r="105" spans="1:18" ht="50.25" x14ac:dyDescent="0.25">
      <c r="A105" s="6">
        <v>100</v>
      </c>
      <c r="B105" s="8" t="s">
        <v>5213</v>
      </c>
      <c r="C105" s="27">
        <v>44693</v>
      </c>
      <c r="D105" s="27">
        <v>44693</v>
      </c>
      <c r="E105" s="81">
        <v>2</v>
      </c>
      <c r="F105" s="82" t="s">
        <v>22</v>
      </c>
      <c r="G105" s="8" t="s">
        <v>30</v>
      </c>
      <c r="H105" s="8" t="s">
        <v>24</v>
      </c>
      <c r="I105" s="8" t="s">
        <v>30</v>
      </c>
      <c r="J105" s="27">
        <v>44694</v>
      </c>
      <c r="K105" s="27">
        <v>44694</v>
      </c>
      <c r="L105" s="83">
        <f t="shared" si="2"/>
        <v>1</v>
      </c>
      <c r="M105" s="8" t="s">
        <v>5214</v>
      </c>
      <c r="N105" s="84" t="s">
        <v>26</v>
      </c>
      <c r="O105" s="8" t="s">
        <v>5085</v>
      </c>
      <c r="P105" s="8" t="s">
        <v>5215</v>
      </c>
      <c r="Q105" s="84" t="str">
        <f t="shared" si="3"/>
        <v>DENTRO DEL TIEMPO</v>
      </c>
      <c r="R105" s="81"/>
    </row>
    <row r="106" spans="1:18" ht="50.25" x14ac:dyDescent="0.25">
      <c r="A106" s="6">
        <v>101</v>
      </c>
      <c r="B106" s="8" t="s">
        <v>5216</v>
      </c>
      <c r="C106" s="27">
        <v>44694</v>
      </c>
      <c r="D106" s="27">
        <v>44694</v>
      </c>
      <c r="E106" s="81">
        <v>2</v>
      </c>
      <c r="F106" s="82" t="s">
        <v>22</v>
      </c>
      <c r="G106" s="8" t="s">
        <v>30</v>
      </c>
      <c r="H106" s="8" t="s">
        <v>24</v>
      </c>
      <c r="I106" s="8" t="s">
        <v>30</v>
      </c>
      <c r="J106" s="27">
        <v>44694</v>
      </c>
      <c r="K106" s="27">
        <v>44694</v>
      </c>
      <c r="L106" s="83">
        <f t="shared" si="2"/>
        <v>0</v>
      </c>
      <c r="M106" s="8" t="s">
        <v>5214</v>
      </c>
      <c r="N106" s="84" t="s">
        <v>26</v>
      </c>
      <c r="O106" s="8" t="s">
        <v>112</v>
      </c>
      <c r="P106" s="8" t="s">
        <v>5217</v>
      </c>
      <c r="Q106" s="84" t="str">
        <f t="shared" si="3"/>
        <v>DENTRO DEL TIEMPO</v>
      </c>
      <c r="R106" s="81"/>
    </row>
    <row r="107" spans="1:18" ht="50.25" x14ac:dyDescent="0.25">
      <c r="A107" s="6">
        <v>102</v>
      </c>
      <c r="B107" s="8" t="s">
        <v>5218</v>
      </c>
      <c r="C107" s="27">
        <v>44694</v>
      </c>
      <c r="D107" s="27">
        <v>44694</v>
      </c>
      <c r="E107" s="81">
        <v>2</v>
      </c>
      <c r="F107" s="82" t="s">
        <v>22</v>
      </c>
      <c r="G107" s="8" t="s">
        <v>30</v>
      </c>
      <c r="H107" s="8" t="s">
        <v>24</v>
      </c>
      <c r="I107" s="8" t="s">
        <v>30</v>
      </c>
      <c r="J107" s="27">
        <v>44697</v>
      </c>
      <c r="K107" s="27">
        <v>44697</v>
      </c>
      <c r="L107" s="83">
        <f t="shared" si="2"/>
        <v>1</v>
      </c>
      <c r="M107" s="8" t="s">
        <v>5219</v>
      </c>
      <c r="N107" s="84" t="s">
        <v>26</v>
      </c>
      <c r="O107" s="8" t="s">
        <v>5220</v>
      </c>
      <c r="P107" s="8" t="s">
        <v>5221</v>
      </c>
      <c r="Q107" s="84" t="str">
        <f t="shared" si="3"/>
        <v>DENTRO DEL TIEMPO</v>
      </c>
      <c r="R107" s="81"/>
    </row>
    <row r="108" spans="1:18" ht="50.25" x14ac:dyDescent="0.25">
      <c r="A108" s="6">
        <v>103</v>
      </c>
      <c r="B108" s="8" t="s">
        <v>5222</v>
      </c>
      <c r="C108" s="27">
        <v>44694</v>
      </c>
      <c r="D108" s="27">
        <v>44694</v>
      </c>
      <c r="E108" s="81">
        <v>2</v>
      </c>
      <c r="F108" s="82" t="s">
        <v>22</v>
      </c>
      <c r="G108" s="8" t="s">
        <v>30</v>
      </c>
      <c r="H108" s="8" t="s">
        <v>24</v>
      </c>
      <c r="I108" s="8" t="s">
        <v>30</v>
      </c>
      <c r="J108" s="27">
        <v>44697</v>
      </c>
      <c r="K108" s="27">
        <v>44697</v>
      </c>
      <c r="L108" s="83">
        <f t="shared" si="2"/>
        <v>1</v>
      </c>
      <c r="M108" s="8" t="s">
        <v>5223</v>
      </c>
      <c r="N108" s="84" t="s">
        <v>26</v>
      </c>
      <c r="O108" s="8" t="s">
        <v>1960</v>
      </c>
      <c r="P108" s="8" t="s">
        <v>5113</v>
      </c>
      <c r="Q108" s="84" t="str">
        <f t="shared" si="3"/>
        <v>DENTRO DEL TIEMPO</v>
      </c>
      <c r="R108" s="81"/>
    </row>
    <row r="109" spans="1:18" ht="50.25" x14ac:dyDescent="0.25">
      <c r="A109" s="6">
        <v>104</v>
      </c>
      <c r="B109" s="8" t="s">
        <v>5224</v>
      </c>
      <c r="C109" s="27">
        <v>44694</v>
      </c>
      <c r="D109" s="27">
        <v>44694</v>
      </c>
      <c r="E109" s="81">
        <v>2</v>
      </c>
      <c r="F109" s="82" t="s">
        <v>22</v>
      </c>
      <c r="G109" s="8" t="s">
        <v>30</v>
      </c>
      <c r="H109" s="8" t="s">
        <v>24</v>
      </c>
      <c r="I109" s="8" t="s">
        <v>30</v>
      </c>
      <c r="J109" s="27">
        <v>44697</v>
      </c>
      <c r="K109" s="27">
        <v>44697</v>
      </c>
      <c r="L109" s="83">
        <f t="shared" si="2"/>
        <v>1</v>
      </c>
      <c r="M109" s="8" t="s">
        <v>5225</v>
      </c>
      <c r="N109" s="84" t="s">
        <v>26</v>
      </c>
      <c r="O109" s="8" t="s">
        <v>402</v>
      </c>
      <c r="P109" s="8" t="s">
        <v>5226</v>
      </c>
      <c r="Q109" s="84" t="str">
        <f t="shared" si="3"/>
        <v>DENTRO DEL TIEMPO</v>
      </c>
      <c r="R109" s="81"/>
    </row>
    <row r="110" spans="1:18" ht="40.5" hidden="1" x14ac:dyDescent="0.25">
      <c r="A110" s="6">
        <v>105</v>
      </c>
      <c r="B110" s="8" t="s">
        <v>5227</v>
      </c>
      <c r="C110" s="27">
        <v>44694</v>
      </c>
      <c r="D110" s="27">
        <v>44694</v>
      </c>
      <c r="E110" s="81">
        <v>0</v>
      </c>
      <c r="F110" s="82" t="s">
        <v>790</v>
      </c>
      <c r="G110" s="8" t="s">
        <v>5228</v>
      </c>
      <c r="H110" s="8" t="s">
        <v>3278</v>
      </c>
      <c r="I110" s="8" t="s">
        <v>5228</v>
      </c>
      <c r="J110" s="27">
        <v>44705</v>
      </c>
      <c r="K110" s="27">
        <v>44705</v>
      </c>
      <c r="L110" s="83">
        <f t="shared" si="2"/>
        <v>7</v>
      </c>
      <c r="M110" s="8" t="s">
        <v>5229</v>
      </c>
      <c r="N110" s="84" t="s">
        <v>26</v>
      </c>
      <c r="O110" s="8" t="s">
        <v>5230</v>
      </c>
      <c r="P110" s="8" t="s">
        <v>5231</v>
      </c>
      <c r="Q110" s="84" t="str">
        <f t="shared" si="3"/>
        <v>DENTRO DEL TIEMPO</v>
      </c>
      <c r="R110" s="81"/>
    </row>
    <row r="111" spans="1:18" ht="50.25" x14ac:dyDescent="0.25">
      <c r="A111" s="6">
        <v>106</v>
      </c>
      <c r="B111" s="8" t="s">
        <v>5232</v>
      </c>
      <c r="C111" s="27">
        <v>44694</v>
      </c>
      <c r="D111" s="27">
        <v>44694</v>
      </c>
      <c r="E111" s="81">
        <v>496</v>
      </c>
      <c r="F111" s="82" t="s">
        <v>22</v>
      </c>
      <c r="G111" s="8" t="s">
        <v>23</v>
      </c>
      <c r="H111" s="8" t="s">
        <v>24</v>
      </c>
      <c r="I111" s="8" t="s">
        <v>23</v>
      </c>
      <c r="J111" s="27">
        <v>44707</v>
      </c>
      <c r="K111" s="27">
        <v>44707</v>
      </c>
      <c r="L111" s="83">
        <f t="shared" si="2"/>
        <v>9</v>
      </c>
      <c r="M111" s="8" t="s">
        <v>5233</v>
      </c>
      <c r="N111" s="84" t="s">
        <v>26</v>
      </c>
      <c r="O111" s="8" t="s">
        <v>5234</v>
      </c>
      <c r="P111" s="8" t="s">
        <v>5235</v>
      </c>
      <c r="Q111" s="84" t="str">
        <f t="shared" si="3"/>
        <v>DENTRO DEL TIEMPO</v>
      </c>
      <c r="R111" s="81"/>
    </row>
    <row r="112" spans="1:18" ht="50.25" x14ac:dyDescent="0.25">
      <c r="A112" s="6">
        <v>107</v>
      </c>
      <c r="B112" s="8" t="s">
        <v>5236</v>
      </c>
      <c r="C112" s="27">
        <v>44694</v>
      </c>
      <c r="D112" s="27">
        <v>44694</v>
      </c>
      <c r="E112" s="81">
        <v>2</v>
      </c>
      <c r="F112" s="82" t="s">
        <v>22</v>
      </c>
      <c r="G112" s="8" t="s">
        <v>30</v>
      </c>
      <c r="H112" s="8" t="s">
        <v>24</v>
      </c>
      <c r="I112" s="8" t="s">
        <v>30</v>
      </c>
      <c r="J112" s="27">
        <v>44700</v>
      </c>
      <c r="K112" s="27">
        <v>44700</v>
      </c>
      <c r="L112" s="83">
        <f t="shared" si="2"/>
        <v>4</v>
      </c>
      <c r="M112" s="8" t="s">
        <v>5237</v>
      </c>
      <c r="N112" s="84" t="s">
        <v>26</v>
      </c>
      <c r="O112" s="8" t="s">
        <v>5238</v>
      </c>
      <c r="P112" s="8" t="s">
        <v>5239</v>
      </c>
      <c r="Q112" s="84" t="str">
        <f t="shared" si="3"/>
        <v>DENTRO DEL TIEMPO</v>
      </c>
      <c r="R112" s="81"/>
    </row>
    <row r="113" spans="1:18" ht="50.25" x14ac:dyDescent="0.25">
      <c r="A113" s="6">
        <v>108</v>
      </c>
      <c r="B113" s="8" t="s">
        <v>5240</v>
      </c>
      <c r="C113" s="27">
        <v>44694</v>
      </c>
      <c r="D113" s="27">
        <v>44694</v>
      </c>
      <c r="E113" s="81">
        <v>2</v>
      </c>
      <c r="F113" s="82" t="s">
        <v>22</v>
      </c>
      <c r="G113" s="8" t="s">
        <v>30</v>
      </c>
      <c r="H113" s="8" t="s">
        <v>24</v>
      </c>
      <c r="I113" s="8" t="s">
        <v>30</v>
      </c>
      <c r="J113" s="27">
        <v>44697</v>
      </c>
      <c r="K113" s="27">
        <v>44697</v>
      </c>
      <c r="L113" s="83">
        <f t="shared" si="2"/>
        <v>1</v>
      </c>
      <c r="M113" s="8" t="s">
        <v>5241</v>
      </c>
      <c r="N113" s="84" t="s">
        <v>26</v>
      </c>
      <c r="O113" s="8" t="s">
        <v>5242</v>
      </c>
      <c r="P113" s="8" t="s">
        <v>5243</v>
      </c>
      <c r="Q113" s="84" t="str">
        <f t="shared" si="3"/>
        <v>DENTRO DEL TIEMPO</v>
      </c>
      <c r="R113" s="81"/>
    </row>
    <row r="114" spans="1:18" ht="50.25" x14ac:dyDescent="0.25">
      <c r="A114" s="6">
        <v>109</v>
      </c>
      <c r="B114" s="8" t="s">
        <v>5244</v>
      </c>
      <c r="C114" s="27">
        <v>44694</v>
      </c>
      <c r="D114" s="27">
        <v>44694</v>
      </c>
      <c r="E114" s="81">
        <v>2</v>
      </c>
      <c r="F114" s="82" t="s">
        <v>22</v>
      </c>
      <c r="G114" s="8" t="s">
        <v>30</v>
      </c>
      <c r="H114" s="8" t="s">
        <v>24</v>
      </c>
      <c r="I114" s="8" t="s">
        <v>30</v>
      </c>
      <c r="J114" s="27">
        <v>44697</v>
      </c>
      <c r="K114" s="27">
        <v>44697</v>
      </c>
      <c r="L114" s="83">
        <f t="shared" si="2"/>
        <v>1</v>
      </c>
      <c r="M114" s="8" t="s">
        <v>5245</v>
      </c>
      <c r="N114" s="84" t="s">
        <v>26</v>
      </c>
      <c r="O114" s="8" t="s">
        <v>5246</v>
      </c>
      <c r="P114" s="8" t="s">
        <v>5247</v>
      </c>
      <c r="Q114" s="84" t="str">
        <f t="shared" si="3"/>
        <v>DENTRO DEL TIEMPO</v>
      </c>
      <c r="R114" s="81"/>
    </row>
    <row r="115" spans="1:18" ht="50.25" x14ac:dyDescent="0.25">
      <c r="A115" s="6">
        <v>110</v>
      </c>
      <c r="B115" s="8" t="s">
        <v>5248</v>
      </c>
      <c r="C115" s="27">
        <v>44694</v>
      </c>
      <c r="D115" s="27">
        <v>44694</v>
      </c>
      <c r="E115" s="81">
        <v>2</v>
      </c>
      <c r="F115" s="82" t="s">
        <v>22</v>
      </c>
      <c r="G115" s="8" t="s">
        <v>30</v>
      </c>
      <c r="H115" s="8" t="s">
        <v>24</v>
      </c>
      <c r="I115" s="8" t="s">
        <v>30</v>
      </c>
      <c r="J115" s="27">
        <v>44697</v>
      </c>
      <c r="K115" s="27">
        <v>44697</v>
      </c>
      <c r="L115" s="83">
        <f t="shared" si="2"/>
        <v>1</v>
      </c>
      <c r="M115" s="8" t="s">
        <v>5249</v>
      </c>
      <c r="N115" s="84" t="s">
        <v>26</v>
      </c>
      <c r="O115" s="8" t="s">
        <v>422</v>
      </c>
      <c r="P115" s="8" t="s">
        <v>5250</v>
      </c>
      <c r="Q115" s="84" t="str">
        <f t="shared" si="3"/>
        <v>DENTRO DEL TIEMPO</v>
      </c>
      <c r="R115" s="81"/>
    </row>
    <row r="116" spans="1:18" ht="50.25" x14ac:dyDescent="0.25">
      <c r="A116" s="6">
        <v>111</v>
      </c>
      <c r="B116" s="8" t="s">
        <v>5251</v>
      </c>
      <c r="C116" s="27">
        <v>44694</v>
      </c>
      <c r="D116" s="27">
        <v>44694</v>
      </c>
      <c r="E116" s="81">
        <v>2</v>
      </c>
      <c r="F116" s="82" t="s">
        <v>22</v>
      </c>
      <c r="G116" s="8" t="s">
        <v>30</v>
      </c>
      <c r="H116" s="8" t="s">
        <v>24</v>
      </c>
      <c r="I116" s="8" t="s">
        <v>30</v>
      </c>
      <c r="J116" s="27">
        <v>44697</v>
      </c>
      <c r="K116" s="27">
        <v>44697</v>
      </c>
      <c r="L116" s="83">
        <f t="shared" si="2"/>
        <v>1</v>
      </c>
      <c r="M116" s="8" t="s">
        <v>5252</v>
      </c>
      <c r="N116" s="84" t="s">
        <v>26</v>
      </c>
      <c r="O116" s="8" t="s">
        <v>5253</v>
      </c>
      <c r="P116" s="8" t="s">
        <v>5254</v>
      </c>
      <c r="Q116" s="84" t="str">
        <f t="shared" si="3"/>
        <v>DENTRO DEL TIEMPO</v>
      </c>
      <c r="R116" s="81"/>
    </row>
    <row r="117" spans="1:18" ht="50.25" x14ac:dyDescent="0.25">
      <c r="A117" s="6">
        <v>112</v>
      </c>
      <c r="B117" s="8" t="s">
        <v>5255</v>
      </c>
      <c r="C117" s="27">
        <v>44694</v>
      </c>
      <c r="D117" s="27">
        <v>44694</v>
      </c>
      <c r="E117" s="81">
        <v>226</v>
      </c>
      <c r="F117" s="82" t="s">
        <v>22</v>
      </c>
      <c r="G117" s="8" t="s">
        <v>23</v>
      </c>
      <c r="H117" s="8" t="s">
        <v>24</v>
      </c>
      <c r="I117" s="8" t="s">
        <v>23</v>
      </c>
      <c r="J117" s="27">
        <v>44706</v>
      </c>
      <c r="K117" s="27">
        <v>44706</v>
      </c>
      <c r="L117" s="83">
        <f t="shared" si="2"/>
        <v>8</v>
      </c>
      <c r="M117" s="8" t="s">
        <v>5256</v>
      </c>
      <c r="N117" s="84" t="s">
        <v>26</v>
      </c>
      <c r="O117" s="8" t="s">
        <v>5257</v>
      </c>
      <c r="P117" s="8" t="s">
        <v>5258</v>
      </c>
      <c r="Q117" s="84" t="str">
        <f t="shared" si="3"/>
        <v>DENTRO DEL TIEMPO</v>
      </c>
      <c r="R117" s="81"/>
    </row>
    <row r="118" spans="1:18" ht="50.25" x14ac:dyDescent="0.25">
      <c r="A118" s="6">
        <v>113</v>
      </c>
      <c r="B118" s="8" t="s">
        <v>5259</v>
      </c>
      <c r="C118" s="27">
        <v>44694</v>
      </c>
      <c r="D118" s="27">
        <v>44694</v>
      </c>
      <c r="E118" s="81">
        <v>2</v>
      </c>
      <c r="F118" s="82" t="s">
        <v>22</v>
      </c>
      <c r="G118" s="8" t="s">
        <v>30</v>
      </c>
      <c r="H118" s="8" t="s">
        <v>24</v>
      </c>
      <c r="I118" s="8" t="s">
        <v>30</v>
      </c>
      <c r="J118" s="27">
        <v>44697</v>
      </c>
      <c r="K118" s="27">
        <v>44697</v>
      </c>
      <c r="L118" s="83">
        <f t="shared" si="2"/>
        <v>1</v>
      </c>
      <c r="M118" s="8" t="s">
        <v>5260</v>
      </c>
      <c r="N118" s="84" t="s">
        <v>26</v>
      </c>
      <c r="O118" s="8" t="s">
        <v>5261</v>
      </c>
      <c r="P118" s="8" t="s">
        <v>5262</v>
      </c>
      <c r="Q118" s="84" t="str">
        <f t="shared" si="3"/>
        <v>DENTRO DEL TIEMPO</v>
      </c>
      <c r="R118" s="81"/>
    </row>
    <row r="119" spans="1:18" ht="50.25" x14ac:dyDescent="0.25">
      <c r="A119" s="6">
        <v>114</v>
      </c>
      <c r="B119" s="8" t="s">
        <v>5263</v>
      </c>
      <c r="C119" s="27">
        <v>44697</v>
      </c>
      <c r="D119" s="27">
        <v>44697</v>
      </c>
      <c r="E119" s="81">
        <v>2</v>
      </c>
      <c r="F119" s="82" t="s">
        <v>22</v>
      </c>
      <c r="G119" s="8" t="s">
        <v>30</v>
      </c>
      <c r="H119" s="8" t="s">
        <v>24</v>
      </c>
      <c r="I119" s="8" t="s">
        <v>30</v>
      </c>
      <c r="J119" s="27">
        <v>44698</v>
      </c>
      <c r="K119" s="27">
        <v>44698</v>
      </c>
      <c r="L119" s="83">
        <f t="shared" si="2"/>
        <v>1</v>
      </c>
      <c r="M119" s="8" t="s">
        <v>5264</v>
      </c>
      <c r="N119" s="84" t="s">
        <v>26</v>
      </c>
      <c r="O119" s="8" t="s">
        <v>5265</v>
      </c>
      <c r="P119" s="8" t="s">
        <v>5266</v>
      </c>
      <c r="Q119" s="84" t="str">
        <f t="shared" si="3"/>
        <v>DENTRO DEL TIEMPO</v>
      </c>
      <c r="R119" s="81"/>
    </row>
    <row r="120" spans="1:18" ht="50.25" x14ac:dyDescent="0.25">
      <c r="A120" s="6">
        <v>115</v>
      </c>
      <c r="B120" s="8" t="s">
        <v>5267</v>
      </c>
      <c r="C120" s="27">
        <v>44697</v>
      </c>
      <c r="D120" s="27">
        <v>44697</v>
      </c>
      <c r="E120" s="81">
        <v>2</v>
      </c>
      <c r="F120" s="82" t="s">
        <v>22</v>
      </c>
      <c r="G120" s="8" t="s">
        <v>30</v>
      </c>
      <c r="H120" s="8" t="s">
        <v>24</v>
      </c>
      <c r="I120" s="8" t="s">
        <v>30</v>
      </c>
      <c r="J120" s="27">
        <v>44698</v>
      </c>
      <c r="K120" s="27">
        <v>44698</v>
      </c>
      <c r="L120" s="83">
        <f t="shared" si="2"/>
        <v>1</v>
      </c>
      <c r="M120" s="8" t="s">
        <v>5268</v>
      </c>
      <c r="N120" s="84" t="s">
        <v>26</v>
      </c>
      <c r="O120" s="8" t="s">
        <v>5269</v>
      </c>
      <c r="P120" s="8" t="s">
        <v>5270</v>
      </c>
      <c r="Q120" s="84" t="str">
        <f t="shared" si="3"/>
        <v>DENTRO DEL TIEMPO</v>
      </c>
      <c r="R120" s="81"/>
    </row>
    <row r="121" spans="1:18" ht="50.25" x14ac:dyDescent="0.25">
      <c r="A121" s="6">
        <v>116</v>
      </c>
      <c r="B121" s="8" t="s">
        <v>5271</v>
      </c>
      <c r="C121" s="27">
        <v>44697</v>
      </c>
      <c r="D121" s="27">
        <v>44697</v>
      </c>
      <c r="E121" s="81">
        <v>2</v>
      </c>
      <c r="F121" s="82" t="s">
        <v>22</v>
      </c>
      <c r="G121" s="8" t="s">
        <v>30</v>
      </c>
      <c r="H121" s="8" t="s">
        <v>24</v>
      </c>
      <c r="I121" s="8" t="s">
        <v>30</v>
      </c>
      <c r="J121" s="27">
        <v>44698</v>
      </c>
      <c r="K121" s="27">
        <v>44698</v>
      </c>
      <c r="L121" s="83">
        <f t="shared" si="2"/>
        <v>1</v>
      </c>
      <c r="M121" s="8" t="s">
        <v>5272</v>
      </c>
      <c r="N121" s="84" t="s">
        <v>26</v>
      </c>
      <c r="O121" s="8" t="s">
        <v>5273</v>
      </c>
      <c r="P121" s="8" t="s">
        <v>5030</v>
      </c>
      <c r="Q121" s="84" t="str">
        <f t="shared" si="3"/>
        <v>DENTRO DEL TIEMPO</v>
      </c>
      <c r="R121" s="81"/>
    </row>
    <row r="122" spans="1:18" ht="30.75" hidden="1" x14ac:dyDescent="0.25">
      <c r="A122" s="6">
        <v>117</v>
      </c>
      <c r="B122" s="8" t="s">
        <v>5274</v>
      </c>
      <c r="C122" s="27">
        <v>44697</v>
      </c>
      <c r="D122" s="27">
        <v>44697</v>
      </c>
      <c r="E122" s="81">
        <v>0</v>
      </c>
      <c r="F122" s="82" t="s">
        <v>790</v>
      </c>
      <c r="G122" s="8" t="s">
        <v>5275</v>
      </c>
      <c r="H122" s="8" t="s">
        <v>2956</v>
      </c>
      <c r="I122" s="8" t="s">
        <v>5275</v>
      </c>
      <c r="J122" s="27"/>
      <c r="K122" s="27"/>
      <c r="L122" s="83">
        <f t="shared" si="2"/>
        <v>-31927</v>
      </c>
      <c r="M122" s="81"/>
      <c r="N122" s="84" t="s">
        <v>26</v>
      </c>
      <c r="O122" s="8" t="s">
        <v>5276</v>
      </c>
      <c r="P122" s="8" t="s">
        <v>5277</v>
      </c>
      <c r="Q122" s="84" t="str">
        <f t="shared" si="3"/>
        <v>DENTRO DEL TIEMPO</v>
      </c>
      <c r="R122" s="81"/>
    </row>
    <row r="123" spans="1:18" ht="50.25" x14ac:dyDescent="0.25">
      <c r="A123" s="6">
        <v>118</v>
      </c>
      <c r="B123" s="8" t="s">
        <v>5278</v>
      </c>
      <c r="C123" s="27">
        <v>44697</v>
      </c>
      <c r="D123" s="27">
        <v>44697</v>
      </c>
      <c r="E123" s="81">
        <v>2</v>
      </c>
      <c r="F123" s="82" t="s">
        <v>22</v>
      </c>
      <c r="G123" s="8" t="s">
        <v>30</v>
      </c>
      <c r="H123" s="8" t="s">
        <v>24</v>
      </c>
      <c r="I123" s="8" t="s">
        <v>30</v>
      </c>
      <c r="J123" s="27">
        <v>44698</v>
      </c>
      <c r="K123" s="27">
        <v>44698</v>
      </c>
      <c r="L123" s="83">
        <f t="shared" si="2"/>
        <v>1</v>
      </c>
      <c r="M123" s="8" t="s">
        <v>5279</v>
      </c>
      <c r="N123" s="84" t="s">
        <v>26</v>
      </c>
      <c r="O123" s="8" t="s">
        <v>5280</v>
      </c>
      <c r="P123" s="8" t="s">
        <v>5281</v>
      </c>
      <c r="Q123" s="84" t="str">
        <f t="shared" si="3"/>
        <v>DENTRO DEL TIEMPO</v>
      </c>
      <c r="R123" s="81"/>
    </row>
    <row r="124" spans="1:18" ht="50.25" x14ac:dyDescent="0.25">
      <c r="A124" s="6">
        <v>119</v>
      </c>
      <c r="B124" s="8" t="s">
        <v>5282</v>
      </c>
      <c r="C124" s="27">
        <v>44697</v>
      </c>
      <c r="D124" s="27">
        <v>44697</v>
      </c>
      <c r="E124" s="81">
        <v>2</v>
      </c>
      <c r="F124" s="82" t="s">
        <v>22</v>
      </c>
      <c r="G124" s="8" t="s">
        <v>30</v>
      </c>
      <c r="H124" s="8" t="s">
        <v>24</v>
      </c>
      <c r="I124" s="8" t="s">
        <v>30</v>
      </c>
      <c r="J124" s="27">
        <v>44698</v>
      </c>
      <c r="K124" s="27">
        <v>44698</v>
      </c>
      <c r="L124" s="83">
        <f t="shared" si="2"/>
        <v>1</v>
      </c>
      <c r="M124" s="8" t="s">
        <v>5283</v>
      </c>
      <c r="N124" s="84" t="s">
        <v>26</v>
      </c>
      <c r="O124" s="8" t="s">
        <v>5284</v>
      </c>
      <c r="P124" s="8" t="s">
        <v>5128</v>
      </c>
      <c r="Q124" s="84" t="str">
        <f t="shared" si="3"/>
        <v>DENTRO DEL TIEMPO</v>
      </c>
      <c r="R124" s="81"/>
    </row>
    <row r="125" spans="1:18" ht="50.25" x14ac:dyDescent="0.25">
      <c r="A125" s="6">
        <v>120</v>
      </c>
      <c r="B125" s="8" t="s">
        <v>5285</v>
      </c>
      <c r="C125" s="27">
        <v>44697</v>
      </c>
      <c r="D125" s="27">
        <v>44697</v>
      </c>
      <c r="E125" s="81">
        <v>2</v>
      </c>
      <c r="F125" s="82" t="s">
        <v>22</v>
      </c>
      <c r="G125" s="8" t="s">
        <v>30</v>
      </c>
      <c r="H125" s="8" t="s">
        <v>24</v>
      </c>
      <c r="I125" s="8" t="s">
        <v>30</v>
      </c>
      <c r="J125" s="27">
        <v>44698</v>
      </c>
      <c r="K125" s="27">
        <v>44698</v>
      </c>
      <c r="L125" s="83">
        <f t="shared" si="2"/>
        <v>1</v>
      </c>
      <c r="M125" s="8" t="s">
        <v>5286</v>
      </c>
      <c r="N125" s="84" t="s">
        <v>26</v>
      </c>
      <c r="O125" s="8" t="s">
        <v>180</v>
      </c>
      <c r="P125" s="8" t="s">
        <v>5287</v>
      </c>
      <c r="Q125" s="84" t="str">
        <f t="shared" si="3"/>
        <v>DENTRO DEL TIEMPO</v>
      </c>
      <c r="R125" s="81"/>
    </row>
    <row r="126" spans="1:18" ht="50.25" x14ac:dyDescent="0.25">
      <c r="A126" s="6">
        <v>121</v>
      </c>
      <c r="B126" s="8" t="s">
        <v>5288</v>
      </c>
      <c r="C126" s="27">
        <v>44697</v>
      </c>
      <c r="D126" s="27">
        <v>44697</v>
      </c>
      <c r="E126" s="81">
        <v>2</v>
      </c>
      <c r="F126" s="82" t="s">
        <v>22</v>
      </c>
      <c r="G126" s="8" t="s">
        <v>30</v>
      </c>
      <c r="H126" s="8" t="s">
        <v>24</v>
      </c>
      <c r="I126" s="8" t="s">
        <v>30</v>
      </c>
      <c r="J126" s="27">
        <v>44698</v>
      </c>
      <c r="K126" s="27">
        <v>44698</v>
      </c>
      <c r="L126" s="83">
        <f t="shared" si="2"/>
        <v>1</v>
      </c>
      <c r="M126" s="8" t="s">
        <v>5289</v>
      </c>
      <c r="N126" s="84" t="s">
        <v>26</v>
      </c>
      <c r="O126" s="8" t="s">
        <v>5290</v>
      </c>
      <c r="P126" s="8" t="s">
        <v>5291</v>
      </c>
      <c r="Q126" s="84" t="str">
        <f t="shared" si="3"/>
        <v>DENTRO DEL TIEMPO</v>
      </c>
      <c r="R126" s="81"/>
    </row>
    <row r="127" spans="1:18" ht="50.25" x14ac:dyDescent="0.25">
      <c r="A127" s="6">
        <v>122</v>
      </c>
      <c r="B127" s="8" t="s">
        <v>5292</v>
      </c>
      <c r="C127" s="27">
        <v>44697</v>
      </c>
      <c r="D127" s="27">
        <v>44697</v>
      </c>
      <c r="E127" s="81">
        <v>2</v>
      </c>
      <c r="F127" s="82" t="s">
        <v>22</v>
      </c>
      <c r="G127" s="8" t="s">
        <v>30</v>
      </c>
      <c r="H127" s="8" t="s">
        <v>24</v>
      </c>
      <c r="I127" s="8" t="s">
        <v>30</v>
      </c>
      <c r="J127" s="27">
        <v>44698</v>
      </c>
      <c r="K127" s="27">
        <v>44698</v>
      </c>
      <c r="L127" s="83">
        <f t="shared" si="2"/>
        <v>1</v>
      </c>
      <c r="M127" s="8" t="s">
        <v>5293</v>
      </c>
      <c r="N127" s="84" t="s">
        <v>26</v>
      </c>
      <c r="O127" s="8" t="s">
        <v>5294</v>
      </c>
      <c r="P127" s="8" t="s">
        <v>5295</v>
      </c>
      <c r="Q127" s="84" t="str">
        <f t="shared" si="3"/>
        <v>DENTRO DEL TIEMPO</v>
      </c>
      <c r="R127" s="81"/>
    </row>
    <row r="128" spans="1:18" ht="50.25" x14ac:dyDescent="0.25">
      <c r="A128" s="6">
        <v>123</v>
      </c>
      <c r="B128" s="8" t="s">
        <v>5296</v>
      </c>
      <c r="C128" s="27">
        <v>44697</v>
      </c>
      <c r="D128" s="27">
        <v>44697</v>
      </c>
      <c r="E128" s="81">
        <v>2</v>
      </c>
      <c r="F128" s="82" t="s">
        <v>22</v>
      </c>
      <c r="G128" s="8" t="s">
        <v>30</v>
      </c>
      <c r="H128" s="8" t="s">
        <v>24</v>
      </c>
      <c r="I128" s="8" t="s">
        <v>30</v>
      </c>
      <c r="J128" s="27">
        <v>44698</v>
      </c>
      <c r="K128" s="27">
        <v>44698</v>
      </c>
      <c r="L128" s="83">
        <f t="shared" si="2"/>
        <v>1</v>
      </c>
      <c r="M128" s="8" t="s">
        <v>5297</v>
      </c>
      <c r="N128" s="84" t="s">
        <v>26</v>
      </c>
      <c r="O128" s="8" t="s">
        <v>5294</v>
      </c>
      <c r="P128" s="8" t="s">
        <v>5295</v>
      </c>
      <c r="Q128" s="84" t="str">
        <f t="shared" si="3"/>
        <v>DENTRO DEL TIEMPO</v>
      </c>
      <c r="R128" s="81"/>
    </row>
    <row r="129" spans="1:18" ht="50.25" x14ac:dyDescent="0.25">
      <c r="A129" s="6">
        <v>124</v>
      </c>
      <c r="B129" s="8" t="s">
        <v>5298</v>
      </c>
      <c r="C129" s="27">
        <v>44697</v>
      </c>
      <c r="D129" s="27">
        <v>44697</v>
      </c>
      <c r="E129" s="81">
        <v>2</v>
      </c>
      <c r="F129" s="82" t="s">
        <v>22</v>
      </c>
      <c r="G129" s="8" t="s">
        <v>30</v>
      </c>
      <c r="H129" s="8" t="s">
        <v>24</v>
      </c>
      <c r="I129" s="8" t="s">
        <v>30</v>
      </c>
      <c r="J129" s="27">
        <v>44698</v>
      </c>
      <c r="K129" s="27">
        <v>44698</v>
      </c>
      <c r="L129" s="83">
        <f t="shared" si="2"/>
        <v>1</v>
      </c>
      <c r="M129" s="8" t="s">
        <v>5299</v>
      </c>
      <c r="N129" s="84" t="s">
        <v>26</v>
      </c>
      <c r="O129" s="8" t="s">
        <v>5300</v>
      </c>
      <c r="P129" s="8" t="s">
        <v>5301</v>
      </c>
      <c r="Q129" s="84" t="str">
        <f t="shared" si="3"/>
        <v>DENTRO DEL TIEMPO</v>
      </c>
      <c r="R129" s="81"/>
    </row>
    <row r="130" spans="1:18" ht="50.25" x14ac:dyDescent="0.25">
      <c r="A130" s="6">
        <v>125</v>
      </c>
      <c r="B130" s="8" t="s">
        <v>5302</v>
      </c>
      <c r="C130" s="27">
        <v>44697</v>
      </c>
      <c r="D130" s="27">
        <v>44697</v>
      </c>
      <c r="E130" s="81">
        <v>2</v>
      </c>
      <c r="F130" s="82" t="s">
        <v>22</v>
      </c>
      <c r="G130" s="8" t="s">
        <v>30</v>
      </c>
      <c r="H130" s="8" t="s">
        <v>24</v>
      </c>
      <c r="I130" s="8" t="s">
        <v>30</v>
      </c>
      <c r="J130" s="27">
        <v>44698</v>
      </c>
      <c r="K130" s="27">
        <v>44698</v>
      </c>
      <c r="L130" s="83">
        <f t="shared" si="2"/>
        <v>1</v>
      </c>
      <c r="M130" s="8" t="s">
        <v>5303</v>
      </c>
      <c r="N130" s="84" t="s">
        <v>26</v>
      </c>
      <c r="O130" s="8" t="s">
        <v>5304</v>
      </c>
      <c r="P130" s="8" t="s">
        <v>5305</v>
      </c>
      <c r="Q130" s="84" t="str">
        <f t="shared" si="3"/>
        <v>DENTRO DEL TIEMPO</v>
      </c>
      <c r="R130" s="81"/>
    </row>
    <row r="131" spans="1:18" ht="50.25" x14ac:dyDescent="0.25">
      <c r="A131" s="6">
        <v>126</v>
      </c>
      <c r="B131" s="8" t="s">
        <v>5306</v>
      </c>
      <c r="C131" s="27">
        <v>44697</v>
      </c>
      <c r="D131" s="27">
        <v>44697</v>
      </c>
      <c r="E131" s="81">
        <v>2</v>
      </c>
      <c r="F131" s="82" t="s">
        <v>22</v>
      </c>
      <c r="G131" s="8" t="s">
        <v>30</v>
      </c>
      <c r="H131" s="8" t="s">
        <v>24</v>
      </c>
      <c r="I131" s="8" t="s">
        <v>30</v>
      </c>
      <c r="J131" s="27">
        <v>44698</v>
      </c>
      <c r="K131" s="27">
        <v>44698</v>
      </c>
      <c r="L131" s="83">
        <f t="shared" si="2"/>
        <v>1</v>
      </c>
      <c r="M131" s="8" t="s">
        <v>5307</v>
      </c>
      <c r="N131" s="84" t="s">
        <v>26</v>
      </c>
      <c r="O131" s="8" t="s">
        <v>5308</v>
      </c>
      <c r="P131" s="8" t="s">
        <v>5309</v>
      </c>
      <c r="Q131" s="84" t="str">
        <f t="shared" si="3"/>
        <v>DENTRO DEL TIEMPO</v>
      </c>
      <c r="R131" s="81"/>
    </row>
    <row r="132" spans="1:18" ht="50.25" x14ac:dyDescent="0.25">
      <c r="A132" s="6">
        <v>127</v>
      </c>
      <c r="B132" s="8" t="s">
        <v>5310</v>
      </c>
      <c r="C132" s="27">
        <v>44698</v>
      </c>
      <c r="D132" s="27">
        <v>44698</v>
      </c>
      <c r="E132" s="81">
        <v>2</v>
      </c>
      <c r="F132" s="82" t="s">
        <v>22</v>
      </c>
      <c r="G132" s="8" t="s">
        <v>30</v>
      </c>
      <c r="H132" s="8" t="s">
        <v>24</v>
      </c>
      <c r="I132" s="8" t="s">
        <v>30</v>
      </c>
      <c r="J132" s="27">
        <v>44699</v>
      </c>
      <c r="K132" s="27">
        <v>44699</v>
      </c>
      <c r="L132" s="83">
        <f t="shared" si="2"/>
        <v>1</v>
      </c>
      <c r="M132" s="8" t="s">
        <v>5311</v>
      </c>
      <c r="N132" s="84" t="s">
        <v>26</v>
      </c>
      <c r="O132" s="8" t="s">
        <v>5312</v>
      </c>
      <c r="P132" s="8" t="s">
        <v>5313</v>
      </c>
      <c r="Q132" s="84" t="str">
        <f t="shared" si="3"/>
        <v>DENTRO DEL TIEMPO</v>
      </c>
      <c r="R132" s="81"/>
    </row>
    <row r="133" spans="1:18" ht="50.25" x14ac:dyDescent="0.25">
      <c r="A133" s="6">
        <v>128</v>
      </c>
      <c r="B133" s="8" t="s">
        <v>5314</v>
      </c>
      <c r="C133" s="27">
        <v>44698</v>
      </c>
      <c r="D133" s="27">
        <v>44698</v>
      </c>
      <c r="E133" s="81">
        <v>2</v>
      </c>
      <c r="F133" s="82" t="s">
        <v>22</v>
      </c>
      <c r="G133" s="8" t="s">
        <v>30</v>
      </c>
      <c r="H133" s="8" t="s">
        <v>24</v>
      </c>
      <c r="I133" s="8" t="s">
        <v>30</v>
      </c>
      <c r="J133" s="27">
        <v>44699</v>
      </c>
      <c r="K133" s="27">
        <v>44699</v>
      </c>
      <c r="L133" s="83">
        <f t="shared" si="2"/>
        <v>1</v>
      </c>
      <c r="M133" s="8" t="s">
        <v>5315</v>
      </c>
      <c r="N133" s="84" t="s">
        <v>26</v>
      </c>
      <c r="O133" s="8" t="s">
        <v>5316</v>
      </c>
      <c r="P133" s="8" t="s">
        <v>5317</v>
      </c>
      <c r="Q133" s="84" t="str">
        <f t="shared" si="3"/>
        <v>DENTRO DEL TIEMPO</v>
      </c>
      <c r="R133" s="81"/>
    </row>
    <row r="134" spans="1:18" ht="50.25" x14ac:dyDescent="0.25">
      <c r="A134" s="6">
        <v>129</v>
      </c>
      <c r="B134" s="8" t="s">
        <v>5318</v>
      </c>
      <c r="C134" s="27">
        <v>44698</v>
      </c>
      <c r="D134" s="27">
        <v>44698</v>
      </c>
      <c r="E134" s="81">
        <v>2</v>
      </c>
      <c r="F134" s="82" t="s">
        <v>22</v>
      </c>
      <c r="G134" s="8" t="s">
        <v>30</v>
      </c>
      <c r="H134" s="8" t="s">
        <v>24</v>
      </c>
      <c r="I134" s="8" t="s">
        <v>30</v>
      </c>
      <c r="J134" s="27">
        <v>44699</v>
      </c>
      <c r="K134" s="27">
        <v>44699</v>
      </c>
      <c r="L134" s="83">
        <f t="shared" si="2"/>
        <v>1</v>
      </c>
      <c r="M134" s="8" t="s">
        <v>5319</v>
      </c>
      <c r="N134" s="84" t="s">
        <v>26</v>
      </c>
      <c r="O134" s="8" t="s">
        <v>121</v>
      </c>
      <c r="P134" s="8" t="s">
        <v>5320</v>
      </c>
      <c r="Q134" s="84" t="str">
        <f t="shared" si="3"/>
        <v>DENTRO DEL TIEMPO</v>
      </c>
      <c r="R134" s="81"/>
    </row>
    <row r="135" spans="1:18" ht="50.25" x14ac:dyDescent="0.25">
      <c r="A135" s="6">
        <v>130</v>
      </c>
      <c r="B135" s="8" t="s">
        <v>5321</v>
      </c>
      <c r="C135" s="27">
        <v>44698</v>
      </c>
      <c r="D135" s="27">
        <v>44698</v>
      </c>
      <c r="E135" s="81">
        <v>2</v>
      </c>
      <c r="F135" s="82" t="s">
        <v>22</v>
      </c>
      <c r="G135" s="8" t="s">
        <v>30</v>
      </c>
      <c r="H135" s="8" t="s">
        <v>24</v>
      </c>
      <c r="I135" s="8" t="s">
        <v>30</v>
      </c>
      <c r="J135" s="27">
        <v>44699</v>
      </c>
      <c r="K135" s="27">
        <v>44699</v>
      </c>
      <c r="L135" s="83">
        <f t="shared" ref="L135:L198" si="4">+NETWORKDAYS(D135,K135,$R$6:$R$9)-1</f>
        <v>1</v>
      </c>
      <c r="M135" s="8" t="s">
        <v>5322</v>
      </c>
      <c r="N135" s="84" t="s">
        <v>26</v>
      </c>
      <c r="O135" s="8" t="s">
        <v>5273</v>
      </c>
      <c r="P135" s="8" t="s">
        <v>5243</v>
      </c>
      <c r="Q135" s="84" t="str">
        <f t="shared" ref="Q135:Q198" si="5">IF(L135&gt;15,"FUERA DE TIEMPO","DENTRO DEL TIEMPO")</f>
        <v>DENTRO DEL TIEMPO</v>
      </c>
      <c r="R135" s="81"/>
    </row>
    <row r="136" spans="1:18" ht="50.25" x14ac:dyDescent="0.25">
      <c r="A136" s="6">
        <v>131</v>
      </c>
      <c r="B136" s="8" t="s">
        <v>5323</v>
      </c>
      <c r="C136" s="27">
        <v>44698</v>
      </c>
      <c r="D136" s="27">
        <v>44698</v>
      </c>
      <c r="E136" s="81">
        <v>2</v>
      </c>
      <c r="F136" s="82" t="s">
        <v>22</v>
      </c>
      <c r="G136" s="8" t="s">
        <v>30</v>
      </c>
      <c r="H136" s="8" t="s">
        <v>24</v>
      </c>
      <c r="I136" s="8" t="s">
        <v>30</v>
      </c>
      <c r="J136" s="27">
        <v>44699</v>
      </c>
      <c r="K136" s="27">
        <v>44699</v>
      </c>
      <c r="L136" s="83">
        <f t="shared" si="4"/>
        <v>1</v>
      </c>
      <c r="M136" s="8" t="s">
        <v>5324</v>
      </c>
      <c r="N136" s="84" t="s">
        <v>26</v>
      </c>
      <c r="O136" s="8" t="s">
        <v>131</v>
      </c>
      <c r="P136" s="8" t="s">
        <v>5243</v>
      </c>
      <c r="Q136" s="84" t="str">
        <f t="shared" si="5"/>
        <v>DENTRO DEL TIEMPO</v>
      </c>
      <c r="R136" s="81"/>
    </row>
    <row r="137" spans="1:18" ht="50.25" x14ac:dyDescent="0.25">
      <c r="A137" s="6">
        <v>132</v>
      </c>
      <c r="B137" s="8" t="s">
        <v>5325</v>
      </c>
      <c r="C137" s="27">
        <v>44698</v>
      </c>
      <c r="D137" s="27">
        <v>44698</v>
      </c>
      <c r="E137" s="81">
        <v>2</v>
      </c>
      <c r="F137" s="82" t="s">
        <v>22</v>
      </c>
      <c r="G137" s="8" t="s">
        <v>30</v>
      </c>
      <c r="H137" s="8" t="s">
        <v>24</v>
      </c>
      <c r="I137" s="8" t="s">
        <v>30</v>
      </c>
      <c r="J137" s="27">
        <v>44699</v>
      </c>
      <c r="K137" s="27">
        <v>44699</v>
      </c>
      <c r="L137" s="83">
        <f t="shared" si="4"/>
        <v>1</v>
      </c>
      <c r="M137" s="8" t="s">
        <v>5326</v>
      </c>
      <c r="N137" s="84" t="s">
        <v>26</v>
      </c>
      <c r="O137" s="8" t="s">
        <v>115</v>
      </c>
      <c r="P137" s="8" t="s">
        <v>5327</v>
      </c>
      <c r="Q137" s="84" t="str">
        <f t="shared" si="5"/>
        <v>DENTRO DEL TIEMPO</v>
      </c>
      <c r="R137" s="81"/>
    </row>
    <row r="138" spans="1:18" ht="50.25" x14ac:dyDescent="0.25">
      <c r="A138" s="6">
        <v>133</v>
      </c>
      <c r="B138" s="8" t="s">
        <v>5328</v>
      </c>
      <c r="C138" s="27">
        <v>44698</v>
      </c>
      <c r="D138" s="27">
        <v>44698</v>
      </c>
      <c r="E138" s="81">
        <v>2</v>
      </c>
      <c r="F138" s="82" t="s">
        <v>22</v>
      </c>
      <c r="G138" s="8" t="s">
        <v>30</v>
      </c>
      <c r="H138" s="8" t="s">
        <v>24</v>
      </c>
      <c r="I138" s="8" t="s">
        <v>30</v>
      </c>
      <c r="J138" s="27">
        <v>44699</v>
      </c>
      <c r="K138" s="27">
        <v>44699</v>
      </c>
      <c r="L138" s="83">
        <f t="shared" si="4"/>
        <v>1</v>
      </c>
      <c r="M138" s="8" t="s">
        <v>5329</v>
      </c>
      <c r="N138" s="84" t="s">
        <v>26</v>
      </c>
      <c r="O138" s="8" t="s">
        <v>1615</v>
      </c>
      <c r="P138" s="8" t="s">
        <v>5330</v>
      </c>
      <c r="Q138" s="84" t="str">
        <f t="shared" si="5"/>
        <v>DENTRO DEL TIEMPO</v>
      </c>
      <c r="R138" s="81"/>
    </row>
    <row r="139" spans="1:18" ht="48.75" x14ac:dyDescent="0.25">
      <c r="A139" s="6">
        <v>134</v>
      </c>
      <c r="B139" s="59" t="s">
        <v>5331</v>
      </c>
      <c r="C139" s="27">
        <v>44698</v>
      </c>
      <c r="D139" s="27">
        <v>44698</v>
      </c>
      <c r="E139" s="81">
        <v>2</v>
      </c>
      <c r="F139" s="82" t="s">
        <v>22</v>
      </c>
      <c r="G139" s="59" t="s">
        <v>30</v>
      </c>
      <c r="H139" s="59" t="s">
        <v>24</v>
      </c>
      <c r="I139" s="59" t="s">
        <v>30</v>
      </c>
      <c r="J139" s="27">
        <v>44699</v>
      </c>
      <c r="K139" s="27">
        <v>44699</v>
      </c>
      <c r="L139" s="83">
        <f t="shared" si="4"/>
        <v>1</v>
      </c>
      <c r="M139" s="8" t="s">
        <v>5332</v>
      </c>
      <c r="N139" s="84" t="s">
        <v>26</v>
      </c>
      <c r="O139" s="59" t="s">
        <v>5333</v>
      </c>
      <c r="P139" s="8" t="s">
        <v>5334</v>
      </c>
      <c r="Q139" s="84" t="str">
        <f t="shared" si="5"/>
        <v>DENTRO DEL TIEMPO</v>
      </c>
      <c r="R139" s="81"/>
    </row>
    <row r="140" spans="1:18" ht="48.75" x14ac:dyDescent="0.25">
      <c r="A140" s="6">
        <v>135</v>
      </c>
      <c r="B140" s="59" t="s">
        <v>5335</v>
      </c>
      <c r="C140" s="27">
        <v>44698</v>
      </c>
      <c r="D140" s="27">
        <v>44698</v>
      </c>
      <c r="E140" s="81">
        <v>2</v>
      </c>
      <c r="F140" s="82" t="s">
        <v>22</v>
      </c>
      <c r="G140" s="59" t="s">
        <v>30</v>
      </c>
      <c r="H140" s="59" t="s">
        <v>24</v>
      </c>
      <c r="I140" s="59" t="s">
        <v>30</v>
      </c>
      <c r="J140" s="27">
        <v>44699</v>
      </c>
      <c r="K140" s="27">
        <v>44699</v>
      </c>
      <c r="L140" s="83">
        <f t="shared" si="4"/>
        <v>1</v>
      </c>
      <c r="M140" s="8" t="s">
        <v>5336</v>
      </c>
      <c r="N140" s="84" t="s">
        <v>26</v>
      </c>
      <c r="O140" s="59" t="s">
        <v>5337</v>
      </c>
      <c r="P140" s="8" t="s">
        <v>5338</v>
      </c>
      <c r="Q140" s="84" t="str">
        <f t="shared" si="5"/>
        <v>DENTRO DEL TIEMPO</v>
      </c>
      <c r="R140" s="81"/>
    </row>
    <row r="141" spans="1:18" ht="48.75" x14ac:dyDescent="0.25">
      <c r="A141" s="6">
        <v>136</v>
      </c>
      <c r="B141" s="59" t="s">
        <v>5339</v>
      </c>
      <c r="C141" s="27">
        <v>44698</v>
      </c>
      <c r="D141" s="27">
        <v>44698</v>
      </c>
      <c r="E141" s="81">
        <v>2</v>
      </c>
      <c r="F141" s="82" t="s">
        <v>22</v>
      </c>
      <c r="G141" s="59" t="s">
        <v>30</v>
      </c>
      <c r="H141" s="59" t="s">
        <v>24</v>
      </c>
      <c r="I141" s="59" t="s">
        <v>30</v>
      </c>
      <c r="J141" s="27">
        <v>44699</v>
      </c>
      <c r="K141" s="27">
        <v>44699</v>
      </c>
      <c r="L141" s="83">
        <f t="shared" si="4"/>
        <v>1</v>
      </c>
      <c r="M141" s="8" t="s">
        <v>5340</v>
      </c>
      <c r="N141" s="84" t="s">
        <v>26</v>
      </c>
      <c r="O141" s="59" t="s">
        <v>425</v>
      </c>
      <c r="P141" s="8" t="s">
        <v>5341</v>
      </c>
      <c r="Q141" s="84" t="str">
        <f t="shared" si="5"/>
        <v>DENTRO DEL TIEMPO</v>
      </c>
      <c r="R141" s="81"/>
    </row>
    <row r="142" spans="1:18" ht="48.75" x14ac:dyDescent="0.25">
      <c r="A142" s="6">
        <v>137</v>
      </c>
      <c r="B142" s="59" t="s">
        <v>5342</v>
      </c>
      <c r="C142" s="27">
        <v>44698</v>
      </c>
      <c r="D142" s="27">
        <v>44698</v>
      </c>
      <c r="E142" s="81">
        <v>2</v>
      </c>
      <c r="F142" s="82" t="s">
        <v>22</v>
      </c>
      <c r="G142" s="59" t="s">
        <v>30</v>
      </c>
      <c r="H142" s="59" t="s">
        <v>24</v>
      </c>
      <c r="I142" s="59" t="s">
        <v>30</v>
      </c>
      <c r="J142" s="27">
        <v>44699</v>
      </c>
      <c r="K142" s="27">
        <v>44699</v>
      </c>
      <c r="L142" s="83">
        <f t="shared" si="4"/>
        <v>1</v>
      </c>
      <c r="M142" s="8" t="s">
        <v>5343</v>
      </c>
      <c r="N142" s="84" t="s">
        <v>26</v>
      </c>
      <c r="O142" s="59" t="s">
        <v>5344</v>
      </c>
      <c r="P142" s="8" t="s">
        <v>5345</v>
      </c>
      <c r="Q142" s="84" t="str">
        <f t="shared" si="5"/>
        <v>DENTRO DEL TIEMPO</v>
      </c>
      <c r="R142" s="81"/>
    </row>
    <row r="143" spans="1:18" ht="48.75" x14ac:dyDescent="0.25">
      <c r="A143" s="6">
        <v>138</v>
      </c>
      <c r="B143" s="59" t="s">
        <v>5346</v>
      </c>
      <c r="C143" s="27">
        <v>44698</v>
      </c>
      <c r="D143" s="27">
        <v>44698</v>
      </c>
      <c r="E143" s="81">
        <v>2</v>
      </c>
      <c r="F143" s="82" t="s">
        <v>22</v>
      </c>
      <c r="G143" s="59" t="s">
        <v>30</v>
      </c>
      <c r="H143" s="59" t="s">
        <v>24</v>
      </c>
      <c r="I143" s="59" t="s">
        <v>30</v>
      </c>
      <c r="J143" s="27">
        <v>44699</v>
      </c>
      <c r="K143" s="27">
        <v>44699</v>
      </c>
      <c r="L143" s="83">
        <f t="shared" si="4"/>
        <v>1</v>
      </c>
      <c r="M143" s="8" t="s">
        <v>4972</v>
      </c>
      <c r="N143" s="84" t="s">
        <v>26</v>
      </c>
      <c r="O143" s="59" t="s">
        <v>5347</v>
      </c>
      <c r="P143" s="8" t="s">
        <v>5348</v>
      </c>
      <c r="Q143" s="84" t="str">
        <f t="shared" si="5"/>
        <v>DENTRO DEL TIEMPO</v>
      </c>
      <c r="R143" s="81"/>
    </row>
    <row r="144" spans="1:18" ht="48.75" x14ac:dyDescent="0.25">
      <c r="A144" s="6">
        <v>139</v>
      </c>
      <c r="B144" s="59" t="s">
        <v>5349</v>
      </c>
      <c r="C144" s="27">
        <v>44698</v>
      </c>
      <c r="D144" s="27">
        <v>44698</v>
      </c>
      <c r="E144" s="81">
        <v>2</v>
      </c>
      <c r="F144" s="82" t="s">
        <v>22</v>
      </c>
      <c r="G144" s="59" t="s">
        <v>23</v>
      </c>
      <c r="H144" s="59" t="s">
        <v>24</v>
      </c>
      <c r="I144" s="59" t="s">
        <v>23</v>
      </c>
      <c r="J144" s="27">
        <v>44699</v>
      </c>
      <c r="K144" s="27">
        <v>44699</v>
      </c>
      <c r="L144" s="83">
        <f t="shared" si="4"/>
        <v>1</v>
      </c>
      <c r="M144" s="8" t="s">
        <v>4673</v>
      </c>
      <c r="N144" s="84" t="s">
        <v>26</v>
      </c>
      <c r="O144" s="59" t="s">
        <v>5350</v>
      </c>
      <c r="P144" s="8" t="s">
        <v>5351</v>
      </c>
      <c r="Q144" s="84" t="str">
        <f t="shared" si="5"/>
        <v>DENTRO DEL TIEMPO</v>
      </c>
      <c r="R144" s="81"/>
    </row>
    <row r="145" spans="1:18" ht="48.75" x14ac:dyDescent="0.25">
      <c r="A145" s="6">
        <v>140</v>
      </c>
      <c r="B145" s="59" t="s">
        <v>5352</v>
      </c>
      <c r="C145" s="27">
        <v>44698</v>
      </c>
      <c r="D145" s="27">
        <v>44698</v>
      </c>
      <c r="E145" s="81">
        <v>4</v>
      </c>
      <c r="F145" s="82" t="s">
        <v>22</v>
      </c>
      <c r="G145" s="59" t="s">
        <v>23</v>
      </c>
      <c r="H145" s="59" t="s">
        <v>24</v>
      </c>
      <c r="I145" s="59" t="s">
        <v>23</v>
      </c>
      <c r="J145" s="27">
        <v>44699</v>
      </c>
      <c r="K145" s="27">
        <v>44699</v>
      </c>
      <c r="L145" s="83">
        <f t="shared" si="4"/>
        <v>1</v>
      </c>
      <c r="M145" s="8" t="s">
        <v>5353</v>
      </c>
      <c r="N145" s="84" t="s">
        <v>26</v>
      </c>
      <c r="O145" s="59" t="s">
        <v>5350</v>
      </c>
      <c r="P145" s="8" t="s">
        <v>5351</v>
      </c>
      <c r="Q145" s="84" t="str">
        <f t="shared" si="5"/>
        <v>DENTRO DEL TIEMPO</v>
      </c>
      <c r="R145" s="81"/>
    </row>
    <row r="146" spans="1:18" ht="48.75" x14ac:dyDescent="0.25">
      <c r="A146" s="6">
        <v>141</v>
      </c>
      <c r="B146" s="59" t="s">
        <v>5354</v>
      </c>
      <c r="C146" s="27">
        <v>44699</v>
      </c>
      <c r="D146" s="27">
        <v>44699</v>
      </c>
      <c r="E146" s="81">
        <v>2</v>
      </c>
      <c r="F146" s="82" t="s">
        <v>22</v>
      </c>
      <c r="G146" s="59" t="s">
        <v>30</v>
      </c>
      <c r="H146" s="59" t="s">
        <v>24</v>
      </c>
      <c r="I146" s="59" t="s">
        <v>30</v>
      </c>
      <c r="J146" s="27">
        <v>44699</v>
      </c>
      <c r="K146" s="27">
        <v>44699</v>
      </c>
      <c r="L146" s="83">
        <f t="shared" si="4"/>
        <v>0</v>
      </c>
      <c r="M146" s="8" t="s">
        <v>5355</v>
      </c>
      <c r="N146" s="84" t="s">
        <v>26</v>
      </c>
      <c r="O146" s="59" t="s">
        <v>112</v>
      </c>
      <c r="P146" s="8" t="s">
        <v>5356</v>
      </c>
      <c r="Q146" s="84" t="str">
        <f t="shared" si="5"/>
        <v>DENTRO DEL TIEMPO</v>
      </c>
      <c r="R146" s="81"/>
    </row>
    <row r="147" spans="1:18" ht="48.75" hidden="1" x14ac:dyDescent="0.25">
      <c r="A147" s="6">
        <v>142</v>
      </c>
      <c r="B147" s="59" t="s">
        <v>5357</v>
      </c>
      <c r="C147" s="27">
        <v>44699</v>
      </c>
      <c r="D147" s="27">
        <v>44712</v>
      </c>
      <c r="E147" s="81">
        <v>0</v>
      </c>
      <c r="F147" s="82" t="s">
        <v>790</v>
      </c>
      <c r="G147" s="59" t="s">
        <v>5358</v>
      </c>
      <c r="H147" s="59" t="s">
        <v>5359</v>
      </c>
      <c r="I147" s="59" t="s">
        <v>5358</v>
      </c>
      <c r="J147" s="27">
        <v>44713</v>
      </c>
      <c r="K147" s="27">
        <v>44713</v>
      </c>
      <c r="L147" s="83">
        <f t="shared" si="4"/>
        <v>1</v>
      </c>
      <c r="M147" s="8" t="s">
        <v>5360</v>
      </c>
      <c r="N147" s="84" t="s">
        <v>26</v>
      </c>
      <c r="O147" s="59" t="s">
        <v>5361</v>
      </c>
      <c r="P147" s="8" t="s">
        <v>5362</v>
      </c>
      <c r="Q147" s="84" t="str">
        <f t="shared" si="5"/>
        <v>DENTRO DEL TIEMPO</v>
      </c>
      <c r="R147" s="81"/>
    </row>
    <row r="148" spans="1:18" ht="48.75" x14ac:dyDescent="0.25">
      <c r="A148" s="6">
        <v>143</v>
      </c>
      <c r="B148" s="59" t="s">
        <v>5363</v>
      </c>
      <c r="C148" s="27">
        <v>44699</v>
      </c>
      <c r="D148" s="27">
        <v>44699</v>
      </c>
      <c r="E148" s="81">
        <v>2</v>
      </c>
      <c r="F148" s="82" t="s">
        <v>22</v>
      </c>
      <c r="G148" s="59" t="s">
        <v>30</v>
      </c>
      <c r="H148" s="59" t="s">
        <v>24</v>
      </c>
      <c r="I148" s="59" t="s">
        <v>30</v>
      </c>
      <c r="J148" s="27">
        <v>44700</v>
      </c>
      <c r="K148" s="27">
        <v>44700</v>
      </c>
      <c r="L148" s="83">
        <f t="shared" si="4"/>
        <v>1</v>
      </c>
      <c r="M148" s="8" t="s">
        <v>5364</v>
      </c>
      <c r="N148" s="84" t="s">
        <v>26</v>
      </c>
      <c r="O148" s="59" t="s">
        <v>5365</v>
      </c>
      <c r="P148" s="8" t="s">
        <v>5134</v>
      </c>
      <c r="Q148" s="84" t="str">
        <f t="shared" si="5"/>
        <v>DENTRO DEL TIEMPO</v>
      </c>
      <c r="R148" s="81"/>
    </row>
    <row r="149" spans="1:18" ht="48.75" x14ac:dyDescent="0.25">
      <c r="A149" s="6">
        <v>144</v>
      </c>
      <c r="B149" s="59" t="s">
        <v>5366</v>
      </c>
      <c r="C149" s="27">
        <v>44699</v>
      </c>
      <c r="D149" s="27">
        <v>44699</v>
      </c>
      <c r="E149" s="81">
        <v>2</v>
      </c>
      <c r="F149" s="82" t="s">
        <v>22</v>
      </c>
      <c r="G149" s="59" t="s">
        <v>30</v>
      </c>
      <c r="H149" s="59" t="s">
        <v>24</v>
      </c>
      <c r="I149" s="59" t="s">
        <v>30</v>
      </c>
      <c r="J149" s="27">
        <v>44700</v>
      </c>
      <c r="K149" s="27">
        <v>44700</v>
      </c>
      <c r="L149" s="83">
        <f t="shared" si="4"/>
        <v>1</v>
      </c>
      <c r="M149" s="8" t="s">
        <v>5367</v>
      </c>
      <c r="N149" s="84" t="s">
        <v>26</v>
      </c>
      <c r="O149" s="59" t="s">
        <v>5368</v>
      </c>
      <c r="P149" s="8" t="s">
        <v>5369</v>
      </c>
      <c r="Q149" s="84" t="str">
        <f t="shared" si="5"/>
        <v>DENTRO DEL TIEMPO</v>
      </c>
      <c r="R149" s="81"/>
    </row>
    <row r="150" spans="1:18" ht="48.75" x14ac:dyDescent="0.25">
      <c r="A150" s="6">
        <v>145</v>
      </c>
      <c r="B150" s="59" t="s">
        <v>5370</v>
      </c>
      <c r="C150" s="27">
        <v>44699</v>
      </c>
      <c r="D150" s="27">
        <v>44699</v>
      </c>
      <c r="E150" s="81">
        <v>2</v>
      </c>
      <c r="F150" s="82" t="s">
        <v>22</v>
      </c>
      <c r="G150" s="59" t="s">
        <v>30</v>
      </c>
      <c r="H150" s="59" t="s">
        <v>24</v>
      </c>
      <c r="I150" s="59" t="s">
        <v>30</v>
      </c>
      <c r="J150" s="27">
        <v>44700</v>
      </c>
      <c r="K150" s="27">
        <v>44700</v>
      </c>
      <c r="L150" s="83">
        <f t="shared" si="4"/>
        <v>1</v>
      </c>
      <c r="M150" s="8" t="s">
        <v>5371</v>
      </c>
      <c r="N150" s="84" t="s">
        <v>26</v>
      </c>
      <c r="O150" s="59" t="s">
        <v>5372</v>
      </c>
      <c r="P150" s="8" t="s">
        <v>5373</v>
      </c>
      <c r="Q150" s="84" t="str">
        <f t="shared" si="5"/>
        <v>DENTRO DEL TIEMPO</v>
      </c>
      <c r="R150" s="81"/>
    </row>
    <row r="151" spans="1:18" ht="48.75" x14ac:dyDescent="0.25">
      <c r="A151" s="6">
        <v>146</v>
      </c>
      <c r="B151" s="59" t="s">
        <v>5374</v>
      </c>
      <c r="C151" s="27">
        <v>44699</v>
      </c>
      <c r="D151" s="27">
        <v>44699</v>
      </c>
      <c r="E151" s="81">
        <v>2</v>
      </c>
      <c r="F151" s="82" t="s">
        <v>22</v>
      </c>
      <c r="G151" s="59" t="s">
        <v>30</v>
      </c>
      <c r="H151" s="59" t="s">
        <v>24</v>
      </c>
      <c r="I151" s="59" t="s">
        <v>30</v>
      </c>
      <c r="J151" s="27">
        <v>44700</v>
      </c>
      <c r="K151" s="27">
        <v>44700</v>
      </c>
      <c r="L151" s="83">
        <f t="shared" si="4"/>
        <v>1</v>
      </c>
      <c r="M151" s="8" t="s">
        <v>5375</v>
      </c>
      <c r="N151" s="84" t="s">
        <v>26</v>
      </c>
      <c r="O151" s="59" t="s">
        <v>5376</v>
      </c>
      <c r="P151" s="8" t="s">
        <v>5377</v>
      </c>
      <c r="Q151" s="84" t="str">
        <f t="shared" si="5"/>
        <v>DENTRO DEL TIEMPO</v>
      </c>
      <c r="R151" s="81"/>
    </row>
    <row r="152" spans="1:18" ht="50.25" x14ac:dyDescent="0.25">
      <c r="A152" s="6">
        <v>147</v>
      </c>
      <c r="B152" s="59" t="s">
        <v>5378</v>
      </c>
      <c r="C152" s="27">
        <v>44699</v>
      </c>
      <c r="D152" s="27">
        <v>44699</v>
      </c>
      <c r="E152" s="81">
        <v>2</v>
      </c>
      <c r="F152" s="82" t="s">
        <v>22</v>
      </c>
      <c r="G152" s="59" t="s">
        <v>30</v>
      </c>
      <c r="H152" s="59" t="s">
        <v>24</v>
      </c>
      <c r="I152" s="59" t="s">
        <v>30</v>
      </c>
      <c r="J152" s="27">
        <v>44700</v>
      </c>
      <c r="K152" s="27">
        <v>44700</v>
      </c>
      <c r="L152" s="83">
        <f t="shared" si="4"/>
        <v>1</v>
      </c>
      <c r="M152" s="8" t="s">
        <v>5379</v>
      </c>
      <c r="N152" s="84" t="s">
        <v>26</v>
      </c>
      <c r="O152" s="59" t="s">
        <v>121</v>
      </c>
      <c r="P152" s="8" t="s">
        <v>5380</v>
      </c>
      <c r="Q152" s="84" t="str">
        <f t="shared" si="5"/>
        <v>DENTRO DEL TIEMPO</v>
      </c>
      <c r="R152" s="81"/>
    </row>
    <row r="153" spans="1:18" ht="48.75" x14ac:dyDescent="0.25">
      <c r="A153" s="6">
        <v>148</v>
      </c>
      <c r="B153" s="59" t="s">
        <v>5381</v>
      </c>
      <c r="C153" s="27">
        <v>44699</v>
      </c>
      <c r="D153" s="27">
        <v>44699</v>
      </c>
      <c r="E153" s="81">
        <v>2</v>
      </c>
      <c r="F153" s="82" t="s">
        <v>22</v>
      </c>
      <c r="G153" s="59" t="s">
        <v>30</v>
      </c>
      <c r="H153" s="59" t="s">
        <v>24</v>
      </c>
      <c r="I153" s="59" t="s">
        <v>30</v>
      </c>
      <c r="J153" s="27">
        <v>44700</v>
      </c>
      <c r="K153" s="27">
        <v>44700</v>
      </c>
      <c r="L153" s="83">
        <f t="shared" si="4"/>
        <v>1</v>
      </c>
      <c r="M153" s="8" t="s">
        <v>5382</v>
      </c>
      <c r="N153" s="84" t="s">
        <v>26</v>
      </c>
      <c r="O153" s="59" t="s">
        <v>774</v>
      </c>
      <c r="P153" s="8" t="s">
        <v>5093</v>
      </c>
      <c r="Q153" s="84" t="str">
        <f t="shared" si="5"/>
        <v>DENTRO DEL TIEMPO</v>
      </c>
      <c r="R153" s="81"/>
    </row>
    <row r="154" spans="1:18" ht="48.75" x14ac:dyDescent="0.25">
      <c r="A154" s="6">
        <v>149</v>
      </c>
      <c r="B154" s="59" t="s">
        <v>5383</v>
      </c>
      <c r="C154" s="27">
        <v>44699</v>
      </c>
      <c r="D154" s="27">
        <v>44699</v>
      </c>
      <c r="E154" s="81">
        <v>2</v>
      </c>
      <c r="F154" s="82" t="s">
        <v>22</v>
      </c>
      <c r="G154" s="59" t="s">
        <v>30</v>
      </c>
      <c r="H154" s="59" t="s">
        <v>24</v>
      </c>
      <c r="I154" s="59" t="s">
        <v>30</v>
      </c>
      <c r="J154" s="27">
        <v>44700</v>
      </c>
      <c r="K154" s="27">
        <v>44700</v>
      </c>
      <c r="L154" s="83">
        <f t="shared" si="4"/>
        <v>1</v>
      </c>
      <c r="M154" s="8" t="s">
        <v>5384</v>
      </c>
      <c r="N154" s="84" t="s">
        <v>26</v>
      </c>
      <c r="O154" s="59" t="s">
        <v>5385</v>
      </c>
      <c r="P154" s="8" t="s">
        <v>5093</v>
      </c>
      <c r="Q154" s="84" t="str">
        <f t="shared" si="5"/>
        <v>DENTRO DEL TIEMPO</v>
      </c>
      <c r="R154" s="81"/>
    </row>
    <row r="155" spans="1:18" ht="48.75" x14ac:dyDescent="0.25">
      <c r="A155" s="6">
        <v>150</v>
      </c>
      <c r="B155" s="59" t="s">
        <v>5386</v>
      </c>
      <c r="C155" s="27">
        <v>44700</v>
      </c>
      <c r="D155" s="27">
        <v>44700</v>
      </c>
      <c r="E155" s="81">
        <v>2</v>
      </c>
      <c r="F155" s="82" t="s">
        <v>22</v>
      </c>
      <c r="G155" s="59" t="s">
        <v>30</v>
      </c>
      <c r="H155" s="59" t="s">
        <v>24</v>
      </c>
      <c r="I155" s="59" t="s">
        <v>30</v>
      </c>
      <c r="J155" s="27">
        <v>44700</v>
      </c>
      <c r="K155" s="27">
        <v>44700</v>
      </c>
      <c r="L155" s="83">
        <f t="shared" si="4"/>
        <v>0</v>
      </c>
      <c r="M155" s="8" t="s">
        <v>5387</v>
      </c>
      <c r="N155" s="84" t="s">
        <v>26</v>
      </c>
      <c r="O155" s="59" t="s">
        <v>5388</v>
      </c>
      <c r="P155" s="8" t="s">
        <v>5389</v>
      </c>
      <c r="Q155" s="84" t="str">
        <f t="shared" si="5"/>
        <v>DENTRO DEL TIEMPO</v>
      </c>
      <c r="R155" s="81"/>
    </row>
    <row r="156" spans="1:18" ht="48.75" x14ac:dyDescent="0.25">
      <c r="A156" s="6">
        <v>151</v>
      </c>
      <c r="B156" s="59" t="s">
        <v>5390</v>
      </c>
      <c r="C156" s="27">
        <v>44700</v>
      </c>
      <c r="D156" s="27">
        <v>44700</v>
      </c>
      <c r="E156" s="81">
        <v>2</v>
      </c>
      <c r="F156" s="82" t="s">
        <v>22</v>
      </c>
      <c r="G156" s="59" t="s">
        <v>30</v>
      </c>
      <c r="H156" s="59" t="s">
        <v>24</v>
      </c>
      <c r="I156" s="59" t="s">
        <v>30</v>
      </c>
      <c r="J156" s="27">
        <v>44701</v>
      </c>
      <c r="K156" s="27">
        <v>44701</v>
      </c>
      <c r="L156" s="83">
        <f t="shared" si="4"/>
        <v>1</v>
      </c>
      <c r="M156" s="8" t="s">
        <v>5391</v>
      </c>
      <c r="N156" s="84" t="s">
        <v>26</v>
      </c>
      <c r="O156" s="59" t="s">
        <v>5392</v>
      </c>
      <c r="P156" s="8" t="s">
        <v>5393</v>
      </c>
      <c r="Q156" s="84" t="str">
        <f t="shared" si="5"/>
        <v>DENTRO DEL TIEMPO</v>
      </c>
      <c r="R156" s="81"/>
    </row>
    <row r="157" spans="1:18" ht="48.75" x14ac:dyDescent="0.25">
      <c r="A157" s="6">
        <v>152</v>
      </c>
      <c r="B157" s="59" t="s">
        <v>5394</v>
      </c>
      <c r="C157" s="27">
        <v>44700</v>
      </c>
      <c r="D157" s="27">
        <v>44700</v>
      </c>
      <c r="E157" s="81">
        <v>2</v>
      </c>
      <c r="F157" s="82" t="s">
        <v>22</v>
      </c>
      <c r="G157" s="59" t="s">
        <v>30</v>
      </c>
      <c r="H157" s="59" t="s">
        <v>24</v>
      </c>
      <c r="I157" s="59" t="s">
        <v>30</v>
      </c>
      <c r="J157" s="27">
        <v>44701</v>
      </c>
      <c r="K157" s="27">
        <v>44701</v>
      </c>
      <c r="L157" s="83">
        <f t="shared" si="4"/>
        <v>1</v>
      </c>
      <c r="M157" s="8" t="s">
        <v>5395</v>
      </c>
      <c r="N157" s="84" t="s">
        <v>26</v>
      </c>
      <c r="O157" s="59" t="s">
        <v>118</v>
      </c>
      <c r="P157" s="8" t="s">
        <v>5099</v>
      </c>
      <c r="Q157" s="84" t="str">
        <f t="shared" si="5"/>
        <v>DENTRO DEL TIEMPO</v>
      </c>
      <c r="R157" s="81"/>
    </row>
    <row r="158" spans="1:18" ht="48.75" x14ac:dyDescent="0.25">
      <c r="A158" s="6">
        <v>153</v>
      </c>
      <c r="B158" s="59" t="s">
        <v>5396</v>
      </c>
      <c r="C158" s="27">
        <v>44700</v>
      </c>
      <c r="D158" s="27">
        <v>44700</v>
      </c>
      <c r="E158" s="81">
        <v>2</v>
      </c>
      <c r="F158" s="82" t="s">
        <v>22</v>
      </c>
      <c r="G158" s="59" t="s">
        <v>30</v>
      </c>
      <c r="H158" s="59" t="s">
        <v>24</v>
      </c>
      <c r="I158" s="59" t="s">
        <v>30</v>
      </c>
      <c r="J158" s="27">
        <v>44701</v>
      </c>
      <c r="K158" s="27">
        <v>44701</v>
      </c>
      <c r="L158" s="83">
        <f t="shared" si="4"/>
        <v>1</v>
      </c>
      <c r="M158" s="8" t="s">
        <v>5397</v>
      </c>
      <c r="N158" s="84" t="s">
        <v>26</v>
      </c>
      <c r="O158" s="59" t="s">
        <v>118</v>
      </c>
      <c r="P158" s="8" t="s">
        <v>5099</v>
      </c>
      <c r="Q158" s="84" t="str">
        <f t="shared" si="5"/>
        <v>DENTRO DEL TIEMPO</v>
      </c>
      <c r="R158" s="81"/>
    </row>
    <row r="159" spans="1:18" ht="50.25" x14ac:dyDescent="0.25">
      <c r="A159" s="6">
        <v>154</v>
      </c>
      <c r="B159" s="59" t="s">
        <v>5398</v>
      </c>
      <c r="C159" s="27">
        <v>44700</v>
      </c>
      <c r="D159" s="27">
        <v>44700</v>
      </c>
      <c r="E159" s="81">
        <v>2</v>
      </c>
      <c r="F159" s="82" t="s">
        <v>22</v>
      </c>
      <c r="G159" s="59" t="s">
        <v>30</v>
      </c>
      <c r="H159" s="59" t="s">
        <v>24</v>
      </c>
      <c r="I159" s="59" t="s">
        <v>30</v>
      </c>
      <c r="J159" s="27">
        <v>44701</v>
      </c>
      <c r="K159" s="27">
        <v>44701</v>
      </c>
      <c r="L159" s="83">
        <f t="shared" si="4"/>
        <v>1</v>
      </c>
      <c r="M159" s="8" t="s">
        <v>5399</v>
      </c>
      <c r="N159" s="84" t="s">
        <v>26</v>
      </c>
      <c r="O159" s="59" t="s">
        <v>5400</v>
      </c>
      <c r="P159" s="8" t="s">
        <v>5401</v>
      </c>
      <c r="Q159" s="84" t="str">
        <f t="shared" si="5"/>
        <v>DENTRO DEL TIEMPO</v>
      </c>
      <c r="R159" s="81"/>
    </row>
    <row r="160" spans="1:18" ht="48.75" x14ac:dyDescent="0.25">
      <c r="A160" s="6">
        <v>155</v>
      </c>
      <c r="B160" s="59" t="s">
        <v>5402</v>
      </c>
      <c r="C160" s="27">
        <v>44700</v>
      </c>
      <c r="D160" s="27">
        <v>44700</v>
      </c>
      <c r="E160" s="81">
        <v>2</v>
      </c>
      <c r="F160" s="82" t="s">
        <v>22</v>
      </c>
      <c r="G160" s="59" t="s">
        <v>4672</v>
      </c>
      <c r="H160" s="59" t="s">
        <v>24</v>
      </c>
      <c r="I160" s="59" t="s">
        <v>4672</v>
      </c>
      <c r="J160" s="27">
        <v>44706</v>
      </c>
      <c r="K160" s="27">
        <v>44706</v>
      </c>
      <c r="L160" s="83">
        <f t="shared" si="4"/>
        <v>4</v>
      </c>
      <c r="M160" s="8" t="s">
        <v>5403</v>
      </c>
      <c r="N160" s="84" t="s">
        <v>26</v>
      </c>
      <c r="O160" s="59" t="s">
        <v>525</v>
      </c>
      <c r="P160" s="8" t="s">
        <v>5404</v>
      </c>
      <c r="Q160" s="84" t="str">
        <f t="shared" si="5"/>
        <v>DENTRO DEL TIEMPO</v>
      </c>
      <c r="R160" s="81"/>
    </row>
    <row r="161" spans="1:18" ht="50.25" x14ac:dyDescent="0.25">
      <c r="A161" s="6">
        <v>156</v>
      </c>
      <c r="B161" s="59" t="s">
        <v>5405</v>
      </c>
      <c r="C161" s="27">
        <v>44700</v>
      </c>
      <c r="D161" s="27">
        <v>44700</v>
      </c>
      <c r="E161" s="81">
        <v>2</v>
      </c>
      <c r="F161" s="82" t="s">
        <v>22</v>
      </c>
      <c r="G161" s="59" t="s">
        <v>30</v>
      </c>
      <c r="H161" s="59" t="s">
        <v>24</v>
      </c>
      <c r="I161" s="59" t="s">
        <v>30</v>
      </c>
      <c r="J161" s="27">
        <v>44701</v>
      </c>
      <c r="K161" s="27">
        <v>44701</v>
      </c>
      <c r="L161" s="83">
        <f t="shared" si="4"/>
        <v>1</v>
      </c>
      <c r="M161" s="8" t="s">
        <v>5406</v>
      </c>
      <c r="N161" s="84" t="s">
        <v>26</v>
      </c>
      <c r="O161" s="59" t="s">
        <v>5407</v>
      </c>
      <c r="P161" s="8" t="s">
        <v>5408</v>
      </c>
      <c r="Q161" s="84" t="str">
        <f t="shared" si="5"/>
        <v>DENTRO DEL TIEMPO</v>
      </c>
      <c r="R161" s="81"/>
    </row>
    <row r="162" spans="1:18" ht="50.25" x14ac:dyDescent="0.25">
      <c r="A162" s="6">
        <v>157</v>
      </c>
      <c r="B162" s="59" t="s">
        <v>5409</v>
      </c>
      <c r="C162" s="27">
        <v>44700</v>
      </c>
      <c r="D162" s="27">
        <v>44700</v>
      </c>
      <c r="E162" s="81">
        <v>2</v>
      </c>
      <c r="F162" s="82" t="s">
        <v>22</v>
      </c>
      <c r="G162" s="59" t="s">
        <v>30</v>
      </c>
      <c r="H162" s="59" t="s">
        <v>24</v>
      </c>
      <c r="I162" s="59" t="s">
        <v>30</v>
      </c>
      <c r="J162" s="27">
        <v>44701</v>
      </c>
      <c r="K162" s="27">
        <v>44701</v>
      </c>
      <c r="L162" s="83">
        <f t="shared" si="4"/>
        <v>1</v>
      </c>
      <c r="M162" s="8" t="s">
        <v>5410</v>
      </c>
      <c r="N162" s="84" t="s">
        <v>26</v>
      </c>
      <c r="O162" s="59" t="s">
        <v>571</v>
      </c>
      <c r="P162" s="8" t="s">
        <v>4934</v>
      </c>
      <c r="Q162" s="84" t="str">
        <f t="shared" si="5"/>
        <v>DENTRO DEL TIEMPO</v>
      </c>
      <c r="R162" s="81"/>
    </row>
    <row r="163" spans="1:18" ht="50.25" x14ac:dyDescent="0.25">
      <c r="A163" s="6">
        <v>158</v>
      </c>
      <c r="B163" s="59" t="s">
        <v>5411</v>
      </c>
      <c r="C163" s="27">
        <v>44700</v>
      </c>
      <c r="D163" s="27">
        <v>44700</v>
      </c>
      <c r="E163" s="81">
        <v>2</v>
      </c>
      <c r="F163" s="82" t="s">
        <v>22</v>
      </c>
      <c r="G163" s="59" t="s">
        <v>30</v>
      </c>
      <c r="H163" s="59" t="s">
        <v>24</v>
      </c>
      <c r="I163" s="59" t="s">
        <v>30</v>
      </c>
      <c r="J163" s="27">
        <v>44701</v>
      </c>
      <c r="K163" s="27">
        <v>44701</v>
      </c>
      <c r="L163" s="83">
        <f t="shared" si="4"/>
        <v>1</v>
      </c>
      <c r="M163" s="8" t="s">
        <v>5412</v>
      </c>
      <c r="N163" s="84" t="s">
        <v>26</v>
      </c>
      <c r="O163" s="59" t="s">
        <v>571</v>
      </c>
      <c r="P163" s="8" t="s">
        <v>4934</v>
      </c>
      <c r="Q163" s="84" t="str">
        <f t="shared" si="5"/>
        <v>DENTRO DEL TIEMPO</v>
      </c>
      <c r="R163" s="81"/>
    </row>
    <row r="164" spans="1:18" ht="50.25" x14ac:dyDescent="0.25">
      <c r="A164" s="6">
        <v>159</v>
      </c>
      <c r="B164" s="59" t="s">
        <v>5413</v>
      </c>
      <c r="C164" s="27">
        <v>44700</v>
      </c>
      <c r="D164" s="27">
        <v>44700</v>
      </c>
      <c r="E164" s="81">
        <v>2</v>
      </c>
      <c r="F164" s="82" t="s">
        <v>22</v>
      </c>
      <c r="G164" s="59" t="s">
        <v>30</v>
      </c>
      <c r="H164" s="59" t="s">
        <v>24</v>
      </c>
      <c r="I164" s="59" t="s">
        <v>30</v>
      </c>
      <c r="J164" s="27">
        <v>44701</v>
      </c>
      <c r="K164" s="27">
        <v>44701</v>
      </c>
      <c r="L164" s="83">
        <f t="shared" si="4"/>
        <v>1</v>
      </c>
      <c r="M164" s="8" t="s">
        <v>5414</v>
      </c>
      <c r="N164" s="84" t="s">
        <v>26</v>
      </c>
      <c r="O164" s="59" t="s">
        <v>571</v>
      </c>
      <c r="P164" s="8" t="s">
        <v>4934</v>
      </c>
      <c r="Q164" s="84" t="str">
        <f t="shared" si="5"/>
        <v>DENTRO DEL TIEMPO</v>
      </c>
      <c r="R164" s="81"/>
    </row>
    <row r="165" spans="1:18" ht="50.25" x14ac:dyDescent="0.25">
      <c r="A165" s="6">
        <v>160</v>
      </c>
      <c r="B165" s="59" t="s">
        <v>5415</v>
      </c>
      <c r="C165" s="27">
        <v>44700</v>
      </c>
      <c r="D165" s="27">
        <v>44700</v>
      </c>
      <c r="E165" s="81">
        <v>2</v>
      </c>
      <c r="F165" s="82" t="s">
        <v>22</v>
      </c>
      <c r="G165" s="59" t="s">
        <v>30</v>
      </c>
      <c r="H165" s="59" t="s">
        <v>24</v>
      </c>
      <c r="I165" s="59" t="s">
        <v>30</v>
      </c>
      <c r="J165" s="27">
        <v>44701</v>
      </c>
      <c r="K165" s="27">
        <v>44701</v>
      </c>
      <c r="L165" s="83">
        <f t="shared" si="4"/>
        <v>1</v>
      </c>
      <c r="M165" s="8" t="s">
        <v>5416</v>
      </c>
      <c r="N165" s="84" t="s">
        <v>26</v>
      </c>
      <c r="O165" s="59" t="s">
        <v>571</v>
      </c>
      <c r="P165" s="8" t="s">
        <v>4934</v>
      </c>
      <c r="Q165" s="84" t="str">
        <f t="shared" si="5"/>
        <v>DENTRO DEL TIEMPO</v>
      </c>
      <c r="R165" s="81"/>
    </row>
    <row r="166" spans="1:18" ht="50.25" x14ac:dyDescent="0.25">
      <c r="A166" s="6">
        <v>161</v>
      </c>
      <c r="B166" s="59" t="s">
        <v>5417</v>
      </c>
      <c r="C166" s="27">
        <v>44700</v>
      </c>
      <c r="D166" s="27">
        <v>44700</v>
      </c>
      <c r="E166" s="81">
        <v>2</v>
      </c>
      <c r="F166" s="82" t="s">
        <v>22</v>
      </c>
      <c r="G166" s="59" t="s">
        <v>30</v>
      </c>
      <c r="H166" s="59" t="s">
        <v>24</v>
      </c>
      <c r="I166" s="59" t="s">
        <v>30</v>
      </c>
      <c r="J166" s="27">
        <v>44701</v>
      </c>
      <c r="K166" s="27">
        <v>44701</v>
      </c>
      <c r="L166" s="83">
        <f t="shared" si="4"/>
        <v>1</v>
      </c>
      <c r="M166" s="8" t="s">
        <v>5418</v>
      </c>
      <c r="N166" s="84" t="s">
        <v>26</v>
      </c>
      <c r="O166" s="59" t="s">
        <v>571</v>
      </c>
      <c r="P166" s="8" t="s">
        <v>4934</v>
      </c>
      <c r="Q166" s="84" t="str">
        <f t="shared" si="5"/>
        <v>DENTRO DEL TIEMPO</v>
      </c>
      <c r="R166" s="81"/>
    </row>
    <row r="167" spans="1:18" ht="50.25" x14ac:dyDescent="0.25">
      <c r="A167" s="6">
        <v>162</v>
      </c>
      <c r="B167" s="59" t="s">
        <v>5419</v>
      </c>
      <c r="C167" s="27">
        <v>44700</v>
      </c>
      <c r="D167" s="27">
        <v>44700</v>
      </c>
      <c r="E167" s="81">
        <v>2</v>
      </c>
      <c r="F167" s="82" t="s">
        <v>22</v>
      </c>
      <c r="G167" s="59" t="s">
        <v>30</v>
      </c>
      <c r="H167" s="59" t="s">
        <v>24</v>
      </c>
      <c r="I167" s="59" t="s">
        <v>30</v>
      </c>
      <c r="J167" s="27">
        <v>44701</v>
      </c>
      <c r="K167" s="27">
        <v>44701</v>
      </c>
      <c r="L167" s="83">
        <f t="shared" si="4"/>
        <v>1</v>
      </c>
      <c r="M167" s="8" t="s">
        <v>5420</v>
      </c>
      <c r="N167" s="84" t="s">
        <v>26</v>
      </c>
      <c r="O167" s="59" t="s">
        <v>257</v>
      </c>
      <c r="P167" s="8" t="s">
        <v>4934</v>
      </c>
      <c r="Q167" s="84" t="str">
        <f t="shared" si="5"/>
        <v>DENTRO DEL TIEMPO</v>
      </c>
      <c r="R167" s="81"/>
    </row>
    <row r="168" spans="1:18" ht="50.25" x14ac:dyDescent="0.25">
      <c r="A168" s="6">
        <v>163</v>
      </c>
      <c r="B168" s="59" t="s">
        <v>5421</v>
      </c>
      <c r="C168" s="27">
        <v>44700</v>
      </c>
      <c r="D168" s="27">
        <v>44700</v>
      </c>
      <c r="E168" s="81">
        <v>2</v>
      </c>
      <c r="F168" s="82" t="s">
        <v>22</v>
      </c>
      <c r="G168" s="59" t="s">
        <v>30</v>
      </c>
      <c r="H168" s="59" t="s">
        <v>24</v>
      </c>
      <c r="I168" s="59" t="s">
        <v>30</v>
      </c>
      <c r="J168" s="27">
        <v>44705</v>
      </c>
      <c r="K168" s="27">
        <v>44705</v>
      </c>
      <c r="L168" s="83">
        <f t="shared" si="4"/>
        <v>3</v>
      </c>
      <c r="M168" s="8" t="s">
        <v>5422</v>
      </c>
      <c r="N168" s="84" t="s">
        <v>26</v>
      </c>
      <c r="O168" s="59" t="s">
        <v>257</v>
      </c>
      <c r="P168" s="8" t="s">
        <v>4934</v>
      </c>
      <c r="Q168" s="84" t="str">
        <f t="shared" si="5"/>
        <v>DENTRO DEL TIEMPO</v>
      </c>
      <c r="R168" s="81"/>
    </row>
    <row r="169" spans="1:18" ht="50.25" x14ac:dyDescent="0.25">
      <c r="A169" s="6">
        <v>164</v>
      </c>
      <c r="B169" s="59" t="s">
        <v>5423</v>
      </c>
      <c r="C169" s="27">
        <v>44700</v>
      </c>
      <c r="D169" s="27">
        <v>44700</v>
      </c>
      <c r="E169" s="81">
        <v>2</v>
      </c>
      <c r="F169" s="82" t="s">
        <v>22</v>
      </c>
      <c r="G169" s="59" t="s">
        <v>30</v>
      </c>
      <c r="H169" s="59" t="s">
        <v>24</v>
      </c>
      <c r="I169" s="59" t="s">
        <v>30</v>
      </c>
      <c r="J169" s="27">
        <v>44705</v>
      </c>
      <c r="K169" s="27">
        <v>44705</v>
      </c>
      <c r="L169" s="83">
        <f t="shared" si="4"/>
        <v>3</v>
      </c>
      <c r="M169" s="8" t="s">
        <v>5424</v>
      </c>
      <c r="N169" s="84" t="s">
        <v>26</v>
      </c>
      <c r="O169" s="59" t="s">
        <v>257</v>
      </c>
      <c r="P169" s="8" t="s">
        <v>4934</v>
      </c>
      <c r="Q169" s="84" t="str">
        <f t="shared" si="5"/>
        <v>DENTRO DEL TIEMPO</v>
      </c>
      <c r="R169" s="81"/>
    </row>
    <row r="170" spans="1:18" ht="50.25" x14ac:dyDescent="0.25">
      <c r="A170" s="6">
        <v>165</v>
      </c>
      <c r="B170" s="59" t="s">
        <v>5425</v>
      </c>
      <c r="C170" s="27">
        <v>44700</v>
      </c>
      <c r="D170" s="27">
        <v>44700</v>
      </c>
      <c r="E170" s="81">
        <v>2</v>
      </c>
      <c r="F170" s="82" t="s">
        <v>22</v>
      </c>
      <c r="G170" s="59" t="s">
        <v>30</v>
      </c>
      <c r="H170" s="59" t="s">
        <v>24</v>
      </c>
      <c r="I170" s="59" t="s">
        <v>30</v>
      </c>
      <c r="J170" s="27">
        <v>44705</v>
      </c>
      <c r="K170" s="27">
        <v>44705</v>
      </c>
      <c r="L170" s="83">
        <f t="shared" si="4"/>
        <v>3</v>
      </c>
      <c r="M170" s="8" t="s">
        <v>5426</v>
      </c>
      <c r="N170" s="84" t="s">
        <v>26</v>
      </c>
      <c r="O170" s="59" t="s">
        <v>257</v>
      </c>
      <c r="P170" s="8" t="s">
        <v>4934</v>
      </c>
      <c r="Q170" s="84" t="str">
        <f t="shared" si="5"/>
        <v>DENTRO DEL TIEMPO</v>
      </c>
      <c r="R170" s="81"/>
    </row>
    <row r="171" spans="1:18" ht="50.25" x14ac:dyDescent="0.25">
      <c r="A171" s="6">
        <v>166</v>
      </c>
      <c r="B171" s="59" t="s">
        <v>5427</v>
      </c>
      <c r="C171" s="27">
        <v>44700</v>
      </c>
      <c r="D171" s="27">
        <v>44700</v>
      </c>
      <c r="E171" s="81">
        <v>2</v>
      </c>
      <c r="F171" s="82" t="s">
        <v>22</v>
      </c>
      <c r="G171" s="59" t="s">
        <v>30</v>
      </c>
      <c r="H171" s="59" t="s">
        <v>24</v>
      </c>
      <c r="I171" s="59" t="s">
        <v>30</v>
      </c>
      <c r="J171" s="27">
        <v>44705</v>
      </c>
      <c r="K171" s="27">
        <v>44705</v>
      </c>
      <c r="L171" s="83">
        <f t="shared" si="4"/>
        <v>3</v>
      </c>
      <c r="M171" s="8" t="s">
        <v>5428</v>
      </c>
      <c r="N171" s="84" t="s">
        <v>26</v>
      </c>
      <c r="O171" s="59" t="s">
        <v>257</v>
      </c>
      <c r="P171" s="8" t="s">
        <v>4934</v>
      </c>
      <c r="Q171" s="84" t="str">
        <f t="shared" si="5"/>
        <v>DENTRO DEL TIEMPO</v>
      </c>
      <c r="R171" s="81"/>
    </row>
    <row r="172" spans="1:18" ht="50.25" x14ac:dyDescent="0.25">
      <c r="A172" s="6">
        <v>167</v>
      </c>
      <c r="B172" s="59" t="s">
        <v>5429</v>
      </c>
      <c r="C172" s="27">
        <v>44700</v>
      </c>
      <c r="D172" s="27">
        <v>44700</v>
      </c>
      <c r="E172" s="81">
        <v>2</v>
      </c>
      <c r="F172" s="82" t="s">
        <v>22</v>
      </c>
      <c r="G172" s="59" t="s">
        <v>30</v>
      </c>
      <c r="H172" s="59" t="s">
        <v>24</v>
      </c>
      <c r="I172" s="59" t="s">
        <v>30</v>
      </c>
      <c r="J172" s="27">
        <v>44705</v>
      </c>
      <c r="K172" s="27">
        <v>44705</v>
      </c>
      <c r="L172" s="83">
        <f t="shared" si="4"/>
        <v>3</v>
      </c>
      <c r="M172" s="8" t="s">
        <v>5430</v>
      </c>
      <c r="N172" s="84" t="s">
        <v>26</v>
      </c>
      <c r="O172" s="59" t="s">
        <v>257</v>
      </c>
      <c r="P172" s="8" t="s">
        <v>4934</v>
      </c>
      <c r="Q172" s="84" t="str">
        <f t="shared" si="5"/>
        <v>DENTRO DEL TIEMPO</v>
      </c>
      <c r="R172" s="81"/>
    </row>
    <row r="173" spans="1:18" ht="50.25" x14ac:dyDescent="0.25">
      <c r="A173" s="6">
        <v>168</v>
      </c>
      <c r="B173" s="59" t="s">
        <v>5431</v>
      </c>
      <c r="C173" s="27">
        <v>44700</v>
      </c>
      <c r="D173" s="27">
        <v>44700</v>
      </c>
      <c r="E173" s="81">
        <v>2</v>
      </c>
      <c r="F173" s="82" t="s">
        <v>22</v>
      </c>
      <c r="G173" s="59" t="s">
        <v>30</v>
      </c>
      <c r="H173" s="59" t="s">
        <v>24</v>
      </c>
      <c r="I173" s="59" t="s">
        <v>30</v>
      </c>
      <c r="J173" s="27">
        <v>44705</v>
      </c>
      <c r="K173" s="27">
        <v>44705</v>
      </c>
      <c r="L173" s="83">
        <f t="shared" si="4"/>
        <v>3</v>
      </c>
      <c r="M173" s="8" t="s">
        <v>5432</v>
      </c>
      <c r="N173" s="84" t="s">
        <v>26</v>
      </c>
      <c r="O173" s="59" t="s">
        <v>257</v>
      </c>
      <c r="P173" s="8" t="s">
        <v>4934</v>
      </c>
      <c r="Q173" s="84" t="str">
        <f t="shared" si="5"/>
        <v>DENTRO DEL TIEMPO</v>
      </c>
      <c r="R173" s="81"/>
    </row>
    <row r="174" spans="1:18" ht="50.25" x14ac:dyDescent="0.25">
      <c r="A174" s="6">
        <v>169</v>
      </c>
      <c r="B174" s="59" t="s">
        <v>5433</v>
      </c>
      <c r="C174" s="27">
        <v>44700</v>
      </c>
      <c r="D174" s="27">
        <v>44700</v>
      </c>
      <c r="E174" s="81">
        <v>2</v>
      </c>
      <c r="F174" s="82" t="s">
        <v>22</v>
      </c>
      <c r="G174" s="59" t="s">
        <v>30</v>
      </c>
      <c r="H174" s="59" t="s">
        <v>24</v>
      </c>
      <c r="I174" s="59" t="s">
        <v>30</v>
      </c>
      <c r="J174" s="27">
        <v>44705</v>
      </c>
      <c r="K174" s="27">
        <v>44705</v>
      </c>
      <c r="L174" s="83">
        <f t="shared" si="4"/>
        <v>3</v>
      </c>
      <c r="M174" s="8" t="s">
        <v>5434</v>
      </c>
      <c r="N174" s="84" t="s">
        <v>26</v>
      </c>
      <c r="O174" s="59" t="s">
        <v>257</v>
      </c>
      <c r="P174" s="8" t="s">
        <v>4934</v>
      </c>
      <c r="Q174" s="84" t="str">
        <f t="shared" si="5"/>
        <v>DENTRO DEL TIEMPO</v>
      </c>
      <c r="R174" s="81"/>
    </row>
    <row r="175" spans="1:18" ht="50.25" x14ac:dyDescent="0.25">
      <c r="A175" s="6">
        <v>170</v>
      </c>
      <c r="B175" s="59" t="s">
        <v>5435</v>
      </c>
      <c r="C175" s="27">
        <v>44700</v>
      </c>
      <c r="D175" s="27">
        <v>44700</v>
      </c>
      <c r="E175" s="81">
        <v>2</v>
      </c>
      <c r="F175" s="82" t="s">
        <v>22</v>
      </c>
      <c r="G175" s="59" t="s">
        <v>30</v>
      </c>
      <c r="H175" s="59" t="s">
        <v>24</v>
      </c>
      <c r="I175" s="59" t="s">
        <v>30</v>
      </c>
      <c r="J175" s="27">
        <v>44705</v>
      </c>
      <c r="K175" s="27">
        <v>44705</v>
      </c>
      <c r="L175" s="83">
        <f t="shared" si="4"/>
        <v>3</v>
      </c>
      <c r="M175" s="8" t="s">
        <v>5436</v>
      </c>
      <c r="N175" s="84" t="s">
        <v>26</v>
      </c>
      <c r="O175" s="59" t="s">
        <v>5085</v>
      </c>
      <c r="P175" s="8" t="s">
        <v>4934</v>
      </c>
      <c r="Q175" s="84" t="str">
        <f t="shared" si="5"/>
        <v>DENTRO DEL TIEMPO</v>
      </c>
      <c r="R175" s="81"/>
    </row>
    <row r="176" spans="1:18" ht="48.75" x14ac:dyDescent="0.25">
      <c r="A176" s="6">
        <v>171</v>
      </c>
      <c r="B176" s="59" t="s">
        <v>5437</v>
      </c>
      <c r="C176" s="27">
        <v>44700</v>
      </c>
      <c r="D176" s="27">
        <v>44700</v>
      </c>
      <c r="E176" s="81">
        <v>2</v>
      </c>
      <c r="F176" s="82" t="s">
        <v>22</v>
      </c>
      <c r="G176" s="59" t="s">
        <v>30</v>
      </c>
      <c r="H176" s="59" t="s">
        <v>24</v>
      </c>
      <c r="I176" s="59" t="s">
        <v>30</v>
      </c>
      <c r="J176" s="27">
        <v>44705</v>
      </c>
      <c r="K176" s="27">
        <v>44705</v>
      </c>
      <c r="L176" s="83">
        <f t="shared" si="4"/>
        <v>3</v>
      </c>
      <c r="M176" s="8" t="s">
        <v>5438</v>
      </c>
      <c r="N176" s="84" t="s">
        <v>26</v>
      </c>
      <c r="O176" s="59" t="s">
        <v>54</v>
      </c>
      <c r="P176" s="8" t="s">
        <v>5439</v>
      </c>
      <c r="Q176" s="84" t="str">
        <f t="shared" si="5"/>
        <v>DENTRO DEL TIEMPO</v>
      </c>
      <c r="R176" s="81"/>
    </row>
    <row r="177" spans="1:18" ht="48.75" x14ac:dyDescent="0.25">
      <c r="A177" s="6">
        <v>172</v>
      </c>
      <c r="B177" s="59" t="s">
        <v>5440</v>
      </c>
      <c r="C177" s="27">
        <v>44700</v>
      </c>
      <c r="D177" s="27">
        <v>44700</v>
      </c>
      <c r="E177" s="81">
        <v>2</v>
      </c>
      <c r="F177" s="82" t="s">
        <v>22</v>
      </c>
      <c r="G177" s="59" t="s">
        <v>30</v>
      </c>
      <c r="H177" s="59" t="s">
        <v>24</v>
      </c>
      <c r="I177" s="59" t="s">
        <v>30</v>
      </c>
      <c r="J177" s="27">
        <v>44705</v>
      </c>
      <c r="K177" s="27">
        <v>44705</v>
      </c>
      <c r="L177" s="83">
        <f t="shared" si="4"/>
        <v>3</v>
      </c>
      <c r="M177" s="8" t="s">
        <v>5441</v>
      </c>
      <c r="N177" s="84" t="s">
        <v>26</v>
      </c>
      <c r="O177" s="59" t="s">
        <v>413</v>
      </c>
      <c r="P177" s="8" t="s">
        <v>5442</v>
      </c>
      <c r="Q177" s="84" t="str">
        <f t="shared" si="5"/>
        <v>DENTRO DEL TIEMPO</v>
      </c>
      <c r="R177" s="81"/>
    </row>
    <row r="178" spans="1:18" ht="48.75" x14ac:dyDescent="0.25">
      <c r="A178" s="6">
        <v>173</v>
      </c>
      <c r="B178" s="59" t="s">
        <v>5443</v>
      </c>
      <c r="C178" s="27">
        <v>44700</v>
      </c>
      <c r="D178" s="27">
        <v>44700</v>
      </c>
      <c r="E178" s="81">
        <v>2</v>
      </c>
      <c r="F178" s="82" t="s">
        <v>22</v>
      </c>
      <c r="G178" s="59" t="s">
        <v>30</v>
      </c>
      <c r="H178" s="59" t="s">
        <v>24</v>
      </c>
      <c r="I178" s="59" t="s">
        <v>30</v>
      </c>
      <c r="J178" s="27">
        <v>44705</v>
      </c>
      <c r="K178" s="27">
        <v>44705</v>
      </c>
      <c r="L178" s="83">
        <f t="shared" si="4"/>
        <v>3</v>
      </c>
      <c r="M178" s="8" t="s">
        <v>5444</v>
      </c>
      <c r="N178" s="84" t="s">
        <v>26</v>
      </c>
      <c r="O178" s="59" t="s">
        <v>128</v>
      </c>
      <c r="P178" s="8" t="s">
        <v>5445</v>
      </c>
      <c r="Q178" s="84" t="str">
        <f t="shared" si="5"/>
        <v>DENTRO DEL TIEMPO</v>
      </c>
      <c r="R178" s="81"/>
    </row>
    <row r="179" spans="1:18" ht="48.75" x14ac:dyDescent="0.25">
      <c r="A179" s="6">
        <v>174</v>
      </c>
      <c r="B179" s="59" t="s">
        <v>5446</v>
      </c>
      <c r="C179" s="27">
        <v>44700</v>
      </c>
      <c r="D179" s="27">
        <v>44700</v>
      </c>
      <c r="E179" s="81">
        <v>2</v>
      </c>
      <c r="F179" s="82" t="s">
        <v>22</v>
      </c>
      <c r="G179" s="59" t="s">
        <v>23</v>
      </c>
      <c r="H179" s="59" t="s">
        <v>24</v>
      </c>
      <c r="I179" s="59" t="s">
        <v>23</v>
      </c>
      <c r="J179" s="27">
        <v>44701</v>
      </c>
      <c r="K179" s="27">
        <v>44701</v>
      </c>
      <c r="L179" s="83">
        <f t="shared" si="4"/>
        <v>1</v>
      </c>
      <c r="M179" s="8" t="s">
        <v>5447</v>
      </c>
      <c r="N179" s="84" t="s">
        <v>26</v>
      </c>
      <c r="O179" s="59" t="s">
        <v>5230</v>
      </c>
      <c r="P179" s="8" t="s">
        <v>5231</v>
      </c>
      <c r="Q179" s="84" t="str">
        <f t="shared" si="5"/>
        <v>DENTRO DEL TIEMPO</v>
      </c>
      <c r="R179" s="81"/>
    </row>
    <row r="180" spans="1:18" ht="48.75" x14ac:dyDescent="0.25">
      <c r="A180" s="6">
        <v>175</v>
      </c>
      <c r="B180" s="59" t="s">
        <v>5448</v>
      </c>
      <c r="C180" s="27">
        <v>44700</v>
      </c>
      <c r="D180" s="27">
        <v>44700</v>
      </c>
      <c r="E180" s="81">
        <v>2</v>
      </c>
      <c r="F180" s="82" t="s">
        <v>22</v>
      </c>
      <c r="G180" s="59" t="s">
        <v>30</v>
      </c>
      <c r="H180" s="59" t="s">
        <v>24</v>
      </c>
      <c r="I180" s="59" t="s">
        <v>30</v>
      </c>
      <c r="J180" s="27">
        <v>44705</v>
      </c>
      <c r="K180" s="27">
        <v>44705</v>
      </c>
      <c r="L180" s="83">
        <f t="shared" si="4"/>
        <v>3</v>
      </c>
      <c r="M180" s="8" t="s">
        <v>5449</v>
      </c>
      <c r="N180" s="84" t="s">
        <v>26</v>
      </c>
      <c r="O180" s="59" t="s">
        <v>729</v>
      </c>
      <c r="P180" s="8" t="s">
        <v>5059</v>
      </c>
      <c r="Q180" s="84" t="str">
        <f t="shared" si="5"/>
        <v>DENTRO DEL TIEMPO</v>
      </c>
      <c r="R180" s="81"/>
    </row>
    <row r="181" spans="1:18" ht="48.75" x14ac:dyDescent="0.25">
      <c r="A181" s="6">
        <v>176</v>
      </c>
      <c r="B181" s="59" t="s">
        <v>5450</v>
      </c>
      <c r="C181" s="27">
        <v>44700</v>
      </c>
      <c r="D181" s="27">
        <v>44700</v>
      </c>
      <c r="E181" s="81">
        <v>2</v>
      </c>
      <c r="F181" s="82" t="s">
        <v>22</v>
      </c>
      <c r="G181" s="59" t="s">
        <v>30</v>
      </c>
      <c r="H181" s="59" t="s">
        <v>24</v>
      </c>
      <c r="I181" s="59" t="s">
        <v>30</v>
      </c>
      <c r="J181" s="27">
        <v>44705</v>
      </c>
      <c r="K181" s="27">
        <v>44705</v>
      </c>
      <c r="L181" s="83">
        <f t="shared" si="4"/>
        <v>3</v>
      </c>
      <c r="M181" s="8" t="s">
        <v>5451</v>
      </c>
      <c r="N181" s="84" t="s">
        <v>26</v>
      </c>
      <c r="O181" s="59" t="s">
        <v>5452</v>
      </c>
      <c r="P181" s="8" t="s">
        <v>5453</v>
      </c>
      <c r="Q181" s="84" t="str">
        <f t="shared" si="5"/>
        <v>DENTRO DEL TIEMPO</v>
      </c>
      <c r="R181" s="81"/>
    </row>
    <row r="182" spans="1:18" ht="58.5" hidden="1" x14ac:dyDescent="0.25">
      <c r="A182" s="6">
        <v>177</v>
      </c>
      <c r="B182" s="59" t="s">
        <v>5454</v>
      </c>
      <c r="C182" s="27">
        <v>44701</v>
      </c>
      <c r="D182" s="27">
        <v>44701</v>
      </c>
      <c r="E182" s="81">
        <v>0</v>
      </c>
      <c r="F182" s="82" t="s">
        <v>790</v>
      </c>
      <c r="G182" s="59" t="s">
        <v>5455</v>
      </c>
      <c r="H182" s="59" t="s">
        <v>5456</v>
      </c>
      <c r="I182" s="59" t="s">
        <v>5455</v>
      </c>
      <c r="J182" s="27">
        <v>44712</v>
      </c>
      <c r="K182" s="27">
        <v>44712</v>
      </c>
      <c r="L182" s="83">
        <f t="shared" si="4"/>
        <v>7</v>
      </c>
      <c r="M182" s="8" t="s">
        <v>5457</v>
      </c>
      <c r="N182" s="84" t="s">
        <v>26</v>
      </c>
      <c r="O182" s="59" t="s">
        <v>5458</v>
      </c>
      <c r="P182" s="8" t="s">
        <v>5459</v>
      </c>
      <c r="Q182" s="84" t="str">
        <f t="shared" si="5"/>
        <v>DENTRO DEL TIEMPO</v>
      </c>
      <c r="R182" s="81"/>
    </row>
    <row r="183" spans="1:18" ht="48.75" x14ac:dyDescent="0.25">
      <c r="A183" s="6">
        <v>178</v>
      </c>
      <c r="B183" s="59" t="s">
        <v>5460</v>
      </c>
      <c r="C183" s="27">
        <v>44701</v>
      </c>
      <c r="D183" s="27">
        <v>44701</v>
      </c>
      <c r="E183" s="81">
        <v>2</v>
      </c>
      <c r="F183" s="82" t="s">
        <v>22</v>
      </c>
      <c r="G183" s="59" t="s">
        <v>30</v>
      </c>
      <c r="H183" s="59" t="s">
        <v>24</v>
      </c>
      <c r="I183" s="59" t="s">
        <v>30</v>
      </c>
      <c r="J183" s="27">
        <v>44706</v>
      </c>
      <c r="K183" s="27">
        <v>44706</v>
      </c>
      <c r="L183" s="83">
        <f t="shared" si="4"/>
        <v>3</v>
      </c>
      <c r="M183" s="8" t="s">
        <v>5461</v>
      </c>
      <c r="N183" s="84" t="s">
        <v>26</v>
      </c>
      <c r="O183" s="59" t="s">
        <v>5462</v>
      </c>
      <c r="P183" s="8" t="s">
        <v>5463</v>
      </c>
      <c r="Q183" s="84" t="str">
        <f t="shared" si="5"/>
        <v>DENTRO DEL TIEMPO</v>
      </c>
      <c r="R183" s="81"/>
    </row>
    <row r="184" spans="1:18" ht="48.75" x14ac:dyDescent="0.25">
      <c r="A184" s="6">
        <v>179</v>
      </c>
      <c r="B184" s="59" t="s">
        <v>5464</v>
      </c>
      <c r="C184" s="27">
        <v>44701</v>
      </c>
      <c r="D184" s="27">
        <v>44701</v>
      </c>
      <c r="E184" s="81">
        <v>2</v>
      </c>
      <c r="F184" s="82" t="s">
        <v>22</v>
      </c>
      <c r="G184" s="59" t="s">
        <v>30</v>
      </c>
      <c r="H184" s="59" t="s">
        <v>24</v>
      </c>
      <c r="I184" s="59" t="s">
        <v>30</v>
      </c>
      <c r="J184" s="27">
        <v>44706</v>
      </c>
      <c r="K184" s="27">
        <v>44706</v>
      </c>
      <c r="L184" s="83">
        <f t="shared" si="4"/>
        <v>3</v>
      </c>
      <c r="M184" s="8" t="s">
        <v>5465</v>
      </c>
      <c r="N184" s="84" t="s">
        <v>26</v>
      </c>
      <c r="O184" s="59" t="s">
        <v>5466</v>
      </c>
      <c r="P184" s="8" t="s">
        <v>5467</v>
      </c>
      <c r="Q184" s="84" t="str">
        <f t="shared" si="5"/>
        <v>DENTRO DEL TIEMPO</v>
      </c>
      <c r="R184" s="81"/>
    </row>
    <row r="185" spans="1:18" ht="48.75" x14ac:dyDescent="0.25">
      <c r="A185" s="6">
        <v>180</v>
      </c>
      <c r="B185" s="59" t="s">
        <v>5468</v>
      </c>
      <c r="C185" s="27">
        <v>44701</v>
      </c>
      <c r="D185" s="27">
        <v>44701</v>
      </c>
      <c r="E185" s="81">
        <v>2</v>
      </c>
      <c r="F185" s="82" t="s">
        <v>22</v>
      </c>
      <c r="G185" s="59" t="s">
        <v>30</v>
      </c>
      <c r="H185" s="59" t="s">
        <v>24</v>
      </c>
      <c r="I185" s="59" t="s">
        <v>30</v>
      </c>
      <c r="J185" s="27">
        <v>44706</v>
      </c>
      <c r="K185" s="27">
        <v>44706</v>
      </c>
      <c r="L185" s="83">
        <f t="shared" si="4"/>
        <v>3</v>
      </c>
      <c r="M185" s="8" t="s">
        <v>5469</v>
      </c>
      <c r="N185" s="84" t="s">
        <v>26</v>
      </c>
      <c r="O185" s="59" t="s">
        <v>5470</v>
      </c>
      <c r="P185" s="8" t="s">
        <v>5471</v>
      </c>
      <c r="Q185" s="84" t="str">
        <f t="shared" si="5"/>
        <v>DENTRO DEL TIEMPO</v>
      </c>
      <c r="R185" s="81"/>
    </row>
    <row r="186" spans="1:18" ht="48.75" x14ac:dyDescent="0.25">
      <c r="A186" s="6">
        <v>181</v>
      </c>
      <c r="B186" s="59" t="s">
        <v>5472</v>
      </c>
      <c r="C186" s="27">
        <v>44701</v>
      </c>
      <c r="D186" s="27">
        <v>44701</v>
      </c>
      <c r="E186" s="81">
        <v>2</v>
      </c>
      <c r="F186" s="82" t="s">
        <v>22</v>
      </c>
      <c r="G186" s="59" t="s">
        <v>30</v>
      </c>
      <c r="H186" s="59" t="s">
        <v>24</v>
      </c>
      <c r="I186" s="59" t="s">
        <v>30</v>
      </c>
      <c r="J186" s="27">
        <v>44706</v>
      </c>
      <c r="K186" s="27">
        <v>44706</v>
      </c>
      <c r="L186" s="83">
        <f t="shared" si="4"/>
        <v>3</v>
      </c>
      <c r="M186" s="8" t="s">
        <v>5473</v>
      </c>
      <c r="N186" s="84" t="s">
        <v>26</v>
      </c>
      <c r="O186" s="59" t="s">
        <v>5470</v>
      </c>
      <c r="P186" s="8" t="s">
        <v>5471</v>
      </c>
      <c r="Q186" s="84" t="str">
        <f t="shared" si="5"/>
        <v>DENTRO DEL TIEMPO</v>
      </c>
      <c r="R186" s="81"/>
    </row>
    <row r="187" spans="1:18" ht="48.75" x14ac:dyDescent="0.25">
      <c r="A187" s="6">
        <v>182</v>
      </c>
      <c r="B187" s="59" t="s">
        <v>5474</v>
      </c>
      <c r="C187" s="27">
        <v>44701</v>
      </c>
      <c r="D187" s="27">
        <v>44701</v>
      </c>
      <c r="E187" s="81">
        <v>2</v>
      </c>
      <c r="F187" s="82" t="s">
        <v>22</v>
      </c>
      <c r="G187" s="59" t="s">
        <v>30</v>
      </c>
      <c r="H187" s="59" t="s">
        <v>24</v>
      </c>
      <c r="I187" s="59" t="s">
        <v>30</v>
      </c>
      <c r="J187" s="27">
        <v>44706</v>
      </c>
      <c r="K187" s="27">
        <v>44706</v>
      </c>
      <c r="L187" s="83">
        <f t="shared" si="4"/>
        <v>3</v>
      </c>
      <c r="M187" s="8" t="s">
        <v>5475</v>
      </c>
      <c r="N187" s="84" t="s">
        <v>26</v>
      </c>
      <c r="O187" s="59" t="s">
        <v>5476</v>
      </c>
      <c r="P187" s="8" t="s">
        <v>5477</v>
      </c>
      <c r="Q187" s="84" t="str">
        <f t="shared" si="5"/>
        <v>DENTRO DEL TIEMPO</v>
      </c>
      <c r="R187" s="81"/>
    </row>
    <row r="188" spans="1:18" ht="48.75" x14ac:dyDescent="0.25">
      <c r="A188" s="6">
        <v>183</v>
      </c>
      <c r="B188" s="59" t="s">
        <v>5478</v>
      </c>
      <c r="C188" s="27">
        <v>44701</v>
      </c>
      <c r="D188" s="27">
        <v>44701</v>
      </c>
      <c r="E188" s="81">
        <v>2</v>
      </c>
      <c r="F188" s="82" t="s">
        <v>22</v>
      </c>
      <c r="G188" s="59" t="s">
        <v>30</v>
      </c>
      <c r="H188" s="59" t="s">
        <v>24</v>
      </c>
      <c r="I188" s="59" t="s">
        <v>30</v>
      </c>
      <c r="J188" s="27">
        <v>44706</v>
      </c>
      <c r="K188" s="27">
        <v>44706</v>
      </c>
      <c r="L188" s="83">
        <f t="shared" si="4"/>
        <v>3</v>
      </c>
      <c r="M188" s="8" t="s">
        <v>5479</v>
      </c>
      <c r="N188" s="84" t="s">
        <v>26</v>
      </c>
      <c r="O188" s="59" t="s">
        <v>1820</v>
      </c>
      <c r="P188" s="8" t="s">
        <v>5480</v>
      </c>
      <c r="Q188" s="84" t="str">
        <f t="shared" si="5"/>
        <v>DENTRO DEL TIEMPO</v>
      </c>
      <c r="R188" s="81"/>
    </row>
    <row r="189" spans="1:18" ht="48.75" x14ac:dyDescent="0.25">
      <c r="A189" s="6">
        <v>184</v>
      </c>
      <c r="B189" s="59" t="s">
        <v>5481</v>
      </c>
      <c r="C189" s="27">
        <v>44701</v>
      </c>
      <c r="D189" s="27">
        <v>44701</v>
      </c>
      <c r="E189" s="81">
        <v>2</v>
      </c>
      <c r="F189" s="82" t="s">
        <v>22</v>
      </c>
      <c r="G189" s="59" t="s">
        <v>30</v>
      </c>
      <c r="H189" s="59" t="s">
        <v>24</v>
      </c>
      <c r="I189" s="59" t="s">
        <v>30</v>
      </c>
      <c r="J189" s="27">
        <v>44706</v>
      </c>
      <c r="K189" s="27">
        <v>44706</v>
      </c>
      <c r="L189" s="83">
        <f t="shared" si="4"/>
        <v>3</v>
      </c>
      <c r="M189" s="8" t="s">
        <v>5482</v>
      </c>
      <c r="N189" s="84" t="s">
        <v>26</v>
      </c>
      <c r="O189" s="59" t="s">
        <v>851</v>
      </c>
      <c r="P189" s="8" t="s">
        <v>5483</v>
      </c>
      <c r="Q189" s="84" t="str">
        <f t="shared" si="5"/>
        <v>DENTRO DEL TIEMPO</v>
      </c>
      <c r="R189" s="81"/>
    </row>
    <row r="190" spans="1:18" ht="48.75" x14ac:dyDescent="0.25">
      <c r="A190" s="6">
        <v>185</v>
      </c>
      <c r="B190" s="59" t="s">
        <v>5484</v>
      </c>
      <c r="C190" s="27">
        <v>44701</v>
      </c>
      <c r="D190" s="27">
        <v>44701</v>
      </c>
      <c r="E190" s="81">
        <v>2</v>
      </c>
      <c r="F190" s="82" t="s">
        <v>22</v>
      </c>
      <c r="G190" s="59" t="s">
        <v>30</v>
      </c>
      <c r="H190" s="59" t="s">
        <v>24</v>
      </c>
      <c r="I190" s="59" t="s">
        <v>30</v>
      </c>
      <c r="J190" s="27">
        <v>44706</v>
      </c>
      <c r="K190" s="27">
        <v>44706</v>
      </c>
      <c r="L190" s="83">
        <f t="shared" si="4"/>
        <v>3</v>
      </c>
      <c r="M190" s="8" t="s">
        <v>5485</v>
      </c>
      <c r="N190" s="84" t="s">
        <v>26</v>
      </c>
      <c r="O190" s="59" t="s">
        <v>425</v>
      </c>
      <c r="P190" s="8" t="s">
        <v>5486</v>
      </c>
      <c r="Q190" s="84" t="str">
        <f t="shared" si="5"/>
        <v>DENTRO DEL TIEMPO</v>
      </c>
      <c r="R190" s="81"/>
    </row>
    <row r="191" spans="1:18" ht="48.75" x14ac:dyDescent="0.25">
      <c r="A191" s="6">
        <v>186</v>
      </c>
      <c r="B191" s="59" t="s">
        <v>5487</v>
      </c>
      <c r="C191" s="27">
        <v>44701</v>
      </c>
      <c r="D191" s="27">
        <v>44701</v>
      </c>
      <c r="E191" s="81">
        <v>2</v>
      </c>
      <c r="F191" s="82" t="s">
        <v>22</v>
      </c>
      <c r="G191" s="59" t="s">
        <v>30</v>
      </c>
      <c r="H191" s="59" t="s">
        <v>24</v>
      </c>
      <c r="I191" s="59" t="s">
        <v>30</v>
      </c>
      <c r="J191" s="27">
        <v>44706</v>
      </c>
      <c r="K191" s="27">
        <v>44706</v>
      </c>
      <c r="L191" s="83">
        <f t="shared" si="4"/>
        <v>3</v>
      </c>
      <c r="M191" s="8" t="s">
        <v>5488</v>
      </c>
      <c r="N191" s="84" t="s">
        <v>26</v>
      </c>
      <c r="O191" s="59" t="s">
        <v>54</v>
      </c>
      <c r="P191" s="8" t="s">
        <v>5439</v>
      </c>
      <c r="Q191" s="84" t="str">
        <f t="shared" si="5"/>
        <v>DENTRO DEL TIEMPO</v>
      </c>
      <c r="R191" s="81"/>
    </row>
    <row r="192" spans="1:18" ht="48.75" x14ac:dyDescent="0.25">
      <c r="A192" s="6">
        <v>187</v>
      </c>
      <c r="B192" s="59" t="s">
        <v>5489</v>
      </c>
      <c r="C192" s="27">
        <v>44701</v>
      </c>
      <c r="D192" s="27">
        <v>44701</v>
      </c>
      <c r="E192" s="81">
        <v>2</v>
      </c>
      <c r="F192" s="82" t="s">
        <v>22</v>
      </c>
      <c r="G192" s="59" t="s">
        <v>23</v>
      </c>
      <c r="H192" s="59" t="s">
        <v>24</v>
      </c>
      <c r="I192" s="59" t="s">
        <v>23</v>
      </c>
      <c r="J192" s="27">
        <v>44705</v>
      </c>
      <c r="K192" s="27">
        <v>44705</v>
      </c>
      <c r="L192" s="83">
        <f t="shared" si="4"/>
        <v>2</v>
      </c>
      <c r="M192" s="8" t="s">
        <v>5490</v>
      </c>
      <c r="N192" s="84" t="s">
        <v>26</v>
      </c>
      <c r="O192" s="59" t="s">
        <v>5491</v>
      </c>
      <c r="P192" s="8" t="s">
        <v>5492</v>
      </c>
      <c r="Q192" s="84" t="str">
        <f t="shared" si="5"/>
        <v>DENTRO DEL TIEMPO</v>
      </c>
      <c r="R192" s="81"/>
    </row>
    <row r="193" spans="1:18" ht="48.75" x14ac:dyDescent="0.25">
      <c r="A193" s="6">
        <v>188</v>
      </c>
      <c r="B193" s="59" t="s">
        <v>5493</v>
      </c>
      <c r="C193" s="27">
        <v>44701</v>
      </c>
      <c r="D193" s="27">
        <v>44701</v>
      </c>
      <c r="E193" s="81">
        <v>2</v>
      </c>
      <c r="F193" s="82" t="s">
        <v>22</v>
      </c>
      <c r="G193" s="59" t="s">
        <v>30</v>
      </c>
      <c r="H193" s="59" t="s">
        <v>24</v>
      </c>
      <c r="I193" s="59" t="s">
        <v>30</v>
      </c>
      <c r="J193" s="27">
        <v>44706</v>
      </c>
      <c r="K193" s="27">
        <v>44706</v>
      </c>
      <c r="L193" s="83">
        <f t="shared" si="4"/>
        <v>3</v>
      </c>
      <c r="M193" s="8" t="s">
        <v>5494</v>
      </c>
      <c r="N193" s="84" t="s">
        <v>26</v>
      </c>
      <c r="O193" s="59" t="s">
        <v>5365</v>
      </c>
      <c r="P193" s="8" t="s">
        <v>5495</v>
      </c>
      <c r="Q193" s="84" t="str">
        <f t="shared" si="5"/>
        <v>DENTRO DEL TIEMPO</v>
      </c>
      <c r="R193" s="81"/>
    </row>
    <row r="194" spans="1:18" ht="48.75" x14ac:dyDescent="0.25">
      <c r="A194" s="6">
        <v>189</v>
      </c>
      <c r="B194" s="59" t="s">
        <v>5496</v>
      </c>
      <c r="C194" s="27">
        <v>44701</v>
      </c>
      <c r="D194" s="27">
        <v>44701</v>
      </c>
      <c r="E194" s="81">
        <v>2</v>
      </c>
      <c r="F194" s="82" t="s">
        <v>22</v>
      </c>
      <c r="G194" s="59" t="s">
        <v>30</v>
      </c>
      <c r="H194" s="59" t="s">
        <v>24</v>
      </c>
      <c r="I194" s="59" t="s">
        <v>30</v>
      </c>
      <c r="J194" s="27">
        <v>44706</v>
      </c>
      <c r="K194" s="27">
        <v>44706</v>
      </c>
      <c r="L194" s="83">
        <f t="shared" si="4"/>
        <v>3</v>
      </c>
      <c r="M194" s="8" t="s">
        <v>5497</v>
      </c>
      <c r="N194" s="84" t="s">
        <v>26</v>
      </c>
      <c r="O194" s="59" t="s">
        <v>5498</v>
      </c>
      <c r="P194" s="8" t="s">
        <v>5499</v>
      </c>
      <c r="Q194" s="84" t="str">
        <f t="shared" si="5"/>
        <v>DENTRO DEL TIEMPO</v>
      </c>
      <c r="R194" s="81"/>
    </row>
    <row r="195" spans="1:18" ht="48.75" x14ac:dyDescent="0.25">
      <c r="A195" s="6">
        <v>190</v>
      </c>
      <c r="B195" s="59" t="s">
        <v>5500</v>
      </c>
      <c r="C195" s="27">
        <v>44705</v>
      </c>
      <c r="D195" s="27">
        <v>44705</v>
      </c>
      <c r="E195" s="81">
        <v>2</v>
      </c>
      <c r="F195" s="82" t="s">
        <v>22</v>
      </c>
      <c r="G195" s="59" t="s">
        <v>30</v>
      </c>
      <c r="H195" s="59" t="s">
        <v>24</v>
      </c>
      <c r="I195" s="59" t="s">
        <v>30</v>
      </c>
      <c r="J195" s="27">
        <v>44706</v>
      </c>
      <c r="K195" s="27">
        <v>44706</v>
      </c>
      <c r="L195" s="83">
        <f t="shared" si="4"/>
        <v>1</v>
      </c>
      <c r="M195" s="8" t="s">
        <v>5501</v>
      </c>
      <c r="N195" s="84" t="s">
        <v>26</v>
      </c>
      <c r="O195" s="59" t="s">
        <v>5502</v>
      </c>
      <c r="P195" s="8" t="s">
        <v>5503</v>
      </c>
      <c r="Q195" s="84" t="str">
        <f t="shared" si="5"/>
        <v>DENTRO DEL TIEMPO</v>
      </c>
      <c r="R195" s="81"/>
    </row>
    <row r="196" spans="1:18" ht="48.75" x14ac:dyDescent="0.25">
      <c r="A196" s="6">
        <v>191</v>
      </c>
      <c r="B196" s="59" t="s">
        <v>5504</v>
      </c>
      <c r="C196" s="27">
        <v>44705</v>
      </c>
      <c r="D196" s="27">
        <v>44705</v>
      </c>
      <c r="E196" s="81">
        <v>2</v>
      </c>
      <c r="F196" s="82" t="s">
        <v>22</v>
      </c>
      <c r="G196" s="59" t="s">
        <v>30</v>
      </c>
      <c r="H196" s="59" t="s">
        <v>24</v>
      </c>
      <c r="I196" s="59" t="s">
        <v>30</v>
      </c>
      <c r="J196" s="27">
        <v>44706</v>
      </c>
      <c r="K196" s="27">
        <v>44706</v>
      </c>
      <c r="L196" s="83">
        <f t="shared" si="4"/>
        <v>1</v>
      </c>
      <c r="M196" s="8" t="s">
        <v>5505</v>
      </c>
      <c r="N196" s="84" t="s">
        <v>26</v>
      </c>
      <c r="O196" s="59" t="s">
        <v>5506</v>
      </c>
      <c r="P196" s="8" t="s">
        <v>5507</v>
      </c>
      <c r="Q196" s="84" t="str">
        <f t="shared" si="5"/>
        <v>DENTRO DEL TIEMPO</v>
      </c>
      <c r="R196" s="81"/>
    </row>
    <row r="197" spans="1:18" ht="48.75" x14ac:dyDescent="0.25">
      <c r="A197" s="6">
        <v>192</v>
      </c>
      <c r="B197" s="59" t="s">
        <v>5508</v>
      </c>
      <c r="C197" s="27">
        <v>44705</v>
      </c>
      <c r="D197" s="27">
        <v>44705</v>
      </c>
      <c r="E197" s="81">
        <v>2</v>
      </c>
      <c r="F197" s="82" t="s">
        <v>22</v>
      </c>
      <c r="G197" s="59" t="s">
        <v>30</v>
      </c>
      <c r="H197" s="59" t="s">
        <v>24</v>
      </c>
      <c r="I197" s="59" t="s">
        <v>30</v>
      </c>
      <c r="J197" s="27">
        <v>44706</v>
      </c>
      <c r="K197" s="27">
        <v>44706</v>
      </c>
      <c r="L197" s="83">
        <f t="shared" si="4"/>
        <v>1</v>
      </c>
      <c r="M197" s="8" t="s">
        <v>5509</v>
      </c>
      <c r="N197" s="84" t="s">
        <v>26</v>
      </c>
      <c r="O197" s="59" t="s">
        <v>5510</v>
      </c>
      <c r="P197" s="8" t="s">
        <v>5511</v>
      </c>
      <c r="Q197" s="84" t="str">
        <f t="shared" si="5"/>
        <v>DENTRO DEL TIEMPO</v>
      </c>
      <c r="R197" s="81"/>
    </row>
    <row r="198" spans="1:18" ht="48.75" x14ac:dyDescent="0.25">
      <c r="A198" s="6">
        <v>193</v>
      </c>
      <c r="B198" s="59" t="s">
        <v>5512</v>
      </c>
      <c r="C198" s="27">
        <v>44705</v>
      </c>
      <c r="D198" s="27">
        <v>44705</v>
      </c>
      <c r="E198" s="81">
        <v>1902</v>
      </c>
      <c r="F198" s="82" t="s">
        <v>22</v>
      </c>
      <c r="G198" s="59" t="s">
        <v>23</v>
      </c>
      <c r="H198" s="59" t="s">
        <v>24</v>
      </c>
      <c r="I198" s="59" t="s">
        <v>23</v>
      </c>
      <c r="J198" s="27">
        <v>44705</v>
      </c>
      <c r="K198" s="27">
        <v>44705</v>
      </c>
      <c r="L198" s="83">
        <f t="shared" si="4"/>
        <v>0</v>
      </c>
      <c r="M198" s="8" t="s">
        <v>5513</v>
      </c>
      <c r="N198" s="84" t="s">
        <v>26</v>
      </c>
      <c r="O198" s="59" t="s">
        <v>5514</v>
      </c>
      <c r="P198" s="8" t="s">
        <v>5515</v>
      </c>
      <c r="Q198" s="84" t="str">
        <f t="shared" si="5"/>
        <v>DENTRO DEL TIEMPO</v>
      </c>
      <c r="R198" s="81"/>
    </row>
    <row r="199" spans="1:18" ht="48.75" x14ac:dyDescent="0.25">
      <c r="A199" s="6">
        <v>194</v>
      </c>
      <c r="B199" s="59" t="s">
        <v>5516</v>
      </c>
      <c r="C199" s="27">
        <v>44705</v>
      </c>
      <c r="D199" s="27">
        <v>44705</v>
      </c>
      <c r="E199" s="81">
        <v>2</v>
      </c>
      <c r="F199" s="82" t="s">
        <v>22</v>
      </c>
      <c r="G199" s="59" t="s">
        <v>30</v>
      </c>
      <c r="H199" s="59" t="s">
        <v>24</v>
      </c>
      <c r="I199" s="59" t="s">
        <v>30</v>
      </c>
      <c r="J199" s="27">
        <v>44706</v>
      </c>
      <c r="K199" s="27">
        <v>44706</v>
      </c>
      <c r="L199" s="83">
        <f t="shared" ref="L199:L262" si="6">+NETWORKDAYS(D199,K199,$R$6:$R$9)-1</f>
        <v>1</v>
      </c>
      <c r="M199" s="8" t="s">
        <v>5517</v>
      </c>
      <c r="N199" s="84" t="s">
        <v>26</v>
      </c>
      <c r="O199" s="59" t="s">
        <v>5518</v>
      </c>
      <c r="P199" s="8" t="s">
        <v>5519</v>
      </c>
      <c r="Q199" s="84" t="str">
        <f t="shared" ref="Q199:Q262" si="7">IF(L199&gt;15,"FUERA DE TIEMPO","DENTRO DEL TIEMPO")</f>
        <v>DENTRO DEL TIEMPO</v>
      </c>
      <c r="R199" s="81"/>
    </row>
    <row r="200" spans="1:18" ht="48.75" x14ac:dyDescent="0.25">
      <c r="A200" s="6">
        <v>195</v>
      </c>
      <c r="B200" s="59" t="s">
        <v>5520</v>
      </c>
      <c r="C200" s="27">
        <v>44705</v>
      </c>
      <c r="D200" s="27">
        <v>44705</v>
      </c>
      <c r="E200" s="81">
        <v>2</v>
      </c>
      <c r="F200" s="82" t="s">
        <v>22</v>
      </c>
      <c r="G200" s="59" t="s">
        <v>30</v>
      </c>
      <c r="H200" s="59" t="s">
        <v>24</v>
      </c>
      <c r="I200" s="59" t="s">
        <v>30</v>
      </c>
      <c r="J200" s="27">
        <v>44707</v>
      </c>
      <c r="K200" s="27">
        <v>44707</v>
      </c>
      <c r="L200" s="83">
        <f t="shared" si="6"/>
        <v>2</v>
      </c>
      <c r="M200" s="8" t="s">
        <v>5521</v>
      </c>
      <c r="N200" s="84" t="s">
        <v>26</v>
      </c>
      <c r="O200" s="59" t="s">
        <v>5522</v>
      </c>
      <c r="P200" s="8" t="s">
        <v>5093</v>
      </c>
      <c r="Q200" s="84" t="str">
        <f t="shared" si="7"/>
        <v>DENTRO DEL TIEMPO</v>
      </c>
      <c r="R200" s="81"/>
    </row>
    <row r="201" spans="1:18" ht="48.75" x14ac:dyDescent="0.25">
      <c r="A201" s="6">
        <v>196</v>
      </c>
      <c r="B201" s="59" t="s">
        <v>5523</v>
      </c>
      <c r="C201" s="27">
        <v>44705</v>
      </c>
      <c r="D201" s="27">
        <v>44705</v>
      </c>
      <c r="E201" s="81">
        <v>2</v>
      </c>
      <c r="F201" s="82" t="s">
        <v>22</v>
      </c>
      <c r="G201" s="59" t="s">
        <v>30</v>
      </c>
      <c r="H201" s="59" t="s">
        <v>24</v>
      </c>
      <c r="I201" s="59" t="s">
        <v>30</v>
      </c>
      <c r="J201" s="27">
        <v>44707</v>
      </c>
      <c r="K201" s="27">
        <v>44707</v>
      </c>
      <c r="L201" s="83">
        <f t="shared" si="6"/>
        <v>2</v>
      </c>
      <c r="M201" s="8" t="s">
        <v>5524</v>
      </c>
      <c r="N201" s="84" t="s">
        <v>26</v>
      </c>
      <c r="O201" s="59" t="s">
        <v>5525</v>
      </c>
      <c r="P201" s="8" t="s">
        <v>5526</v>
      </c>
      <c r="Q201" s="84" t="str">
        <f t="shared" si="7"/>
        <v>DENTRO DEL TIEMPO</v>
      </c>
      <c r="R201" s="81"/>
    </row>
    <row r="202" spans="1:18" ht="50.25" x14ac:dyDescent="0.25">
      <c r="A202" s="6">
        <v>197</v>
      </c>
      <c r="B202" s="59" t="s">
        <v>5527</v>
      </c>
      <c r="C202" s="27">
        <v>44705</v>
      </c>
      <c r="D202" s="27">
        <v>44705</v>
      </c>
      <c r="E202" s="81">
        <v>2</v>
      </c>
      <c r="F202" s="82" t="s">
        <v>22</v>
      </c>
      <c r="G202" s="59" t="s">
        <v>30</v>
      </c>
      <c r="H202" s="59" t="s">
        <v>24</v>
      </c>
      <c r="I202" s="59" t="s">
        <v>30</v>
      </c>
      <c r="J202" s="27">
        <v>44707</v>
      </c>
      <c r="K202" s="27">
        <v>44707</v>
      </c>
      <c r="L202" s="83">
        <f t="shared" si="6"/>
        <v>2</v>
      </c>
      <c r="M202" s="8" t="s">
        <v>5528</v>
      </c>
      <c r="N202" s="84" t="s">
        <v>26</v>
      </c>
      <c r="O202" s="59" t="s">
        <v>5529</v>
      </c>
      <c r="P202" s="8" t="s">
        <v>5530</v>
      </c>
      <c r="Q202" s="84" t="str">
        <f t="shared" si="7"/>
        <v>DENTRO DEL TIEMPO</v>
      </c>
      <c r="R202" s="81"/>
    </row>
    <row r="203" spans="1:18" ht="50.25" x14ac:dyDescent="0.25">
      <c r="A203" s="6">
        <v>198</v>
      </c>
      <c r="B203" s="59" t="s">
        <v>5531</v>
      </c>
      <c r="C203" s="27">
        <v>44705</v>
      </c>
      <c r="D203" s="27">
        <v>44705</v>
      </c>
      <c r="E203" s="81">
        <v>2</v>
      </c>
      <c r="F203" s="82" t="s">
        <v>22</v>
      </c>
      <c r="G203" s="59" t="s">
        <v>30</v>
      </c>
      <c r="H203" s="59" t="s">
        <v>24</v>
      </c>
      <c r="I203" s="59" t="s">
        <v>30</v>
      </c>
      <c r="J203" s="27">
        <v>44707</v>
      </c>
      <c r="K203" s="27">
        <v>44707</v>
      </c>
      <c r="L203" s="83">
        <f t="shared" si="6"/>
        <v>2</v>
      </c>
      <c r="M203" s="8" t="s">
        <v>5532</v>
      </c>
      <c r="N203" s="84" t="s">
        <v>26</v>
      </c>
      <c r="O203" s="59" t="s">
        <v>5529</v>
      </c>
      <c r="P203" s="8" t="s">
        <v>5530</v>
      </c>
      <c r="Q203" s="84" t="str">
        <f t="shared" si="7"/>
        <v>DENTRO DEL TIEMPO</v>
      </c>
      <c r="R203" s="81"/>
    </row>
    <row r="204" spans="1:18" ht="48.75" x14ac:dyDescent="0.25">
      <c r="A204" s="6">
        <v>199</v>
      </c>
      <c r="B204" s="59" t="s">
        <v>5533</v>
      </c>
      <c r="C204" s="27">
        <v>44705</v>
      </c>
      <c r="D204" s="27">
        <v>44705</v>
      </c>
      <c r="E204" s="81">
        <v>2</v>
      </c>
      <c r="F204" s="82" t="s">
        <v>22</v>
      </c>
      <c r="G204" s="59" t="s">
        <v>30</v>
      </c>
      <c r="H204" s="59" t="s">
        <v>24</v>
      </c>
      <c r="I204" s="59" t="s">
        <v>30</v>
      </c>
      <c r="J204" s="27">
        <v>44707</v>
      </c>
      <c r="K204" s="27">
        <v>44707</v>
      </c>
      <c r="L204" s="83">
        <f t="shared" si="6"/>
        <v>2</v>
      </c>
      <c r="M204" s="8" t="s">
        <v>5534</v>
      </c>
      <c r="N204" s="84" t="s">
        <v>26</v>
      </c>
      <c r="O204" s="59" t="s">
        <v>5535</v>
      </c>
      <c r="P204" s="8" t="s">
        <v>5536</v>
      </c>
      <c r="Q204" s="84" t="str">
        <f t="shared" si="7"/>
        <v>DENTRO DEL TIEMPO</v>
      </c>
      <c r="R204" s="81"/>
    </row>
    <row r="205" spans="1:18" ht="48.75" x14ac:dyDescent="0.25">
      <c r="A205" s="6">
        <v>200</v>
      </c>
      <c r="B205" s="59" t="s">
        <v>5537</v>
      </c>
      <c r="C205" s="27">
        <v>44705</v>
      </c>
      <c r="D205" s="27">
        <v>44705</v>
      </c>
      <c r="E205" s="81">
        <v>2</v>
      </c>
      <c r="F205" s="82" t="s">
        <v>22</v>
      </c>
      <c r="G205" s="59" t="s">
        <v>30</v>
      </c>
      <c r="H205" s="59" t="s">
        <v>24</v>
      </c>
      <c r="I205" s="59" t="s">
        <v>30</v>
      </c>
      <c r="J205" s="27">
        <v>44707</v>
      </c>
      <c r="K205" s="27">
        <v>44707</v>
      </c>
      <c r="L205" s="83">
        <f t="shared" si="6"/>
        <v>2</v>
      </c>
      <c r="M205" s="8" t="s">
        <v>5538</v>
      </c>
      <c r="N205" s="84" t="s">
        <v>26</v>
      </c>
      <c r="O205" s="59" t="s">
        <v>5539</v>
      </c>
      <c r="P205" s="8" t="s">
        <v>5540</v>
      </c>
      <c r="Q205" s="84" t="str">
        <f t="shared" si="7"/>
        <v>DENTRO DEL TIEMPO</v>
      </c>
      <c r="R205" s="81"/>
    </row>
    <row r="206" spans="1:18" ht="48.75" x14ac:dyDescent="0.25">
      <c r="A206" s="6">
        <v>201</v>
      </c>
      <c r="B206" s="59" t="s">
        <v>5541</v>
      </c>
      <c r="C206" s="27">
        <v>44705</v>
      </c>
      <c r="D206" s="27">
        <v>44705</v>
      </c>
      <c r="E206" s="81">
        <v>2</v>
      </c>
      <c r="F206" s="82" t="s">
        <v>22</v>
      </c>
      <c r="G206" s="59" t="s">
        <v>30</v>
      </c>
      <c r="H206" s="59" t="s">
        <v>24</v>
      </c>
      <c r="I206" s="59" t="s">
        <v>30</v>
      </c>
      <c r="J206" s="27">
        <v>44707</v>
      </c>
      <c r="K206" s="27">
        <v>44707</v>
      </c>
      <c r="L206" s="83">
        <f t="shared" si="6"/>
        <v>2</v>
      </c>
      <c r="M206" s="8" t="s">
        <v>5542</v>
      </c>
      <c r="N206" s="84" t="s">
        <v>26</v>
      </c>
      <c r="O206" s="59" t="s">
        <v>5190</v>
      </c>
      <c r="P206" s="8" t="s">
        <v>5543</v>
      </c>
      <c r="Q206" s="84" t="str">
        <f t="shared" si="7"/>
        <v>DENTRO DEL TIEMPO</v>
      </c>
      <c r="R206" s="81"/>
    </row>
    <row r="207" spans="1:18" ht="48.75" x14ac:dyDescent="0.25">
      <c r="A207" s="6">
        <v>202</v>
      </c>
      <c r="B207" s="59" t="s">
        <v>5544</v>
      </c>
      <c r="C207" s="27">
        <v>44705</v>
      </c>
      <c r="D207" s="27">
        <v>44705</v>
      </c>
      <c r="E207" s="81">
        <v>2</v>
      </c>
      <c r="F207" s="82" t="s">
        <v>22</v>
      </c>
      <c r="G207" s="59" t="s">
        <v>30</v>
      </c>
      <c r="H207" s="59" t="s">
        <v>24</v>
      </c>
      <c r="I207" s="59" t="s">
        <v>30</v>
      </c>
      <c r="J207" s="27">
        <v>44707</v>
      </c>
      <c r="K207" s="27">
        <v>44707</v>
      </c>
      <c r="L207" s="83">
        <f t="shared" si="6"/>
        <v>2</v>
      </c>
      <c r="M207" s="8" t="s">
        <v>5545</v>
      </c>
      <c r="N207" s="84" t="s">
        <v>26</v>
      </c>
      <c r="O207" s="59" t="s">
        <v>934</v>
      </c>
      <c r="P207" s="8" t="s">
        <v>5546</v>
      </c>
      <c r="Q207" s="84" t="str">
        <f t="shared" si="7"/>
        <v>DENTRO DEL TIEMPO</v>
      </c>
      <c r="R207" s="81"/>
    </row>
    <row r="208" spans="1:18" ht="48.75" x14ac:dyDescent="0.25">
      <c r="A208" s="6">
        <v>203</v>
      </c>
      <c r="B208" s="59" t="s">
        <v>5547</v>
      </c>
      <c r="C208" s="27">
        <v>44705</v>
      </c>
      <c r="D208" s="27">
        <v>44705</v>
      </c>
      <c r="E208" s="81">
        <v>2</v>
      </c>
      <c r="F208" s="82" t="s">
        <v>22</v>
      </c>
      <c r="G208" s="59" t="s">
        <v>30</v>
      </c>
      <c r="H208" s="59" t="s">
        <v>24</v>
      </c>
      <c r="I208" s="59" t="s">
        <v>30</v>
      </c>
      <c r="J208" s="27">
        <v>44707</v>
      </c>
      <c r="K208" s="27">
        <v>44707</v>
      </c>
      <c r="L208" s="83">
        <f t="shared" si="6"/>
        <v>2</v>
      </c>
      <c r="M208" s="8" t="s">
        <v>5548</v>
      </c>
      <c r="N208" s="84" t="s">
        <v>26</v>
      </c>
      <c r="O208" s="59" t="s">
        <v>5549</v>
      </c>
      <c r="P208" s="8" t="s">
        <v>5550</v>
      </c>
      <c r="Q208" s="84" t="str">
        <f t="shared" si="7"/>
        <v>DENTRO DEL TIEMPO</v>
      </c>
      <c r="R208" s="81"/>
    </row>
    <row r="209" spans="1:18" ht="48.75" x14ac:dyDescent="0.25">
      <c r="A209" s="6">
        <v>204</v>
      </c>
      <c r="B209" s="59" t="s">
        <v>5551</v>
      </c>
      <c r="C209" s="27">
        <v>44705</v>
      </c>
      <c r="D209" s="27">
        <v>44705</v>
      </c>
      <c r="E209" s="81">
        <v>2</v>
      </c>
      <c r="F209" s="82" t="s">
        <v>22</v>
      </c>
      <c r="G209" s="59" t="s">
        <v>30</v>
      </c>
      <c r="H209" s="59" t="s">
        <v>24</v>
      </c>
      <c r="I209" s="59" t="s">
        <v>30</v>
      </c>
      <c r="J209" s="27">
        <v>44707</v>
      </c>
      <c r="K209" s="27">
        <v>44707</v>
      </c>
      <c r="L209" s="83">
        <f t="shared" si="6"/>
        <v>2</v>
      </c>
      <c r="M209" s="8" t="s">
        <v>5552</v>
      </c>
      <c r="N209" s="84" t="s">
        <v>26</v>
      </c>
      <c r="O209" s="59" t="s">
        <v>891</v>
      </c>
      <c r="P209" s="8" t="s">
        <v>5463</v>
      </c>
      <c r="Q209" s="84" t="str">
        <f t="shared" si="7"/>
        <v>DENTRO DEL TIEMPO</v>
      </c>
      <c r="R209" s="81"/>
    </row>
    <row r="210" spans="1:18" ht="48.75" x14ac:dyDescent="0.25">
      <c r="A210" s="6">
        <v>205</v>
      </c>
      <c r="B210" s="59" t="s">
        <v>5553</v>
      </c>
      <c r="C210" s="27">
        <v>44706</v>
      </c>
      <c r="D210" s="27">
        <v>44706</v>
      </c>
      <c r="E210" s="81">
        <v>2</v>
      </c>
      <c r="F210" s="82" t="s">
        <v>22</v>
      </c>
      <c r="G210" s="59" t="s">
        <v>30</v>
      </c>
      <c r="H210" s="59" t="s">
        <v>24</v>
      </c>
      <c r="I210" s="59" t="s">
        <v>30</v>
      </c>
      <c r="J210" s="27">
        <v>44707</v>
      </c>
      <c r="K210" s="27">
        <v>44707</v>
      </c>
      <c r="L210" s="83">
        <f t="shared" si="6"/>
        <v>1</v>
      </c>
      <c r="M210" s="8" t="s">
        <v>5554</v>
      </c>
      <c r="N210" s="84" t="s">
        <v>26</v>
      </c>
      <c r="O210" s="59" t="s">
        <v>5555</v>
      </c>
      <c r="P210" s="8" t="s">
        <v>5556</v>
      </c>
      <c r="Q210" s="84" t="str">
        <f t="shared" si="7"/>
        <v>DENTRO DEL TIEMPO</v>
      </c>
      <c r="R210" s="81"/>
    </row>
    <row r="211" spans="1:18" ht="48.75" x14ac:dyDescent="0.25">
      <c r="A211" s="6">
        <v>206</v>
      </c>
      <c r="B211" s="59" t="s">
        <v>5557</v>
      </c>
      <c r="C211" s="27">
        <v>44706</v>
      </c>
      <c r="D211" s="27">
        <v>44706</v>
      </c>
      <c r="E211" s="81">
        <v>2</v>
      </c>
      <c r="F211" s="82" t="s">
        <v>22</v>
      </c>
      <c r="G211" s="59" t="s">
        <v>30</v>
      </c>
      <c r="H211" s="59" t="s">
        <v>24</v>
      </c>
      <c r="I211" s="59" t="s">
        <v>30</v>
      </c>
      <c r="J211" s="27">
        <v>44707</v>
      </c>
      <c r="K211" s="27">
        <v>44707</v>
      </c>
      <c r="L211" s="83">
        <f t="shared" si="6"/>
        <v>1</v>
      </c>
      <c r="M211" s="8" t="s">
        <v>5558</v>
      </c>
      <c r="N211" s="84" t="s">
        <v>26</v>
      </c>
      <c r="O211" s="59" t="s">
        <v>5559</v>
      </c>
      <c r="P211" s="8" t="s">
        <v>5560</v>
      </c>
      <c r="Q211" s="84" t="str">
        <f t="shared" si="7"/>
        <v>DENTRO DEL TIEMPO</v>
      </c>
      <c r="R211" s="81"/>
    </row>
    <row r="212" spans="1:18" ht="48.75" x14ac:dyDescent="0.25">
      <c r="A212" s="6">
        <v>207</v>
      </c>
      <c r="B212" s="59" t="s">
        <v>5561</v>
      </c>
      <c r="C212" s="27">
        <v>44706</v>
      </c>
      <c r="D212" s="27">
        <v>44706</v>
      </c>
      <c r="E212" s="81">
        <v>2</v>
      </c>
      <c r="F212" s="82" t="s">
        <v>22</v>
      </c>
      <c r="G212" s="59" t="s">
        <v>30</v>
      </c>
      <c r="H212" s="59" t="s">
        <v>24</v>
      </c>
      <c r="I212" s="59" t="s">
        <v>30</v>
      </c>
      <c r="J212" s="27">
        <v>44707</v>
      </c>
      <c r="K212" s="27">
        <v>44707</v>
      </c>
      <c r="L212" s="83">
        <f t="shared" si="6"/>
        <v>1</v>
      </c>
      <c r="M212" s="8" t="s">
        <v>5562</v>
      </c>
      <c r="N212" s="84" t="s">
        <v>26</v>
      </c>
      <c r="O212" s="59" t="s">
        <v>5462</v>
      </c>
      <c r="P212" s="8" t="s">
        <v>5463</v>
      </c>
      <c r="Q212" s="84" t="str">
        <f t="shared" si="7"/>
        <v>DENTRO DEL TIEMPO</v>
      </c>
      <c r="R212" s="81"/>
    </row>
    <row r="213" spans="1:18" ht="50.25" x14ac:dyDescent="0.25">
      <c r="A213" s="6">
        <v>208</v>
      </c>
      <c r="B213" s="59" t="s">
        <v>5563</v>
      </c>
      <c r="C213" s="27">
        <v>44706</v>
      </c>
      <c r="D213" s="27">
        <v>44706</v>
      </c>
      <c r="E213" s="81">
        <v>2</v>
      </c>
      <c r="F213" s="82" t="s">
        <v>22</v>
      </c>
      <c r="G213" s="59" t="s">
        <v>30</v>
      </c>
      <c r="H213" s="59" t="s">
        <v>24</v>
      </c>
      <c r="I213" s="59" t="s">
        <v>30</v>
      </c>
      <c r="J213" s="27">
        <v>44707</v>
      </c>
      <c r="K213" s="27">
        <v>44707</v>
      </c>
      <c r="L213" s="83">
        <f t="shared" si="6"/>
        <v>1</v>
      </c>
      <c r="M213" s="8" t="s">
        <v>5564</v>
      </c>
      <c r="N213" s="84" t="s">
        <v>26</v>
      </c>
      <c r="O213" s="59" t="s">
        <v>257</v>
      </c>
      <c r="P213" s="8" t="s">
        <v>4934</v>
      </c>
      <c r="Q213" s="84" t="str">
        <f t="shared" si="7"/>
        <v>DENTRO DEL TIEMPO</v>
      </c>
      <c r="R213" s="81"/>
    </row>
    <row r="214" spans="1:18" ht="48.75" x14ac:dyDescent="0.25">
      <c r="A214" s="6">
        <v>209</v>
      </c>
      <c r="B214" s="59" t="s">
        <v>5565</v>
      </c>
      <c r="C214" s="27">
        <v>44706</v>
      </c>
      <c r="D214" s="27">
        <v>44706</v>
      </c>
      <c r="E214" s="81">
        <v>2</v>
      </c>
      <c r="F214" s="82" t="s">
        <v>22</v>
      </c>
      <c r="G214" s="59" t="s">
        <v>30</v>
      </c>
      <c r="H214" s="59" t="s">
        <v>24</v>
      </c>
      <c r="I214" s="59" t="s">
        <v>30</v>
      </c>
      <c r="J214" s="27">
        <v>44707</v>
      </c>
      <c r="K214" s="27">
        <v>44707</v>
      </c>
      <c r="L214" s="83">
        <f t="shared" si="6"/>
        <v>1</v>
      </c>
      <c r="M214" s="8" t="s">
        <v>5566</v>
      </c>
      <c r="N214" s="84" t="s">
        <v>26</v>
      </c>
      <c r="O214" s="59" t="s">
        <v>5567</v>
      </c>
      <c r="P214" s="8" t="s">
        <v>5568</v>
      </c>
      <c r="Q214" s="84" t="str">
        <f t="shared" si="7"/>
        <v>DENTRO DEL TIEMPO</v>
      </c>
      <c r="R214" s="81"/>
    </row>
    <row r="215" spans="1:18" ht="50.25" x14ac:dyDescent="0.25">
      <c r="A215" s="6">
        <v>210</v>
      </c>
      <c r="B215" s="59" t="s">
        <v>5569</v>
      </c>
      <c r="C215" s="27">
        <v>44706</v>
      </c>
      <c r="D215" s="27">
        <v>44706</v>
      </c>
      <c r="E215" s="81">
        <v>2</v>
      </c>
      <c r="F215" s="82" t="s">
        <v>22</v>
      </c>
      <c r="G215" s="59" t="s">
        <v>30</v>
      </c>
      <c r="H215" s="59" t="s">
        <v>24</v>
      </c>
      <c r="I215" s="59" t="s">
        <v>30</v>
      </c>
      <c r="J215" s="27">
        <v>44707</v>
      </c>
      <c r="K215" s="27">
        <v>44707</v>
      </c>
      <c r="L215" s="83">
        <f t="shared" si="6"/>
        <v>1</v>
      </c>
      <c r="M215" s="8" t="s">
        <v>5570</v>
      </c>
      <c r="N215" s="84" t="s">
        <v>26</v>
      </c>
      <c r="O215" s="59" t="s">
        <v>257</v>
      </c>
      <c r="P215" s="8" t="s">
        <v>4934</v>
      </c>
      <c r="Q215" s="84" t="str">
        <f t="shared" si="7"/>
        <v>DENTRO DEL TIEMPO</v>
      </c>
      <c r="R215" s="81"/>
    </row>
    <row r="216" spans="1:18" ht="50.25" x14ac:dyDescent="0.25">
      <c r="A216" s="6">
        <v>211</v>
      </c>
      <c r="B216" s="59" t="s">
        <v>5571</v>
      </c>
      <c r="C216" s="27">
        <v>44706</v>
      </c>
      <c r="D216" s="27">
        <v>44706</v>
      </c>
      <c r="E216" s="81">
        <v>2</v>
      </c>
      <c r="F216" s="82" t="s">
        <v>22</v>
      </c>
      <c r="G216" s="59" t="s">
        <v>30</v>
      </c>
      <c r="H216" s="59" t="s">
        <v>24</v>
      </c>
      <c r="I216" s="59" t="s">
        <v>30</v>
      </c>
      <c r="J216" s="27">
        <v>44707</v>
      </c>
      <c r="K216" s="27">
        <v>44707</v>
      </c>
      <c r="L216" s="83">
        <f t="shared" si="6"/>
        <v>1</v>
      </c>
      <c r="M216" s="8" t="s">
        <v>5572</v>
      </c>
      <c r="N216" s="84" t="s">
        <v>26</v>
      </c>
      <c r="O216" s="59" t="s">
        <v>257</v>
      </c>
      <c r="P216" s="8" t="s">
        <v>4934</v>
      </c>
      <c r="Q216" s="84" t="str">
        <f t="shared" si="7"/>
        <v>DENTRO DEL TIEMPO</v>
      </c>
      <c r="R216" s="81"/>
    </row>
    <row r="217" spans="1:18" ht="50.25" x14ac:dyDescent="0.25">
      <c r="A217" s="6">
        <v>212</v>
      </c>
      <c r="B217" s="59" t="s">
        <v>5573</v>
      </c>
      <c r="C217" s="27">
        <v>44706</v>
      </c>
      <c r="D217" s="27">
        <v>44706</v>
      </c>
      <c r="E217" s="81">
        <v>2</v>
      </c>
      <c r="F217" s="82" t="s">
        <v>22</v>
      </c>
      <c r="G217" s="59" t="s">
        <v>30</v>
      </c>
      <c r="H217" s="59" t="s">
        <v>24</v>
      </c>
      <c r="I217" s="59" t="s">
        <v>30</v>
      </c>
      <c r="J217" s="27">
        <v>44707</v>
      </c>
      <c r="K217" s="27">
        <v>44707</v>
      </c>
      <c r="L217" s="83">
        <f t="shared" si="6"/>
        <v>1</v>
      </c>
      <c r="M217" s="8" t="s">
        <v>5574</v>
      </c>
      <c r="N217" s="84" t="s">
        <v>26</v>
      </c>
      <c r="O217" s="59" t="s">
        <v>257</v>
      </c>
      <c r="P217" s="8" t="s">
        <v>4934</v>
      </c>
      <c r="Q217" s="84" t="str">
        <f t="shared" si="7"/>
        <v>DENTRO DEL TIEMPO</v>
      </c>
      <c r="R217" s="81"/>
    </row>
    <row r="218" spans="1:18" ht="50.25" x14ac:dyDescent="0.25">
      <c r="A218" s="6">
        <v>213</v>
      </c>
      <c r="B218" s="59" t="s">
        <v>5575</v>
      </c>
      <c r="C218" s="27">
        <v>44706</v>
      </c>
      <c r="D218" s="27">
        <v>44706</v>
      </c>
      <c r="E218" s="81">
        <v>2</v>
      </c>
      <c r="F218" s="82" t="s">
        <v>22</v>
      </c>
      <c r="G218" s="59" t="s">
        <v>30</v>
      </c>
      <c r="H218" s="59" t="s">
        <v>24</v>
      </c>
      <c r="I218" s="59" t="s">
        <v>30</v>
      </c>
      <c r="J218" s="27">
        <v>44707</v>
      </c>
      <c r="K218" s="27">
        <v>44707</v>
      </c>
      <c r="L218" s="83">
        <f t="shared" si="6"/>
        <v>1</v>
      </c>
      <c r="M218" s="8" t="s">
        <v>5576</v>
      </c>
      <c r="N218" s="84" t="s">
        <v>26</v>
      </c>
      <c r="O218" s="59" t="s">
        <v>257</v>
      </c>
      <c r="P218" s="8" t="s">
        <v>4934</v>
      </c>
      <c r="Q218" s="84" t="str">
        <f t="shared" si="7"/>
        <v>DENTRO DEL TIEMPO</v>
      </c>
      <c r="R218" s="81"/>
    </row>
    <row r="219" spans="1:18" ht="50.25" x14ac:dyDescent="0.25">
      <c r="A219" s="6">
        <v>214</v>
      </c>
      <c r="B219" s="59" t="s">
        <v>5577</v>
      </c>
      <c r="C219" s="27">
        <v>44706</v>
      </c>
      <c r="D219" s="27">
        <v>44706</v>
      </c>
      <c r="E219" s="81">
        <v>2</v>
      </c>
      <c r="F219" s="82" t="s">
        <v>22</v>
      </c>
      <c r="G219" s="59" t="s">
        <v>30</v>
      </c>
      <c r="H219" s="59" t="s">
        <v>24</v>
      </c>
      <c r="I219" s="59" t="s">
        <v>30</v>
      </c>
      <c r="J219" s="27">
        <v>44708</v>
      </c>
      <c r="K219" s="27">
        <v>44708</v>
      </c>
      <c r="L219" s="83">
        <f t="shared" si="6"/>
        <v>2</v>
      </c>
      <c r="M219" s="8" t="s">
        <v>5578</v>
      </c>
      <c r="N219" s="84" t="s">
        <v>26</v>
      </c>
      <c r="O219" s="59" t="s">
        <v>257</v>
      </c>
      <c r="P219" s="8" t="s">
        <v>4934</v>
      </c>
      <c r="Q219" s="84" t="str">
        <f t="shared" si="7"/>
        <v>DENTRO DEL TIEMPO</v>
      </c>
      <c r="R219" s="81"/>
    </row>
    <row r="220" spans="1:18" ht="50.25" x14ac:dyDescent="0.25">
      <c r="A220" s="6">
        <v>215</v>
      </c>
      <c r="B220" s="59" t="s">
        <v>5579</v>
      </c>
      <c r="C220" s="27">
        <v>44706</v>
      </c>
      <c r="D220" s="27">
        <v>44706</v>
      </c>
      <c r="E220" s="81">
        <v>2</v>
      </c>
      <c r="F220" s="82" t="s">
        <v>22</v>
      </c>
      <c r="G220" s="59" t="s">
        <v>30</v>
      </c>
      <c r="H220" s="59" t="s">
        <v>24</v>
      </c>
      <c r="I220" s="59" t="s">
        <v>30</v>
      </c>
      <c r="J220" s="27">
        <v>44708</v>
      </c>
      <c r="K220" s="27">
        <v>44708</v>
      </c>
      <c r="L220" s="83">
        <f t="shared" si="6"/>
        <v>2</v>
      </c>
      <c r="M220" s="8" t="s">
        <v>5580</v>
      </c>
      <c r="N220" s="84" t="s">
        <v>26</v>
      </c>
      <c r="O220" s="59" t="s">
        <v>257</v>
      </c>
      <c r="P220" s="8" t="s">
        <v>4934</v>
      </c>
      <c r="Q220" s="84" t="str">
        <f t="shared" si="7"/>
        <v>DENTRO DEL TIEMPO</v>
      </c>
      <c r="R220" s="81"/>
    </row>
    <row r="221" spans="1:18" ht="50.25" x14ac:dyDescent="0.25">
      <c r="A221" s="6">
        <v>216</v>
      </c>
      <c r="B221" s="59" t="s">
        <v>5581</v>
      </c>
      <c r="C221" s="27">
        <v>44706</v>
      </c>
      <c r="D221" s="27">
        <v>44706</v>
      </c>
      <c r="E221" s="81">
        <v>2</v>
      </c>
      <c r="F221" s="82" t="s">
        <v>22</v>
      </c>
      <c r="G221" s="59" t="s">
        <v>30</v>
      </c>
      <c r="H221" s="59" t="s">
        <v>24</v>
      </c>
      <c r="I221" s="59" t="s">
        <v>30</v>
      </c>
      <c r="J221" s="27">
        <v>44708</v>
      </c>
      <c r="K221" s="27">
        <v>44708</v>
      </c>
      <c r="L221" s="83">
        <f t="shared" si="6"/>
        <v>2</v>
      </c>
      <c r="M221" s="8" t="s">
        <v>5582</v>
      </c>
      <c r="N221" s="84" t="s">
        <v>26</v>
      </c>
      <c r="O221" s="59" t="s">
        <v>257</v>
      </c>
      <c r="P221" s="8" t="s">
        <v>4934</v>
      </c>
      <c r="Q221" s="84" t="str">
        <f t="shared" si="7"/>
        <v>DENTRO DEL TIEMPO</v>
      </c>
      <c r="R221" s="81"/>
    </row>
    <row r="222" spans="1:18" ht="50.25" x14ac:dyDescent="0.25">
      <c r="A222" s="6">
        <v>217</v>
      </c>
      <c r="B222" s="59" t="s">
        <v>5583</v>
      </c>
      <c r="C222" s="27">
        <v>44706</v>
      </c>
      <c r="D222" s="27">
        <v>44706</v>
      </c>
      <c r="E222" s="81">
        <v>2</v>
      </c>
      <c r="F222" s="82" t="s">
        <v>22</v>
      </c>
      <c r="G222" s="59" t="s">
        <v>30</v>
      </c>
      <c r="H222" s="59" t="s">
        <v>24</v>
      </c>
      <c r="I222" s="59" t="s">
        <v>30</v>
      </c>
      <c r="J222" s="27">
        <v>44708</v>
      </c>
      <c r="K222" s="27">
        <v>44708</v>
      </c>
      <c r="L222" s="83">
        <f t="shared" si="6"/>
        <v>2</v>
      </c>
      <c r="M222" s="8" t="s">
        <v>5584</v>
      </c>
      <c r="N222" s="84" t="s">
        <v>26</v>
      </c>
      <c r="O222" s="59" t="s">
        <v>257</v>
      </c>
      <c r="P222" s="8" t="s">
        <v>4934</v>
      </c>
      <c r="Q222" s="84" t="str">
        <f t="shared" si="7"/>
        <v>DENTRO DEL TIEMPO</v>
      </c>
      <c r="R222" s="81"/>
    </row>
    <row r="223" spans="1:18" ht="50.25" x14ac:dyDescent="0.25">
      <c r="A223" s="6">
        <v>218</v>
      </c>
      <c r="B223" s="59" t="s">
        <v>5585</v>
      </c>
      <c r="C223" s="27">
        <v>44706</v>
      </c>
      <c r="D223" s="27">
        <v>44706</v>
      </c>
      <c r="E223" s="81">
        <v>2</v>
      </c>
      <c r="F223" s="82" t="s">
        <v>22</v>
      </c>
      <c r="G223" s="59" t="s">
        <v>30</v>
      </c>
      <c r="H223" s="59" t="s">
        <v>24</v>
      </c>
      <c r="I223" s="59" t="s">
        <v>30</v>
      </c>
      <c r="J223" s="27">
        <v>44708</v>
      </c>
      <c r="K223" s="27">
        <v>44708</v>
      </c>
      <c r="L223" s="83">
        <f t="shared" si="6"/>
        <v>2</v>
      </c>
      <c r="M223" s="8" t="s">
        <v>5586</v>
      </c>
      <c r="N223" s="84" t="s">
        <v>26</v>
      </c>
      <c r="O223" s="59" t="s">
        <v>257</v>
      </c>
      <c r="P223" s="8" t="s">
        <v>4934</v>
      </c>
      <c r="Q223" s="84" t="str">
        <f t="shared" si="7"/>
        <v>DENTRO DEL TIEMPO</v>
      </c>
      <c r="R223" s="81"/>
    </row>
    <row r="224" spans="1:18" ht="50.25" x14ac:dyDescent="0.25">
      <c r="A224" s="6">
        <v>219</v>
      </c>
      <c r="B224" s="59" t="s">
        <v>5587</v>
      </c>
      <c r="C224" s="27">
        <v>44706</v>
      </c>
      <c r="D224" s="27">
        <v>44706</v>
      </c>
      <c r="E224" s="81">
        <v>2</v>
      </c>
      <c r="F224" s="82" t="s">
        <v>22</v>
      </c>
      <c r="G224" s="59" t="s">
        <v>30</v>
      </c>
      <c r="H224" s="59" t="s">
        <v>24</v>
      </c>
      <c r="I224" s="59" t="s">
        <v>30</v>
      </c>
      <c r="J224" s="27">
        <v>44708</v>
      </c>
      <c r="K224" s="27">
        <v>44708</v>
      </c>
      <c r="L224" s="83">
        <f t="shared" si="6"/>
        <v>2</v>
      </c>
      <c r="M224" s="8" t="s">
        <v>5588</v>
      </c>
      <c r="N224" s="84" t="s">
        <v>26</v>
      </c>
      <c r="O224" s="59" t="s">
        <v>257</v>
      </c>
      <c r="P224" s="8" t="s">
        <v>4934</v>
      </c>
      <c r="Q224" s="84" t="str">
        <f t="shared" si="7"/>
        <v>DENTRO DEL TIEMPO</v>
      </c>
      <c r="R224" s="81"/>
    </row>
    <row r="225" spans="1:18" ht="50.25" x14ac:dyDescent="0.25">
      <c r="A225" s="6">
        <v>220</v>
      </c>
      <c r="B225" s="59" t="s">
        <v>5589</v>
      </c>
      <c r="C225" s="27">
        <v>44706</v>
      </c>
      <c r="D225" s="27">
        <v>44706</v>
      </c>
      <c r="E225" s="81">
        <v>2</v>
      </c>
      <c r="F225" s="82" t="s">
        <v>22</v>
      </c>
      <c r="G225" s="59" t="s">
        <v>30</v>
      </c>
      <c r="H225" s="59" t="s">
        <v>24</v>
      </c>
      <c r="I225" s="59" t="s">
        <v>30</v>
      </c>
      <c r="J225" s="27">
        <v>44708</v>
      </c>
      <c r="K225" s="27">
        <v>44708</v>
      </c>
      <c r="L225" s="83">
        <f t="shared" si="6"/>
        <v>2</v>
      </c>
      <c r="M225" s="8" t="s">
        <v>5590</v>
      </c>
      <c r="N225" s="84" t="s">
        <v>26</v>
      </c>
      <c r="O225" s="59" t="s">
        <v>257</v>
      </c>
      <c r="P225" s="8" t="s">
        <v>4934</v>
      </c>
      <c r="Q225" s="84" t="str">
        <f t="shared" si="7"/>
        <v>DENTRO DEL TIEMPO</v>
      </c>
      <c r="R225" s="81"/>
    </row>
    <row r="226" spans="1:18" ht="50.25" x14ac:dyDescent="0.25">
      <c r="A226" s="6">
        <v>221</v>
      </c>
      <c r="B226" s="59" t="s">
        <v>5591</v>
      </c>
      <c r="C226" s="27">
        <v>44706</v>
      </c>
      <c r="D226" s="27">
        <v>44706</v>
      </c>
      <c r="E226" s="81">
        <v>2</v>
      </c>
      <c r="F226" s="82" t="s">
        <v>22</v>
      </c>
      <c r="G226" s="59" t="s">
        <v>30</v>
      </c>
      <c r="H226" s="59" t="s">
        <v>24</v>
      </c>
      <c r="I226" s="59" t="s">
        <v>30</v>
      </c>
      <c r="J226" s="27">
        <v>44708</v>
      </c>
      <c r="K226" s="27">
        <v>44708</v>
      </c>
      <c r="L226" s="83">
        <f t="shared" si="6"/>
        <v>2</v>
      </c>
      <c r="M226" s="8" t="s">
        <v>5592</v>
      </c>
      <c r="N226" s="84" t="s">
        <v>26</v>
      </c>
      <c r="O226" s="59" t="s">
        <v>257</v>
      </c>
      <c r="P226" s="8" t="s">
        <v>4934</v>
      </c>
      <c r="Q226" s="84" t="str">
        <f t="shared" si="7"/>
        <v>DENTRO DEL TIEMPO</v>
      </c>
      <c r="R226" s="81"/>
    </row>
    <row r="227" spans="1:18" ht="48.75" x14ac:dyDescent="0.25">
      <c r="A227" s="6">
        <v>222</v>
      </c>
      <c r="B227" s="59" t="s">
        <v>5593</v>
      </c>
      <c r="C227" s="27">
        <v>44706</v>
      </c>
      <c r="D227" s="27">
        <v>44706</v>
      </c>
      <c r="E227" s="81">
        <v>2</v>
      </c>
      <c r="F227" s="82" t="s">
        <v>22</v>
      </c>
      <c r="G227" s="59" t="s">
        <v>30</v>
      </c>
      <c r="H227" s="59" t="s">
        <v>24</v>
      </c>
      <c r="I227" s="59" t="s">
        <v>30</v>
      </c>
      <c r="J227" s="27">
        <v>44707</v>
      </c>
      <c r="K227" s="27">
        <v>44707</v>
      </c>
      <c r="L227" s="83">
        <f t="shared" si="6"/>
        <v>1</v>
      </c>
      <c r="M227" s="8" t="s">
        <v>5594</v>
      </c>
      <c r="N227" s="84" t="s">
        <v>26</v>
      </c>
      <c r="O227" s="59" t="s">
        <v>225</v>
      </c>
      <c r="P227" s="8" t="s">
        <v>5168</v>
      </c>
      <c r="Q227" s="84" t="str">
        <f t="shared" si="7"/>
        <v>DENTRO DEL TIEMPO</v>
      </c>
      <c r="R227" s="81"/>
    </row>
    <row r="228" spans="1:18" ht="48.75" x14ac:dyDescent="0.25">
      <c r="A228" s="6">
        <v>223</v>
      </c>
      <c r="B228" s="59" t="s">
        <v>5595</v>
      </c>
      <c r="C228" s="27">
        <v>44706</v>
      </c>
      <c r="D228" s="27">
        <v>44706</v>
      </c>
      <c r="E228" s="81">
        <v>2</v>
      </c>
      <c r="F228" s="82" t="s">
        <v>22</v>
      </c>
      <c r="G228" s="59" t="s">
        <v>30</v>
      </c>
      <c r="H228" s="59" t="s">
        <v>24</v>
      </c>
      <c r="I228" s="59" t="s">
        <v>30</v>
      </c>
      <c r="J228" s="27">
        <v>44708</v>
      </c>
      <c r="K228" s="27">
        <v>44708</v>
      </c>
      <c r="L228" s="83">
        <f t="shared" si="6"/>
        <v>2</v>
      </c>
      <c r="M228" s="8" t="s">
        <v>5596</v>
      </c>
      <c r="N228" s="84" t="s">
        <v>26</v>
      </c>
      <c r="O228" s="59" t="s">
        <v>225</v>
      </c>
      <c r="P228" s="8" t="s">
        <v>5168</v>
      </c>
      <c r="Q228" s="84" t="str">
        <f t="shared" si="7"/>
        <v>DENTRO DEL TIEMPO</v>
      </c>
      <c r="R228" s="81"/>
    </row>
    <row r="229" spans="1:18" ht="48.75" x14ac:dyDescent="0.25">
      <c r="A229" s="6">
        <v>224</v>
      </c>
      <c r="B229" s="59" t="s">
        <v>5597</v>
      </c>
      <c r="C229" s="27">
        <v>44706</v>
      </c>
      <c r="D229" s="27">
        <v>44706</v>
      </c>
      <c r="E229" s="81">
        <v>2</v>
      </c>
      <c r="F229" s="82" t="s">
        <v>22</v>
      </c>
      <c r="G229" s="59" t="s">
        <v>30</v>
      </c>
      <c r="H229" s="59" t="s">
        <v>24</v>
      </c>
      <c r="I229" s="59" t="s">
        <v>30</v>
      </c>
      <c r="J229" s="27">
        <v>44708</v>
      </c>
      <c r="K229" s="27">
        <v>44708</v>
      </c>
      <c r="L229" s="83">
        <f t="shared" si="6"/>
        <v>2</v>
      </c>
      <c r="M229" s="8" t="s">
        <v>5598</v>
      </c>
      <c r="N229" s="84" t="s">
        <v>26</v>
      </c>
      <c r="O229" s="59" t="s">
        <v>225</v>
      </c>
      <c r="P229" s="8" t="s">
        <v>5168</v>
      </c>
      <c r="Q229" s="84" t="str">
        <f t="shared" si="7"/>
        <v>DENTRO DEL TIEMPO</v>
      </c>
      <c r="R229" s="81"/>
    </row>
    <row r="230" spans="1:18" ht="48.75" x14ac:dyDescent="0.25">
      <c r="A230" s="6">
        <v>225</v>
      </c>
      <c r="B230" s="59" t="s">
        <v>5599</v>
      </c>
      <c r="C230" s="27">
        <v>44706</v>
      </c>
      <c r="D230" s="27">
        <v>44706</v>
      </c>
      <c r="E230" s="81">
        <v>2</v>
      </c>
      <c r="F230" s="82" t="s">
        <v>22</v>
      </c>
      <c r="G230" s="59" t="s">
        <v>30</v>
      </c>
      <c r="H230" s="59" t="s">
        <v>24</v>
      </c>
      <c r="I230" s="59" t="s">
        <v>30</v>
      </c>
      <c r="J230" s="27">
        <v>44708</v>
      </c>
      <c r="K230" s="27">
        <v>44708</v>
      </c>
      <c r="L230" s="83">
        <f t="shared" si="6"/>
        <v>2</v>
      </c>
      <c r="M230" s="8" t="s">
        <v>5600</v>
      </c>
      <c r="N230" s="84" t="s">
        <v>26</v>
      </c>
      <c r="O230" s="59" t="s">
        <v>225</v>
      </c>
      <c r="P230" s="8" t="s">
        <v>5168</v>
      </c>
      <c r="Q230" s="84" t="str">
        <f t="shared" si="7"/>
        <v>DENTRO DEL TIEMPO</v>
      </c>
      <c r="R230" s="81"/>
    </row>
    <row r="231" spans="1:18" ht="50.25" x14ac:dyDescent="0.25">
      <c r="A231" s="6">
        <v>226</v>
      </c>
      <c r="B231" s="59" t="s">
        <v>5601</v>
      </c>
      <c r="C231" s="27">
        <v>44706</v>
      </c>
      <c r="D231" s="27">
        <v>44706</v>
      </c>
      <c r="E231" s="81">
        <v>2</v>
      </c>
      <c r="F231" s="82" t="s">
        <v>22</v>
      </c>
      <c r="G231" s="59" t="s">
        <v>30</v>
      </c>
      <c r="H231" s="59" t="s">
        <v>24</v>
      </c>
      <c r="I231" s="59" t="s">
        <v>30</v>
      </c>
      <c r="J231" s="27">
        <v>44708</v>
      </c>
      <c r="K231" s="27">
        <v>44708</v>
      </c>
      <c r="L231" s="83">
        <f t="shared" si="6"/>
        <v>2</v>
      </c>
      <c r="M231" s="8" t="s">
        <v>5602</v>
      </c>
      <c r="N231" s="84" t="s">
        <v>26</v>
      </c>
      <c r="O231" s="59" t="s">
        <v>257</v>
      </c>
      <c r="P231" s="8" t="s">
        <v>4934</v>
      </c>
      <c r="Q231" s="84" t="str">
        <f t="shared" si="7"/>
        <v>DENTRO DEL TIEMPO</v>
      </c>
      <c r="R231" s="81"/>
    </row>
    <row r="232" spans="1:18" ht="50.25" x14ac:dyDescent="0.25">
      <c r="A232" s="6">
        <v>227</v>
      </c>
      <c r="B232" s="59" t="s">
        <v>5603</v>
      </c>
      <c r="C232" s="27">
        <v>44706</v>
      </c>
      <c r="D232" s="27">
        <v>44706</v>
      </c>
      <c r="E232" s="81">
        <v>2</v>
      </c>
      <c r="F232" s="82" t="s">
        <v>22</v>
      </c>
      <c r="G232" s="59" t="s">
        <v>30</v>
      </c>
      <c r="H232" s="59" t="s">
        <v>24</v>
      </c>
      <c r="I232" s="59" t="s">
        <v>30</v>
      </c>
      <c r="J232" s="27">
        <v>44708</v>
      </c>
      <c r="K232" s="27">
        <v>44708</v>
      </c>
      <c r="L232" s="83">
        <f t="shared" si="6"/>
        <v>2</v>
      </c>
      <c r="M232" s="8" t="s">
        <v>5604</v>
      </c>
      <c r="N232" s="84" t="s">
        <v>26</v>
      </c>
      <c r="O232" s="59" t="s">
        <v>257</v>
      </c>
      <c r="P232" s="8" t="s">
        <v>4934</v>
      </c>
      <c r="Q232" s="84" t="str">
        <f t="shared" si="7"/>
        <v>DENTRO DEL TIEMPO</v>
      </c>
      <c r="R232" s="81"/>
    </row>
    <row r="233" spans="1:18" ht="50.25" x14ac:dyDescent="0.25">
      <c r="A233" s="6">
        <v>228</v>
      </c>
      <c r="B233" s="59" t="s">
        <v>5605</v>
      </c>
      <c r="C233" s="27">
        <v>44706</v>
      </c>
      <c r="D233" s="27">
        <v>44706</v>
      </c>
      <c r="E233" s="81">
        <v>2</v>
      </c>
      <c r="F233" s="82" t="s">
        <v>22</v>
      </c>
      <c r="G233" s="59" t="s">
        <v>30</v>
      </c>
      <c r="H233" s="59" t="s">
        <v>24</v>
      </c>
      <c r="I233" s="59" t="s">
        <v>30</v>
      </c>
      <c r="J233" s="27">
        <v>44708</v>
      </c>
      <c r="K233" s="27">
        <v>44708</v>
      </c>
      <c r="L233" s="83">
        <f t="shared" si="6"/>
        <v>2</v>
      </c>
      <c r="M233" s="8" t="s">
        <v>5606</v>
      </c>
      <c r="N233" s="84" t="s">
        <v>26</v>
      </c>
      <c r="O233" s="59" t="s">
        <v>571</v>
      </c>
      <c r="P233" s="8" t="s">
        <v>4934</v>
      </c>
      <c r="Q233" s="84" t="str">
        <f t="shared" si="7"/>
        <v>DENTRO DEL TIEMPO</v>
      </c>
      <c r="R233" s="81"/>
    </row>
    <row r="234" spans="1:18" ht="50.25" x14ac:dyDescent="0.25">
      <c r="A234" s="6">
        <v>229</v>
      </c>
      <c r="B234" s="59" t="s">
        <v>5607</v>
      </c>
      <c r="C234" s="27">
        <v>44706</v>
      </c>
      <c r="D234" s="27">
        <v>44706</v>
      </c>
      <c r="E234" s="81">
        <v>2</v>
      </c>
      <c r="F234" s="82" t="s">
        <v>22</v>
      </c>
      <c r="G234" s="59" t="s">
        <v>30</v>
      </c>
      <c r="H234" s="59" t="s">
        <v>24</v>
      </c>
      <c r="I234" s="59" t="s">
        <v>30</v>
      </c>
      <c r="J234" s="27">
        <v>44708</v>
      </c>
      <c r="K234" s="27">
        <v>44708</v>
      </c>
      <c r="L234" s="83">
        <f t="shared" si="6"/>
        <v>2</v>
      </c>
      <c r="M234" s="8" t="s">
        <v>5608</v>
      </c>
      <c r="N234" s="84" t="s">
        <v>26</v>
      </c>
      <c r="O234" s="59" t="s">
        <v>571</v>
      </c>
      <c r="P234" s="8" t="s">
        <v>4934</v>
      </c>
      <c r="Q234" s="84" t="str">
        <f t="shared" si="7"/>
        <v>DENTRO DEL TIEMPO</v>
      </c>
      <c r="R234" s="81"/>
    </row>
    <row r="235" spans="1:18" ht="50.25" x14ac:dyDescent="0.25">
      <c r="A235" s="6">
        <v>230</v>
      </c>
      <c r="B235" s="59" t="s">
        <v>5609</v>
      </c>
      <c r="C235" s="27">
        <v>44706</v>
      </c>
      <c r="D235" s="27">
        <v>44706</v>
      </c>
      <c r="E235" s="81">
        <v>2</v>
      </c>
      <c r="F235" s="82" t="s">
        <v>22</v>
      </c>
      <c r="G235" s="59" t="s">
        <v>30</v>
      </c>
      <c r="H235" s="59" t="s">
        <v>24</v>
      </c>
      <c r="I235" s="59" t="s">
        <v>30</v>
      </c>
      <c r="J235" s="27">
        <v>44715</v>
      </c>
      <c r="K235" s="27">
        <v>44715</v>
      </c>
      <c r="L235" s="83">
        <f t="shared" si="6"/>
        <v>7</v>
      </c>
      <c r="M235" s="8" t="s">
        <v>5610</v>
      </c>
      <c r="N235" s="84" t="s">
        <v>26</v>
      </c>
      <c r="O235" s="59" t="s">
        <v>571</v>
      </c>
      <c r="P235" s="8" t="s">
        <v>4934</v>
      </c>
      <c r="Q235" s="84" t="str">
        <f t="shared" si="7"/>
        <v>DENTRO DEL TIEMPO</v>
      </c>
      <c r="R235" s="81"/>
    </row>
    <row r="236" spans="1:18" ht="50.25" x14ac:dyDescent="0.25">
      <c r="A236" s="6">
        <v>231</v>
      </c>
      <c r="B236" s="59" t="s">
        <v>5611</v>
      </c>
      <c r="C236" s="27">
        <v>44706</v>
      </c>
      <c r="D236" s="27">
        <v>44706</v>
      </c>
      <c r="E236" s="81">
        <v>2</v>
      </c>
      <c r="F236" s="82" t="s">
        <v>22</v>
      </c>
      <c r="G236" s="59" t="s">
        <v>30</v>
      </c>
      <c r="H236" s="59" t="s">
        <v>24</v>
      </c>
      <c r="I236" s="59" t="s">
        <v>30</v>
      </c>
      <c r="J236" s="27">
        <v>44714</v>
      </c>
      <c r="K236" s="27">
        <v>44714</v>
      </c>
      <c r="L236" s="83">
        <f t="shared" si="6"/>
        <v>6</v>
      </c>
      <c r="M236" s="8" t="s">
        <v>5612</v>
      </c>
      <c r="N236" s="84" t="s">
        <v>26</v>
      </c>
      <c r="O236" s="59" t="s">
        <v>571</v>
      </c>
      <c r="P236" s="8" t="s">
        <v>4934</v>
      </c>
      <c r="Q236" s="84" t="str">
        <f t="shared" si="7"/>
        <v>DENTRO DEL TIEMPO</v>
      </c>
      <c r="R236" s="81"/>
    </row>
    <row r="237" spans="1:18" ht="50.25" x14ac:dyDescent="0.25">
      <c r="A237" s="6">
        <v>232</v>
      </c>
      <c r="B237" s="59" t="s">
        <v>5613</v>
      </c>
      <c r="C237" s="27">
        <v>44706</v>
      </c>
      <c r="D237" s="27">
        <v>44706</v>
      </c>
      <c r="E237" s="81">
        <v>2</v>
      </c>
      <c r="F237" s="82" t="s">
        <v>22</v>
      </c>
      <c r="G237" s="59" t="s">
        <v>30</v>
      </c>
      <c r="H237" s="59" t="s">
        <v>24</v>
      </c>
      <c r="I237" s="59" t="s">
        <v>30</v>
      </c>
      <c r="J237" s="27">
        <v>44714</v>
      </c>
      <c r="K237" s="27">
        <v>44714</v>
      </c>
      <c r="L237" s="83">
        <f t="shared" si="6"/>
        <v>6</v>
      </c>
      <c r="M237" s="8" t="s">
        <v>5614</v>
      </c>
      <c r="N237" s="84" t="s">
        <v>26</v>
      </c>
      <c r="O237" s="59" t="s">
        <v>257</v>
      </c>
      <c r="P237" s="8" t="s">
        <v>4934</v>
      </c>
      <c r="Q237" s="84" t="str">
        <f t="shared" si="7"/>
        <v>DENTRO DEL TIEMPO</v>
      </c>
      <c r="R237" s="81"/>
    </row>
    <row r="238" spans="1:18" ht="50.25" x14ac:dyDescent="0.25">
      <c r="A238" s="6">
        <v>233</v>
      </c>
      <c r="B238" s="59" t="s">
        <v>5615</v>
      </c>
      <c r="C238" s="27">
        <v>44706</v>
      </c>
      <c r="D238" s="27">
        <v>44706</v>
      </c>
      <c r="E238" s="81">
        <v>2</v>
      </c>
      <c r="F238" s="82" t="s">
        <v>22</v>
      </c>
      <c r="G238" s="59" t="s">
        <v>30</v>
      </c>
      <c r="H238" s="59" t="s">
        <v>24</v>
      </c>
      <c r="I238" s="59" t="s">
        <v>30</v>
      </c>
      <c r="J238" s="27">
        <v>44714</v>
      </c>
      <c r="K238" s="27">
        <v>44714</v>
      </c>
      <c r="L238" s="83">
        <f t="shared" si="6"/>
        <v>6</v>
      </c>
      <c r="M238" s="8" t="s">
        <v>5616</v>
      </c>
      <c r="N238" s="84" t="s">
        <v>26</v>
      </c>
      <c r="O238" s="59" t="s">
        <v>257</v>
      </c>
      <c r="P238" s="8" t="s">
        <v>4934</v>
      </c>
      <c r="Q238" s="84" t="str">
        <f t="shared" si="7"/>
        <v>DENTRO DEL TIEMPO</v>
      </c>
      <c r="R238" s="81"/>
    </row>
    <row r="239" spans="1:18" ht="50.25" x14ac:dyDescent="0.25">
      <c r="A239" s="6">
        <v>234</v>
      </c>
      <c r="B239" s="59" t="s">
        <v>5617</v>
      </c>
      <c r="C239" s="27">
        <v>44706</v>
      </c>
      <c r="D239" s="27">
        <v>44706</v>
      </c>
      <c r="E239" s="81">
        <v>2</v>
      </c>
      <c r="F239" s="82" t="s">
        <v>22</v>
      </c>
      <c r="G239" s="59" t="s">
        <v>30</v>
      </c>
      <c r="H239" s="59" t="s">
        <v>24</v>
      </c>
      <c r="I239" s="59" t="s">
        <v>30</v>
      </c>
      <c r="J239" s="27">
        <v>44714</v>
      </c>
      <c r="K239" s="27">
        <v>44714</v>
      </c>
      <c r="L239" s="83">
        <f t="shared" si="6"/>
        <v>6</v>
      </c>
      <c r="M239" s="8" t="s">
        <v>5618</v>
      </c>
      <c r="N239" s="84" t="s">
        <v>26</v>
      </c>
      <c r="O239" s="59" t="s">
        <v>257</v>
      </c>
      <c r="P239" s="8" t="s">
        <v>4934</v>
      </c>
      <c r="Q239" s="84" t="str">
        <f t="shared" si="7"/>
        <v>DENTRO DEL TIEMPO</v>
      </c>
      <c r="R239" s="81"/>
    </row>
    <row r="240" spans="1:18" ht="50.25" x14ac:dyDescent="0.25">
      <c r="A240" s="6">
        <v>235</v>
      </c>
      <c r="B240" s="59" t="s">
        <v>5619</v>
      </c>
      <c r="C240" s="27">
        <v>44706</v>
      </c>
      <c r="D240" s="27">
        <v>44706</v>
      </c>
      <c r="E240" s="81">
        <v>2</v>
      </c>
      <c r="F240" s="82" t="s">
        <v>22</v>
      </c>
      <c r="G240" s="59" t="s">
        <v>30</v>
      </c>
      <c r="H240" s="59" t="s">
        <v>24</v>
      </c>
      <c r="I240" s="59" t="s">
        <v>30</v>
      </c>
      <c r="J240" s="27">
        <v>44714</v>
      </c>
      <c r="K240" s="27">
        <v>44714</v>
      </c>
      <c r="L240" s="83">
        <f t="shared" si="6"/>
        <v>6</v>
      </c>
      <c r="M240" s="8" t="s">
        <v>5620</v>
      </c>
      <c r="N240" s="84" t="s">
        <v>26</v>
      </c>
      <c r="O240" s="59" t="s">
        <v>257</v>
      </c>
      <c r="P240" s="8" t="s">
        <v>4934</v>
      </c>
      <c r="Q240" s="84" t="str">
        <f t="shared" si="7"/>
        <v>DENTRO DEL TIEMPO</v>
      </c>
      <c r="R240" s="81"/>
    </row>
    <row r="241" spans="1:18" ht="48.75" x14ac:dyDescent="0.25">
      <c r="A241" s="6">
        <v>236</v>
      </c>
      <c r="B241" s="59" t="s">
        <v>5621</v>
      </c>
      <c r="C241" s="27">
        <v>44706</v>
      </c>
      <c r="D241" s="27">
        <v>44706</v>
      </c>
      <c r="E241" s="81">
        <v>2</v>
      </c>
      <c r="F241" s="82" t="s">
        <v>22</v>
      </c>
      <c r="G241" s="59" t="s">
        <v>23</v>
      </c>
      <c r="H241" s="59" t="s">
        <v>24</v>
      </c>
      <c r="I241" s="59" t="s">
        <v>23</v>
      </c>
      <c r="J241" s="27">
        <v>44712</v>
      </c>
      <c r="K241" s="27">
        <v>44712</v>
      </c>
      <c r="L241" s="83">
        <f t="shared" si="6"/>
        <v>4</v>
      </c>
      <c r="M241" s="8" t="s">
        <v>5622</v>
      </c>
      <c r="N241" s="84" t="s">
        <v>26</v>
      </c>
      <c r="O241" s="59" t="s">
        <v>729</v>
      </c>
      <c r="P241" s="8" t="s">
        <v>5059</v>
      </c>
      <c r="Q241" s="84" t="str">
        <f t="shared" si="7"/>
        <v>DENTRO DEL TIEMPO</v>
      </c>
      <c r="R241" s="81"/>
    </row>
    <row r="242" spans="1:18" ht="48.75" x14ac:dyDescent="0.25">
      <c r="A242" s="6">
        <v>237</v>
      </c>
      <c r="B242" s="59" t="s">
        <v>5623</v>
      </c>
      <c r="C242" s="27">
        <v>44706</v>
      </c>
      <c r="D242" s="27">
        <v>44706</v>
      </c>
      <c r="E242" s="81">
        <v>2</v>
      </c>
      <c r="F242" s="82" t="s">
        <v>22</v>
      </c>
      <c r="G242" s="59" t="s">
        <v>23</v>
      </c>
      <c r="H242" s="59" t="s">
        <v>24</v>
      </c>
      <c r="I242" s="59" t="s">
        <v>23</v>
      </c>
      <c r="J242" s="27">
        <v>44712</v>
      </c>
      <c r="K242" s="27">
        <v>44712</v>
      </c>
      <c r="L242" s="83">
        <f t="shared" si="6"/>
        <v>4</v>
      </c>
      <c r="M242" s="8" t="s">
        <v>5624</v>
      </c>
      <c r="N242" s="84" t="s">
        <v>26</v>
      </c>
      <c r="O242" s="59" t="s">
        <v>729</v>
      </c>
      <c r="P242" s="8" t="s">
        <v>5059</v>
      </c>
      <c r="Q242" s="84" t="str">
        <f t="shared" si="7"/>
        <v>DENTRO DEL TIEMPO</v>
      </c>
      <c r="R242" s="81"/>
    </row>
    <row r="243" spans="1:18" ht="48.75" x14ac:dyDescent="0.25">
      <c r="A243" s="6">
        <v>238</v>
      </c>
      <c r="B243" s="59" t="s">
        <v>5625</v>
      </c>
      <c r="C243" s="27">
        <v>44706</v>
      </c>
      <c r="D243" s="27">
        <v>44706</v>
      </c>
      <c r="E243" s="81">
        <v>2</v>
      </c>
      <c r="F243" s="82" t="s">
        <v>22</v>
      </c>
      <c r="G243" s="59" t="s">
        <v>23</v>
      </c>
      <c r="H243" s="59" t="s">
        <v>24</v>
      </c>
      <c r="I243" s="59" t="s">
        <v>23</v>
      </c>
      <c r="J243" s="27">
        <v>44712</v>
      </c>
      <c r="K243" s="27">
        <v>44712</v>
      </c>
      <c r="L243" s="83">
        <f t="shared" si="6"/>
        <v>4</v>
      </c>
      <c r="M243" s="8" t="s">
        <v>5626</v>
      </c>
      <c r="N243" s="84" t="s">
        <v>26</v>
      </c>
      <c r="O243" s="59" t="s">
        <v>729</v>
      </c>
      <c r="P243" s="8" t="s">
        <v>5059</v>
      </c>
      <c r="Q243" s="84" t="str">
        <f t="shared" si="7"/>
        <v>DENTRO DEL TIEMPO</v>
      </c>
      <c r="R243" s="81"/>
    </row>
    <row r="244" spans="1:18" ht="48.75" x14ac:dyDescent="0.25">
      <c r="A244" s="6">
        <v>239</v>
      </c>
      <c r="B244" s="59" t="s">
        <v>5627</v>
      </c>
      <c r="C244" s="27">
        <v>44706</v>
      </c>
      <c r="D244" s="27">
        <v>44706</v>
      </c>
      <c r="E244" s="81">
        <v>2</v>
      </c>
      <c r="F244" s="82" t="s">
        <v>22</v>
      </c>
      <c r="G244" s="59" t="s">
        <v>23</v>
      </c>
      <c r="H244" s="59" t="s">
        <v>24</v>
      </c>
      <c r="I244" s="59" t="s">
        <v>23</v>
      </c>
      <c r="J244" s="27">
        <v>44712</v>
      </c>
      <c r="K244" s="27">
        <v>44712</v>
      </c>
      <c r="L244" s="83">
        <f t="shared" si="6"/>
        <v>4</v>
      </c>
      <c r="M244" s="8" t="s">
        <v>5628</v>
      </c>
      <c r="N244" s="84" t="s">
        <v>26</v>
      </c>
      <c r="O244" s="59" t="s">
        <v>2011</v>
      </c>
      <c r="P244" s="8" t="s">
        <v>5629</v>
      </c>
      <c r="Q244" s="84" t="str">
        <f t="shared" si="7"/>
        <v>DENTRO DEL TIEMPO</v>
      </c>
      <c r="R244" s="81"/>
    </row>
    <row r="245" spans="1:18" ht="48.75" x14ac:dyDescent="0.25">
      <c r="A245" s="6">
        <v>240</v>
      </c>
      <c r="B245" s="59" t="s">
        <v>5630</v>
      </c>
      <c r="C245" s="27">
        <v>44706</v>
      </c>
      <c r="D245" s="27">
        <v>44706</v>
      </c>
      <c r="E245" s="81">
        <v>2</v>
      </c>
      <c r="F245" s="82" t="s">
        <v>22</v>
      </c>
      <c r="G245" s="59" t="s">
        <v>23</v>
      </c>
      <c r="H245" s="59" t="s">
        <v>24</v>
      </c>
      <c r="I245" s="59" t="s">
        <v>23</v>
      </c>
      <c r="J245" s="27">
        <v>44712</v>
      </c>
      <c r="K245" s="27">
        <v>44712</v>
      </c>
      <c r="L245" s="83">
        <f t="shared" si="6"/>
        <v>4</v>
      </c>
      <c r="M245" s="8" t="s">
        <v>5631</v>
      </c>
      <c r="N245" s="84" t="s">
        <v>26</v>
      </c>
      <c r="O245" s="59" t="s">
        <v>131</v>
      </c>
      <c r="P245" s="8" t="s">
        <v>5632</v>
      </c>
      <c r="Q245" s="84" t="str">
        <f t="shared" si="7"/>
        <v>DENTRO DEL TIEMPO</v>
      </c>
      <c r="R245" s="81"/>
    </row>
    <row r="246" spans="1:18" ht="48.75" x14ac:dyDescent="0.25">
      <c r="A246" s="6">
        <v>241</v>
      </c>
      <c r="B246" s="59" t="s">
        <v>5633</v>
      </c>
      <c r="C246" s="27">
        <v>44706</v>
      </c>
      <c r="D246" s="27">
        <v>44706</v>
      </c>
      <c r="E246" s="81">
        <v>2</v>
      </c>
      <c r="F246" s="82" t="s">
        <v>22</v>
      </c>
      <c r="G246" s="59" t="s">
        <v>23</v>
      </c>
      <c r="H246" s="59" t="s">
        <v>24</v>
      </c>
      <c r="I246" s="59" t="s">
        <v>23</v>
      </c>
      <c r="J246" s="27">
        <v>44713</v>
      </c>
      <c r="K246" s="27">
        <v>44713</v>
      </c>
      <c r="L246" s="83">
        <f t="shared" si="6"/>
        <v>5</v>
      </c>
      <c r="M246" s="8" t="s">
        <v>5634</v>
      </c>
      <c r="N246" s="84" t="s">
        <v>26</v>
      </c>
      <c r="O246" s="59" t="s">
        <v>457</v>
      </c>
      <c r="P246" s="8" t="s">
        <v>5635</v>
      </c>
      <c r="Q246" s="84" t="str">
        <f t="shared" si="7"/>
        <v>DENTRO DEL TIEMPO</v>
      </c>
      <c r="R246" s="81"/>
    </row>
    <row r="247" spans="1:18" ht="48.75" x14ac:dyDescent="0.25">
      <c r="A247" s="6">
        <v>242</v>
      </c>
      <c r="B247" s="59" t="s">
        <v>5636</v>
      </c>
      <c r="C247" s="27">
        <v>44706</v>
      </c>
      <c r="D247" s="27">
        <v>44706</v>
      </c>
      <c r="E247" s="81">
        <v>2</v>
      </c>
      <c r="F247" s="82" t="s">
        <v>22</v>
      </c>
      <c r="G247" s="59" t="s">
        <v>23</v>
      </c>
      <c r="H247" s="59" t="s">
        <v>24</v>
      </c>
      <c r="I247" s="59" t="s">
        <v>23</v>
      </c>
      <c r="J247" s="27">
        <v>44712</v>
      </c>
      <c r="K247" s="27">
        <v>44712</v>
      </c>
      <c r="L247" s="83">
        <f t="shared" si="6"/>
        <v>4</v>
      </c>
      <c r="M247" s="8" t="s">
        <v>5637</v>
      </c>
      <c r="N247" s="84" t="s">
        <v>26</v>
      </c>
      <c r="O247" s="59" t="s">
        <v>663</v>
      </c>
      <c r="P247" s="8" t="s">
        <v>5638</v>
      </c>
      <c r="Q247" s="84" t="str">
        <f t="shared" si="7"/>
        <v>DENTRO DEL TIEMPO</v>
      </c>
      <c r="R247" s="81"/>
    </row>
    <row r="248" spans="1:18" ht="48.75" x14ac:dyDescent="0.25">
      <c r="A248" s="6">
        <v>243</v>
      </c>
      <c r="B248" s="59" t="s">
        <v>5639</v>
      </c>
      <c r="C248" s="27">
        <v>44706</v>
      </c>
      <c r="D248" s="27">
        <v>44706</v>
      </c>
      <c r="E248" s="81">
        <v>2</v>
      </c>
      <c r="F248" s="82" t="s">
        <v>22</v>
      </c>
      <c r="G248" s="59" t="s">
        <v>23</v>
      </c>
      <c r="H248" s="59" t="s">
        <v>24</v>
      </c>
      <c r="I248" s="59" t="s">
        <v>23</v>
      </c>
      <c r="J248" s="27">
        <v>44712</v>
      </c>
      <c r="K248" s="27">
        <v>44712</v>
      </c>
      <c r="L248" s="83">
        <f t="shared" si="6"/>
        <v>4</v>
      </c>
      <c r="M248" s="8" t="s">
        <v>5640</v>
      </c>
      <c r="N248" s="84" t="s">
        <v>26</v>
      </c>
      <c r="O248" s="59" t="s">
        <v>4923</v>
      </c>
      <c r="P248" s="8" t="s">
        <v>5641</v>
      </c>
      <c r="Q248" s="84" t="str">
        <f t="shared" si="7"/>
        <v>DENTRO DEL TIEMPO</v>
      </c>
      <c r="R248" s="81"/>
    </row>
    <row r="249" spans="1:18" ht="48.75" x14ac:dyDescent="0.25">
      <c r="A249" s="6">
        <v>244</v>
      </c>
      <c r="B249" s="59" t="s">
        <v>5642</v>
      </c>
      <c r="C249" s="27">
        <v>44706</v>
      </c>
      <c r="D249" s="27">
        <v>44706</v>
      </c>
      <c r="E249" s="81">
        <v>2</v>
      </c>
      <c r="F249" s="82" t="s">
        <v>22</v>
      </c>
      <c r="G249" s="59" t="s">
        <v>23</v>
      </c>
      <c r="H249" s="59" t="s">
        <v>24</v>
      </c>
      <c r="I249" s="59" t="s">
        <v>23</v>
      </c>
      <c r="J249" s="27">
        <v>44712</v>
      </c>
      <c r="K249" s="27">
        <v>44712</v>
      </c>
      <c r="L249" s="83">
        <f t="shared" si="6"/>
        <v>4</v>
      </c>
      <c r="M249" s="8" t="s">
        <v>5643</v>
      </c>
      <c r="N249" s="84" t="s">
        <v>26</v>
      </c>
      <c r="O249" s="59" t="s">
        <v>5644</v>
      </c>
      <c r="P249" s="8" t="s">
        <v>5645</v>
      </c>
      <c r="Q249" s="84" t="str">
        <f t="shared" si="7"/>
        <v>DENTRO DEL TIEMPO</v>
      </c>
      <c r="R249" s="81"/>
    </row>
    <row r="250" spans="1:18" ht="48.75" x14ac:dyDescent="0.25">
      <c r="A250" s="6">
        <v>245</v>
      </c>
      <c r="B250" s="59" t="s">
        <v>5646</v>
      </c>
      <c r="C250" s="27">
        <v>44706</v>
      </c>
      <c r="D250" s="27">
        <v>44706</v>
      </c>
      <c r="E250" s="81">
        <v>2</v>
      </c>
      <c r="F250" s="82" t="s">
        <v>22</v>
      </c>
      <c r="G250" s="59" t="s">
        <v>30</v>
      </c>
      <c r="H250" s="59" t="s">
        <v>24</v>
      </c>
      <c r="I250" s="59" t="s">
        <v>30</v>
      </c>
      <c r="J250" s="27">
        <v>44715</v>
      </c>
      <c r="K250" s="27">
        <v>44715</v>
      </c>
      <c r="L250" s="83">
        <f t="shared" si="6"/>
        <v>7</v>
      </c>
      <c r="M250" s="8" t="s">
        <v>5647</v>
      </c>
      <c r="N250" s="84" t="s">
        <v>26</v>
      </c>
      <c r="O250" s="59" t="s">
        <v>5648</v>
      </c>
      <c r="P250" s="8" t="s">
        <v>5649</v>
      </c>
      <c r="Q250" s="84" t="str">
        <f t="shared" si="7"/>
        <v>DENTRO DEL TIEMPO</v>
      </c>
      <c r="R250" s="81"/>
    </row>
    <row r="251" spans="1:18" ht="48.75" x14ac:dyDescent="0.25">
      <c r="A251" s="6">
        <v>246</v>
      </c>
      <c r="B251" s="59" t="s">
        <v>5650</v>
      </c>
      <c r="C251" s="27">
        <v>44706</v>
      </c>
      <c r="D251" s="27">
        <v>44706</v>
      </c>
      <c r="E251" s="81">
        <v>2</v>
      </c>
      <c r="F251" s="82" t="s">
        <v>22</v>
      </c>
      <c r="G251" s="59" t="s">
        <v>23</v>
      </c>
      <c r="H251" s="59" t="s">
        <v>24</v>
      </c>
      <c r="I251" s="59" t="s">
        <v>23</v>
      </c>
      <c r="J251" s="27">
        <v>44712</v>
      </c>
      <c r="K251" s="27">
        <v>44712</v>
      </c>
      <c r="L251" s="83">
        <f t="shared" si="6"/>
        <v>4</v>
      </c>
      <c r="M251" s="8" t="s">
        <v>5651</v>
      </c>
      <c r="N251" s="84" t="s">
        <v>26</v>
      </c>
      <c r="O251" s="59" t="s">
        <v>5652</v>
      </c>
      <c r="P251" s="8" t="s">
        <v>5653</v>
      </c>
      <c r="Q251" s="84" t="str">
        <f t="shared" si="7"/>
        <v>DENTRO DEL TIEMPO</v>
      </c>
      <c r="R251" s="81"/>
    </row>
    <row r="252" spans="1:18" ht="48.75" x14ac:dyDescent="0.25">
      <c r="A252" s="6">
        <v>247</v>
      </c>
      <c r="B252" s="59" t="s">
        <v>5654</v>
      </c>
      <c r="C252" s="27">
        <v>44706</v>
      </c>
      <c r="D252" s="27">
        <v>44706</v>
      </c>
      <c r="E252" s="81">
        <v>2</v>
      </c>
      <c r="F252" s="82" t="s">
        <v>22</v>
      </c>
      <c r="G252" s="59" t="s">
        <v>23</v>
      </c>
      <c r="H252" s="59" t="s">
        <v>24</v>
      </c>
      <c r="I252" s="59" t="s">
        <v>23</v>
      </c>
      <c r="J252" s="27">
        <v>44712</v>
      </c>
      <c r="K252" s="27">
        <v>44712</v>
      </c>
      <c r="L252" s="83">
        <f t="shared" si="6"/>
        <v>4</v>
      </c>
      <c r="M252" s="8" t="s">
        <v>5655</v>
      </c>
      <c r="N252" s="84" t="s">
        <v>26</v>
      </c>
      <c r="O252" s="59" t="s">
        <v>5656</v>
      </c>
      <c r="P252" s="8" t="s">
        <v>5657</v>
      </c>
      <c r="Q252" s="84" t="str">
        <f t="shared" si="7"/>
        <v>DENTRO DEL TIEMPO</v>
      </c>
      <c r="R252" s="81"/>
    </row>
    <row r="253" spans="1:18" ht="48.75" x14ac:dyDescent="0.25">
      <c r="A253" s="6">
        <v>248</v>
      </c>
      <c r="B253" s="59" t="s">
        <v>5658</v>
      </c>
      <c r="C253" s="27">
        <v>44706</v>
      </c>
      <c r="D253" s="27">
        <v>44706</v>
      </c>
      <c r="E253" s="81">
        <v>2</v>
      </c>
      <c r="F253" s="82" t="s">
        <v>22</v>
      </c>
      <c r="G253" s="59" t="s">
        <v>23</v>
      </c>
      <c r="H253" s="59" t="s">
        <v>24</v>
      </c>
      <c r="I253" s="59" t="s">
        <v>23</v>
      </c>
      <c r="J253" s="27">
        <v>44712</v>
      </c>
      <c r="K253" s="27">
        <v>44712</v>
      </c>
      <c r="L253" s="83">
        <f t="shared" si="6"/>
        <v>4</v>
      </c>
      <c r="M253" s="8" t="s">
        <v>5659</v>
      </c>
      <c r="N253" s="84" t="s">
        <v>26</v>
      </c>
      <c r="O253" s="59" t="s">
        <v>5660</v>
      </c>
      <c r="P253" s="8" t="s">
        <v>5661</v>
      </c>
      <c r="Q253" s="84" t="str">
        <f t="shared" si="7"/>
        <v>DENTRO DEL TIEMPO</v>
      </c>
      <c r="R253" s="81"/>
    </row>
    <row r="254" spans="1:18" ht="48.75" x14ac:dyDescent="0.25">
      <c r="A254" s="6">
        <v>249</v>
      </c>
      <c r="B254" s="59" t="s">
        <v>5662</v>
      </c>
      <c r="C254" s="27">
        <v>44707</v>
      </c>
      <c r="D254" s="27">
        <v>44707</v>
      </c>
      <c r="E254" s="81">
        <v>126</v>
      </c>
      <c r="F254" s="82" t="s">
        <v>22</v>
      </c>
      <c r="G254" s="59" t="s">
        <v>23</v>
      </c>
      <c r="H254" s="59" t="s">
        <v>24</v>
      </c>
      <c r="I254" s="59" t="s">
        <v>23</v>
      </c>
      <c r="J254" s="27">
        <v>44705</v>
      </c>
      <c r="K254" s="27">
        <v>44705</v>
      </c>
      <c r="L254" s="83">
        <f t="shared" si="6"/>
        <v>-4</v>
      </c>
      <c r="M254" s="8" t="s">
        <v>5663</v>
      </c>
      <c r="N254" s="84" t="s">
        <v>26</v>
      </c>
      <c r="O254" s="59" t="s">
        <v>5664</v>
      </c>
      <c r="P254" s="8" t="s">
        <v>5665</v>
      </c>
      <c r="Q254" s="84" t="str">
        <f t="shared" si="7"/>
        <v>DENTRO DEL TIEMPO</v>
      </c>
      <c r="R254" s="81"/>
    </row>
    <row r="255" spans="1:18" ht="48.75" x14ac:dyDescent="0.25">
      <c r="A255" s="6">
        <v>250</v>
      </c>
      <c r="B255" s="59" t="s">
        <v>5666</v>
      </c>
      <c r="C255" s="27">
        <v>44707</v>
      </c>
      <c r="D255" s="27">
        <v>44707</v>
      </c>
      <c r="E255" s="81">
        <v>2</v>
      </c>
      <c r="F255" s="82" t="s">
        <v>22</v>
      </c>
      <c r="G255" s="59" t="s">
        <v>30</v>
      </c>
      <c r="H255" s="59" t="s">
        <v>24</v>
      </c>
      <c r="I255" s="59" t="s">
        <v>30</v>
      </c>
      <c r="J255" s="27">
        <v>44713</v>
      </c>
      <c r="K255" s="27">
        <v>44713</v>
      </c>
      <c r="L255" s="83">
        <f t="shared" si="6"/>
        <v>4</v>
      </c>
      <c r="M255" s="8" t="s">
        <v>5667</v>
      </c>
      <c r="N255" s="84" t="s">
        <v>26</v>
      </c>
      <c r="O255" s="59" t="s">
        <v>115</v>
      </c>
      <c r="P255" s="8" t="s">
        <v>5668</v>
      </c>
      <c r="Q255" s="84" t="str">
        <f t="shared" si="7"/>
        <v>DENTRO DEL TIEMPO</v>
      </c>
      <c r="R255" s="81"/>
    </row>
    <row r="256" spans="1:18" ht="48.75" x14ac:dyDescent="0.25">
      <c r="A256" s="6">
        <v>251</v>
      </c>
      <c r="B256" s="59" t="s">
        <v>5669</v>
      </c>
      <c r="C256" s="27">
        <v>44707</v>
      </c>
      <c r="D256" s="27">
        <v>44707</v>
      </c>
      <c r="E256" s="81">
        <v>2</v>
      </c>
      <c r="F256" s="82" t="s">
        <v>22</v>
      </c>
      <c r="G256" s="59" t="s">
        <v>23</v>
      </c>
      <c r="H256" s="59" t="s">
        <v>24</v>
      </c>
      <c r="I256" s="59" t="s">
        <v>23</v>
      </c>
      <c r="J256" s="27">
        <v>44712</v>
      </c>
      <c r="K256" s="27">
        <v>44712</v>
      </c>
      <c r="L256" s="83">
        <f t="shared" si="6"/>
        <v>3</v>
      </c>
      <c r="M256" s="8" t="s">
        <v>5670</v>
      </c>
      <c r="N256" s="84" t="s">
        <v>26</v>
      </c>
      <c r="O256" s="59" t="s">
        <v>5671</v>
      </c>
      <c r="P256" s="8" t="s">
        <v>5672</v>
      </c>
      <c r="Q256" s="84" t="str">
        <f t="shared" si="7"/>
        <v>DENTRO DEL TIEMPO</v>
      </c>
      <c r="R256" s="81"/>
    </row>
    <row r="257" spans="1:18" ht="48.75" x14ac:dyDescent="0.25">
      <c r="A257" s="6">
        <v>252</v>
      </c>
      <c r="B257" s="59" t="s">
        <v>5673</v>
      </c>
      <c r="C257" s="27">
        <v>44707</v>
      </c>
      <c r="D257" s="27">
        <v>44707</v>
      </c>
      <c r="E257" s="81">
        <v>70</v>
      </c>
      <c r="F257" s="82" t="s">
        <v>22</v>
      </c>
      <c r="G257" s="59" t="s">
        <v>23</v>
      </c>
      <c r="H257" s="59" t="s">
        <v>24</v>
      </c>
      <c r="I257" s="59" t="s">
        <v>23</v>
      </c>
      <c r="J257" s="27">
        <v>44708</v>
      </c>
      <c r="K257" s="27">
        <v>44708</v>
      </c>
      <c r="L257" s="83">
        <f t="shared" si="6"/>
        <v>1</v>
      </c>
      <c r="M257" s="8" t="s">
        <v>5353</v>
      </c>
      <c r="N257" s="84" t="s">
        <v>26</v>
      </c>
      <c r="O257" s="59" t="s">
        <v>5674</v>
      </c>
      <c r="P257" s="8" t="s">
        <v>5675</v>
      </c>
      <c r="Q257" s="84" t="str">
        <f t="shared" si="7"/>
        <v>DENTRO DEL TIEMPO</v>
      </c>
      <c r="R257" s="81"/>
    </row>
    <row r="258" spans="1:18" ht="48.75" x14ac:dyDescent="0.25">
      <c r="A258" s="6">
        <v>253</v>
      </c>
      <c r="B258" s="59" t="s">
        <v>5676</v>
      </c>
      <c r="C258" s="27">
        <v>44707</v>
      </c>
      <c r="D258" s="27">
        <v>44707</v>
      </c>
      <c r="E258" s="81">
        <v>2</v>
      </c>
      <c r="F258" s="82" t="s">
        <v>22</v>
      </c>
      <c r="G258" s="59" t="s">
        <v>30</v>
      </c>
      <c r="H258" s="59" t="s">
        <v>24</v>
      </c>
      <c r="I258" s="59" t="s">
        <v>30</v>
      </c>
      <c r="J258" s="27">
        <v>44712</v>
      </c>
      <c r="K258" s="27">
        <v>44712</v>
      </c>
      <c r="L258" s="83">
        <f t="shared" si="6"/>
        <v>3</v>
      </c>
      <c r="M258" s="8" t="s">
        <v>5677</v>
      </c>
      <c r="N258" s="84" t="s">
        <v>26</v>
      </c>
      <c r="O258" s="59" t="s">
        <v>5678</v>
      </c>
      <c r="P258" s="8" t="s">
        <v>5679</v>
      </c>
      <c r="Q258" s="84" t="str">
        <f t="shared" si="7"/>
        <v>DENTRO DEL TIEMPO</v>
      </c>
      <c r="R258" s="81"/>
    </row>
    <row r="259" spans="1:18" ht="48.75" x14ac:dyDescent="0.25">
      <c r="A259" s="6">
        <v>254</v>
      </c>
      <c r="B259" s="59" t="s">
        <v>5680</v>
      </c>
      <c r="C259" s="27">
        <v>44707</v>
      </c>
      <c r="D259" s="27">
        <v>44707</v>
      </c>
      <c r="E259" s="81">
        <v>2</v>
      </c>
      <c r="F259" s="82" t="s">
        <v>22</v>
      </c>
      <c r="G259" s="59" t="s">
        <v>30</v>
      </c>
      <c r="H259" s="59" t="s">
        <v>24</v>
      </c>
      <c r="I259" s="59" t="s">
        <v>30</v>
      </c>
      <c r="J259" s="27">
        <v>44713</v>
      </c>
      <c r="K259" s="27">
        <v>44713</v>
      </c>
      <c r="L259" s="83">
        <f t="shared" si="6"/>
        <v>4</v>
      </c>
      <c r="M259" s="8" t="s">
        <v>5681</v>
      </c>
      <c r="N259" s="84" t="s">
        <v>26</v>
      </c>
      <c r="O259" s="59" t="s">
        <v>5096</v>
      </c>
      <c r="P259" s="8" t="s">
        <v>5000</v>
      </c>
      <c r="Q259" s="84" t="str">
        <f t="shared" si="7"/>
        <v>DENTRO DEL TIEMPO</v>
      </c>
      <c r="R259" s="81"/>
    </row>
    <row r="260" spans="1:18" ht="48.75" x14ac:dyDescent="0.25">
      <c r="A260" s="6">
        <v>255</v>
      </c>
      <c r="B260" s="59" t="s">
        <v>5682</v>
      </c>
      <c r="C260" s="27">
        <v>44707</v>
      </c>
      <c r="D260" s="27">
        <v>44707</v>
      </c>
      <c r="E260" s="81">
        <v>2</v>
      </c>
      <c r="F260" s="82" t="s">
        <v>22</v>
      </c>
      <c r="G260" s="59" t="s">
        <v>30</v>
      </c>
      <c r="H260" s="59" t="s">
        <v>24</v>
      </c>
      <c r="I260" s="59" t="s">
        <v>30</v>
      </c>
      <c r="J260" s="27">
        <v>44712</v>
      </c>
      <c r="K260" s="27">
        <v>44712</v>
      </c>
      <c r="L260" s="83">
        <f t="shared" si="6"/>
        <v>3</v>
      </c>
      <c r="M260" s="8" t="s">
        <v>5683</v>
      </c>
      <c r="N260" s="84" t="s">
        <v>26</v>
      </c>
      <c r="O260" s="59" t="s">
        <v>5684</v>
      </c>
      <c r="P260" s="8" t="s">
        <v>5685</v>
      </c>
      <c r="Q260" s="84" t="str">
        <f t="shared" si="7"/>
        <v>DENTRO DEL TIEMPO</v>
      </c>
      <c r="R260" s="81"/>
    </row>
    <row r="261" spans="1:18" ht="48.75" x14ac:dyDescent="0.25">
      <c r="A261" s="6">
        <v>256</v>
      </c>
      <c r="B261" s="59" t="s">
        <v>5686</v>
      </c>
      <c r="C261" s="27">
        <v>44707</v>
      </c>
      <c r="D261" s="27">
        <v>44707</v>
      </c>
      <c r="E261" s="81">
        <v>2</v>
      </c>
      <c r="F261" s="82" t="s">
        <v>22</v>
      </c>
      <c r="G261" s="59" t="s">
        <v>30</v>
      </c>
      <c r="H261" s="59" t="s">
        <v>24</v>
      </c>
      <c r="I261" s="59" t="s">
        <v>30</v>
      </c>
      <c r="J261" s="27">
        <v>44712</v>
      </c>
      <c r="K261" s="27">
        <v>44712</v>
      </c>
      <c r="L261" s="83">
        <f t="shared" si="6"/>
        <v>3</v>
      </c>
      <c r="M261" s="8" t="s">
        <v>5687</v>
      </c>
      <c r="N261" s="84" t="s">
        <v>26</v>
      </c>
      <c r="O261" s="59" t="s">
        <v>5674</v>
      </c>
      <c r="P261" s="8" t="s">
        <v>5675</v>
      </c>
      <c r="Q261" s="84" t="str">
        <f t="shared" si="7"/>
        <v>DENTRO DEL TIEMPO</v>
      </c>
      <c r="R261" s="81"/>
    </row>
    <row r="262" spans="1:18" ht="48.75" x14ac:dyDescent="0.25">
      <c r="A262" s="6">
        <v>257</v>
      </c>
      <c r="B262" s="59" t="s">
        <v>5688</v>
      </c>
      <c r="C262" s="27">
        <v>44707</v>
      </c>
      <c r="D262" s="27">
        <v>44707</v>
      </c>
      <c r="E262" s="81">
        <v>2</v>
      </c>
      <c r="F262" s="82" t="s">
        <v>22</v>
      </c>
      <c r="G262" s="59" t="s">
        <v>23</v>
      </c>
      <c r="H262" s="59" t="s">
        <v>24</v>
      </c>
      <c r="I262" s="59" t="s">
        <v>23</v>
      </c>
      <c r="J262" s="27">
        <v>44714</v>
      </c>
      <c r="K262" s="27">
        <v>44714</v>
      </c>
      <c r="L262" s="83">
        <f t="shared" si="6"/>
        <v>5</v>
      </c>
      <c r="M262" s="8" t="s">
        <v>5689</v>
      </c>
      <c r="N262" s="84" t="s">
        <v>26</v>
      </c>
      <c r="O262" s="59" t="s">
        <v>5690</v>
      </c>
      <c r="P262" s="8" t="s">
        <v>5691</v>
      </c>
      <c r="Q262" s="84" t="str">
        <f t="shared" si="7"/>
        <v>DENTRO DEL TIEMPO</v>
      </c>
      <c r="R262" s="81"/>
    </row>
    <row r="263" spans="1:18" ht="48.75" x14ac:dyDescent="0.25">
      <c r="A263" s="6">
        <v>258</v>
      </c>
      <c r="B263" s="59" t="s">
        <v>5692</v>
      </c>
      <c r="C263" s="27">
        <v>44707</v>
      </c>
      <c r="D263" s="27">
        <v>44707</v>
      </c>
      <c r="E263" s="81">
        <v>2</v>
      </c>
      <c r="F263" s="82" t="s">
        <v>22</v>
      </c>
      <c r="G263" s="59" t="s">
        <v>30</v>
      </c>
      <c r="H263" s="59" t="s">
        <v>24</v>
      </c>
      <c r="I263" s="59" t="s">
        <v>30</v>
      </c>
      <c r="J263" s="27">
        <v>44712</v>
      </c>
      <c r="K263" s="27">
        <v>44712</v>
      </c>
      <c r="L263" s="83">
        <f t="shared" ref="L263:L326" si="8">+NETWORKDAYS(D263,K263,$R$6:$R$9)-1</f>
        <v>3</v>
      </c>
      <c r="M263" s="8" t="s">
        <v>5693</v>
      </c>
      <c r="N263" s="84" t="s">
        <v>26</v>
      </c>
      <c r="O263" s="59" t="s">
        <v>5694</v>
      </c>
      <c r="P263" s="8" t="s">
        <v>5695</v>
      </c>
      <c r="Q263" s="84" t="str">
        <f t="shared" ref="Q263:Q312" si="9">IF(L263&gt;15,"FUERA DE TIEMPO","DENTRO DEL TIEMPO")</f>
        <v>DENTRO DEL TIEMPO</v>
      </c>
      <c r="R263" s="81"/>
    </row>
    <row r="264" spans="1:18" ht="48.75" x14ac:dyDescent="0.25">
      <c r="A264" s="6">
        <v>259</v>
      </c>
      <c r="B264" s="59" t="s">
        <v>5696</v>
      </c>
      <c r="C264" s="27">
        <v>44708</v>
      </c>
      <c r="D264" s="27">
        <v>44708</v>
      </c>
      <c r="E264" s="81">
        <v>2</v>
      </c>
      <c r="F264" s="82" t="s">
        <v>22</v>
      </c>
      <c r="G264" s="59" t="s">
        <v>30</v>
      </c>
      <c r="H264" s="59" t="s">
        <v>24</v>
      </c>
      <c r="I264" s="59" t="s">
        <v>30</v>
      </c>
      <c r="J264" s="27">
        <v>44713</v>
      </c>
      <c r="K264" s="27">
        <v>44713</v>
      </c>
      <c r="L264" s="83">
        <f t="shared" si="8"/>
        <v>3</v>
      </c>
      <c r="M264" s="8" t="s">
        <v>5697</v>
      </c>
      <c r="N264" s="84" t="s">
        <v>26</v>
      </c>
      <c r="O264" s="59" t="s">
        <v>5567</v>
      </c>
      <c r="P264" s="8" t="s">
        <v>5698</v>
      </c>
      <c r="Q264" s="84" t="str">
        <f t="shared" si="9"/>
        <v>DENTRO DEL TIEMPO</v>
      </c>
      <c r="R264" s="81"/>
    </row>
    <row r="265" spans="1:18" ht="48.75" x14ac:dyDescent="0.25">
      <c r="A265" s="6">
        <v>260</v>
      </c>
      <c r="B265" s="59" t="s">
        <v>5699</v>
      </c>
      <c r="C265" s="27">
        <v>44708</v>
      </c>
      <c r="D265" s="27">
        <v>44708</v>
      </c>
      <c r="E265" s="81">
        <v>2</v>
      </c>
      <c r="F265" s="82" t="s">
        <v>22</v>
      </c>
      <c r="G265" s="59" t="s">
        <v>30</v>
      </c>
      <c r="H265" s="59" t="s">
        <v>24</v>
      </c>
      <c r="I265" s="59" t="s">
        <v>30</v>
      </c>
      <c r="J265" s="27">
        <v>44713</v>
      </c>
      <c r="K265" s="27">
        <v>44713</v>
      </c>
      <c r="L265" s="83">
        <f t="shared" si="8"/>
        <v>3</v>
      </c>
      <c r="M265" s="8" t="s">
        <v>5700</v>
      </c>
      <c r="N265" s="84" t="s">
        <v>26</v>
      </c>
      <c r="O265" s="59" t="s">
        <v>5567</v>
      </c>
      <c r="P265" s="8" t="s">
        <v>5698</v>
      </c>
      <c r="Q265" s="84" t="str">
        <f t="shared" si="9"/>
        <v>DENTRO DEL TIEMPO</v>
      </c>
      <c r="R265" s="81"/>
    </row>
    <row r="266" spans="1:18" ht="50.25" x14ac:dyDescent="0.25">
      <c r="A266" s="6">
        <v>261</v>
      </c>
      <c r="B266" s="59" t="s">
        <v>5701</v>
      </c>
      <c r="C266" s="27">
        <v>44708</v>
      </c>
      <c r="D266" s="27">
        <v>44708</v>
      </c>
      <c r="E266" s="81">
        <v>2</v>
      </c>
      <c r="F266" s="82" t="s">
        <v>22</v>
      </c>
      <c r="G266" s="59" t="s">
        <v>30</v>
      </c>
      <c r="H266" s="59" t="s">
        <v>24</v>
      </c>
      <c r="I266" s="59" t="s">
        <v>30</v>
      </c>
      <c r="J266" s="27">
        <v>44714</v>
      </c>
      <c r="K266" s="27">
        <v>44714</v>
      </c>
      <c r="L266" s="83">
        <f t="shared" si="8"/>
        <v>4</v>
      </c>
      <c r="M266" s="8" t="s">
        <v>5702</v>
      </c>
      <c r="N266" s="84" t="s">
        <v>26</v>
      </c>
      <c r="O266" s="59" t="s">
        <v>257</v>
      </c>
      <c r="P266" s="8" t="s">
        <v>4934</v>
      </c>
      <c r="Q266" s="84" t="str">
        <f t="shared" si="9"/>
        <v>DENTRO DEL TIEMPO</v>
      </c>
      <c r="R266" s="81"/>
    </row>
    <row r="267" spans="1:18" ht="50.25" x14ac:dyDescent="0.25">
      <c r="A267" s="6">
        <v>262</v>
      </c>
      <c r="B267" s="59" t="s">
        <v>5703</v>
      </c>
      <c r="C267" s="27">
        <v>44708</v>
      </c>
      <c r="D267" s="27">
        <v>44708</v>
      </c>
      <c r="E267" s="81">
        <v>2</v>
      </c>
      <c r="F267" s="82" t="s">
        <v>22</v>
      </c>
      <c r="G267" s="59" t="s">
        <v>30</v>
      </c>
      <c r="H267" s="59" t="s">
        <v>24</v>
      </c>
      <c r="I267" s="59" t="s">
        <v>30</v>
      </c>
      <c r="J267" s="27">
        <v>44714</v>
      </c>
      <c r="K267" s="27">
        <v>44714</v>
      </c>
      <c r="L267" s="83">
        <f t="shared" si="8"/>
        <v>4</v>
      </c>
      <c r="M267" s="8" t="s">
        <v>5704</v>
      </c>
      <c r="N267" s="84" t="s">
        <v>26</v>
      </c>
      <c r="O267" s="59" t="s">
        <v>257</v>
      </c>
      <c r="P267" s="8" t="s">
        <v>4934</v>
      </c>
      <c r="Q267" s="84" t="str">
        <f t="shared" si="9"/>
        <v>DENTRO DEL TIEMPO</v>
      </c>
      <c r="R267" s="81"/>
    </row>
    <row r="268" spans="1:18" ht="50.25" x14ac:dyDescent="0.25">
      <c r="A268" s="6">
        <v>263</v>
      </c>
      <c r="B268" s="59" t="s">
        <v>5705</v>
      </c>
      <c r="C268" s="27">
        <v>44708</v>
      </c>
      <c r="D268" s="27">
        <v>44708</v>
      </c>
      <c r="E268" s="81">
        <v>2</v>
      </c>
      <c r="F268" s="82" t="s">
        <v>22</v>
      </c>
      <c r="G268" s="59" t="s">
        <v>30</v>
      </c>
      <c r="H268" s="59" t="s">
        <v>24</v>
      </c>
      <c r="I268" s="59" t="s">
        <v>30</v>
      </c>
      <c r="J268" s="27">
        <v>44714</v>
      </c>
      <c r="K268" s="27">
        <v>44714</v>
      </c>
      <c r="L268" s="83">
        <f t="shared" si="8"/>
        <v>4</v>
      </c>
      <c r="M268" s="8" t="s">
        <v>5706</v>
      </c>
      <c r="N268" s="84" t="s">
        <v>26</v>
      </c>
      <c r="O268" s="59" t="s">
        <v>257</v>
      </c>
      <c r="P268" s="8" t="s">
        <v>4934</v>
      </c>
      <c r="Q268" s="84" t="str">
        <f t="shared" si="9"/>
        <v>DENTRO DEL TIEMPO</v>
      </c>
      <c r="R268" s="81"/>
    </row>
    <row r="269" spans="1:18" ht="50.25" x14ac:dyDescent="0.25">
      <c r="A269" s="6">
        <v>264</v>
      </c>
      <c r="B269" s="59" t="s">
        <v>5707</v>
      </c>
      <c r="C269" s="27">
        <v>44708</v>
      </c>
      <c r="D269" s="27">
        <v>44708</v>
      </c>
      <c r="E269" s="81">
        <v>2</v>
      </c>
      <c r="F269" s="82" t="s">
        <v>22</v>
      </c>
      <c r="G269" s="59" t="s">
        <v>30</v>
      </c>
      <c r="H269" s="59" t="s">
        <v>24</v>
      </c>
      <c r="I269" s="59" t="s">
        <v>30</v>
      </c>
      <c r="J269" s="27">
        <v>44714</v>
      </c>
      <c r="K269" s="27">
        <v>44714</v>
      </c>
      <c r="L269" s="83">
        <f t="shared" si="8"/>
        <v>4</v>
      </c>
      <c r="M269" s="8" t="s">
        <v>5708</v>
      </c>
      <c r="N269" s="84" t="s">
        <v>26</v>
      </c>
      <c r="O269" s="59" t="s">
        <v>257</v>
      </c>
      <c r="P269" s="8" t="s">
        <v>4934</v>
      </c>
      <c r="Q269" s="84" t="str">
        <f t="shared" si="9"/>
        <v>DENTRO DEL TIEMPO</v>
      </c>
      <c r="R269" s="81"/>
    </row>
    <row r="270" spans="1:18" ht="50.25" x14ac:dyDescent="0.25">
      <c r="A270" s="6">
        <v>265</v>
      </c>
      <c r="B270" s="59" t="s">
        <v>5709</v>
      </c>
      <c r="C270" s="27">
        <v>44708</v>
      </c>
      <c r="D270" s="27">
        <v>44708</v>
      </c>
      <c r="E270" s="81">
        <v>2</v>
      </c>
      <c r="F270" s="82" t="s">
        <v>22</v>
      </c>
      <c r="G270" s="59" t="s">
        <v>30</v>
      </c>
      <c r="H270" s="59" t="s">
        <v>24</v>
      </c>
      <c r="I270" s="59" t="s">
        <v>30</v>
      </c>
      <c r="J270" s="27">
        <v>44714</v>
      </c>
      <c r="K270" s="27">
        <v>44714</v>
      </c>
      <c r="L270" s="83">
        <f t="shared" si="8"/>
        <v>4</v>
      </c>
      <c r="M270" s="8" t="s">
        <v>5710</v>
      </c>
      <c r="N270" s="84" t="s">
        <v>26</v>
      </c>
      <c r="O270" s="59" t="s">
        <v>257</v>
      </c>
      <c r="P270" s="8" t="s">
        <v>4934</v>
      </c>
      <c r="Q270" s="84" t="str">
        <f t="shared" si="9"/>
        <v>DENTRO DEL TIEMPO</v>
      </c>
      <c r="R270" s="81"/>
    </row>
    <row r="271" spans="1:18" ht="50.25" x14ac:dyDescent="0.25">
      <c r="A271" s="6">
        <v>266</v>
      </c>
      <c r="B271" s="59" t="s">
        <v>5711</v>
      </c>
      <c r="C271" s="27">
        <v>44708</v>
      </c>
      <c r="D271" s="27">
        <v>44708</v>
      </c>
      <c r="E271" s="81">
        <v>2</v>
      </c>
      <c r="F271" s="82" t="s">
        <v>22</v>
      </c>
      <c r="G271" s="59" t="s">
        <v>30</v>
      </c>
      <c r="H271" s="59" t="s">
        <v>24</v>
      </c>
      <c r="I271" s="59" t="s">
        <v>30</v>
      </c>
      <c r="J271" s="27">
        <v>44714</v>
      </c>
      <c r="K271" s="27">
        <v>44714</v>
      </c>
      <c r="L271" s="83">
        <f t="shared" si="8"/>
        <v>4</v>
      </c>
      <c r="M271" s="8" t="s">
        <v>5712</v>
      </c>
      <c r="N271" s="84" t="s">
        <v>26</v>
      </c>
      <c r="O271" s="59" t="s">
        <v>257</v>
      </c>
      <c r="P271" s="8" t="s">
        <v>4934</v>
      </c>
      <c r="Q271" s="84" t="str">
        <f t="shared" si="9"/>
        <v>DENTRO DEL TIEMPO</v>
      </c>
      <c r="R271" s="81"/>
    </row>
    <row r="272" spans="1:18" ht="50.25" x14ac:dyDescent="0.25">
      <c r="A272" s="6">
        <v>267</v>
      </c>
      <c r="B272" s="59" t="s">
        <v>5713</v>
      </c>
      <c r="C272" s="27">
        <v>44708</v>
      </c>
      <c r="D272" s="27">
        <v>44708</v>
      </c>
      <c r="E272" s="81">
        <v>2</v>
      </c>
      <c r="F272" s="82" t="s">
        <v>22</v>
      </c>
      <c r="G272" s="59" t="s">
        <v>30</v>
      </c>
      <c r="H272" s="59" t="s">
        <v>24</v>
      </c>
      <c r="I272" s="59" t="s">
        <v>30</v>
      </c>
      <c r="J272" s="27">
        <v>44714</v>
      </c>
      <c r="K272" s="27">
        <v>44714</v>
      </c>
      <c r="L272" s="83">
        <f t="shared" si="8"/>
        <v>4</v>
      </c>
      <c r="M272" s="8" t="s">
        <v>5714</v>
      </c>
      <c r="N272" s="84" t="s">
        <v>26</v>
      </c>
      <c r="O272" s="59" t="s">
        <v>257</v>
      </c>
      <c r="P272" s="8" t="s">
        <v>4934</v>
      </c>
      <c r="Q272" s="84" t="str">
        <f t="shared" si="9"/>
        <v>DENTRO DEL TIEMPO</v>
      </c>
      <c r="R272" s="81"/>
    </row>
    <row r="273" spans="1:18" ht="50.25" x14ac:dyDescent="0.25">
      <c r="A273" s="6">
        <v>268</v>
      </c>
      <c r="B273" s="59" t="s">
        <v>5715</v>
      </c>
      <c r="C273" s="27">
        <v>44708</v>
      </c>
      <c r="D273" s="27">
        <v>44708</v>
      </c>
      <c r="E273" s="81">
        <v>2</v>
      </c>
      <c r="F273" s="82" t="s">
        <v>22</v>
      </c>
      <c r="G273" s="59" t="s">
        <v>30</v>
      </c>
      <c r="H273" s="59" t="s">
        <v>24</v>
      </c>
      <c r="I273" s="59" t="s">
        <v>30</v>
      </c>
      <c r="J273" s="27">
        <v>44714</v>
      </c>
      <c r="K273" s="27">
        <v>44714</v>
      </c>
      <c r="L273" s="83">
        <f t="shared" si="8"/>
        <v>4</v>
      </c>
      <c r="M273" s="8" t="s">
        <v>5714</v>
      </c>
      <c r="N273" s="84" t="s">
        <v>26</v>
      </c>
      <c r="O273" s="59" t="s">
        <v>257</v>
      </c>
      <c r="P273" s="8" t="s">
        <v>4934</v>
      </c>
      <c r="Q273" s="84" t="str">
        <f t="shared" si="9"/>
        <v>DENTRO DEL TIEMPO</v>
      </c>
      <c r="R273" s="81"/>
    </row>
    <row r="274" spans="1:18" ht="50.25" x14ac:dyDescent="0.25">
      <c r="A274" s="6">
        <v>269</v>
      </c>
      <c r="B274" s="59" t="s">
        <v>5716</v>
      </c>
      <c r="C274" s="27">
        <v>44708</v>
      </c>
      <c r="D274" s="27">
        <v>44708</v>
      </c>
      <c r="E274" s="81">
        <v>2</v>
      </c>
      <c r="F274" s="82" t="s">
        <v>22</v>
      </c>
      <c r="G274" s="59" t="s">
        <v>30</v>
      </c>
      <c r="H274" s="59" t="s">
        <v>24</v>
      </c>
      <c r="I274" s="59" t="s">
        <v>30</v>
      </c>
      <c r="J274" s="27">
        <v>44714</v>
      </c>
      <c r="K274" s="27">
        <v>44714</v>
      </c>
      <c r="L274" s="83">
        <f t="shared" si="8"/>
        <v>4</v>
      </c>
      <c r="M274" s="8" t="s">
        <v>5717</v>
      </c>
      <c r="N274" s="84" t="s">
        <v>26</v>
      </c>
      <c r="O274" s="59" t="s">
        <v>257</v>
      </c>
      <c r="P274" s="8" t="s">
        <v>4934</v>
      </c>
      <c r="Q274" s="84" t="str">
        <f t="shared" si="9"/>
        <v>DENTRO DEL TIEMPO</v>
      </c>
      <c r="R274" s="81"/>
    </row>
    <row r="275" spans="1:18" ht="48.75" x14ac:dyDescent="0.25">
      <c r="A275" s="6">
        <v>270</v>
      </c>
      <c r="B275" s="59" t="s">
        <v>5718</v>
      </c>
      <c r="C275" s="27">
        <v>44708</v>
      </c>
      <c r="D275" s="27">
        <v>44708</v>
      </c>
      <c r="E275" s="81">
        <v>2</v>
      </c>
      <c r="F275" s="82" t="s">
        <v>22</v>
      </c>
      <c r="G275" s="59" t="s">
        <v>30</v>
      </c>
      <c r="H275" s="59" t="s">
        <v>24</v>
      </c>
      <c r="I275" s="59" t="s">
        <v>30</v>
      </c>
      <c r="J275" s="27">
        <v>44713</v>
      </c>
      <c r="K275" s="27">
        <v>44713</v>
      </c>
      <c r="L275" s="83">
        <f t="shared" si="8"/>
        <v>3</v>
      </c>
      <c r="M275" s="8" t="s">
        <v>5719</v>
      </c>
      <c r="N275" s="84" t="s">
        <v>26</v>
      </c>
      <c r="O275" s="59" t="s">
        <v>1454</v>
      </c>
      <c r="P275" s="8" t="s">
        <v>5439</v>
      </c>
      <c r="Q275" s="84" t="str">
        <f t="shared" si="9"/>
        <v>DENTRO DEL TIEMPO</v>
      </c>
      <c r="R275" s="81"/>
    </row>
    <row r="276" spans="1:18" ht="48.75" hidden="1" x14ac:dyDescent="0.25">
      <c r="A276" s="6">
        <v>271</v>
      </c>
      <c r="B276" s="59" t="s">
        <v>5720</v>
      </c>
      <c r="C276" s="27">
        <v>44708</v>
      </c>
      <c r="D276" s="27">
        <v>44711</v>
      </c>
      <c r="E276" s="81">
        <v>0</v>
      </c>
      <c r="F276" s="82" t="s">
        <v>790</v>
      </c>
      <c r="G276" s="59" t="s">
        <v>5721</v>
      </c>
      <c r="H276" s="59" t="s">
        <v>5722</v>
      </c>
      <c r="I276" s="59" t="s">
        <v>5721</v>
      </c>
      <c r="J276" s="27">
        <v>44713</v>
      </c>
      <c r="K276" s="27">
        <v>44713</v>
      </c>
      <c r="L276" s="83">
        <f t="shared" si="8"/>
        <v>2</v>
      </c>
      <c r="M276" s="8" t="s">
        <v>5723</v>
      </c>
      <c r="N276" s="84" t="s">
        <v>26</v>
      </c>
      <c r="O276" s="59" t="s">
        <v>843</v>
      </c>
      <c r="P276" s="8" t="s">
        <v>5724</v>
      </c>
      <c r="Q276" s="84" t="str">
        <f t="shared" si="9"/>
        <v>DENTRO DEL TIEMPO</v>
      </c>
      <c r="R276" s="81"/>
    </row>
    <row r="277" spans="1:18" ht="48.75" x14ac:dyDescent="0.25">
      <c r="A277" s="6">
        <v>272</v>
      </c>
      <c r="B277" s="59" t="s">
        <v>5725</v>
      </c>
      <c r="C277" s="27">
        <v>44708</v>
      </c>
      <c r="D277" s="27">
        <v>44708</v>
      </c>
      <c r="E277" s="81">
        <v>2</v>
      </c>
      <c r="F277" s="82" t="s">
        <v>22</v>
      </c>
      <c r="G277" s="59" t="s">
        <v>30</v>
      </c>
      <c r="H277" s="59" t="s">
        <v>24</v>
      </c>
      <c r="I277" s="59" t="s">
        <v>30</v>
      </c>
      <c r="J277" s="27">
        <v>44713</v>
      </c>
      <c r="K277" s="27">
        <v>44713</v>
      </c>
      <c r="L277" s="83">
        <f t="shared" si="8"/>
        <v>3</v>
      </c>
      <c r="M277" s="8" t="s">
        <v>5726</v>
      </c>
      <c r="N277" s="84" t="s">
        <v>26</v>
      </c>
      <c r="O277" s="59" t="s">
        <v>5727</v>
      </c>
      <c r="P277" s="8" t="s">
        <v>5728</v>
      </c>
      <c r="Q277" s="84" t="str">
        <f t="shared" si="9"/>
        <v>DENTRO DEL TIEMPO</v>
      </c>
      <c r="R277" s="81"/>
    </row>
    <row r="278" spans="1:18" ht="48.75" x14ac:dyDescent="0.25">
      <c r="A278" s="6">
        <v>273</v>
      </c>
      <c r="B278" s="59" t="s">
        <v>5729</v>
      </c>
      <c r="C278" s="27">
        <v>44708</v>
      </c>
      <c r="D278" s="27">
        <v>44708</v>
      </c>
      <c r="E278" s="81">
        <v>2</v>
      </c>
      <c r="F278" s="82" t="s">
        <v>22</v>
      </c>
      <c r="G278" s="59" t="s">
        <v>23</v>
      </c>
      <c r="H278" s="59" t="s">
        <v>24</v>
      </c>
      <c r="I278" s="59" t="s">
        <v>23</v>
      </c>
      <c r="J278" s="27">
        <v>44714</v>
      </c>
      <c r="K278" s="27">
        <v>44714</v>
      </c>
      <c r="L278" s="83">
        <f t="shared" si="8"/>
        <v>4</v>
      </c>
      <c r="M278" s="8" t="s">
        <v>5730</v>
      </c>
      <c r="N278" s="84" t="s">
        <v>26</v>
      </c>
      <c r="O278" s="59" t="s">
        <v>5731</v>
      </c>
      <c r="P278" s="8" t="s">
        <v>5732</v>
      </c>
      <c r="Q278" s="84" t="str">
        <f t="shared" si="9"/>
        <v>DENTRO DEL TIEMPO</v>
      </c>
      <c r="R278" s="81"/>
    </row>
    <row r="279" spans="1:18" ht="48.75" x14ac:dyDescent="0.25">
      <c r="A279" s="6">
        <v>274</v>
      </c>
      <c r="B279" s="59" t="s">
        <v>5733</v>
      </c>
      <c r="C279" s="27">
        <v>44708</v>
      </c>
      <c r="D279" s="27">
        <v>44708</v>
      </c>
      <c r="E279" s="81">
        <v>2</v>
      </c>
      <c r="F279" s="82" t="s">
        <v>22</v>
      </c>
      <c r="G279" s="59" t="s">
        <v>30</v>
      </c>
      <c r="H279" s="59" t="s">
        <v>24</v>
      </c>
      <c r="I279" s="59" t="s">
        <v>30</v>
      </c>
      <c r="J279" s="27">
        <v>44713</v>
      </c>
      <c r="K279" s="27">
        <v>44713</v>
      </c>
      <c r="L279" s="83">
        <f t="shared" si="8"/>
        <v>3</v>
      </c>
      <c r="M279" s="8" t="s">
        <v>5734</v>
      </c>
      <c r="N279" s="84" t="s">
        <v>26</v>
      </c>
      <c r="O279" s="59" t="s">
        <v>5735</v>
      </c>
      <c r="P279" s="8" t="s">
        <v>5736</v>
      </c>
      <c r="Q279" s="84" t="str">
        <f t="shared" si="9"/>
        <v>DENTRO DEL TIEMPO</v>
      </c>
      <c r="R279" s="81"/>
    </row>
    <row r="280" spans="1:18" ht="48.75" x14ac:dyDescent="0.25">
      <c r="A280" s="6">
        <v>275</v>
      </c>
      <c r="B280" s="59" t="s">
        <v>5737</v>
      </c>
      <c r="C280" s="27">
        <v>44708</v>
      </c>
      <c r="D280" s="27">
        <v>44708</v>
      </c>
      <c r="E280" s="81">
        <v>2</v>
      </c>
      <c r="F280" s="82" t="s">
        <v>22</v>
      </c>
      <c r="G280" s="59" t="s">
        <v>30</v>
      </c>
      <c r="H280" s="59" t="s">
        <v>24</v>
      </c>
      <c r="I280" s="59" t="s">
        <v>30</v>
      </c>
      <c r="J280" s="27">
        <v>44713</v>
      </c>
      <c r="K280" s="27">
        <v>44713</v>
      </c>
      <c r="L280" s="83">
        <f t="shared" si="8"/>
        <v>3</v>
      </c>
      <c r="M280" s="8" t="s">
        <v>5738</v>
      </c>
      <c r="N280" s="84" t="s">
        <v>26</v>
      </c>
      <c r="O280" s="59" t="s">
        <v>5739</v>
      </c>
      <c r="P280" s="8" t="s">
        <v>5740</v>
      </c>
      <c r="Q280" s="84" t="str">
        <f t="shared" si="9"/>
        <v>DENTRO DEL TIEMPO</v>
      </c>
      <c r="R280" s="81"/>
    </row>
    <row r="281" spans="1:18" ht="48.75" x14ac:dyDescent="0.25">
      <c r="A281" s="6">
        <v>276</v>
      </c>
      <c r="B281" s="59" t="s">
        <v>5741</v>
      </c>
      <c r="C281" s="27">
        <v>44708</v>
      </c>
      <c r="D281" s="27">
        <v>44708</v>
      </c>
      <c r="E281" s="81">
        <v>2</v>
      </c>
      <c r="F281" s="82" t="s">
        <v>22</v>
      </c>
      <c r="G281" s="59" t="s">
        <v>30</v>
      </c>
      <c r="H281" s="59" t="s">
        <v>24</v>
      </c>
      <c r="I281" s="59" t="s">
        <v>30</v>
      </c>
      <c r="J281" s="27">
        <v>44713</v>
      </c>
      <c r="K281" s="27">
        <v>44713</v>
      </c>
      <c r="L281" s="83">
        <f t="shared" si="8"/>
        <v>3</v>
      </c>
      <c r="M281" s="8" t="s">
        <v>5742</v>
      </c>
      <c r="N281" s="84" t="s">
        <v>26</v>
      </c>
      <c r="O281" s="59" t="s">
        <v>663</v>
      </c>
      <c r="P281" s="8" t="s">
        <v>5743</v>
      </c>
      <c r="Q281" s="84" t="str">
        <f t="shared" si="9"/>
        <v>DENTRO DEL TIEMPO</v>
      </c>
      <c r="R281" s="81"/>
    </row>
    <row r="282" spans="1:18" ht="48.75" x14ac:dyDescent="0.25">
      <c r="A282" s="6">
        <v>277</v>
      </c>
      <c r="B282" s="59" t="s">
        <v>5744</v>
      </c>
      <c r="C282" s="27">
        <v>44708</v>
      </c>
      <c r="D282" s="27">
        <v>44708</v>
      </c>
      <c r="E282" s="81">
        <v>2</v>
      </c>
      <c r="F282" s="82" t="s">
        <v>22</v>
      </c>
      <c r="G282" s="59" t="s">
        <v>30</v>
      </c>
      <c r="H282" s="59" t="s">
        <v>24</v>
      </c>
      <c r="I282" s="59" t="s">
        <v>30</v>
      </c>
      <c r="J282" s="27">
        <v>44713</v>
      </c>
      <c r="K282" s="27">
        <v>44713</v>
      </c>
      <c r="L282" s="83">
        <f t="shared" si="8"/>
        <v>3</v>
      </c>
      <c r="M282" s="8" t="s">
        <v>5745</v>
      </c>
      <c r="N282" s="84" t="s">
        <v>26</v>
      </c>
      <c r="O282" s="59" t="s">
        <v>1454</v>
      </c>
      <c r="P282" s="8" t="s">
        <v>5629</v>
      </c>
      <c r="Q282" s="84" t="str">
        <f t="shared" si="9"/>
        <v>DENTRO DEL TIEMPO</v>
      </c>
      <c r="R282" s="81"/>
    </row>
    <row r="283" spans="1:18" ht="48.75" x14ac:dyDescent="0.25">
      <c r="A283" s="6">
        <v>278</v>
      </c>
      <c r="B283" s="59" t="s">
        <v>5746</v>
      </c>
      <c r="C283" s="27">
        <v>44708</v>
      </c>
      <c r="D283" s="27">
        <v>44708</v>
      </c>
      <c r="E283" s="81">
        <v>2</v>
      </c>
      <c r="F283" s="82" t="s">
        <v>22</v>
      </c>
      <c r="G283" s="59" t="s">
        <v>30</v>
      </c>
      <c r="H283" s="59" t="s">
        <v>24</v>
      </c>
      <c r="I283" s="59" t="s">
        <v>30</v>
      </c>
      <c r="J283" s="27">
        <v>44713</v>
      </c>
      <c r="K283" s="27">
        <v>44713</v>
      </c>
      <c r="L283" s="83">
        <f t="shared" si="8"/>
        <v>3</v>
      </c>
      <c r="M283" s="8" t="s">
        <v>5747</v>
      </c>
      <c r="N283" s="84" t="s">
        <v>26</v>
      </c>
      <c r="O283" s="59" t="s">
        <v>2011</v>
      </c>
      <c r="P283" s="8" t="s">
        <v>5629</v>
      </c>
      <c r="Q283" s="84" t="str">
        <f t="shared" si="9"/>
        <v>DENTRO DEL TIEMPO</v>
      </c>
      <c r="R283" s="81"/>
    </row>
    <row r="284" spans="1:18" ht="48.75" x14ac:dyDescent="0.25">
      <c r="A284" s="6">
        <v>279</v>
      </c>
      <c r="B284" s="59" t="s">
        <v>5748</v>
      </c>
      <c r="C284" s="27">
        <v>44711</v>
      </c>
      <c r="D284" s="27">
        <v>44711</v>
      </c>
      <c r="E284" s="81">
        <v>2</v>
      </c>
      <c r="F284" s="82" t="s">
        <v>22</v>
      </c>
      <c r="G284" s="59" t="s">
        <v>30</v>
      </c>
      <c r="H284" s="59" t="s">
        <v>24</v>
      </c>
      <c r="I284" s="59" t="s">
        <v>30</v>
      </c>
      <c r="J284" s="27">
        <v>44713</v>
      </c>
      <c r="K284" s="27">
        <v>44713</v>
      </c>
      <c r="L284" s="83">
        <f t="shared" si="8"/>
        <v>2</v>
      </c>
      <c r="M284" s="8" t="s">
        <v>5749</v>
      </c>
      <c r="N284" s="84" t="s">
        <v>26</v>
      </c>
      <c r="O284" s="59" t="s">
        <v>5750</v>
      </c>
      <c r="P284" s="8" t="s">
        <v>5751</v>
      </c>
      <c r="Q284" s="84" t="str">
        <f t="shared" si="9"/>
        <v>DENTRO DEL TIEMPO</v>
      </c>
      <c r="R284" s="81"/>
    </row>
    <row r="285" spans="1:18" ht="48.75" x14ac:dyDescent="0.25">
      <c r="A285" s="6">
        <v>280</v>
      </c>
      <c r="B285" s="59" t="s">
        <v>5752</v>
      </c>
      <c r="C285" s="27">
        <v>44711</v>
      </c>
      <c r="D285" s="27">
        <v>44711</v>
      </c>
      <c r="E285" s="81">
        <v>2</v>
      </c>
      <c r="F285" s="82" t="s">
        <v>22</v>
      </c>
      <c r="G285" s="59" t="s">
        <v>30</v>
      </c>
      <c r="H285" s="59" t="s">
        <v>24</v>
      </c>
      <c r="I285" s="59" t="s">
        <v>30</v>
      </c>
      <c r="J285" s="27">
        <v>44713</v>
      </c>
      <c r="K285" s="27">
        <v>44713</v>
      </c>
      <c r="L285" s="83">
        <f t="shared" si="8"/>
        <v>2</v>
      </c>
      <c r="M285" s="8" t="s">
        <v>5753</v>
      </c>
      <c r="N285" s="84" t="s">
        <v>26</v>
      </c>
      <c r="O285" s="59" t="s">
        <v>5754</v>
      </c>
      <c r="P285" s="8" t="s">
        <v>5270</v>
      </c>
      <c r="Q285" s="84" t="str">
        <f t="shared" si="9"/>
        <v>DENTRO DEL TIEMPO</v>
      </c>
      <c r="R285" s="81"/>
    </row>
    <row r="286" spans="1:18" ht="48.75" x14ac:dyDescent="0.25">
      <c r="A286" s="6">
        <v>281</v>
      </c>
      <c r="B286" s="59" t="s">
        <v>5755</v>
      </c>
      <c r="C286" s="27">
        <v>44711</v>
      </c>
      <c r="D286" s="27">
        <v>44711</v>
      </c>
      <c r="E286" s="81">
        <v>2</v>
      </c>
      <c r="F286" s="82" t="s">
        <v>22</v>
      </c>
      <c r="G286" s="59" t="s">
        <v>30</v>
      </c>
      <c r="H286" s="59" t="s">
        <v>24</v>
      </c>
      <c r="I286" s="59" t="s">
        <v>30</v>
      </c>
      <c r="J286" s="27">
        <v>44713</v>
      </c>
      <c r="K286" s="27">
        <v>44713</v>
      </c>
      <c r="L286" s="83">
        <f t="shared" si="8"/>
        <v>2</v>
      </c>
      <c r="M286" s="8" t="s">
        <v>5756</v>
      </c>
      <c r="N286" s="84" t="s">
        <v>26</v>
      </c>
      <c r="O286" s="59" t="s">
        <v>663</v>
      </c>
      <c r="P286" s="8" t="s">
        <v>5757</v>
      </c>
      <c r="Q286" s="84" t="str">
        <f t="shared" si="9"/>
        <v>DENTRO DEL TIEMPO</v>
      </c>
      <c r="R286" s="81"/>
    </row>
    <row r="287" spans="1:18" ht="50.25" x14ac:dyDescent="0.25">
      <c r="A287" s="6">
        <v>282</v>
      </c>
      <c r="B287" s="59" t="s">
        <v>5758</v>
      </c>
      <c r="C287" s="27">
        <v>44711</v>
      </c>
      <c r="D287" s="27">
        <v>44711</v>
      </c>
      <c r="E287" s="81">
        <v>2</v>
      </c>
      <c r="F287" s="82" t="s">
        <v>22</v>
      </c>
      <c r="G287" s="59" t="s">
        <v>30</v>
      </c>
      <c r="H287" s="59" t="s">
        <v>24</v>
      </c>
      <c r="I287" s="59" t="s">
        <v>30</v>
      </c>
      <c r="J287" s="27">
        <v>44713</v>
      </c>
      <c r="K287" s="27">
        <v>44713</v>
      </c>
      <c r="L287" s="83">
        <f t="shared" si="8"/>
        <v>2</v>
      </c>
      <c r="M287" s="8" t="s">
        <v>5759</v>
      </c>
      <c r="N287" s="84" t="s">
        <v>26</v>
      </c>
      <c r="O287" s="59" t="s">
        <v>1509</v>
      </c>
      <c r="P287" s="8" t="s">
        <v>5760</v>
      </c>
      <c r="Q287" s="84" t="str">
        <f t="shared" si="9"/>
        <v>DENTRO DEL TIEMPO</v>
      </c>
      <c r="R287" s="81"/>
    </row>
    <row r="288" spans="1:18" ht="48.75" x14ac:dyDescent="0.25">
      <c r="A288" s="6">
        <v>283</v>
      </c>
      <c r="B288" s="59" t="s">
        <v>5761</v>
      </c>
      <c r="C288" s="27">
        <v>44711</v>
      </c>
      <c r="D288" s="27">
        <v>44711</v>
      </c>
      <c r="E288" s="81">
        <v>2</v>
      </c>
      <c r="F288" s="82" t="s">
        <v>22</v>
      </c>
      <c r="G288" s="59" t="s">
        <v>30</v>
      </c>
      <c r="H288" s="59" t="s">
        <v>24</v>
      </c>
      <c r="I288" s="59" t="s">
        <v>30</v>
      </c>
      <c r="J288" s="27">
        <v>44712</v>
      </c>
      <c r="K288" s="27">
        <v>44712</v>
      </c>
      <c r="L288" s="83">
        <f t="shared" si="8"/>
        <v>1</v>
      </c>
      <c r="M288" s="8" t="s">
        <v>5762</v>
      </c>
      <c r="N288" s="84" t="s">
        <v>26</v>
      </c>
      <c r="O288" s="59" t="s">
        <v>5763</v>
      </c>
      <c r="P288" s="8" t="s">
        <v>5764</v>
      </c>
      <c r="Q288" s="84" t="str">
        <f t="shared" si="9"/>
        <v>DENTRO DEL TIEMPO</v>
      </c>
      <c r="R288" s="81"/>
    </row>
    <row r="289" spans="1:18" ht="48.75" x14ac:dyDescent="0.25">
      <c r="A289" s="6">
        <v>284</v>
      </c>
      <c r="B289" s="59" t="s">
        <v>5765</v>
      </c>
      <c r="C289" s="27">
        <v>44711</v>
      </c>
      <c r="D289" s="27">
        <v>44711</v>
      </c>
      <c r="E289" s="81">
        <v>2</v>
      </c>
      <c r="F289" s="82" t="s">
        <v>22</v>
      </c>
      <c r="G289" s="59" t="s">
        <v>30</v>
      </c>
      <c r="H289" s="59" t="s">
        <v>24</v>
      </c>
      <c r="I289" s="59" t="s">
        <v>30</v>
      </c>
      <c r="J289" s="27">
        <v>44713</v>
      </c>
      <c r="K289" s="27">
        <v>44713</v>
      </c>
      <c r="L289" s="83">
        <f t="shared" si="8"/>
        <v>2</v>
      </c>
      <c r="M289" s="8" t="s">
        <v>5766</v>
      </c>
      <c r="N289" s="84" t="s">
        <v>26</v>
      </c>
      <c r="O289" s="59" t="s">
        <v>5767</v>
      </c>
      <c r="P289" s="8" t="s">
        <v>5086</v>
      </c>
      <c r="Q289" s="84" t="str">
        <f t="shared" si="9"/>
        <v>DENTRO DEL TIEMPO</v>
      </c>
      <c r="R289" s="81"/>
    </row>
    <row r="290" spans="1:18" ht="48.75" x14ac:dyDescent="0.25">
      <c r="A290" s="6">
        <v>285</v>
      </c>
      <c r="B290" s="59" t="s">
        <v>5768</v>
      </c>
      <c r="C290" s="27">
        <v>44711</v>
      </c>
      <c r="D290" s="27">
        <v>44711</v>
      </c>
      <c r="E290" s="81">
        <v>2</v>
      </c>
      <c r="F290" s="82" t="s">
        <v>22</v>
      </c>
      <c r="G290" s="59" t="s">
        <v>30</v>
      </c>
      <c r="H290" s="59" t="s">
        <v>24</v>
      </c>
      <c r="I290" s="59" t="s">
        <v>30</v>
      </c>
      <c r="J290" s="27">
        <v>44713</v>
      </c>
      <c r="K290" s="27">
        <v>44713</v>
      </c>
      <c r="L290" s="83">
        <f t="shared" si="8"/>
        <v>2</v>
      </c>
      <c r="M290" s="8" t="s">
        <v>5769</v>
      </c>
      <c r="N290" s="84" t="s">
        <v>26</v>
      </c>
      <c r="O290" s="59" t="s">
        <v>5316</v>
      </c>
      <c r="P290" s="8" t="s">
        <v>5317</v>
      </c>
      <c r="Q290" s="84" t="str">
        <f t="shared" si="9"/>
        <v>DENTRO DEL TIEMPO</v>
      </c>
      <c r="R290" s="81"/>
    </row>
    <row r="291" spans="1:18" ht="48.75" x14ac:dyDescent="0.25">
      <c r="A291" s="6">
        <v>286</v>
      </c>
      <c r="B291" s="59" t="s">
        <v>5770</v>
      </c>
      <c r="C291" s="27">
        <v>44712</v>
      </c>
      <c r="D291" s="27">
        <v>44712</v>
      </c>
      <c r="E291" s="81">
        <v>2</v>
      </c>
      <c r="F291" s="82" t="s">
        <v>22</v>
      </c>
      <c r="G291" s="59" t="s">
        <v>30</v>
      </c>
      <c r="H291" s="59" t="s">
        <v>24</v>
      </c>
      <c r="I291" s="59" t="s">
        <v>30</v>
      </c>
      <c r="J291" s="27">
        <v>44713</v>
      </c>
      <c r="K291" s="27">
        <v>44713</v>
      </c>
      <c r="L291" s="83">
        <f t="shared" si="8"/>
        <v>1</v>
      </c>
      <c r="M291" s="8" t="s">
        <v>5771</v>
      </c>
      <c r="N291" s="84" t="s">
        <v>26</v>
      </c>
      <c r="O291" s="59" t="s">
        <v>1295</v>
      </c>
      <c r="P291" s="8" t="s">
        <v>5000</v>
      </c>
      <c r="Q291" s="84" t="str">
        <f t="shared" si="9"/>
        <v>DENTRO DEL TIEMPO</v>
      </c>
      <c r="R291" s="81"/>
    </row>
    <row r="292" spans="1:18" ht="48.75" x14ac:dyDescent="0.25">
      <c r="A292" s="6">
        <v>287</v>
      </c>
      <c r="B292" s="59" t="s">
        <v>5772</v>
      </c>
      <c r="C292" s="27">
        <v>44712</v>
      </c>
      <c r="D292" s="27">
        <v>44712</v>
      </c>
      <c r="E292" s="81">
        <v>2</v>
      </c>
      <c r="F292" s="82" t="s">
        <v>22</v>
      </c>
      <c r="G292" s="59" t="s">
        <v>30</v>
      </c>
      <c r="H292" s="59" t="s">
        <v>24</v>
      </c>
      <c r="I292" s="59" t="s">
        <v>30</v>
      </c>
      <c r="J292" s="27">
        <v>44713</v>
      </c>
      <c r="K292" s="27">
        <v>44713</v>
      </c>
      <c r="L292" s="83">
        <f t="shared" si="8"/>
        <v>1</v>
      </c>
      <c r="M292" s="8" t="s">
        <v>5773</v>
      </c>
      <c r="N292" s="84" t="s">
        <v>26</v>
      </c>
      <c r="O292" s="59" t="s">
        <v>5774</v>
      </c>
      <c r="P292" s="8" t="s">
        <v>5775</v>
      </c>
      <c r="Q292" s="84" t="str">
        <f t="shared" si="9"/>
        <v>DENTRO DEL TIEMPO</v>
      </c>
      <c r="R292" s="81"/>
    </row>
    <row r="293" spans="1:18" ht="48.75" x14ac:dyDescent="0.25">
      <c r="A293" s="6">
        <v>288</v>
      </c>
      <c r="B293" s="59" t="s">
        <v>5776</v>
      </c>
      <c r="C293" s="27">
        <v>44712</v>
      </c>
      <c r="D293" s="27">
        <v>44712</v>
      </c>
      <c r="E293" s="81">
        <v>2</v>
      </c>
      <c r="F293" s="82" t="s">
        <v>22</v>
      </c>
      <c r="G293" s="59" t="s">
        <v>30</v>
      </c>
      <c r="H293" s="59" t="s">
        <v>24</v>
      </c>
      <c r="I293" s="59" t="s">
        <v>30</v>
      </c>
      <c r="J293" s="27">
        <v>44714</v>
      </c>
      <c r="K293" s="27">
        <v>44714</v>
      </c>
      <c r="L293" s="83">
        <f t="shared" si="8"/>
        <v>2</v>
      </c>
      <c r="M293" s="8" t="s">
        <v>5777</v>
      </c>
      <c r="N293" s="84" t="s">
        <v>26</v>
      </c>
      <c r="O293" s="59" t="s">
        <v>5778</v>
      </c>
      <c r="P293" s="8" t="s">
        <v>5779</v>
      </c>
      <c r="Q293" s="84" t="str">
        <f t="shared" si="9"/>
        <v>DENTRO DEL TIEMPO</v>
      </c>
      <c r="R293" s="81"/>
    </row>
    <row r="294" spans="1:18" ht="48.75" x14ac:dyDescent="0.25">
      <c r="A294" s="6">
        <v>289</v>
      </c>
      <c r="B294" s="59" t="s">
        <v>5780</v>
      </c>
      <c r="C294" s="27">
        <v>44712</v>
      </c>
      <c r="D294" s="27">
        <v>44712</v>
      </c>
      <c r="E294" s="81">
        <v>22</v>
      </c>
      <c r="F294" s="82" t="s">
        <v>22</v>
      </c>
      <c r="G294" s="59" t="s">
        <v>23</v>
      </c>
      <c r="H294" s="59" t="s">
        <v>24</v>
      </c>
      <c r="I294" s="59" t="s">
        <v>23</v>
      </c>
      <c r="J294" s="27">
        <v>44712</v>
      </c>
      <c r="K294" s="27">
        <v>44712</v>
      </c>
      <c r="L294" s="83">
        <f t="shared" si="8"/>
        <v>0</v>
      </c>
      <c r="M294" s="8" t="s">
        <v>5781</v>
      </c>
      <c r="N294" s="84" t="s">
        <v>26</v>
      </c>
      <c r="O294" s="59" t="s">
        <v>5782</v>
      </c>
      <c r="P294" s="8" t="s">
        <v>5783</v>
      </c>
      <c r="Q294" s="84" t="str">
        <f t="shared" si="9"/>
        <v>DENTRO DEL TIEMPO</v>
      </c>
      <c r="R294" s="81"/>
    </row>
    <row r="295" spans="1:18" ht="48.75" x14ac:dyDescent="0.25">
      <c r="A295" s="6">
        <v>290</v>
      </c>
      <c r="B295" s="59" t="s">
        <v>5784</v>
      </c>
      <c r="C295" s="27">
        <v>44712</v>
      </c>
      <c r="D295" s="27">
        <v>44712</v>
      </c>
      <c r="E295" s="81">
        <v>2</v>
      </c>
      <c r="F295" s="82" t="s">
        <v>22</v>
      </c>
      <c r="G295" s="59" t="s">
        <v>30</v>
      </c>
      <c r="H295" s="59" t="s">
        <v>24</v>
      </c>
      <c r="I295" s="59" t="s">
        <v>30</v>
      </c>
      <c r="J295" s="27">
        <v>44714</v>
      </c>
      <c r="K295" s="27">
        <v>44714</v>
      </c>
      <c r="L295" s="83">
        <f t="shared" si="8"/>
        <v>2</v>
      </c>
      <c r="M295" s="8" t="s">
        <v>5785</v>
      </c>
      <c r="N295" s="84" t="s">
        <v>26</v>
      </c>
      <c r="O295" s="59" t="s">
        <v>5786</v>
      </c>
      <c r="P295" s="8" t="s">
        <v>5536</v>
      </c>
      <c r="Q295" s="84" t="str">
        <f t="shared" si="9"/>
        <v>DENTRO DEL TIEMPO</v>
      </c>
      <c r="R295" s="81"/>
    </row>
    <row r="296" spans="1:18" ht="48.75" x14ac:dyDescent="0.25">
      <c r="A296" s="6">
        <v>291</v>
      </c>
      <c r="B296" s="59" t="s">
        <v>5787</v>
      </c>
      <c r="C296" s="27">
        <v>44712</v>
      </c>
      <c r="D296" s="27">
        <v>44712</v>
      </c>
      <c r="E296" s="81">
        <v>2</v>
      </c>
      <c r="F296" s="82" t="s">
        <v>22</v>
      </c>
      <c r="G296" s="59" t="s">
        <v>30</v>
      </c>
      <c r="H296" s="59" t="s">
        <v>24</v>
      </c>
      <c r="I296" s="59" t="s">
        <v>30</v>
      </c>
      <c r="J296" s="27">
        <v>44714</v>
      </c>
      <c r="K296" s="27">
        <v>44714</v>
      </c>
      <c r="L296" s="83">
        <f t="shared" si="8"/>
        <v>2</v>
      </c>
      <c r="M296" s="8" t="s">
        <v>5788</v>
      </c>
      <c r="N296" s="84" t="s">
        <v>26</v>
      </c>
      <c r="O296" s="59" t="s">
        <v>5789</v>
      </c>
      <c r="P296" s="8" t="s">
        <v>5790</v>
      </c>
      <c r="Q296" s="84" t="str">
        <f t="shared" si="9"/>
        <v>DENTRO DEL TIEMPO</v>
      </c>
      <c r="R296" s="81"/>
    </row>
    <row r="297" spans="1:18" ht="48.75" x14ac:dyDescent="0.25">
      <c r="A297" s="6">
        <v>292</v>
      </c>
      <c r="B297" s="59" t="s">
        <v>5791</v>
      </c>
      <c r="C297" s="27">
        <v>44712</v>
      </c>
      <c r="D297" s="27">
        <v>44712</v>
      </c>
      <c r="E297" s="81">
        <v>2</v>
      </c>
      <c r="F297" s="82" t="s">
        <v>22</v>
      </c>
      <c r="G297" s="59" t="s">
        <v>30</v>
      </c>
      <c r="H297" s="59" t="s">
        <v>24</v>
      </c>
      <c r="I297" s="59" t="s">
        <v>30</v>
      </c>
      <c r="J297" s="27">
        <v>44715</v>
      </c>
      <c r="K297" s="27">
        <v>44715</v>
      </c>
      <c r="L297" s="83">
        <f t="shared" si="8"/>
        <v>3</v>
      </c>
      <c r="M297" s="8" t="s">
        <v>5792</v>
      </c>
      <c r="N297" s="84" t="s">
        <v>26</v>
      </c>
      <c r="O297" s="59" t="s">
        <v>5793</v>
      </c>
      <c r="P297" s="8" t="s">
        <v>5794</v>
      </c>
      <c r="Q297" s="84" t="str">
        <f t="shared" si="9"/>
        <v>DENTRO DEL TIEMPO</v>
      </c>
      <c r="R297" s="81"/>
    </row>
    <row r="298" spans="1:18" ht="48.75" x14ac:dyDescent="0.25">
      <c r="A298" s="6">
        <v>293</v>
      </c>
      <c r="B298" s="59" t="s">
        <v>5795</v>
      </c>
      <c r="C298" s="27">
        <v>44712</v>
      </c>
      <c r="D298" s="27">
        <v>44712</v>
      </c>
      <c r="E298" s="81">
        <v>2</v>
      </c>
      <c r="F298" s="82" t="s">
        <v>22</v>
      </c>
      <c r="G298" s="59" t="s">
        <v>30</v>
      </c>
      <c r="H298" s="59" t="s">
        <v>24</v>
      </c>
      <c r="I298" s="59" t="s">
        <v>30</v>
      </c>
      <c r="J298" s="27">
        <v>44715</v>
      </c>
      <c r="K298" s="27">
        <v>44715</v>
      </c>
      <c r="L298" s="83">
        <f t="shared" si="8"/>
        <v>3</v>
      </c>
      <c r="M298" s="8" t="s">
        <v>5796</v>
      </c>
      <c r="N298" s="84" t="s">
        <v>26</v>
      </c>
      <c r="O298" s="59" t="s">
        <v>5797</v>
      </c>
      <c r="P298" s="8" t="s">
        <v>5798</v>
      </c>
      <c r="Q298" s="84" t="str">
        <f t="shared" si="9"/>
        <v>DENTRO DEL TIEMPO</v>
      </c>
      <c r="R298" s="81"/>
    </row>
    <row r="299" spans="1:18" ht="48.75" x14ac:dyDescent="0.25">
      <c r="A299" s="6">
        <v>294</v>
      </c>
      <c r="B299" s="59" t="s">
        <v>5799</v>
      </c>
      <c r="C299" s="27">
        <v>44687</v>
      </c>
      <c r="D299" s="27">
        <v>44687</v>
      </c>
      <c r="E299" s="81">
        <v>1107</v>
      </c>
      <c r="F299" s="82" t="s">
        <v>22</v>
      </c>
      <c r="G299" s="59" t="s">
        <v>23</v>
      </c>
      <c r="H299" s="59" t="s">
        <v>5800</v>
      </c>
      <c r="I299" s="59" t="s">
        <v>23</v>
      </c>
      <c r="J299" s="27">
        <v>44691</v>
      </c>
      <c r="K299" s="27">
        <v>44691</v>
      </c>
      <c r="L299" s="83">
        <f t="shared" si="8"/>
        <v>2</v>
      </c>
      <c r="M299" s="59" t="s">
        <v>5801</v>
      </c>
      <c r="N299" s="84" t="s">
        <v>26</v>
      </c>
      <c r="O299" s="59" t="s">
        <v>5802</v>
      </c>
      <c r="P299" s="8" t="s">
        <v>5803</v>
      </c>
      <c r="Q299" s="84" t="str">
        <f t="shared" si="9"/>
        <v>DENTRO DEL TIEMPO</v>
      </c>
      <c r="R299" s="81"/>
    </row>
    <row r="300" spans="1:18" ht="48.75" x14ac:dyDescent="0.25">
      <c r="A300" s="6">
        <v>295</v>
      </c>
      <c r="B300" s="59" t="s">
        <v>5804</v>
      </c>
      <c r="C300" s="27">
        <v>44705</v>
      </c>
      <c r="D300" s="27">
        <v>44705</v>
      </c>
      <c r="E300" s="81">
        <v>248</v>
      </c>
      <c r="F300" s="82" t="s">
        <v>22</v>
      </c>
      <c r="G300" s="59" t="s">
        <v>23</v>
      </c>
      <c r="H300" s="59" t="s">
        <v>5805</v>
      </c>
      <c r="I300" s="59" t="s">
        <v>23</v>
      </c>
      <c r="J300" s="27">
        <v>44706</v>
      </c>
      <c r="K300" s="27">
        <v>44706</v>
      </c>
      <c r="L300" s="83">
        <f t="shared" si="8"/>
        <v>1</v>
      </c>
      <c r="M300" s="59" t="s">
        <v>5806</v>
      </c>
      <c r="N300" s="84" t="s">
        <v>26</v>
      </c>
      <c r="O300" s="59" t="s">
        <v>5807</v>
      </c>
      <c r="P300" s="8" t="s">
        <v>5808</v>
      </c>
      <c r="Q300" s="84" t="str">
        <f t="shared" si="9"/>
        <v>DENTRO DEL TIEMPO</v>
      </c>
      <c r="R300" s="81"/>
    </row>
    <row r="301" spans="1:18" ht="50.25" x14ac:dyDescent="0.25">
      <c r="A301" s="6">
        <v>296</v>
      </c>
      <c r="B301" s="59" t="s">
        <v>5809</v>
      </c>
      <c r="C301" s="27">
        <v>44706</v>
      </c>
      <c r="D301" s="27">
        <v>44706</v>
      </c>
      <c r="E301" s="81">
        <v>2</v>
      </c>
      <c r="F301" s="82" t="s">
        <v>22</v>
      </c>
      <c r="G301" s="59" t="s">
        <v>23</v>
      </c>
      <c r="H301" s="59" t="s">
        <v>24</v>
      </c>
      <c r="I301" s="59" t="s">
        <v>23</v>
      </c>
      <c r="J301" s="27">
        <v>44708</v>
      </c>
      <c r="K301" s="27">
        <v>44708</v>
      </c>
      <c r="L301" s="83">
        <f t="shared" si="8"/>
        <v>2</v>
      </c>
      <c r="M301" s="59" t="s">
        <v>5608</v>
      </c>
      <c r="N301" s="84" t="s">
        <v>26</v>
      </c>
      <c r="O301" s="59" t="s">
        <v>5810</v>
      </c>
      <c r="P301" s="8" t="s">
        <v>4934</v>
      </c>
      <c r="Q301" s="84" t="str">
        <f t="shared" si="9"/>
        <v>DENTRO DEL TIEMPO</v>
      </c>
      <c r="R301" s="81"/>
    </row>
    <row r="302" spans="1:18" ht="50.25" x14ac:dyDescent="0.25">
      <c r="A302" s="6">
        <v>297</v>
      </c>
      <c r="B302" s="59" t="s">
        <v>5811</v>
      </c>
      <c r="C302" s="27">
        <v>44706</v>
      </c>
      <c r="D302" s="27">
        <v>44706</v>
      </c>
      <c r="E302" s="81">
        <v>2</v>
      </c>
      <c r="F302" s="82" t="s">
        <v>22</v>
      </c>
      <c r="G302" s="59" t="s">
        <v>23</v>
      </c>
      <c r="H302" s="59" t="s">
        <v>24</v>
      </c>
      <c r="I302" s="59" t="s">
        <v>23</v>
      </c>
      <c r="J302" s="27">
        <v>44708</v>
      </c>
      <c r="K302" s="27">
        <v>44708</v>
      </c>
      <c r="L302" s="83">
        <f t="shared" si="8"/>
        <v>2</v>
      </c>
      <c r="M302" s="59" t="s">
        <v>5610</v>
      </c>
      <c r="N302" s="84" t="s">
        <v>26</v>
      </c>
      <c r="O302" s="59" t="s">
        <v>5810</v>
      </c>
      <c r="P302" s="8" t="s">
        <v>4934</v>
      </c>
      <c r="Q302" s="84" t="str">
        <f t="shared" si="9"/>
        <v>DENTRO DEL TIEMPO</v>
      </c>
      <c r="R302" s="81"/>
    </row>
    <row r="303" spans="1:18" ht="48.75" x14ac:dyDescent="0.25">
      <c r="A303" s="6">
        <v>298</v>
      </c>
      <c r="B303" s="59" t="s">
        <v>5812</v>
      </c>
      <c r="C303" s="27">
        <v>44685</v>
      </c>
      <c r="D303" s="27">
        <v>44685</v>
      </c>
      <c r="E303" s="81">
        <v>116</v>
      </c>
      <c r="F303" s="82" t="s">
        <v>22</v>
      </c>
      <c r="G303" s="59" t="s">
        <v>23</v>
      </c>
      <c r="H303" s="59" t="s">
        <v>24</v>
      </c>
      <c r="I303" s="59" t="s">
        <v>23</v>
      </c>
      <c r="J303" s="27">
        <v>44685</v>
      </c>
      <c r="K303" s="27">
        <v>44685</v>
      </c>
      <c r="L303" s="83">
        <f t="shared" si="8"/>
        <v>0</v>
      </c>
      <c r="M303" s="59" t="s">
        <v>5813</v>
      </c>
      <c r="N303" s="84" t="s">
        <v>26</v>
      </c>
      <c r="O303" s="59" t="s">
        <v>5814</v>
      </c>
      <c r="P303" s="8" t="s">
        <v>5815</v>
      </c>
      <c r="Q303" s="84" t="str">
        <f t="shared" si="9"/>
        <v>DENTRO DEL TIEMPO</v>
      </c>
      <c r="R303" s="81"/>
    </row>
    <row r="304" spans="1:18" ht="48.75" x14ac:dyDescent="0.25">
      <c r="A304" s="6">
        <v>299</v>
      </c>
      <c r="B304" s="59" t="s">
        <v>5816</v>
      </c>
      <c r="C304" s="27">
        <v>44692</v>
      </c>
      <c r="D304" s="27">
        <v>44692</v>
      </c>
      <c r="E304" s="81">
        <v>66</v>
      </c>
      <c r="F304" s="82" t="s">
        <v>22</v>
      </c>
      <c r="G304" s="59" t="s">
        <v>23</v>
      </c>
      <c r="H304" s="59" t="s">
        <v>24</v>
      </c>
      <c r="I304" s="59" t="s">
        <v>23</v>
      </c>
      <c r="J304" s="27">
        <v>44693</v>
      </c>
      <c r="K304" s="27">
        <v>44693</v>
      </c>
      <c r="L304" s="83">
        <f t="shared" si="8"/>
        <v>1</v>
      </c>
      <c r="M304" s="59" t="s">
        <v>5817</v>
      </c>
      <c r="N304" s="84" t="s">
        <v>26</v>
      </c>
      <c r="O304" s="59" t="s">
        <v>2064</v>
      </c>
      <c r="P304" s="8" t="s">
        <v>5818</v>
      </c>
      <c r="Q304" s="84" t="str">
        <f t="shared" si="9"/>
        <v>DENTRO DEL TIEMPO</v>
      </c>
      <c r="R304" s="81"/>
    </row>
    <row r="305" spans="1:18" ht="48.75" x14ac:dyDescent="0.25">
      <c r="A305" s="6">
        <v>300</v>
      </c>
      <c r="B305" s="59" t="s">
        <v>5819</v>
      </c>
      <c r="C305" s="27">
        <v>44692</v>
      </c>
      <c r="D305" s="27">
        <v>44692</v>
      </c>
      <c r="E305" s="81">
        <v>332</v>
      </c>
      <c r="F305" s="82" t="s">
        <v>22</v>
      </c>
      <c r="G305" s="59" t="s">
        <v>23</v>
      </c>
      <c r="H305" s="59" t="s">
        <v>24</v>
      </c>
      <c r="I305" s="59" t="s">
        <v>23</v>
      </c>
      <c r="J305" s="27">
        <v>44694</v>
      </c>
      <c r="K305" s="27">
        <v>44694</v>
      </c>
      <c r="L305" s="83">
        <f t="shared" si="8"/>
        <v>2</v>
      </c>
      <c r="M305" s="59" t="s">
        <v>5820</v>
      </c>
      <c r="N305" s="84" t="s">
        <v>26</v>
      </c>
      <c r="O305" s="59" t="s">
        <v>2064</v>
      </c>
      <c r="P305" s="8" t="s">
        <v>5818</v>
      </c>
      <c r="Q305" s="84" t="str">
        <f t="shared" si="9"/>
        <v>DENTRO DEL TIEMPO</v>
      </c>
      <c r="R305" s="81"/>
    </row>
    <row r="306" spans="1:18" ht="48.75" x14ac:dyDescent="0.25">
      <c r="A306" s="6">
        <v>301</v>
      </c>
      <c r="B306" s="59" t="s">
        <v>5821</v>
      </c>
      <c r="C306" s="27">
        <v>44692</v>
      </c>
      <c r="D306" s="27">
        <v>44692</v>
      </c>
      <c r="E306" s="81">
        <v>69</v>
      </c>
      <c r="F306" s="82" t="s">
        <v>22</v>
      </c>
      <c r="G306" s="59" t="s">
        <v>23</v>
      </c>
      <c r="H306" s="59" t="s">
        <v>24</v>
      </c>
      <c r="I306" s="59" t="s">
        <v>23</v>
      </c>
      <c r="J306" s="27">
        <v>44694</v>
      </c>
      <c r="K306" s="27">
        <v>44694</v>
      </c>
      <c r="L306" s="83">
        <f t="shared" si="8"/>
        <v>2</v>
      </c>
      <c r="M306" s="59" t="s">
        <v>5822</v>
      </c>
      <c r="N306" s="84" t="s">
        <v>26</v>
      </c>
      <c r="O306" s="59" t="s">
        <v>2064</v>
      </c>
      <c r="P306" s="8" t="s">
        <v>5818</v>
      </c>
      <c r="Q306" s="84" t="str">
        <f t="shared" si="9"/>
        <v>DENTRO DEL TIEMPO</v>
      </c>
      <c r="R306" s="81"/>
    </row>
    <row r="307" spans="1:18" ht="48.75" x14ac:dyDescent="0.25">
      <c r="A307" s="6">
        <v>302</v>
      </c>
      <c r="B307" s="59" t="s">
        <v>5816</v>
      </c>
      <c r="C307" s="27">
        <v>44692</v>
      </c>
      <c r="D307" s="27">
        <v>44692</v>
      </c>
      <c r="E307" s="81">
        <v>67</v>
      </c>
      <c r="F307" s="82" t="s">
        <v>22</v>
      </c>
      <c r="G307" s="59" t="s">
        <v>23</v>
      </c>
      <c r="H307" s="59" t="s">
        <v>24</v>
      </c>
      <c r="I307" s="59" t="s">
        <v>23</v>
      </c>
      <c r="J307" s="27">
        <v>44697</v>
      </c>
      <c r="K307" s="27">
        <v>44697</v>
      </c>
      <c r="L307" s="83">
        <f t="shared" si="8"/>
        <v>3</v>
      </c>
      <c r="M307" s="59" t="s">
        <v>5823</v>
      </c>
      <c r="N307" s="84" t="s">
        <v>26</v>
      </c>
      <c r="O307" s="59" t="s">
        <v>2064</v>
      </c>
      <c r="P307" s="8" t="s">
        <v>5818</v>
      </c>
      <c r="Q307" s="84" t="str">
        <f t="shared" si="9"/>
        <v>DENTRO DEL TIEMPO</v>
      </c>
      <c r="R307" s="81"/>
    </row>
    <row r="308" spans="1:18" ht="48.75" x14ac:dyDescent="0.25">
      <c r="A308" s="6">
        <v>303</v>
      </c>
      <c r="B308" s="59" t="s">
        <v>5824</v>
      </c>
      <c r="C308" s="27">
        <v>44700</v>
      </c>
      <c r="D308" s="27">
        <v>44700</v>
      </c>
      <c r="E308" s="81">
        <v>54</v>
      </c>
      <c r="F308" s="82" t="s">
        <v>22</v>
      </c>
      <c r="G308" s="59" t="s">
        <v>23</v>
      </c>
      <c r="H308" s="59" t="s">
        <v>24</v>
      </c>
      <c r="I308" s="59" t="s">
        <v>23</v>
      </c>
      <c r="J308" s="27">
        <v>44701</v>
      </c>
      <c r="K308" s="27">
        <v>44701</v>
      </c>
      <c r="L308" s="83">
        <f t="shared" si="8"/>
        <v>1</v>
      </c>
      <c r="M308" s="59" t="s">
        <v>5825</v>
      </c>
      <c r="N308" s="84" t="s">
        <v>26</v>
      </c>
      <c r="O308" s="59" t="s">
        <v>2064</v>
      </c>
      <c r="P308" s="8" t="s">
        <v>5818</v>
      </c>
      <c r="Q308" s="84" t="str">
        <f t="shared" si="9"/>
        <v>DENTRO DEL TIEMPO</v>
      </c>
      <c r="R308" s="81"/>
    </row>
    <row r="309" spans="1:18" ht="48.75" x14ac:dyDescent="0.25">
      <c r="A309" s="6">
        <v>304</v>
      </c>
      <c r="B309" s="59" t="s">
        <v>5826</v>
      </c>
      <c r="C309" s="27">
        <v>44705</v>
      </c>
      <c r="D309" s="27">
        <v>44705</v>
      </c>
      <c r="E309" s="81">
        <v>20</v>
      </c>
      <c r="F309" s="82" t="s">
        <v>22</v>
      </c>
      <c r="G309" s="59" t="s">
        <v>23</v>
      </c>
      <c r="H309" s="59" t="s">
        <v>24</v>
      </c>
      <c r="I309" s="59" t="s">
        <v>23</v>
      </c>
      <c r="J309" s="27">
        <v>44705</v>
      </c>
      <c r="K309" s="27">
        <v>44705</v>
      </c>
      <c r="L309" s="83">
        <f t="shared" si="8"/>
        <v>0</v>
      </c>
      <c r="M309" s="59" t="s">
        <v>5827</v>
      </c>
      <c r="N309" s="84" t="s">
        <v>26</v>
      </c>
      <c r="O309" s="59" t="s">
        <v>2064</v>
      </c>
      <c r="P309" s="8" t="s">
        <v>5818</v>
      </c>
      <c r="Q309" s="84" t="str">
        <f t="shared" si="9"/>
        <v>DENTRO DEL TIEMPO</v>
      </c>
      <c r="R309" s="81"/>
    </row>
    <row r="310" spans="1:18" ht="48.75" x14ac:dyDescent="0.25">
      <c r="A310" s="6">
        <v>305</v>
      </c>
      <c r="B310" s="59" t="s">
        <v>5828</v>
      </c>
      <c r="C310" s="27">
        <v>44705</v>
      </c>
      <c r="D310" s="27">
        <v>44705</v>
      </c>
      <c r="E310" s="81">
        <v>52</v>
      </c>
      <c r="F310" s="82" t="s">
        <v>22</v>
      </c>
      <c r="G310" s="59" t="s">
        <v>23</v>
      </c>
      <c r="H310" s="59" t="s">
        <v>24</v>
      </c>
      <c r="I310" s="59" t="s">
        <v>23</v>
      </c>
      <c r="J310" s="27">
        <v>44706</v>
      </c>
      <c r="K310" s="27">
        <v>44706</v>
      </c>
      <c r="L310" s="83">
        <f t="shared" si="8"/>
        <v>1</v>
      </c>
      <c r="M310" s="59" t="s">
        <v>5829</v>
      </c>
      <c r="N310" s="84" t="s">
        <v>26</v>
      </c>
      <c r="O310" s="59" t="s">
        <v>2064</v>
      </c>
      <c r="P310" s="8" t="s">
        <v>5818</v>
      </c>
      <c r="Q310" s="84" t="str">
        <f t="shared" si="9"/>
        <v>DENTRO DEL TIEMPO</v>
      </c>
      <c r="R310" s="81"/>
    </row>
    <row r="311" spans="1:18" ht="48.75" x14ac:dyDescent="0.25">
      <c r="A311" s="6">
        <v>306</v>
      </c>
      <c r="B311" s="59" t="s">
        <v>5830</v>
      </c>
      <c r="C311" s="27">
        <v>44706</v>
      </c>
      <c r="D311" s="27">
        <v>44706</v>
      </c>
      <c r="E311" s="81">
        <v>36</v>
      </c>
      <c r="F311" s="82" t="s">
        <v>22</v>
      </c>
      <c r="G311" s="59" t="s">
        <v>23</v>
      </c>
      <c r="H311" s="59" t="s">
        <v>24</v>
      </c>
      <c r="I311" s="59" t="s">
        <v>23</v>
      </c>
      <c r="J311" s="27">
        <v>44708</v>
      </c>
      <c r="K311" s="27">
        <v>44708</v>
      </c>
      <c r="L311" s="83">
        <f t="shared" si="8"/>
        <v>2</v>
      </c>
      <c r="M311" s="59" t="s">
        <v>5831</v>
      </c>
      <c r="N311" s="84" t="s">
        <v>26</v>
      </c>
      <c r="O311" s="59" t="s">
        <v>2064</v>
      </c>
      <c r="P311" s="8" t="s">
        <v>5818</v>
      </c>
      <c r="Q311" s="84" t="str">
        <f t="shared" si="9"/>
        <v>DENTRO DEL TIEMPO</v>
      </c>
      <c r="R311" s="81"/>
    </row>
    <row r="312" spans="1:18" ht="40.5" x14ac:dyDescent="0.25">
      <c r="A312" s="6">
        <v>307</v>
      </c>
      <c r="B312" s="59" t="s">
        <v>5832</v>
      </c>
      <c r="C312" s="27">
        <v>44671</v>
      </c>
      <c r="D312" s="27">
        <v>44693</v>
      </c>
      <c r="E312" s="81">
        <v>2</v>
      </c>
      <c r="F312" s="82" t="s">
        <v>22</v>
      </c>
      <c r="G312" s="59" t="s">
        <v>23</v>
      </c>
      <c r="H312" s="59" t="s">
        <v>2956</v>
      </c>
      <c r="I312" s="59" t="s">
        <v>23</v>
      </c>
      <c r="J312" s="27">
        <v>44694</v>
      </c>
      <c r="K312" s="27">
        <v>44694</v>
      </c>
      <c r="L312" s="83">
        <f t="shared" si="8"/>
        <v>1</v>
      </c>
      <c r="M312" s="59" t="s">
        <v>5833</v>
      </c>
      <c r="N312" s="84" t="s">
        <v>26</v>
      </c>
      <c r="O312" s="59" t="s">
        <v>5834</v>
      </c>
      <c r="P312" s="8" t="s">
        <v>5835</v>
      </c>
      <c r="Q312" s="84" t="str">
        <f t="shared" si="9"/>
        <v>DENTRO DEL TIEMPO</v>
      </c>
      <c r="R312" s="81"/>
    </row>
    <row r="313" spans="1:18" ht="58.5" x14ac:dyDescent="0.25">
      <c r="A313" s="6">
        <v>308</v>
      </c>
      <c r="B313" s="27" t="s">
        <v>5836</v>
      </c>
      <c r="C313" s="27">
        <v>44684</v>
      </c>
      <c r="D313" s="27">
        <v>44684</v>
      </c>
      <c r="E313" s="81">
        <v>9</v>
      </c>
      <c r="F313" s="82" t="s">
        <v>22</v>
      </c>
      <c r="G313" s="59" t="s">
        <v>2171</v>
      </c>
      <c r="H313" s="59" t="s">
        <v>2255</v>
      </c>
      <c r="I313" s="59" t="s">
        <v>2171</v>
      </c>
      <c r="J313" s="27">
        <v>44684</v>
      </c>
      <c r="K313" s="27">
        <v>44684</v>
      </c>
      <c r="L313" s="83">
        <f t="shared" si="8"/>
        <v>0</v>
      </c>
      <c r="M313" s="59" t="s">
        <v>5837</v>
      </c>
      <c r="N313" s="84" t="s">
        <v>1025</v>
      </c>
      <c r="O313" s="59" t="s">
        <v>5838</v>
      </c>
      <c r="P313" s="8" t="s">
        <v>5839</v>
      </c>
      <c r="Q313" s="84" t="s">
        <v>5840</v>
      </c>
      <c r="R313" s="81"/>
    </row>
    <row r="314" spans="1:18" ht="58.5" x14ac:dyDescent="0.25">
      <c r="A314" s="6">
        <v>309</v>
      </c>
      <c r="B314" s="27" t="s">
        <v>5841</v>
      </c>
      <c r="C314" s="27">
        <v>44685</v>
      </c>
      <c r="D314" s="27">
        <v>44686</v>
      </c>
      <c r="E314" s="81">
        <v>2</v>
      </c>
      <c r="F314" s="82" t="s">
        <v>22</v>
      </c>
      <c r="G314" s="59" t="s">
        <v>2177</v>
      </c>
      <c r="H314" s="59" t="s">
        <v>2255</v>
      </c>
      <c r="I314" s="59" t="s">
        <v>2177</v>
      </c>
      <c r="J314" s="27">
        <v>44686</v>
      </c>
      <c r="K314" s="27">
        <v>44686</v>
      </c>
      <c r="L314" s="83">
        <f t="shared" si="8"/>
        <v>0</v>
      </c>
      <c r="M314" s="59" t="s">
        <v>5842</v>
      </c>
      <c r="N314" s="84" t="s">
        <v>1025</v>
      </c>
      <c r="O314" s="59" t="s">
        <v>5843</v>
      </c>
      <c r="P314" s="8" t="s">
        <v>5844</v>
      </c>
      <c r="Q314" s="84" t="s">
        <v>5840</v>
      </c>
      <c r="R314" s="81"/>
    </row>
    <row r="315" spans="1:18" ht="58.5" x14ac:dyDescent="0.25">
      <c r="A315" s="6">
        <v>310</v>
      </c>
      <c r="B315" s="27" t="s">
        <v>5845</v>
      </c>
      <c r="C315" s="27">
        <v>44686</v>
      </c>
      <c r="D315" s="27">
        <v>44687</v>
      </c>
      <c r="E315" s="81">
        <v>46</v>
      </c>
      <c r="F315" s="82" t="s">
        <v>22</v>
      </c>
      <c r="G315" s="59" t="s">
        <v>2171</v>
      </c>
      <c r="H315" s="59" t="s">
        <v>2255</v>
      </c>
      <c r="I315" s="59" t="s">
        <v>2171</v>
      </c>
      <c r="J315" s="27">
        <v>44687</v>
      </c>
      <c r="K315" s="27">
        <v>44687</v>
      </c>
      <c r="L315" s="83">
        <f t="shared" si="8"/>
        <v>0</v>
      </c>
      <c r="M315" s="59" t="s">
        <v>5846</v>
      </c>
      <c r="N315" s="84"/>
      <c r="O315" s="59" t="s">
        <v>5847</v>
      </c>
      <c r="P315" s="8" t="s">
        <v>5848</v>
      </c>
      <c r="Q315" s="84" t="s">
        <v>5840</v>
      </c>
      <c r="R315" s="81"/>
    </row>
    <row r="316" spans="1:18" ht="58.5" x14ac:dyDescent="0.25">
      <c r="A316" s="6">
        <v>311</v>
      </c>
      <c r="B316" s="27" t="s">
        <v>5841</v>
      </c>
      <c r="C316" s="27">
        <v>44690</v>
      </c>
      <c r="D316" s="27">
        <v>44690</v>
      </c>
      <c r="E316" s="81">
        <v>2</v>
      </c>
      <c r="F316" s="82" t="s">
        <v>22</v>
      </c>
      <c r="G316" s="59" t="s">
        <v>2177</v>
      </c>
      <c r="H316" s="59" t="s">
        <v>2255</v>
      </c>
      <c r="I316" s="59" t="s">
        <v>2177</v>
      </c>
      <c r="J316" s="27">
        <v>44690</v>
      </c>
      <c r="K316" s="27">
        <v>44690</v>
      </c>
      <c r="L316" s="83">
        <f t="shared" si="8"/>
        <v>0</v>
      </c>
      <c r="M316" s="59" t="s">
        <v>5849</v>
      </c>
      <c r="N316" s="84" t="s">
        <v>1025</v>
      </c>
      <c r="O316" s="59" t="s">
        <v>5850</v>
      </c>
      <c r="P316" s="8" t="s">
        <v>5844</v>
      </c>
      <c r="Q316" s="84" t="s">
        <v>5840</v>
      </c>
      <c r="R316" s="81"/>
    </row>
    <row r="317" spans="1:18" ht="58.5" x14ac:dyDescent="0.25">
      <c r="A317" s="6">
        <v>312</v>
      </c>
      <c r="B317" s="27" t="s">
        <v>5851</v>
      </c>
      <c r="C317" s="27">
        <v>44690</v>
      </c>
      <c r="D317" s="27">
        <v>44690</v>
      </c>
      <c r="E317" s="81">
        <v>7</v>
      </c>
      <c r="F317" s="82" t="s">
        <v>22</v>
      </c>
      <c r="G317" s="59" t="s">
        <v>2171</v>
      </c>
      <c r="H317" s="59" t="s">
        <v>2255</v>
      </c>
      <c r="I317" s="59" t="s">
        <v>2171</v>
      </c>
      <c r="J317" s="27">
        <v>44690</v>
      </c>
      <c r="K317" s="27">
        <v>44690</v>
      </c>
      <c r="L317" s="83">
        <f>+NETWORKDAYS(D317,K317,$R$6:$R$9)-1</f>
        <v>0</v>
      </c>
      <c r="M317" s="59" t="s">
        <v>5852</v>
      </c>
      <c r="N317" s="84" t="s">
        <v>1025</v>
      </c>
      <c r="O317" s="59" t="s">
        <v>5853</v>
      </c>
      <c r="P317" s="8" t="s">
        <v>5854</v>
      </c>
      <c r="Q317" s="84" t="s">
        <v>5840</v>
      </c>
      <c r="R317" s="81"/>
    </row>
    <row r="318" spans="1:18" ht="58.5" x14ac:dyDescent="0.25">
      <c r="A318" s="6">
        <v>313</v>
      </c>
      <c r="B318" s="27" t="s">
        <v>5855</v>
      </c>
      <c r="C318" s="27">
        <v>44690</v>
      </c>
      <c r="D318" s="27">
        <v>44690</v>
      </c>
      <c r="E318" s="81">
        <v>2</v>
      </c>
      <c r="F318" s="82" t="s">
        <v>22</v>
      </c>
      <c r="G318" s="59" t="s">
        <v>2171</v>
      </c>
      <c r="H318" s="59" t="s">
        <v>2255</v>
      </c>
      <c r="I318" s="59" t="s">
        <v>2171</v>
      </c>
      <c r="J318" s="27">
        <v>44690</v>
      </c>
      <c r="K318" s="27">
        <v>44690</v>
      </c>
      <c r="L318" s="83">
        <f t="shared" si="8"/>
        <v>0</v>
      </c>
      <c r="M318" s="59" t="s">
        <v>5856</v>
      </c>
      <c r="N318" s="84" t="s">
        <v>1039</v>
      </c>
      <c r="O318" s="59" t="s">
        <v>5857</v>
      </c>
      <c r="P318" s="8" t="s">
        <v>5858</v>
      </c>
      <c r="Q318" s="84" t="s">
        <v>5840</v>
      </c>
      <c r="R318" s="81"/>
    </row>
    <row r="319" spans="1:18" ht="58.5" x14ac:dyDescent="0.25">
      <c r="A319" s="6">
        <v>314</v>
      </c>
      <c r="B319" s="27" t="s">
        <v>5859</v>
      </c>
      <c r="C319" s="27">
        <v>44690</v>
      </c>
      <c r="D319" s="27">
        <v>44691</v>
      </c>
      <c r="E319" s="81">
        <v>2</v>
      </c>
      <c r="F319" s="82" t="s">
        <v>22</v>
      </c>
      <c r="G319" s="59" t="s">
        <v>2171</v>
      </c>
      <c r="H319" s="59" t="s">
        <v>2255</v>
      </c>
      <c r="I319" s="59" t="s">
        <v>2171</v>
      </c>
      <c r="J319" s="27">
        <v>44691</v>
      </c>
      <c r="K319" s="27">
        <v>44691</v>
      </c>
      <c r="L319" s="83">
        <f t="shared" si="8"/>
        <v>0</v>
      </c>
      <c r="M319" s="59" t="s">
        <v>5860</v>
      </c>
      <c r="N319" s="84" t="s">
        <v>1025</v>
      </c>
      <c r="O319" s="59" t="s">
        <v>5861</v>
      </c>
      <c r="P319" s="8" t="s">
        <v>5862</v>
      </c>
      <c r="Q319" s="84" t="s">
        <v>5840</v>
      </c>
      <c r="R319" s="81"/>
    </row>
    <row r="320" spans="1:18" ht="58.5" x14ac:dyDescent="0.25">
      <c r="A320" s="6">
        <v>315</v>
      </c>
      <c r="B320" s="27" t="s">
        <v>5863</v>
      </c>
      <c r="C320" s="27">
        <v>44691</v>
      </c>
      <c r="D320" s="27">
        <v>44691</v>
      </c>
      <c r="E320" s="81">
        <v>2</v>
      </c>
      <c r="F320" s="82" t="s">
        <v>22</v>
      </c>
      <c r="G320" s="59" t="s">
        <v>2171</v>
      </c>
      <c r="H320" s="59" t="s">
        <v>2255</v>
      </c>
      <c r="I320" s="59" t="s">
        <v>2171</v>
      </c>
      <c r="J320" s="27">
        <v>44691</v>
      </c>
      <c r="K320" s="27">
        <v>44691</v>
      </c>
      <c r="L320" s="83">
        <f t="shared" si="8"/>
        <v>0</v>
      </c>
      <c r="M320" s="59" t="s">
        <v>5864</v>
      </c>
      <c r="N320" s="84" t="s">
        <v>1025</v>
      </c>
      <c r="O320" s="59" t="s">
        <v>5865</v>
      </c>
      <c r="P320" s="8" t="s">
        <v>5866</v>
      </c>
      <c r="Q320" s="84" t="s">
        <v>5840</v>
      </c>
      <c r="R320" s="81"/>
    </row>
    <row r="321" spans="1:18" ht="58.5" x14ac:dyDescent="0.25">
      <c r="A321" s="6">
        <v>316</v>
      </c>
      <c r="B321" s="27" t="s">
        <v>5867</v>
      </c>
      <c r="C321" s="27">
        <v>44691</v>
      </c>
      <c r="D321" s="27">
        <v>44691</v>
      </c>
      <c r="E321" s="81">
        <v>2</v>
      </c>
      <c r="F321" s="82" t="s">
        <v>22</v>
      </c>
      <c r="G321" s="59" t="s">
        <v>2171</v>
      </c>
      <c r="H321" s="59" t="s">
        <v>2255</v>
      </c>
      <c r="I321" s="59" t="s">
        <v>2171</v>
      </c>
      <c r="J321" s="27">
        <v>44691</v>
      </c>
      <c r="K321" s="27">
        <v>44691</v>
      </c>
      <c r="L321" s="83">
        <f t="shared" si="8"/>
        <v>0</v>
      </c>
      <c r="M321" s="59" t="s">
        <v>5868</v>
      </c>
      <c r="N321" s="84" t="s">
        <v>1025</v>
      </c>
      <c r="O321" s="59" t="s">
        <v>5869</v>
      </c>
      <c r="P321" s="8" t="s">
        <v>5870</v>
      </c>
      <c r="Q321" s="84" t="s">
        <v>5840</v>
      </c>
      <c r="R321" s="81"/>
    </row>
    <row r="322" spans="1:18" ht="58.5" x14ac:dyDescent="0.25">
      <c r="A322" s="6">
        <v>317</v>
      </c>
      <c r="B322" s="27" t="s">
        <v>5871</v>
      </c>
      <c r="C322" s="27">
        <v>44684</v>
      </c>
      <c r="D322" s="27">
        <v>44692</v>
      </c>
      <c r="E322" s="81">
        <v>10</v>
      </c>
      <c r="F322" s="82" t="s">
        <v>22</v>
      </c>
      <c r="G322" s="59" t="s">
        <v>2177</v>
      </c>
      <c r="H322" s="59" t="s">
        <v>2255</v>
      </c>
      <c r="I322" s="59" t="s">
        <v>2177</v>
      </c>
      <c r="J322" s="27">
        <v>44692</v>
      </c>
      <c r="K322" s="27">
        <v>44692</v>
      </c>
      <c r="L322" s="83">
        <f t="shared" si="8"/>
        <v>0</v>
      </c>
      <c r="M322" s="59" t="s">
        <v>5872</v>
      </c>
      <c r="N322" s="84" t="s">
        <v>1025</v>
      </c>
      <c r="O322" s="59" t="s">
        <v>5873</v>
      </c>
      <c r="P322" s="8" t="s">
        <v>5874</v>
      </c>
      <c r="Q322" s="84" t="s">
        <v>5840</v>
      </c>
      <c r="R322" s="81"/>
    </row>
    <row r="323" spans="1:18" ht="58.5" x14ac:dyDescent="0.25">
      <c r="A323" s="6">
        <v>318</v>
      </c>
      <c r="B323" s="27" t="s">
        <v>5875</v>
      </c>
      <c r="C323" s="27">
        <v>44692</v>
      </c>
      <c r="D323" s="27">
        <v>44692</v>
      </c>
      <c r="E323" s="81">
        <v>2</v>
      </c>
      <c r="F323" s="82" t="s">
        <v>22</v>
      </c>
      <c r="G323" s="59" t="s">
        <v>2171</v>
      </c>
      <c r="H323" s="59" t="s">
        <v>2255</v>
      </c>
      <c r="I323" s="59" t="s">
        <v>2171</v>
      </c>
      <c r="J323" s="27">
        <v>44692</v>
      </c>
      <c r="K323" s="27">
        <v>44692</v>
      </c>
      <c r="L323" s="83">
        <f t="shared" si="8"/>
        <v>0</v>
      </c>
      <c r="M323" s="59" t="s">
        <v>5876</v>
      </c>
      <c r="N323" s="84" t="s">
        <v>1025</v>
      </c>
      <c r="O323" s="59" t="s">
        <v>5877</v>
      </c>
      <c r="P323" s="8" t="s">
        <v>5878</v>
      </c>
      <c r="Q323" s="84" t="s">
        <v>5840</v>
      </c>
      <c r="R323" s="81"/>
    </row>
    <row r="324" spans="1:18" ht="58.5" x14ac:dyDescent="0.25">
      <c r="A324" s="6">
        <v>319</v>
      </c>
      <c r="B324" s="27" t="s">
        <v>5879</v>
      </c>
      <c r="C324" s="27">
        <v>44694</v>
      </c>
      <c r="D324" s="27">
        <v>44694</v>
      </c>
      <c r="E324" s="81">
        <v>2</v>
      </c>
      <c r="F324" s="82" t="s">
        <v>22</v>
      </c>
      <c r="G324" s="59" t="s">
        <v>2171</v>
      </c>
      <c r="H324" s="59" t="s">
        <v>2255</v>
      </c>
      <c r="I324" s="59" t="s">
        <v>2171</v>
      </c>
      <c r="J324" s="27">
        <v>44694</v>
      </c>
      <c r="K324" s="27">
        <v>44694</v>
      </c>
      <c r="L324" s="83">
        <f t="shared" si="8"/>
        <v>0</v>
      </c>
      <c r="M324" s="59" t="s">
        <v>5880</v>
      </c>
      <c r="N324" s="84" t="s">
        <v>1025</v>
      </c>
      <c r="O324" s="59" t="s">
        <v>5881</v>
      </c>
      <c r="P324" s="8" t="s">
        <v>5882</v>
      </c>
      <c r="Q324" s="84" t="s">
        <v>5840</v>
      </c>
      <c r="R324" s="81"/>
    </row>
    <row r="325" spans="1:18" ht="58.5" x14ac:dyDescent="0.25">
      <c r="A325" s="6">
        <v>320</v>
      </c>
      <c r="B325" s="27" t="s">
        <v>5883</v>
      </c>
      <c r="C325" s="27">
        <v>44697</v>
      </c>
      <c r="D325" s="27">
        <v>44697</v>
      </c>
      <c r="E325" s="81">
        <v>2</v>
      </c>
      <c r="F325" s="82" t="s">
        <v>22</v>
      </c>
      <c r="G325" s="59" t="s">
        <v>2171</v>
      </c>
      <c r="H325" s="59" t="s">
        <v>2255</v>
      </c>
      <c r="I325" s="59" t="s">
        <v>2171</v>
      </c>
      <c r="J325" s="27">
        <v>44697</v>
      </c>
      <c r="K325" s="27">
        <v>44697</v>
      </c>
      <c r="L325" s="83">
        <f t="shared" si="8"/>
        <v>0</v>
      </c>
      <c r="M325" s="59" t="s">
        <v>5884</v>
      </c>
      <c r="N325" s="84" t="s">
        <v>1025</v>
      </c>
      <c r="O325" s="59" t="s">
        <v>5885</v>
      </c>
      <c r="P325" s="8" t="s">
        <v>5886</v>
      </c>
      <c r="Q325" s="84" t="s">
        <v>5840</v>
      </c>
      <c r="R325" s="81"/>
    </row>
    <row r="326" spans="1:18" ht="58.5" x14ac:dyDescent="0.25">
      <c r="A326" s="6">
        <v>321</v>
      </c>
      <c r="B326" s="27" t="s">
        <v>5887</v>
      </c>
      <c r="C326" s="27">
        <v>44694</v>
      </c>
      <c r="D326" s="27">
        <v>44698</v>
      </c>
      <c r="E326" s="81">
        <v>15</v>
      </c>
      <c r="F326" s="82" t="s">
        <v>22</v>
      </c>
      <c r="G326" s="59" t="s">
        <v>2171</v>
      </c>
      <c r="H326" s="59" t="s">
        <v>2255</v>
      </c>
      <c r="I326" s="59" t="s">
        <v>2171</v>
      </c>
      <c r="J326" s="27">
        <v>44698</v>
      </c>
      <c r="K326" s="27">
        <v>44698</v>
      </c>
      <c r="L326" s="83">
        <f t="shared" si="8"/>
        <v>0</v>
      </c>
      <c r="M326" s="59" t="s">
        <v>5888</v>
      </c>
      <c r="N326" s="84" t="s">
        <v>1025</v>
      </c>
      <c r="O326" s="59" t="s">
        <v>5889</v>
      </c>
      <c r="P326" s="8" t="s">
        <v>5890</v>
      </c>
      <c r="Q326" s="84" t="s">
        <v>5840</v>
      </c>
      <c r="R326" s="81"/>
    </row>
    <row r="327" spans="1:18" ht="58.5" x14ac:dyDescent="0.25">
      <c r="A327" s="6">
        <v>322</v>
      </c>
      <c r="B327" s="27" t="s">
        <v>5891</v>
      </c>
      <c r="C327" s="27">
        <v>44698</v>
      </c>
      <c r="D327" s="27">
        <v>44698</v>
      </c>
      <c r="E327" s="81">
        <v>2</v>
      </c>
      <c r="F327" s="82" t="s">
        <v>22</v>
      </c>
      <c r="G327" s="59" t="s">
        <v>2171</v>
      </c>
      <c r="H327" s="59" t="s">
        <v>2255</v>
      </c>
      <c r="I327" s="59" t="s">
        <v>2171</v>
      </c>
      <c r="J327" s="27">
        <v>44698</v>
      </c>
      <c r="K327" s="27">
        <v>44698</v>
      </c>
      <c r="L327" s="83">
        <f t="shared" ref="L327:L390" si="10">+NETWORKDAYS(D327,K327,$R$6:$R$9)-1</f>
        <v>0</v>
      </c>
      <c r="M327" s="59" t="s">
        <v>5892</v>
      </c>
      <c r="N327" s="84" t="s">
        <v>1025</v>
      </c>
      <c r="O327" s="59" t="s">
        <v>5893</v>
      </c>
      <c r="P327" s="8" t="s">
        <v>5894</v>
      </c>
      <c r="Q327" s="84" t="s">
        <v>5840</v>
      </c>
      <c r="R327" s="81"/>
    </row>
    <row r="328" spans="1:18" ht="58.5" x14ac:dyDescent="0.25">
      <c r="A328" s="6">
        <v>323</v>
      </c>
      <c r="B328" s="27" t="s">
        <v>5895</v>
      </c>
      <c r="C328" s="27">
        <v>44698</v>
      </c>
      <c r="D328" s="27">
        <v>44698</v>
      </c>
      <c r="E328" s="81">
        <v>8</v>
      </c>
      <c r="F328" s="82" t="s">
        <v>22</v>
      </c>
      <c r="G328" s="59" t="s">
        <v>2171</v>
      </c>
      <c r="H328" s="59" t="s">
        <v>2255</v>
      </c>
      <c r="I328" s="59" t="s">
        <v>2171</v>
      </c>
      <c r="J328" s="27">
        <v>44698</v>
      </c>
      <c r="K328" s="27">
        <v>44698</v>
      </c>
      <c r="L328" s="83">
        <f t="shared" si="10"/>
        <v>0</v>
      </c>
      <c r="M328" s="59" t="s">
        <v>5896</v>
      </c>
      <c r="N328" s="84" t="s">
        <v>1025</v>
      </c>
      <c r="O328" s="59" t="s">
        <v>5897</v>
      </c>
      <c r="P328" s="8" t="s">
        <v>5894</v>
      </c>
      <c r="Q328" s="84" t="s">
        <v>5840</v>
      </c>
      <c r="R328" s="81"/>
    </row>
    <row r="329" spans="1:18" ht="58.5" x14ac:dyDescent="0.25">
      <c r="A329" s="6">
        <v>324</v>
      </c>
      <c r="B329" s="27" t="s">
        <v>5898</v>
      </c>
      <c r="C329" s="27">
        <v>44700</v>
      </c>
      <c r="D329" s="27">
        <v>44700</v>
      </c>
      <c r="E329" s="81">
        <v>2</v>
      </c>
      <c r="F329" s="82" t="s">
        <v>22</v>
      </c>
      <c r="G329" s="59" t="s">
        <v>2171</v>
      </c>
      <c r="H329" s="59" t="s">
        <v>2255</v>
      </c>
      <c r="I329" s="59" t="s">
        <v>2171</v>
      </c>
      <c r="J329" s="27">
        <v>44700</v>
      </c>
      <c r="K329" s="27">
        <v>44700</v>
      </c>
      <c r="L329" s="83">
        <f t="shared" si="10"/>
        <v>0</v>
      </c>
      <c r="M329" s="59" t="s">
        <v>5899</v>
      </c>
      <c r="N329" s="84"/>
      <c r="O329" s="59" t="s">
        <v>5900</v>
      </c>
      <c r="P329" s="8" t="s">
        <v>5901</v>
      </c>
      <c r="Q329" s="84" t="s">
        <v>5840</v>
      </c>
      <c r="R329" s="81"/>
    </row>
    <row r="330" spans="1:18" ht="58.5" x14ac:dyDescent="0.25">
      <c r="A330" s="6">
        <v>325</v>
      </c>
      <c r="B330" s="27" t="s">
        <v>5902</v>
      </c>
      <c r="C330" s="27">
        <v>44705</v>
      </c>
      <c r="D330" s="27">
        <v>44706</v>
      </c>
      <c r="E330" s="81">
        <v>2</v>
      </c>
      <c r="F330" s="82" t="s">
        <v>22</v>
      </c>
      <c r="G330" s="59" t="s">
        <v>2171</v>
      </c>
      <c r="H330" s="59" t="s">
        <v>2255</v>
      </c>
      <c r="I330" s="59" t="s">
        <v>2171</v>
      </c>
      <c r="J330" s="27">
        <v>44706</v>
      </c>
      <c r="K330" s="27">
        <v>44706</v>
      </c>
      <c r="L330" s="83">
        <f t="shared" si="10"/>
        <v>0</v>
      </c>
      <c r="M330" s="59" t="s">
        <v>5903</v>
      </c>
      <c r="N330" s="84" t="s">
        <v>1025</v>
      </c>
      <c r="O330" s="59" t="s">
        <v>5904</v>
      </c>
      <c r="P330" s="8" t="s">
        <v>5905</v>
      </c>
      <c r="Q330" s="84" t="s">
        <v>5840</v>
      </c>
      <c r="R330" s="81"/>
    </row>
    <row r="331" spans="1:18" ht="58.5" x14ac:dyDescent="0.25">
      <c r="A331" s="6">
        <v>326</v>
      </c>
      <c r="B331" s="27" t="s">
        <v>5906</v>
      </c>
      <c r="C331" s="27">
        <v>44706</v>
      </c>
      <c r="D331" s="27">
        <v>44706</v>
      </c>
      <c r="E331" s="81">
        <v>2</v>
      </c>
      <c r="F331" s="82" t="s">
        <v>22</v>
      </c>
      <c r="G331" s="59" t="s">
        <v>2171</v>
      </c>
      <c r="H331" s="59" t="s">
        <v>2255</v>
      </c>
      <c r="I331" s="59" t="s">
        <v>2171</v>
      </c>
      <c r="J331" s="27">
        <v>44706</v>
      </c>
      <c r="K331" s="27">
        <v>44706</v>
      </c>
      <c r="L331" s="83">
        <f t="shared" si="10"/>
        <v>0</v>
      </c>
      <c r="M331" s="59" t="s">
        <v>5907</v>
      </c>
      <c r="N331" s="84" t="s">
        <v>1025</v>
      </c>
      <c r="O331" s="59" t="s">
        <v>5908</v>
      </c>
      <c r="P331" s="8" t="s">
        <v>5909</v>
      </c>
      <c r="Q331" s="84" t="s">
        <v>5840</v>
      </c>
      <c r="R331" s="81"/>
    </row>
    <row r="332" spans="1:18" ht="58.5" x14ac:dyDescent="0.25">
      <c r="A332" s="6">
        <v>327</v>
      </c>
      <c r="B332" s="27" t="s">
        <v>5910</v>
      </c>
      <c r="C332" s="27">
        <v>44706</v>
      </c>
      <c r="D332" s="27">
        <v>44706</v>
      </c>
      <c r="E332" s="81">
        <v>2</v>
      </c>
      <c r="F332" s="82" t="s">
        <v>22</v>
      </c>
      <c r="G332" s="59" t="s">
        <v>2171</v>
      </c>
      <c r="H332" s="59" t="s">
        <v>2255</v>
      </c>
      <c r="I332" s="59" t="s">
        <v>2171</v>
      </c>
      <c r="J332" s="27">
        <v>44706</v>
      </c>
      <c r="K332" s="27">
        <v>44706</v>
      </c>
      <c r="L332" s="83">
        <f t="shared" si="10"/>
        <v>0</v>
      </c>
      <c r="M332" s="59" t="s">
        <v>5911</v>
      </c>
      <c r="N332" s="84" t="s">
        <v>1025</v>
      </c>
      <c r="O332" s="59" t="s">
        <v>5908</v>
      </c>
      <c r="P332" s="8" t="s">
        <v>5909</v>
      </c>
      <c r="Q332" s="84" t="s">
        <v>5840</v>
      </c>
      <c r="R332" s="81"/>
    </row>
    <row r="333" spans="1:18" ht="58.5" x14ac:dyDescent="0.25">
      <c r="A333" s="6">
        <v>328</v>
      </c>
      <c r="B333" s="27" t="s">
        <v>5912</v>
      </c>
      <c r="C333" s="27">
        <v>44707</v>
      </c>
      <c r="D333" s="27">
        <v>44707</v>
      </c>
      <c r="E333" s="81">
        <v>2</v>
      </c>
      <c r="F333" s="82" t="s">
        <v>22</v>
      </c>
      <c r="G333" s="59" t="s">
        <v>2171</v>
      </c>
      <c r="H333" s="59" t="s">
        <v>2255</v>
      </c>
      <c r="I333" s="59" t="s">
        <v>2171</v>
      </c>
      <c r="J333" s="27">
        <v>44707</v>
      </c>
      <c r="K333" s="27">
        <v>44707</v>
      </c>
      <c r="L333" s="83">
        <f t="shared" si="10"/>
        <v>0</v>
      </c>
      <c r="M333" s="59" t="s">
        <v>5913</v>
      </c>
      <c r="N333" s="84" t="s">
        <v>1025</v>
      </c>
      <c r="O333" s="59" t="s">
        <v>5914</v>
      </c>
      <c r="P333" s="8" t="s">
        <v>5915</v>
      </c>
      <c r="Q333" s="84" t="s">
        <v>5840</v>
      </c>
      <c r="R333" s="81"/>
    </row>
    <row r="334" spans="1:18" ht="58.5" x14ac:dyDescent="0.25">
      <c r="A334" s="6">
        <v>329</v>
      </c>
      <c r="B334" s="27" t="s">
        <v>5916</v>
      </c>
      <c r="C334" s="27">
        <v>44707</v>
      </c>
      <c r="D334" s="27">
        <v>44707</v>
      </c>
      <c r="E334" s="81">
        <v>2</v>
      </c>
      <c r="F334" s="82" t="s">
        <v>22</v>
      </c>
      <c r="G334" s="59" t="s">
        <v>2171</v>
      </c>
      <c r="H334" s="59" t="s">
        <v>2255</v>
      </c>
      <c r="I334" s="59" t="s">
        <v>2171</v>
      </c>
      <c r="J334" s="27">
        <v>44707</v>
      </c>
      <c r="K334" s="27">
        <v>44707</v>
      </c>
      <c r="L334" s="83">
        <f t="shared" si="10"/>
        <v>0</v>
      </c>
      <c r="M334" s="59" t="s">
        <v>5917</v>
      </c>
      <c r="N334" s="84" t="s">
        <v>1025</v>
      </c>
      <c r="O334" s="59" t="s">
        <v>5914</v>
      </c>
      <c r="P334" s="8" t="s">
        <v>5915</v>
      </c>
      <c r="Q334" s="84" t="s">
        <v>5840</v>
      </c>
      <c r="R334" s="81"/>
    </row>
    <row r="335" spans="1:18" ht="58.5" x14ac:dyDescent="0.25">
      <c r="A335" s="6">
        <v>330</v>
      </c>
      <c r="B335" s="27" t="s">
        <v>5918</v>
      </c>
      <c r="C335" s="27">
        <v>44732</v>
      </c>
      <c r="D335" s="27">
        <v>44707</v>
      </c>
      <c r="E335" s="81">
        <v>2</v>
      </c>
      <c r="F335" s="82" t="s">
        <v>22</v>
      </c>
      <c r="G335" s="59" t="s">
        <v>2171</v>
      </c>
      <c r="H335" s="59" t="s">
        <v>2255</v>
      </c>
      <c r="I335" s="59" t="s">
        <v>2171</v>
      </c>
      <c r="J335" s="27">
        <v>44707</v>
      </c>
      <c r="K335" s="27">
        <v>44707</v>
      </c>
      <c r="L335" s="83">
        <f t="shared" si="10"/>
        <v>0</v>
      </c>
      <c r="M335" s="59" t="s">
        <v>5919</v>
      </c>
      <c r="N335" s="84" t="s">
        <v>1025</v>
      </c>
      <c r="O335" s="59" t="s">
        <v>5920</v>
      </c>
      <c r="P335" s="8" t="s">
        <v>5905</v>
      </c>
      <c r="Q335" s="84" t="s">
        <v>5840</v>
      </c>
      <c r="R335" s="81"/>
    </row>
    <row r="336" spans="1:18" ht="58.5" x14ac:dyDescent="0.25">
      <c r="A336" s="6">
        <v>331</v>
      </c>
      <c r="B336" s="27" t="s">
        <v>5921</v>
      </c>
      <c r="C336" s="27">
        <v>44708</v>
      </c>
      <c r="D336" s="27">
        <v>44708</v>
      </c>
      <c r="E336" s="81">
        <v>30</v>
      </c>
      <c r="F336" s="82" t="s">
        <v>22</v>
      </c>
      <c r="G336" s="59" t="s">
        <v>2171</v>
      </c>
      <c r="H336" s="59" t="s">
        <v>2255</v>
      </c>
      <c r="I336" s="59" t="s">
        <v>2171</v>
      </c>
      <c r="J336" s="27">
        <v>44708</v>
      </c>
      <c r="K336" s="27">
        <v>44708</v>
      </c>
      <c r="L336" s="83">
        <f t="shared" si="10"/>
        <v>0</v>
      </c>
      <c r="M336" s="59" t="s">
        <v>5922</v>
      </c>
      <c r="N336" s="84" t="s">
        <v>1025</v>
      </c>
      <c r="O336" s="59" t="s">
        <v>5923</v>
      </c>
      <c r="P336" s="8" t="s">
        <v>5924</v>
      </c>
      <c r="Q336" s="84" t="s">
        <v>5840</v>
      </c>
      <c r="R336" s="81"/>
    </row>
    <row r="337" spans="1:18" ht="58.5" x14ac:dyDescent="0.25">
      <c r="A337" s="6">
        <v>332</v>
      </c>
      <c r="B337" s="27" t="s">
        <v>5925</v>
      </c>
      <c r="C337" s="27">
        <v>44711</v>
      </c>
      <c r="D337" s="27">
        <v>44712</v>
      </c>
      <c r="E337" s="81">
        <v>2</v>
      </c>
      <c r="F337" s="82" t="s">
        <v>22</v>
      </c>
      <c r="G337" s="59" t="s">
        <v>2171</v>
      </c>
      <c r="H337" s="59" t="s">
        <v>2255</v>
      </c>
      <c r="I337" s="59" t="s">
        <v>2171</v>
      </c>
      <c r="J337" s="27">
        <v>44712</v>
      </c>
      <c r="K337" s="27">
        <v>44712</v>
      </c>
      <c r="L337" s="83">
        <f t="shared" si="10"/>
        <v>0</v>
      </c>
      <c r="M337" s="59" t="s">
        <v>5926</v>
      </c>
      <c r="N337" s="84" t="s">
        <v>1025</v>
      </c>
      <c r="O337" s="59" t="s">
        <v>5927</v>
      </c>
      <c r="P337" s="8" t="s">
        <v>5905</v>
      </c>
      <c r="Q337" s="84" t="s">
        <v>5840</v>
      </c>
      <c r="R337" s="81"/>
    </row>
    <row r="338" spans="1:18" ht="58.5" x14ac:dyDescent="0.25">
      <c r="A338" s="6">
        <v>333</v>
      </c>
      <c r="B338" s="27" t="s">
        <v>5928</v>
      </c>
      <c r="C338" s="27">
        <v>44712</v>
      </c>
      <c r="D338" s="27">
        <v>44712</v>
      </c>
      <c r="E338" s="81">
        <v>2</v>
      </c>
      <c r="F338" s="82" t="s">
        <v>22</v>
      </c>
      <c r="G338" s="59" t="s">
        <v>2171</v>
      </c>
      <c r="H338" s="59" t="s">
        <v>2255</v>
      </c>
      <c r="I338" s="59" t="s">
        <v>2171</v>
      </c>
      <c r="J338" s="27">
        <v>44712</v>
      </c>
      <c r="K338" s="27">
        <v>44712</v>
      </c>
      <c r="L338" s="83">
        <f t="shared" si="10"/>
        <v>0</v>
      </c>
      <c r="M338" s="59" t="s">
        <v>5929</v>
      </c>
      <c r="N338" s="84" t="s">
        <v>1025</v>
      </c>
      <c r="O338" s="59" t="s">
        <v>5930</v>
      </c>
      <c r="P338" s="8" t="s">
        <v>5931</v>
      </c>
      <c r="Q338" s="84" t="s">
        <v>5840</v>
      </c>
      <c r="R338" s="81"/>
    </row>
    <row r="339" spans="1:18" ht="40.5" x14ac:dyDescent="0.25">
      <c r="A339" s="6">
        <v>334</v>
      </c>
      <c r="B339" s="27" t="s">
        <v>5932</v>
      </c>
      <c r="C339" s="27">
        <v>44687</v>
      </c>
      <c r="D339" s="27">
        <v>44697</v>
      </c>
      <c r="E339" s="81">
        <v>47</v>
      </c>
      <c r="F339" s="82" t="s">
        <v>22</v>
      </c>
      <c r="G339" s="59" t="s">
        <v>1101</v>
      </c>
      <c r="H339" s="59" t="s">
        <v>1102</v>
      </c>
      <c r="I339" s="59" t="s">
        <v>1101</v>
      </c>
      <c r="J339" s="27">
        <v>44697</v>
      </c>
      <c r="K339" s="27">
        <v>44697</v>
      </c>
      <c r="L339" s="83">
        <f t="shared" si="10"/>
        <v>0</v>
      </c>
      <c r="M339" s="59" t="s">
        <v>5933</v>
      </c>
      <c r="N339" s="84" t="s">
        <v>1104</v>
      </c>
      <c r="O339" s="59" t="s">
        <v>1133</v>
      </c>
      <c r="P339" s="8" t="s">
        <v>1105</v>
      </c>
      <c r="Q339" s="84" t="s">
        <v>5840</v>
      </c>
      <c r="R339" s="81"/>
    </row>
    <row r="340" spans="1:18" ht="40.5" x14ac:dyDescent="0.25">
      <c r="A340" s="6">
        <v>335</v>
      </c>
      <c r="B340" s="27" t="s">
        <v>5934</v>
      </c>
      <c r="C340" s="27">
        <v>44671</v>
      </c>
      <c r="D340" s="27">
        <v>44712</v>
      </c>
      <c r="E340" s="81">
        <v>5</v>
      </c>
      <c r="F340" s="82" t="s">
        <v>22</v>
      </c>
      <c r="G340" s="59" t="s">
        <v>1101</v>
      </c>
      <c r="H340" s="59" t="s">
        <v>1102</v>
      </c>
      <c r="I340" s="59" t="s">
        <v>1101</v>
      </c>
      <c r="J340" s="27">
        <v>44721</v>
      </c>
      <c r="K340" s="27">
        <v>44721</v>
      </c>
      <c r="L340" s="83">
        <f t="shared" si="10"/>
        <v>7</v>
      </c>
      <c r="M340" s="59" t="s">
        <v>5935</v>
      </c>
      <c r="N340" s="84" t="s">
        <v>1104</v>
      </c>
      <c r="O340" s="59" t="s">
        <v>1133</v>
      </c>
      <c r="P340" s="8" t="s">
        <v>1105</v>
      </c>
      <c r="Q340" s="84" t="s">
        <v>5840</v>
      </c>
      <c r="R340" s="81"/>
    </row>
    <row r="341" spans="1:18" ht="40.5" x14ac:dyDescent="0.25">
      <c r="A341" s="6">
        <v>336</v>
      </c>
      <c r="B341" s="27" t="s">
        <v>5936</v>
      </c>
      <c r="C341" s="27">
        <v>44663</v>
      </c>
      <c r="D341" s="27">
        <v>44684</v>
      </c>
      <c r="E341" s="81">
        <v>2</v>
      </c>
      <c r="F341" s="82" t="s">
        <v>22</v>
      </c>
      <c r="G341" s="59" t="s">
        <v>1101</v>
      </c>
      <c r="H341" s="59" t="s">
        <v>1102</v>
      </c>
      <c r="I341" s="59" t="s">
        <v>1101</v>
      </c>
      <c r="J341" s="27">
        <v>44691</v>
      </c>
      <c r="K341" s="27">
        <v>44691</v>
      </c>
      <c r="L341" s="83">
        <f t="shared" si="10"/>
        <v>5</v>
      </c>
      <c r="M341" s="59" t="s">
        <v>5937</v>
      </c>
      <c r="N341" s="84" t="s">
        <v>1104</v>
      </c>
      <c r="O341" s="59" t="s">
        <v>1026</v>
      </c>
      <c r="P341" s="8" t="s">
        <v>1105</v>
      </c>
      <c r="Q341" s="84" t="s">
        <v>5840</v>
      </c>
      <c r="R341" s="81"/>
    </row>
    <row r="342" spans="1:18" ht="40.5" x14ac:dyDescent="0.25">
      <c r="A342" s="6">
        <v>337</v>
      </c>
      <c r="B342" s="27" t="s">
        <v>5938</v>
      </c>
      <c r="C342" s="27">
        <v>44658</v>
      </c>
      <c r="D342" s="27">
        <v>44685</v>
      </c>
      <c r="E342" s="81">
        <v>67</v>
      </c>
      <c r="F342" s="82" t="s">
        <v>22</v>
      </c>
      <c r="G342" s="59" t="s">
        <v>1101</v>
      </c>
      <c r="H342" s="59" t="s">
        <v>1102</v>
      </c>
      <c r="I342" s="59" t="s">
        <v>1101</v>
      </c>
      <c r="J342" s="27">
        <v>44692</v>
      </c>
      <c r="K342" s="27">
        <v>44692</v>
      </c>
      <c r="L342" s="83">
        <f t="shared" si="10"/>
        <v>5</v>
      </c>
      <c r="M342" s="59" t="s">
        <v>5939</v>
      </c>
      <c r="N342" s="84" t="s">
        <v>1104</v>
      </c>
      <c r="O342" s="59" t="s">
        <v>1026</v>
      </c>
      <c r="P342" s="8" t="s">
        <v>1105</v>
      </c>
      <c r="Q342" s="84" t="s">
        <v>5840</v>
      </c>
      <c r="R342" s="81"/>
    </row>
    <row r="343" spans="1:18" ht="40.5" x14ac:dyDescent="0.25">
      <c r="A343" s="6">
        <v>338</v>
      </c>
      <c r="B343" s="27" t="s">
        <v>5940</v>
      </c>
      <c r="C343" s="27">
        <v>44679</v>
      </c>
      <c r="D343" s="27">
        <v>44686</v>
      </c>
      <c r="E343" s="81">
        <v>51</v>
      </c>
      <c r="F343" s="82" t="s">
        <v>22</v>
      </c>
      <c r="G343" s="59" t="s">
        <v>5941</v>
      </c>
      <c r="H343" s="59" t="s">
        <v>1102</v>
      </c>
      <c r="I343" s="59" t="s">
        <v>1101</v>
      </c>
      <c r="J343" s="27">
        <v>44693</v>
      </c>
      <c r="K343" s="27">
        <v>44693</v>
      </c>
      <c r="L343" s="83">
        <f t="shared" si="10"/>
        <v>5</v>
      </c>
      <c r="M343" s="59" t="s">
        <v>5942</v>
      </c>
      <c r="N343" s="84" t="s">
        <v>1104</v>
      </c>
      <c r="O343" s="59" t="s">
        <v>1026</v>
      </c>
      <c r="P343" s="8" t="s">
        <v>1105</v>
      </c>
      <c r="Q343" s="84" t="s">
        <v>5840</v>
      </c>
      <c r="R343" s="81"/>
    </row>
    <row r="344" spans="1:18" ht="40.5" x14ac:dyDescent="0.25">
      <c r="A344" s="6">
        <v>339</v>
      </c>
      <c r="B344" s="27" t="s">
        <v>5943</v>
      </c>
      <c r="C344" s="27">
        <v>44676</v>
      </c>
      <c r="D344" s="27">
        <v>44692</v>
      </c>
      <c r="E344" s="81">
        <v>26</v>
      </c>
      <c r="F344" s="82" t="s">
        <v>22</v>
      </c>
      <c r="G344" s="59" t="s">
        <v>1101</v>
      </c>
      <c r="H344" s="59" t="s">
        <v>1102</v>
      </c>
      <c r="I344" s="59" t="s">
        <v>1101</v>
      </c>
      <c r="J344" s="27">
        <v>44692</v>
      </c>
      <c r="K344" s="27">
        <v>44692</v>
      </c>
      <c r="L344" s="83">
        <f t="shared" si="10"/>
        <v>0</v>
      </c>
      <c r="M344" s="59" t="s">
        <v>5944</v>
      </c>
      <c r="N344" s="84" t="s">
        <v>1104</v>
      </c>
      <c r="O344" s="59" t="s">
        <v>1026</v>
      </c>
      <c r="P344" s="8" t="s">
        <v>1105</v>
      </c>
      <c r="Q344" s="84" t="s">
        <v>5840</v>
      </c>
      <c r="R344" s="81"/>
    </row>
    <row r="345" spans="1:18" ht="40.5" x14ac:dyDescent="0.25">
      <c r="A345" s="6">
        <v>340</v>
      </c>
      <c r="B345" s="27" t="s">
        <v>5945</v>
      </c>
      <c r="C345" s="27">
        <v>44657</v>
      </c>
      <c r="D345" s="27">
        <v>44700</v>
      </c>
      <c r="E345" s="81">
        <v>18</v>
      </c>
      <c r="F345" s="82" t="s">
        <v>22</v>
      </c>
      <c r="G345" s="59" t="s">
        <v>1101</v>
      </c>
      <c r="H345" s="59" t="s">
        <v>1102</v>
      </c>
      <c r="I345" s="59" t="s">
        <v>1101</v>
      </c>
      <c r="J345" s="27">
        <v>44700</v>
      </c>
      <c r="K345" s="27">
        <v>44700</v>
      </c>
      <c r="L345" s="83">
        <f t="shared" si="10"/>
        <v>0</v>
      </c>
      <c r="M345" s="59" t="s">
        <v>5946</v>
      </c>
      <c r="N345" s="84" t="s">
        <v>1104</v>
      </c>
      <c r="O345" s="59" t="s">
        <v>1026</v>
      </c>
      <c r="P345" s="8" t="s">
        <v>1105</v>
      </c>
      <c r="Q345" s="84" t="s">
        <v>5840</v>
      </c>
      <c r="R345" s="81"/>
    </row>
    <row r="346" spans="1:18" ht="40.5" x14ac:dyDescent="0.25">
      <c r="A346" s="6">
        <v>341</v>
      </c>
      <c r="B346" s="27" t="s">
        <v>5947</v>
      </c>
      <c r="C346" s="27">
        <v>44690</v>
      </c>
      <c r="D346" s="27">
        <v>44690</v>
      </c>
      <c r="E346" s="81">
        <v>1</v>
      </c>
      <c r="F346" s="82" t="s">
        <v>22</v>
      </c>
      <c r="G346" s="59" t="s">
        <v>1101</v>
      </c>
      <c r="H346" s="59" t="s">
        <v>1102</v>
      </c>
      <c r="I346" s="59" t="s">
        <v>1101</v>
      </c>
      <c r="J346" s="27">
        <v>44691</v>
      </c>
      <c r="K346" s="27">
        <v>44691</v>
      </c>
      <c r="L346" s="83">
        <f t="shared" si="10"/>
        <v>1</v>
      </c>
      <c r="M346" s="59" t="s">
        <v>5948</v>
      </c>
      <c r="N346" s="84" t="s">
        <v>1104</v>
      </c>
      <c r="O346" s="59" t="s">
        <v>1133</v>
      </c>
      <c r="P346" s="8" t="s">
        <v>1105</v>
      </c>
      <c r="Q346" s="84" t="s">
        <v>5840</v>
      </c>
      <c r="R346" s="81"/>
    </row>
    <row r="347" spans="1:18" ht="40.5" x14ac:dyDescent="0.25">
      <c r="A347" s="6">
        <v>342</v>
      </c>
      <c r="B347" s="27" t="s">
        <v>5949</v>
      </c>
      <c r="C347" s="27">
        <v>44703</v>
      </c>
      <c r="D347" s="27">
        <v>44691</v>
      </c>
      <c r="E347" s="81">
        <v>111</v>
      </c>
      <c r="F347" s="82" t="s">
        <v>22</v>
      </c>
      <c r="G347" s="59" t="s">
        <v>1101</v>
      </c>
      <c r="H347" s="59" t="s">
        <v>1102</v>
      </c>
      <c r="I347" s="59" t="s">
        <v>1101</v>
      </c>
      <c r="J347" s="27">
        <v>44691</v>
      </c>
      <c r="K347" s="27">
        <v>44691</v>
      </c>
      <c r="L347" s="83">
        <f t="shared" si="10"/>
        <v>0</v>
      </c>
      <c r="M347" s="59" t="s">
        <v>5950</v>
      </c>
      <c r="N347" s="84" t="s">
        <v>1104</v>
      </c>
      <c r="O347" s="59" t="s">
        <v>1133</v>
      </c>
      <c r="P347" s="8" t="s">
        <v>1105</v>
      </c>
      <c r="Q347" s="84" t="s">
        <v>5840</v>
      </c>
      <c r="R347" s="81"/>
    </row>
    <row r="348" spans="1:18" ht="40.5" x14ac:dyDescent="0.25">
      <c r="A348" s="6">
        <v>343</v>
      </c>
      <c r="B348" s="27" t="s">
        <v>5951</v>
      </c>
      <c r="C348" s="27">
        <v>44690</v>
      </c>
      <c r="D348" s="27">
        <v>44690</v>
      </c>
      <c r="E348" s="81">
        <v>23</v>
      </c>
      <c r="F348" s="82" t="s">
        <v>22</v>
      </c>
      <c r="G348" s="59" t="s">
        <v>1101</v>
      </c>
      <c r="H348" s="59" t="s">
        <v>1102</v>
      </c>
      <c r="I348" s="59" t="s">
        <v>1101</v>
      </c>
      <c r="J348" s="27">
        <v>44701</v>
      </c>
      <c r="K348" s="27">
        <v>44701</v>
      </c>
      <c r="L348" s="83">
        <f t="shared" si="10"/>
        <v>9</v>
      </c>
      <c r="M348" s="59" t="s">
        <v>5952</v>
      </c>
      <c r="N348" s="84" t="s">
        <v>1104</v>
      </c>
      <c r="O348" s="59" t="s">
        <v>1133</v>
      </c>
      <c r="P348" s="8" t="s">
        <v>1105</v>
      </c>
      <c r="Q348" s="84" t="s">
        <v>5840</v>
      </c>
      <c r="R348" s="81"/>
    </row>
    <row r="349" spans="1:18" ht="40.5" x14ac:dyDescent="0.25">
      <c r="A349" s="6">
        <v>344</v>
      </c>
      <c r="B349" s="27" t="s">
        <v>5953</v>
      </c>
      <c r="C349" s="27">
        <v>44691</v>
      </c>
      <c r="D349" s="27">
        <v>44691</v>
      </c>
      <c r="E349" s="81">
        <v>1</v>
      </c>
      <c r="F349" s="82" t="s">
        <v>22</v>
      </c>
      <c r="G349" s="59" t="s">
        <v>1101</v>
      </c>
      <c r="H349" s="59" t="s">
        <v>1102</v>
      </c>
      <c r="I349" s="59" t="s">
        <v>1101</v>
      </c>
      <c r="J349" s="27">
        <v>44692</v>
      </c>
      <c r="K349" s="27">
        <v>44692</v>
      </c>
      <c r="L349" s="83">
        <f t="shared" si="10"/>
        <v>1</v>
      </c>
      <c r="M349" s="59" t="s">
        <v>5954</v>
      </c>
      <c r="N349" s="84" t="s">
        <v>1104</v>
      </c>
      <c r="O349" s="59" t="s">
        <v>2091</v>
      </c>
      <c r="P349" s="8" t="s">
        <v>1105</v>
      </c>
      <c r="Q349" s="84" t="s">
        <v>5840</v>
      </c>
      <c r="R349" s="81"/>
    </row>
    <row r="350" spans="1:18" ht="40.5" x14ac:dyDescent="0.25">
      <c r="A350" s="6">
        <v>345</v>
      </c>
      <c r="B350" s="27" t="s">
        <v>5955</v>
      </c>
      <c r="C350" s="27">
        <v>44691</v>
      </c>
      <c r="D350" s="27">
        <v>44691</v>
      </c>
      <c r="E350" s="81">
        <v>1</v>
      </c>
      <c r="F350" s="82" t="s">
        <v>22</v>
      </c>
      <c r="G350" s="59" t="s">
        <v>1101</v>
      </c>
      <c r="H350" s="59" t="s">
        <v>1102</v>
      </c>
      <c r="I350" s="59" t="s">
        <v>1101</v>
      </c>
      <c r="J350" s="27">
        <v>44692</v>
      </c>
      <c r="K350" s="27">
        <v>44692</v>
      </c>
      <c r="L350" s="83">
        <f t="shared" si="10"/>
        <v>1</v>
      </c>
      <c r="M350" s="59" t="s">
        <v>5956</v>
      </c>
      <c r="N350" s="84" t="s">
        <v>1104</v>
      </c>
      <c r="O350" s="59" t="s">
        <v>2091</v>
      </c>
      <c r="P350" s="8" t="s">
        <v>1105</v>
      </c>
      <c r="Q350" s="84" t="s">
        <v>5840</v>
      </c>
      <c r="R350" s="81"/>
    </row>
    <row r="351" spans="1:18" ht="40.5" x14ac:dyDescent="0.25">
      <c r="A351" s="6">
        <v>346</v>
      </c>
      <c r="B351" s="27" t="s">
        <v>5957</v>
      </c>
      <c r="C351" s="27">
        <v>44691</v>
      </c>
      <c r="D351" s="27">
        <v>44691</v>
      </c>
      <c r="E351" s="81">
        <v>2</v>
      </c>
      <c r="F351" s="82" t="s">
        <v>22</v>
      </c>
      <c r="G351" s="59" t="s">
        <v>1101</v>
      </c>
      <c r="H351" s="59" t="s">
        <v>1102</v>
      </c>
      <c r="I351" s="59" t="s">
        <v>1101</v>
      </c>
      <c r="J351" s="27">
        <v>44693</v>
      </c>
      <c r="K351" s="27">
        <v>44693</v>
      </c>
      <c r="L351" s="83">
        <f t="shared" si="10"/>
        <v>2</v>
      </c>
      <c r="M351" s="59" t="s">
        <v>5958</v>
      </c>
      <c r="N351" s="84" t="s">
        <v>1104</v>
      </c>
      <c r="O351" s="59" t="s">
        <v>2091</v>
      </c>
      <c r="P351" s="8" t="s">
        <v>1105</v>
      </c>
      <c r="Q351" s="84" t="s">
        <v>5840</v>
      </c>
      <c r="R351" s="81"/>
    </row>
    <row r="352" spans="1:18" ht="40.5" x14ac:dyDescent="0.25">
      <c r="A352" s="6">
        <v>347</v>
      </c>
      <c r="B352" s="27" t="s">
        <v>5959</v>
      </c>
      <c r="C352" s="27">
        <v>44691</v>
      </c>
      <c r="D352" s="27">
        <v>44691</v>
      </c>
      <c r="E352" s="81">
        <v>1</v>
      </c>
      <c r="F352" s="82" t="s">
        <v>22</v>
      </c>
      <c r="G352" s="59" t="s">
        <v>1101</v>
      </c>
      <c r="H352" s="59" t="s">
        <v>1102</v>
      </c>
      <c r="I352" s="59" t="s">
        <v>1101</v>
      </c>
      <c r="J352" s="27">
        <v>44693</v>
      </c>
      <c r="K352" s="27">
        <v>44693</v>
      </c>
      <c r="L352" s="83">
        <f t="shared" si="10"/>
        <v>2</v>
      </c>
      <c r="M352" s="59" t="s">
        <v>5960</v>
      </c>
      <c r="N352" s="84" t="s">
        <v>1104</v>
      </c>
      <c r="O352" s="59" t="s">
        <v>2091</v>
      </c>
      <c r="P352" s="8" t="s">
        <v>1105</v>
      </c>
      <c r="Q352" s="84" t="s">
        <v>5840</v>
      </c>
      <c r="R352" s="81"/>
    </row>
    <row r="353" spans="1:18" ht="40.5" x14ac:dyDescent="0.25">
      <c r="A353" s="6">
        <v>348</v>
      </c>
      <c r="B353" s="27" t="s">
        <v>5961</v>
      </c>
      <c r="C353" s="27">
        <v>44686</v>
      </c>
      <c r="D353" s="27">
        <v>44686</v>
      </c>
      <c r="E353" s="81">
        <v>1</v>
      </c>
      <c r="F353" s="82" t="s">
        <v>22</v>
      </c>
      <c r="G353" s="59" t="s">
        <v>1101</v>
      </c>
      <c r="H353" s="59" t="s">
        <v>1102</v>
      </c>
      <c r="I353" s="59" t="s">
        <v>1101</v>
      </c>
      <c r="J353" s="27">
        <v>44693</v>
      </c>
      <c r="K353" s="27">
        <v>44693</v>
      </c>
      <c r="L353" s="83">
        <f t="shared" si="10"/>
        <v>5</v>
      </c>
      <c r="M353" s="59" t="s">
        <v>5962</v>
      </c>
      <c r="N353" s="84" t="s">
        <v>1104</v>
      </c>
      <c r="O353" s="59" t="s">
        <v>2091</v>
      </c>
      <c r="P353" s="8" t="s">
        <v>1105</v>
      </c>
      <c r="Q353" s="84" t="s">
        <v>5840</v>
      </c>
      <c r="R353" s="81"/>
    </row>
    <row r="354" spans="1:18" ht="40.5" x14ac:dyDescent="0.25">
      <c r="A354" s="6">
        <v>349</v>
      </c>
      <c r="B354" s="27" t="s">
        <v>5963</v>
      </c>
      <c r="C354" s="27">
        <v>44686</v>
      </c>
      <c r="D354" s="27">
        <v>44701</v>
      </c>
      <c r="E354" s="81">
        <f>99+128</f>
        <v>227</v>
      </c>
      <c r="F354" s="82" t="s">
        <v>22</v>
      </c>
      <c r="G354" s="59" t="s">
        <v>1101</v>
      </c>
      <c r="H354" s="59" t="s">
        <v>1102</v>
      </c>
      <c r="I354" s="59" t="s">
        <v>1101</v>
      </c>
      <c r="J354" s="27">
        <v>44711</v>
      </c>
      <c r="K354" s="27">
        <v>44711</v>
      </c>
      <c r="L354" s="83">
        <f t="shared" si="10"/>
        <v>6</v>
      </c>
      <c r="M354" s="59" t="s">
        <v>5964</v>
      </c>
      <c r="N354" s="84" t="s">
        <v>1104</v>
      </c>
      <c r="O354" s="59" t="s">
        <v>2091</v>
      </c>
      <c r="P354" s="8" t="s">
        <v>1105</v>
      </c>
      <c r="Q354" s="84" t="s">
        <v>5840</v>
      </c>
      <c r="R354" s="81"/>
    </row>
    <row r="355" spans="1:18" ht="40.5" x14ac:dyDescent="0.25">
      <c r="A355" s="6">
        <v>350</v>
      </c>
      <c r="B355" s="27" t="s">
        <v>5965</v>
      </c>
      <c r="C355" s="27">
        <v>44686</v>
      </c>
      <c r="D355" s="27">
        <v>44708</v>
      </c>
      <c r="E355" s="81">
        <v>14</v>
      </c>
      <c r="F355" s="82" t="s">
        <v>22</v>
      </c>
      <c r="G355" s="59" t="s">
        <v>1101</v>
      </c>
      <c r="H355" s="59" t="s">
        <v>1102</v>
      </c>
      <c r="I355" s="59" t="s">
        <v>1101</v>
      </c>
      <c r="J355" s="27">
        <v>44708</v>
      </c>
      <c r="K355" s="27">
        <v>44708</v>
      </c>
      <c r="L355" s="83">
        <f t="shared" si="10"/>
        <v>0</v>
      </c>
      <c r="M355" s="59" t="s">
        <v>5966</v>
      </c>
      <c r="N355" s="84" t="s">
        <v>1104</v>
      </c>
      <c r="O355" s="59" t="s">
        <v>2091</v>
      </c>
      <c r="P355" s="8" t="s">
        <v>1105</v>
      </c>
      <c r="Q355" s="84" t="s">
        <v>5840</v>
      </c>
      <c r="R355" s="81"/>
    </row>
    <row r="356" spans="1:18" ht="40.5" x14ac:dyDescent="0.25">
      <c r="A356" s="6">
        <v>351</v>
      </c>
      <c r="B356" s="27" t="s">
        <v>5967</v>
      </c>
      <c r="C356" s="27">
        <v>44686</v>
      </c>
      <c r="D356" s="27">
        <v>44732</v>
      </c>
      <c r="E356" s="81">
        <v>1</v>
      </c>
      <c r="F356" s="82" t="s">
        <v>22</v>
      </c>
      <c r="G356" s="59" t="s">
        <v>1101</v>
      </c>
      <c r="H356" s="59" t="s">
        <v>1102</v>
      </c>
      <c r="I356" s="59" t="s">
        <v>1101</v>
      </c>
      <c r="J356" s="27">
        <v>44739</v>
      </c>
      <c r="K356" s="27">
        <v>44739</v>
      </c>
      <c r="L356" s="83">
        <f t="shared" si="10"/>
        <v>5</v>
      </c>
      <c r="M356" s="59" t="s">
        <v>5968</v>
      </c>
      <c r="N356" s="84" t="s">
        <v>1104</v>
      </c>
      <c r="O356" s="59" t="s">
        <v>2091</v>
      </c>
      <c r="P356" s="8" t="s">
        <v>1105</v>
      </c>
      <c r="Q356" s="84" t="s">
        <v>5840</v>
      </c>
      <c r="R356" s="81"/>
    </row>
    <row r="357" spans="1:18" ht="40.5" x14ac:dyDescent="0.25">
      <c r="A357" s="6">
        <v>352</v>
      </c>
      <c r="B357" s="27" t="s">
        <v>5969</v>
      </c>
      <c r="C357" s="27">
        <v>44687</v>
      </c>
      <c r="D357" s="27">
        <v>44687</v>
      </c>
      <c r="E357" s="81">
        <v>2</v>
      </c>
      <c r="F357" s="82" t="s">
        <v>22</v>
      </c>
      <c r="G357" s="59" t="s">
        <v>1101</v>
      </c>
      <c r="H357" s="59" t="s">
        <v>1102</v>
      </c>
      <c r="I357" s="59" t="s">
        <v>1101</v>
      </c>
      <c r="J357" s="27">
        <v>44699</v>
      </c>
      <c r="K357" s="27">
        <v>44699</v>
      </c>
      <c r="L357" s="83">
        <f t="shared" si="10"/>
        <v>8</v>
      </c>
      <c r="M357" s="59" t="s">
        <v>5970</v>
      </c>
      <c r="N357" s="84" t="s">
        <v>1104</v>
      </c>
      <c r="O357" s="59" t="s">
        <v>2091</v>
      </c>
      <c r="P357" s="8" t="s">
        <v>1105</v>
      </c>
      <c r="Q357" s="84" t="s">
        <v>5840</v>
      </c>
      <c r="R357" s="81"/>
    </row>
    <row r="358" spans="1:18" ht="40.5" x14ac:dyDescent="0.25">
      <c r="A358" s="6">
        <v>353</v>
      </c>
      <c r="B358" s="27" t="s">
        <v>5971</v>
      </c>
      <c r="C358" s="27">
        <v>44692</v>
      </c>
      <c r="D358" s="27">
        <v>44692</v>
      </c>
      <c r="E358" s="81">
        <v>1</v>
      </c>
      <c r="F358" s="82" t="s">
        <v>22</v>
      </c>
      <c r="G358" s="59" t="s">
        <v>1101</v>
      </c>
      <c r="H358" s="59" t="s">
        <v>1102</v>
      </c>
      <c r="I358" s="59" t="s">
        <v>1101</v>
      </c>
      <c r="J358" s="27">
        <v>44697</v>
      </c>
      <c r="K358" s="27">
        <v>44697</v>
      </c>
      <c r="L358" s="83">
        <f t="shared" si="10"/>
        <v>3</v>
      </c>
      <c r="M358" s="59" t="s">
        <v>5972</v>
      </c>
      <c r="N358" s="84" t="s">
        <v>1104</v>
      </c>
      <c r="O358" s="59" t="s">
        <v>2091</v>
      </c>
      <c r="P358" s="8" t="s">
        <v>1105</v>
      </c>
      <c r="Q358" s="84" t="s">
        <v>5840</v>
      </c>
      <c r="R358" s="81"/>
    </row>
    <row r="359" spans="1:18" ht="40.5" x14ac:dyDescent="0.25">
      <c r="A359" s="6">
        <v>354</v>
      </c>
      <c r="B359" s="27" t="s">
        <v>5973</v>
      </c>
      <c r="C359" s="27">
        <v>44694</v>
      </c>
      <c r="D359" s="27">
        <v>44713</v>
      </c>
      <c r="E359" s="81">
        <v>223</v>
      </c>
      <c r="F359" s="82" t="s">
        <v>22</v>
      </c>
      <c r="G359" s="59" t="s">
        <v>1101</v>
      </c>
      <c r="H359" s="59" t="s">
        <v>1102</v>
      </c>
      <c r="I359" s="59" t="s">
        <v>1101</v>
      </c>
      <c r="J359" s="27">
        <v>44722</v>
      </c>
      <c r="K359" s="27">
        <v>44722</v>
      </c>
      <c r="L359" s="83">
        <f t="shared" si="10"/>
        <v>7</v>
      </c>
      <c r="M359" s="59" t="s">
        <v>5974</v>
      </c>
      <c r="N359" s="84" t="s">
        <v>1104</v>
      </c>
      <c r="O359" s="59" t="s">
        <v>2091</v>
      </c>
      <c r="P359" s="8" t="s">
        <v>1105</v>
      </c>
      <c r="Q359" s="84" t="s">
        <v>5840</v>
      </c>
      <c r="R359" s="81"/>
    </row>
    <row r="360" spans="1:18" ht="40.5" x14ac:dyDescent="0.25">
      <c r="A360" s="6">
        <v>355</v>
      </c>
      <c r="B360" s="27" t="s">
        <v>5975</v>
      </c>
      <c r="C360" s="27">
        <v>44692</v>
      </c>
      <c r="D360" s="27">
        <v>44711</v>
      </c>
      <c r="E360" s="81">
        <v>1</v>
      </c>
      <c r="F360" s="82" t="s">
        <v>22</v>
      </c>
      <c r="G360" s="59" t="s">
        <v>1101</v>
      </c>
      <c r="H360" s="59" t="s">
        <v>1102</v>
      </c>
      <c r="I360" s="59" t="s">
        <v>1101</v>
      </c>
      <c r="J360" s="27">
        <v>44718</v>
      </c>
      <c r="K360" s="27">
        <v>44718</v>
      </c>
      <c r="L360" s="83">
        <f t="shared" si="10"/>
        <v>5</v>
      </c>
      <c r="M360" s="59" t="s">
        <v>5976</v>
      </c>
      <c r="N360" s="84" t="s">
        <v>1104</v>
      </c>
      <c r="O360" s="59" t="s">
        <v>2091</v>
      </c>
      <c r="P360" s="8" t="s">
        <v>1105</v>
      </c>
      <c r="Q360" s="84" t="s">
        <v>5840</v>
      </c>
      <c r="R360" s="81"/>
    </row>
    <row r="361" spans="1:18" ht="40.5" x14ac:dyDescent="0.25">
      <c r="A361" s="6">
        <v>356</v>
      </c>
      <c r="B361" s="27" t="s">
        <v>5977</v>
      </c>
      <c r="C361" s="27">
        <v>44692</v>
      </c>
      <c r="D361" s="27">
        <v>44692</v>
      </c>
      <c r="E361" s="81">
        <v>10</v>
      </c>
      <c r="F361" s="82" t="s">
        <v>22</v>
      </c>
      <c r="G361" s="59" t="s">
        <v>1101</v>
      </c>
      <c r="H361" s="59" t="s">
        <v>1102</v>
      </c>
      <c r="I361" s="59" t="s">
        <v>1101</v>
      </c>
      <c r="J361" s="27">
        <v>44697</v>
      </c>
      <c r="K361" s="27">
        <v>44697</v>
      </c>
      <c r="L361" s="83">
        <f t="shared" si="10"/>
        <v>3</v>
      </c>
      <c r="M361" s="59" t="s">
        <v>5978</v>
      </c>
      <c r="N361" s="84" t="s">
        <v>1104</v>
      </c>
      <c r="O361" s="59" t="s">
        <v>2091</v>
      </c>
      <c r="P361" s="8" t="s">
        <v>1105</v>
      </c>
      <c r="Q361" s="84" t="s">
        <v>5840</v>
      </c>
      <c r="R361" s="81"/>
    </row>
    <row r="362" spans="1:18" ht="40.5" x14ac:dyDescent="0.25">
      <c r="A362" s="6">
        <v>357</v>
      </c>
      <c r="B362" s="27" t="s">
        <v>5979</v>
      </c>
      <c r="C362" s="27">
        <v>44693</v>
      </c>
      <c r="D362" s="27">
        <v>44693</v>
      </c>
      <c r="E362" s="81">
        <v>1</v>
      </c>
      <c r="F362" s="82" t="s">
        <v>22</v>
      </c>
      <c r="G362" s="59" t="s">
        <v>1101</v>
      </c>
      <c r="H362" s="59" t="s">
        <v>1102</v>
      </c>
      <c r="I362" s="59" t="s">
        <v>1101</v>
      </c>
      <c r="J362" s="27">
        <v>44697</v>
      </c>
      <c r="K362" s="27">
        <v>44697</v>
      </c>
      <c r="L362" s="83">
        <f t="shared" si="10"/>
        <v>2</v>
      </c>
      <c r="M362" s="59" t="s">
        <v>5980</v>
      </c>
      <c r="N362" s="84" t="s">
        <v>1104</v>
      </c>
      <c r="O362" s="59" t="s">
        <v>2091</v>
      </c>
      <c r="P362" s="8" t="s">
        <v>1105</v>
      </c>
      <c r="Q362" s="84" t="s">
        <v>5840</v>
      </c>
      <c r="R362" s="81"/>
    </row>
    <row r="363" spans="1:18" ht="40.5" x14ac:dyDescent="0.25">
      <c r="A363" s="6">
        <v>358</v>
      </c>
      <c r="B363" s="27" t="s">
        <v>5981</v>
      </c>
      <c r="C363" s="27">
        <v>44698</v>
      </c>
      <c r="D363" s="27">
        <v>44711</v>
      </c>
      <c r="E363" s="81">
        <f>4+3+5</f>
        <v>12</v>
      </c>
      <c r="F363" s="82" t="s">
        <v>22</v>
      </c>
      <c r="G363" s="59" t="s">
        <v>1101</v>
      </c>
      <c r="H363" s="59" t="s">
        <v>1102</v>
      </c>
      <c r="I363" s="59" t="s">
        <v>1101</v>
      </c>
      <c r="J363" s="27">
        <v>44725</v>
      </c>
      <c r="K363" s="27">
        <v>44725</v>
      </c>
      <c r="L363" s="83">
        <f t="shared" si="10"/>
        <v>10</v>
      </c>
      <c r="M363" s="59" t="s">
        <v>5982</v>
      </c>
      <c r="N363" s="84" t="s">
        <v>1104</v>
      </c>
      <c r="O363" s="59" t="s">
        <v>2091</v>
      </c>
      <c r="P363" s="8" t="s">
        <v>1105</v>
      </c>
      <c r="Q363" s="84" t="s">
        <v>5840</v>
      </c>
      <c r="R363" s="81"/>
    </row>
    <row r="364" spans="1:18" ht="40.5" x14ac:dyDescent="0.25">
      <c r="A364" s="6">
        <v>359</v>
      </c>
      <c r="B364" s="27" t="s">
        <v>5983</v>
      </c>
      <c r="C364" s="27">
        <v>44698</v>
      </c>
      <c r="D364" s="27">
        <v>44698</v>
      </c>
      <c r="E364" s="81">
        <v>4</v>
      </c>
      <c r="F364" s="82" t="s">
        <v>22</v>
      </c>
      <c r="G364" s="59" t="s">
        <v>1101</v>
      </c>
      <c r="H364" s="59" t="s">
        <v>1102</v>
      </c>
      <c r="I364" s="59" t="s">
        <v>1101</v>
      </c>
      <c r="J364" s="27">
        <v>44698</v>
      </c>
      <c r="K364" s="27">
        <v>44698</v>
      </c>
      <c r="L364" s="83">
        <f t="shared" si="10"/>
        <v>0</v>
      </c>
      <c r="M364" s="59" t="s">
        <v>5984</v>
      </c>
      <c r="N364" s="84" t="s">
        <v>1104</v>
      </c>
      <c r="O364" s="59" t="s">
        <v>2091</v>
      </c>
      <c r="P364" s="8" t="s">
        <v>1105</v>
      </c>
      <c r="Q364" s="84" t="s">
        <v>5840</v>
      </c>
      <c r="R364" s="81"/>
    </row>
    <row r="365" spans="1:18" ht="40.5" x14ac:dyDescent="0.25">
      <c r="A365" s="6">
        <v>360</v>
      </c>
      <c r="B365" s="27" t="s">
        <v>5985</v>
      </c>
      <c r="C365" s="27">
        <v>44694</v>
      </c>
      <c r="D365" s="27">
        <v>44694</v>
      </c>
      <c r="E365" s="81">
        <v>10</v>
      </c>
      <c r="F365" s="82" t="s">
        <v>22</v>
      </c>
      <c r="G365" s="59" t="s">
        <v>1101</v>
      </c>
      <c r="H365" s="59" t="s">
        <v>1102</v>
      </c>
      <c r="I365" s="59" t="s">
        <v>1101</v>
      </c>
      <c r="J365" s="27">
        <v>44707</v>
      </c>
      <c r="K365" s="27">
        <v>44707</v>
      </c>
      <c r="L365" s="83">
        <f t="shared" si="10"/>
        <v>9</v>
      </c>
      <c r="M365" s="59" t="s">
        <v>5986</v>
      </c>
      <c r="N365" s="84" t="s">
        <v>1104</v>
      </c>
      <c r="O365" s="59" t="s">
        <v>2091</v>
      </c>
      <c r="P365" s="8" t="s">
        <v>1105</v>
      </c>
      <c r="Q365" s="84" t="s">
        <v>5840</v>
      </c>
      <c r="R365" s="81"/>
    </row>
    <row r="366" spans="1:18" ht="40.5" x14ac:dyDescent="0.25">
      <c r="A366" s="6">
        <v>361</v>
      </c>
      <c r="B366" s="27" t="s">
        <v>5987</v>
      </c>
      <c r="C366" s="27">
        <v>44694</v>
      </c>
      <c r="D366" s="27">
        <v>44694</v>
      </c>
      <c r="E366" s="81">
        <v>1</v>
      </c>
      <c r="F366" s="82" t="s">
        <v>22</v>
      </c>
      <c r="G366" s="59" t="s">
        <v>1101</v>
      </c>
      <c r="H366" s="59" t="s">
        <v>1102</v>
      </c>
      <c r="I366" s="59" t="s">
        <v>1101</v>
      </c>
      <c r="J366" s="27">
        <v>44699</v>
      </c>
      <c r="K366" s="27">
        <v>44699</v>
      </c>
      <c r="L366" s="83">
        <f t="shared" si="10"/>
        <v>3</v>
      </c>
      <c r="M366" s="59" t="s">
        <v>5988</v>
      </c>
      <c r="N366" s="84" t="s">
        <v>1104</v>
      </c>
      <c r="O366" s="59" t="s">
        <v>2091</v>
      </c>
      <c r="P366" s="8" t="s">
        <v>1105</v>
      </c>
      <c r="Q366" s="84" t="s">
        <v>5840</v>
      </c>
      <c r="R366" s="81"/>
    </row>
    <row r="367" spans="1:18" ht="40.5" x14ac:dyDescent="0.25">
      <c r="A367" s="6">
        <v>362</v>
      </c>
      <c r="B367" s="27" t="s">
        <v>5989</v>
      </c>
      <c r="C367" s="27">
        <v>44693</v>
      </c>
      <c r="D367" s="27">
        <v>44693</v>
      </c>
      <c r="E367" s="81">
        <v>3</v>
      </c>
      <c r="F367" s="82" t="s">
        <v>22</v>
      </c>
      <c r="G367" s="59" t="s">
        <v>1101</v>
      </c>
      <c r="H367" s="59" t="s">
        <v>1102</v>
      </c>
      <c r="I367" s="59" t="s">
        <v>1101</v>
      </c>
      <c r="J367" s="27">
        <v>44699</v>
      </c>
      <c r="K367" s="27">
        <v>44699</v>
      </c>
      <c r="L367" s="83">
        <f t="shared" si="10"/>
        <v>4</v>
      </c>
      <c r="M367" s="59" t="s">
        <v>5990</v>
      </c>
      <c r="N367" s="84" t="s">
        <v>1104</v>
      </c>
      <c r="O367" s="59" t="s">
        <v>2091</v>
      </c>
      <c r="P367" s="8" t="s">
        <v>1105</v>
      </c>
      <c r="Q367" s="84" t="s">
        <v>5840</v>
      </c>
      <c r="R367" s="81"/>
    </row>
    <row r="368" spans="1:18" ht="40.5" x14ac:dyDescent="0.25">
      <c r="A368" s="6">
        <v>363</v>
      </c>
      <c r="B368" s="27" t="s">
        <v>5991</v>
      </c>
      <c r="C368" s="27">
        <v>44693</v>
      </c>
      <c r="D368" s="27">
        <v>44708</v>
      </c>
      <c r="E368" s="81">
        <v>16</v>
      </c>
      <c r="F368" s="82" t="s">
        <v>22</v>
      </c>
      <c r="G368" s="59" t="s">
        <v>1101</v>
      </c>
      <c r="H368" s="59" t="s">
        <v>1102</v>
      </c>
      <c r="I368" s="59" t="s">
        <v>1101</v>
      </c>
      <c r="J368" s="27">
        <v>44708</v>
      </c>
      <c r="K368" s="27">
        <v>44708</v>
      </c>
      <c r="L368" s="83">
        <f t="shared" si="10"/>
        <v>0</v>
      </c>
      <c r="M368" s="59" t="s">
        <v>5992</v>
      </c>
      <c r="N368" s="84" t="s">
        <v>1104</v>
      </c>
      <c r="O368" s="59" t="s">
        <v>2091</v>
      </c>
      <c r="P368" s="8" t="s">
        <v>1105</v>
      </c>
      <c r="Q368" s="84" t="s">
        <v>5840</v>
      </c>
      <c r="R368" s="81"/>
    </row>
    <row r="369" spans="1:18" ht="40.5" x14ac:dyDescent="0.25">
      <c r="A369" s="6">
        <v>364</v>
      </c>
      <c r="B369" s="27" t="s">
        <v>5993</v>
      </c>
      <c r="C369" s="27">
        <v>44644</v>
      </c>
      <c r="D369" s="27">
        <v>44700</v>
      </c>
      <c r="E369" s="81">
        <v>46</v>
      </c>
      <c r="F369" s="82" t="s">
        <v>22</v>
      </c>
      <c r="G369" s="59" t="s">
        <v>1101</v>
      </c>
      <c r="H369" s="59" t="s">
        <v>1102</v>
      </c>
      <c r="I369" s="59" t="s">
        <v>1101</v>
      </c>
      <c r="J369" s="27">
        <v>44700</v>
      </c>
      <c r="K369" s="27">
        <v>44700</v>
      </c>
      <c r="L369" s="83">
        <f t="shared" si="10"/>
        <v>0</v>
      </c>
      <c r="M369" s="59" t="s">
        <v>5994</v>
      </c>
      <c r="N369" s="84" t="s">
        <v>1104</v>
      </c>
      <c r="O369" s="59" t="s">
        <v>2091</v>
      </c>
      <c r="P369" s="8" t="s">
        <v>1105</v>
      </c>
      <c r="Q369" s="84" t="s">
        <v>5840</v>
      </c>
      <c r="R369" s="81"/>
    </row>
    <row r="370" spans="1:18" ht="40.5" x14ac:dyDescent="0.25">
      <c r="A370" s="6">
        <v>365</v>
      </c>
      <c r="B370" s="27" t="s">
        <v>5995</v>
      </c>
      <c r="C370" s="27">
        <v>44699</v>
      </c>
      <c r="D370" s="27">
        <v>44711</v>
      </c>
      <c r="E370" s="81">
        <f>4+1</f>
        <v>5</v>
      </c>
      <c r="F370" s="82" t="s">
        <v>22</v>
      </c>
      <c r="G370" s="59" t="s">
        <v>1101</v>
      </c>
      <c r="H370" s="59" t="s">
        <v>1102</v>
      </c>
      <c r="I370" s="59" t="s">
        <v>1101</v>
      </c>
      <c r="J370" s="27">
        <v>44725</v>
      </c>
      <c r="K370" s="27">
        <v>44725</v>
      </c>
      <c r="L370" s="83">
        <f t="shared" si="10"/>
        <v>10</v>
      </c>
      <c r="M370" s="59" t="s">
        <v>5996</v>
      </c>
      <c r="N370" s="84" t="s">
        <v>1104</v>
      </c>
      <c r="O370" s="59" t="s">
        <v>2091</v>
      </c>
      <c r="P370" s="8" t="s">
        <v>1105</v>
      </c>
      <c r="Q370" s="84" t="s">
        <v>5840</v>
      </c>
      <c r="R370" s="81"/>
    </row>
    <row r="371" spans="1:18" ht="40.5" x14ac:dyDescent="0.25">
      <c r="A371" s="6">
        <v>366</v>
      </c>
      <c r="B371" s="27" t="s">
        <v>5997</v>
      </c>
      <c r="C371" s="27">
        <v>44693</v>
      </c>
      <c r="D371" s="27">
        <v>44693</v>
      </c>
      <c r="E371" s="81">
        <v>1</v>
      </c>
      <c r="F371" s="82" t="s">
        <v>22</v>
      </c>
      <c r="G371" s="59" t="s">
        <v>1101</v>
      </c>
      <c r="H371" s="59" t="s">
        <v>1102</v>
      </c>
      <c r="I371" s="59" t="s">
        <v>1101</v>
      </c>
      <c r="J371" s="27">
        <v>44699</v>
      </c>
      <c r="K371" s="27">
        <v>44699</v>
      </c>
      <c r="L371" s="83">
        <f t="shared" si="10"/>
        <v>4</v>
      </c>
      <c r="M371" s="59" t="s">
        <v>5998</v>
      </c>
      <c r="N371" s="84" t="s">
        <v>1104</v>
      </c>
      <c r="O371" s="59" t="s">
        <v>2091</v>
      </c>
      <c r="P371" s="8" t="s">
        <v>1105</v>
      </c>
      <c r="Q371" s="84" t="s">
        <v>5840</v>
      </c>
      <c r="R371" s="81"/>
    </row>
    <row r="372" spans="1:18" ht="40.5" x14ac:dyDescent="0.25">
      <c r="A372" s="6">
        <v>367</v>
      </c>
      <c r="B372" s="27" t="s">
        <v>5999</v>
      </c>
      <c r="C372" s="27">
        <v>44699</v>
      </c>
      <c r="D372" s="27">
        <v>44699</v>
      </c>
      <c r="E372" s="81">
        <v>4</v>
      </c>
      <c r="F372" s="82" t="s">
        <v>22</v>
      </c>
      <c r="G372" s="59" t="s">
        <v>1101</v>
      </c>
      <c r="H372" s="59" t="s">
        <v>1102</v>
      </c>
      <c r="I372" s="59" t="s">
        <v>1101</v>
      </c>
      <c r="J372" s="27">
        <v>44705</v>
      </c>
      <c r="K372" s="27">
        <v>44705</v>
      </c>
      <c r="L372" s="83">
        <f t="shared" si="10"/>
        <v>4</v>
      </c>
      <c r="M372" s="59" t="s">
        <v>6000</v>
      </c>
      <c r="N372" s="84" t="s">
        <v>1104</v>
      </c>
      <c r="O372" s="59" t="s">
        <v>2091</v>
      </c>
      <c r="P372" s="8" t="s">
        <v>1105</v>
      </c>
      <c r="Q372" s="84" t="s">
        <v>5840</v>
      </c>
      <c r="R372" s="81"/>
    </row>
    <row r="373" spans="1:18" ht="40.5" x14ac:dyDescent="0.25">
      <c r="A373" s="6">
        <v>368</v>
      </c>
      <c r="B373" s="27" t="s">
        <v>6001</v>
      </c>
      <c r="C373" s="27">
        <v>44699</v>
      </c>
      <c r="D373" s="27">
        <v>44699</v>
      </c>
      <c r="E373" s="81">
        <v>4</v>
      </c>
      <c r="F373" s="82" t="s">
        <v>22</v>
      </c>
      <c r="G373" s="59" t="s">
        <v>1101</v>
      </c>
      <c r="H373" s="59" t="s">
        <v>1102</v>
      </c>
      <c r="I373" s="59" t="s">
        <v>1101</v>
      </c>
      <c r="J373" s="27">
        <v>44705</v>
      </c>
      <c r="K373" s="27">
        <v>44705</v>
      </c>
      <c r="L373" s="83">
        <f t="shared" si="10"/>
        <v>4</v>
      </c>
      <c r="M373" s="59" t="s">
        <v>6002</v>
      </c>
      <c r="N373" s="84" t="s">
        <v>1104</v>
      </c>
      <c r="O373" s="59" t="s">
        <v>2091</v>
      </c>
      <c r="P373" s="8" t="s">
        <v>1105</v>
      </c>
      <c r="Q373" s="84" t="s">
        <v>5840</v>
      </c>
      <c r="R373" s="81"/>
    </row>
    <row r="374" spans="1:18" ht="40.5" x14ac:dyDescent="0.25">
      <c r="A374" s="6">
        <v>369</v>
      </c>
      <c r="B374" s="27" t="s">
        <v>6003</v>
      </c>
      <c r="C374" s="27">
        <v>44699</v>
      </c>
      <c r="D374" s="27">
        <v>44699</v>
      </c>
      <c r="E374" s="81">
        <v>5</v>
      </c>
      <c r="F374" s="82" t="s">
        <v>22</v>
      </c>
      <c r="G374" s="59" t="s">
        <v>1101</v>
      </c>
      <c r="H374" s="59" t="s">
        <v>1102</v>
      </c>
      <c r="I374" s="59" t="s">
        <v>1101</v>
      </c>
      <c r="J374" s="27">
        <v>44705</v>
      </c>
      <c r="K374" s="27">
        <v>44705</v>
      </c>
      <c r="L374" s="83">
        <f t="shared" si="10"/>
        <v>4</v>
      </c>
      <c r="M374" s="59" t="s">
        <v>6004</v>
      </c>
      <c r="N374" s="84" t="s">
        <v>1104</v>
      </c>
      <c r="O374" s="59" t="s">
        <v>2091</v>
      </c>
      <c r="P374" s="8" t="s">
        <v>1105</v>
      </c>
      <c r="Q374" s="84" t="s">
        <v>5840</v>
      </c>
      <c r="R374" s="81"/>
    </row>
    <row r="375" spans="1:18" ht="40.5" x14ac:dyDescent="0.25">
      <c r="A375" s="6">
        <v>370</v>
      </c>
      <c r="B375" s="27" t="s">
        <v>6005</v>
      </c>
      <c r="C375" s="27">
        <v>44699</v>
      </c>
      <c r="D375" s="27">
        <v>44699</v>
      </c>
      <c r="E375" s="81">
        <v>5</v>
      </c>
      <c r="F375" s="82" t="s">
        <v>22</v>
      </c>
      <c r="G375" s="59" t="s">
        <v>1101</v>
      </c>
      <c r="H375" s="59" t="s">
        <v>1102</v>
      </c>
      <c r="I375" s="59" t="s">
        <v>1101</v>
      </c>
      <c r="J375" s="27">
        <v>44705</v>
      </c>
      <c r="K375" s="27">
        <v>44705</v>
      </c>
      <c r="L375" s="83">
        <f t="shared" si="10"/>
        <v>4</v>
      </c>
      <c r="M375" s="59" t="s">
        <v>6006</v>
      </c>
      <c r="N375" s="84" t="s">
        <v>1104</v>
      </c>
      <c r="O375" s="59" t="s">
        <v>2091</v>
      </c>
      <c r="P375" s="8" t="s">
        <v>1105</v>
      </c>
      <c r="Q375" s="84" t="s">
        <v>5840</v>
      </c>
      <c r="R375" s="81"/>
    </row>
    <row r="376" spans="1:18" ht="40.5" x14ac:dyDescent="0.25">
      <c r="A376" s="6">
        <v>371</v>
      </c>
      <c r="B376" s="27" t="s">
        <v>6007</v>
      </c>
      <c r="C376" s="27">
        <v>44699</v>
      </c>
      <c r="D376" s="27">
        <v>44699</v>
      </c>
      <c r="E376" s="81">
        <v>5</v>
      </c>
      <c r="F376" s="82" t="s">
        <v>22</v>
      </c>
      <c r="G376" s="59" t="s">
        <v>1101</v>
      </c>
      <c r="H376" s="59" t="s">
        <v>1102</v>
      </c>
      <c r="I376" s="59" t="s">
        <v>1101</v>
      </c>
      <c r="J376" s="27">
        <v>44705</v>
      </c>
      <c r="K376" s="27">
        <v>44705</v>
      </c>
      <c r="L376" s="83">
        <f t="shared" si="10"/>
        <v>4</v>
      </c>
      <c r="M376" s="59" t="s">
        <v>6008</v>
      </c>
      <c r="N376" s="84" t="s">
        <v>1104</v>
      </c>
      <c r="O376" s="59" t="s">
        <v>2091</v>
      </c>
      <c r="P376" s="8" t="s">
        <v>1105</v>
      </c>
      <c r="Q376" s="84" t="s">
        <v>5840</v>
      </c>
      <c r="R376" s="81"/>
    </row>
    <row r="377" spans="1:18" ht="40.5" x14ac:dyDescent="0.25">
      <c r="A377" s="6">
        <v>372</v>
      </c>
      <c r="B377" s="27" t="s">
        <v>6009</v>
      </c>
      <c r="C377" s="27">
        <v>44699</v>
      </c>
      <c r="D377" s="27">
        <v>44699</v>
      </c>
      <c r="E377" s="81">
        <v>3</v>
      </c>
      <c r="F377" s="82" t="s">
        <v>22</v>
      </c>
      <c r="G377" s="59" t="s">
        <v>1101</v>
      </c>
      <c r="H377" s="59" t="s">
        <v>1102</v>
      </c>
      <c r="I377" s="59" t="s">
        <v>1101</v>
      </c>
      <c r="J377" s="27">
        <v>44705</v>
      </c>
      <c r="K377" s="27">
        <v>44705</v>
      </c>
      <c r="L377" s="83">
        <f t="shared" si="10"/>
        <v>4</v>
      </c>
      <c r="M377" s="59" t="s">
        <v>6010</v>
      </c>
      <c r="N377" s="84" t="s">
        <v>1104</v>
      </c>
      <c r="O377" s="59" t="s">
        <v>2091</v>
      </c>
      <c r="P377" s="8" t="s">
        <v>1105</v>
      </c>
      <c r="Q377" s="84" t="s">
        <v>5840</v>
      </c>
      <c r="R377" s="81"/>
    </row>
    <row r="378" spans="1:18" ht="40.5" x14ac:dyDescent="0.25">
      <c r="A378" s="6">
        <v>373</v>
      </c>
      <c r="B378" s="27" t="s">
        <v>6011</v>
      </c>
      <c r="C378" s="27">
        <v>44699</v>
      </c>
      <c r="D378" s="27">
        <v>44699</v>
      </c>
      <c r="E378" s="81">
        <v>6</v>
      </c>
      <c r="F378" s="82" t="s">
        <v>22</v>
      </c>
      <c r="G378" s="59" t="s">
        <v>1101</v>
      </c>
      <c r="H378" s="59" t="s">
        <v>1102</v>
      </c>
      <c r="I378" s="59" t="s">
        <v>1101</v>
      </c>
      <c r="J378" s="27">
        <v>44705</v>
      </c>
      <c r="K378" s="27">
        <v>44705</v>
      </c>
      <c r="L378" s="83">
        <f t="shared" si="10"/>
        <v>4</v>
      </c>
      <c r="M378" s="59" t="s">
        <v>6012</v>
      </c>
      <c r="N378" s="84" t="s">
        <v>1104</v>
      </c>
      <c r="O378" s="59" t="s">
        <v>2091</v>
      </c>
      <c r="P378" s="8" t="s">
        <v>1105</v>
      </c>
      <c r="Q378" s="84" t="s">
        <v>5840</v>
      </c>
      <c r="R378" s="81"/>
    </row>
    <row r="379" spans="1:18" ht="40.5" x14ac:dyDescent="0.25">
      <c r="A379" s="6">
        <v>374</v>
      </c>
      <c r="B379" s="27" t="s">
        <v>6013</v>
      </c>
      <c r="C379" s="27">
        <v>44699</v>
      </c>
      <c r="D379" s="27">
        <v>44699</v>
      </c>
      <c r="E379" s="81">
        <v>5</v>
      </c>
      <c r="F379" s="82" t="s">
        <v>22</v>
      </c>
      <c r="G379" s="59" t="s">
        <v>1101</v>
      </c>
      <c r="H379" s="59" t="s">
        <v>1102</v>
      </c>
      <c r="I379" s="59" t="s">
        <v>1101</v>
      </c>
      <c r="J379" s="27">
        <v>44705</v>
      </c>
      <c r="K379" s="27">
        <v>44705</v>
      </c>
      <c r="L379" s="83">
        <f t="shared" si="10"/>
        <v>4</v>
      </c>
      <c r="M379" s="59" t="s">
        <v>6014</v>
      </c>
      <c r="N379" s="84" t="s">
        <v>1104</v>
      </c>
      <c r="O379" s="59" t="s">
        <v>2091</v>
      </c>
      <c r="P379" s="8" t="s">
        <v>1105</v>
      </c>
      <c r="Q379" s="84" t="s">
        <v>5840</v>
      </c>
      <c r="R379" s="81"/>
    </row>
    <row r="380" spans="1:18" ht="40.5" x14ac:dyDescent="0.25">
      <c r="A380" s="6">
        <v>375</v>
      </c>
      <c r="B380" s="27" t="s">
        <v>6015</v>
      </c>
      <c r="C380" s="27">
        <v>44699</v>
      </c>
      <c r="D380" s="27">
        <v>44699</v>
      </c>
      <c r="E380" s="81">
        <v>5</v>
      </c>
      <c r="F380" s="82" t="s">
        <v>22</v>
      </c>
      <c r="G380" s="59" t="s">
        <v>1101</v>
      </c>
      <c r="H380" s="59" t="s">
        <v>1102</v>
      </c>
      <c r="I380" s="59" t="s">
        <v>1101</v>
      </c>
      <c r="J380" s="27">
        <v>44705</v>
      </c>
      <c r="K380" s="27">
        <v>44705</v>
      </c>
      <c r="L380" s="83">
        <f t="shared" si="10"/>
        <v>4</v>
      </c>
      <c r="M380" s="59" t="s">
        <v>6016</v>
      </c>
      <c r="N380" s="84" t="s">
        <v>1104</v>
      </c>
      <c r="O380" s="59" t="s">
        <v>2091</v>
      </c>
      <c r="P380" s="8" t="s">
        <v>1105</v>
      </c>
      <c r="Q380" s="84" t="s">
        <v>5840</v>
      </c>
      <c r="R380" s="81"/>
    </row>
    <row r="381" spans="1:18" ht="40.5" x14ac:dyDescent="0.25">
      <c r="A381" s="6">
        <v>376</v>
      </c>
      <c r="B381" s="27" t="s">
        <v>6017</v>
      </c>
      <c r="C381" s="27">
        <v>44699</v>
      </c>
      <c r="D381" s="27">
        <v>44711</v>
      </c>
      <c r="E381" s="81">
        <v>132</v>
      </c>
      <c r="F381" s="82" t="s">
        <v>22</v>
      </c>
      <c r="G381" s="59" t="s">
        <v>1101</v>
      </c>
      <c r="H381" s="59" t="s">
        <v>1102</v>
      </c>
      <c r="I381" s="59" t="s">
        <v>1101</v>
      </c>
      <c r="J381" s="27">
        <v>44718</v>
      </c>
      <c r="K381" s="27">
        <v>44718</v>
      </c>
      <c r="L381" s="83">
        <f t="shared" si="10"/>
        <v>5</v>
      </c>
      <c r="M381" s="59" t="s">
        <v>6018</v>
      </c>
      <c r="N381" s="84" t="s">
        <v>1104</v>
      </c>
      <c r="O381" s="59" t="s">
        <v>2091</v>
      </c>
      <c r="P381" s="8" t="s">
        <v>1105</v>
      </c>
      <c r="Q381" s="84" t="s">
        <v>5840</v>
      </c>
      <c r="R381" s="81"/>
    </row>
    <row r="382" spans="1:18" ht="40.5" x14ac:dyDescent="0.25">
      <c r="A382" s="6">
        <v>377</v>
      </c>
      <c r="B382" s="27" t="s">
        <v>6019</v>
      </c>
      <c r="C382" s="27">
        <v>44699</v>
      </c>
      <c r="D382" s="27">
        <v>44699</v>
      </c>
      <c r="E382" s="81">
        <v>4</v>
      </c>
      <c r="F382" s="82" t="s">
        <v>22</v>
      </c>
      <c r="G382" s="59" t="s">
        <v>1101</v>
      </c>
      <c r="H382" s="59" t="s">
        <v>1102</v>
      </c>
      <c r="I382" s="59" t="s">
        <v>1101</v>
      </c>
      <c r="J382" s="27">
        <v>44705</v>
      </c>
      <c r="K382" s="27">
        <v>44705</v>
      </c>
      <c r="L382" s="83">
        <f t="shared" si="10"/>
        <v>4</v>
      </c>
      <c r="M382" s="59" t="s">
        <v>6020</v>
      </c>
      <c r="N382" s="84" t="s">
        <v>1104</v>
      </c>
      <c r="O382" s="59" t="s">
        <v>2091</v>
      </c>
      <c r="P382" s="8" t="s">
        <v>1105</v>
      </c>
      <c r="Q382" s="84" t="s">
        <v>5840</v>
      </c>
      <c r="R382" s="81"/>
    </row>
    <row r="383" spans="1:18" ht="40.5" x14ac:dyDescent="0.25">
      <c r="A383" s="6">
        <v>378</v>
      </c>
      <c r="B383" s="27" t="s">
        <v>6021</v>
      </c>
      <c r="C383" s="27">
        <v>44699</v>
      </c>
      <c r="D383" s="27">
        <v>44699</v>
      </c>
      <c r="E383" s="81">
        <v>1</v>
      </c>
      <c r="F383" s="82" t="s">
        <v>22</v>
      </c>
      <c r="G383" s="59" t="s">
        <v>1101</v>
      </c>
      <c r="H383" s="59" t="s">
        <v>1102</v>
      </c>
      <c r="I383" s="59" t="s">
        <v>1101</v>
      </c>
      <c r="J383" s="27">
        <v>44705</v>
      </c>
      <c r="K383" s="27">
        <v>44705</v>
      </c>
      <c r="L383" s="83">
        <f t="shared" si="10"/>
        <v>4</v>
      </c>
      <c r="M383" s="59" t="s">
        <v>6022</v>
      </c>
      <c r="N383" s="84" t="s">
        <v>1104</v>
      </c>
      <c r="O383" s="59" t="s">
        <v>2091</v>
      </c>
      <c r="P383" s="8" t="s">
        <v>1105</v>
      </c>
      <c r="Q383" s="84" t="s">
        <v>5840</v>
      </c>
      <c r="R383" s="81"/>
    </row>
    <row r="384" spans="1:18" ht="40.5" x14ac:dyDescent="0.25">
      <c r="A384" s="6">
        <v>379</v>
      </c>
      <c r="B384" s="27" t="s">
        <v>6023</v>
      </c>
      <c r="C384" s="27">
        <v>44699</v>
      </c>
      <c r="D384" s="27">
        <v>44699</v>
      </c>
      <c r="E384" s="81">
        <v>1</v>
      </c>
      <c r="F384" s="82" t="s">
        <v>22</v>
      </c>
      <c r="G384" s="59" t="s">
        <v>1101</v>
      </c>
      <c r="H384" s="59" t="s">
        <v>1102</v>
      </c>
      <c r="I384" s="59" t="s">
        <v>1101</v>
      </c>
      <c r="J384" s="27">
        <v>44705</v>
      </c>
      <c r="K384" s="27">
        <v>44705</v>
      </c>
      <c r="L384" s="83">
        <f t="shared" si="10"/>
        <v>4</v>
      </c>
      <c r="M384" s="59" t="s">
        <v>6024</v>
      </c>
      <c r="N384" s="84" t="s">
        <v>1104</v>
      </c>
      <c r="O384" s="59" t="s">
        <v>2091</v>
      </c>
      <c r="P384" s="8" t="s">
        <v>1105</v>
      </c>
      <c r="Q384" s="84" t="s">
        <v>5840</v>
      </c>
      <c r="R384" s="81"/>
    </row>
    <row r="385" spans="1:18" ht="40.5" x14ac:dyDescent="0.25">
      <c r="A385" s="6">
        <v>380</v>
      </c>
      <c r="B385" s="27" t="s">
        <v>6025</v>
      </c>
      <c r="C385" s="27">
        <v>44699</v>
      </c>
      <c r="D385" s="27">
        <v>44699</v>
      </c>
      <c r="E385" s="81">
        <v>4</v>
      </c>
      <c r="F385" s="82" t="s">
        <v>22</v>
      </c>
      <c r="G385" s="59" t="s">
        <v>1101</v>
      </c>
      <c r="H385" s="59" t="s">
        <v>1102</v>
      </c>
      <c r="I385" s="59" t="s">
        <v>1101</v>
      </c>
      <c r="J385" s="27">
        <v>44705</v>
      </c>
      <c r="K385" s="27">
        <v>44705</v>
      </c>
      <c r="L385" s="83">
        <f t="shared" si="10"/>
        <v>4</v>
      </c>
      <c r="M385" s="59" t="s">
        <v>6026</v>
      </c>
      <c r="N385" s="84" t="s">
        <v>1104</v>
      </c>
      <c r="O385" s="59" t="s">
        <v>2091</v>
      </c>
      <c r="P385" s="8" t="s">
        <v>1105</v>
      </c>
      <c r="Q385" s="84" t="s">
        <v>5840</v>
      </c>
      <c r="R385" s="81"/>
    </row>
    <row r="386" spans="1:18" ht="40.5" x14ac:dyDescent="0.25">
      <c r="A386" s="6">
        <v>381</v>
      </c>
      <c r="B386" s="27" t="s">
        <v>6027</v>
      </c>
      <c r="C386" s="27">
        <v>44699</v>
      </c>
      <c r="D386" s="27">
        <v>44699</v>
      </c>
      <c r="E386" s="81">
        <v>1</v>
      </c>
      <c r="F386" s="82" t="s">
        <v>22</v>
      </c>
      <c r="G386" s="59" t="s">
        <v>1101</v>
      </c>
      <c r="H386" s="59" t="s">
        <v>1102</v>
      </c>
      <c r="I386" s="59" t="s">
        <v>1101</v>
      </c>
      <c r="J386" s="27">
        <v>44705</v>
      </c>
      <c r="K386" s="27">
        <v>44705</v>
      </c>
      <c r="L386" s="83">
        <f t="shared" si="10"/>
        <v>4</v>
      </c>
      <c r="M386" s="59" t="s">
        <v>6028</v>
      </c>
      <c r="N386" s="84" t="s">
        <v>1104</v>
      </c>
      <c r="O386" s="59" t="s">
        <v>2091</v>
      </c>
      <c r="P386" s="8" t="s">
        <v>1105</v>
      </c>
      <c r="Q386" s="84" t="s">
        <v>5840</v>
      </c>
      <c r="R386" s="81"/>
    </row>
    <row r="387" spans="1:18" ht="40.5" x14ac:dyDescent="0.25">
      <c r="A387" s="6">
        <v>382</v>
      </c>
      <c r="B387" s="27" t="s">
        <v>6029</v>
      </c>
      <c r="C387" s="27">
        <v>44699</v>
      </c>
      <c r="D387" s="27">
        <v>44699</v>
      </c>
      <c r="E387" s="81">
        <v>4</v>
      </c>
      <c r="F387" s="82" t="s">
        <v>22</v>
      </c>
      <c r="G387" s="59" t="s">
        <v>1101</v>
      </c>
      <c r="H387" s="59" t="s">
        <v>1102</v>
      </c>
      <c r="I387" s="59" t="s">
        <v>1101</v>
      </c>
      <c r="J387" s="27">
        <v>44705</v>
      </c>
      <c r="K387" s="27">
        <v>44705</v>
      </c>
      <c r="L387" s="83">
        <f t="shared" si="10"/>
        <v>4</v>
      </c>
      <c r="M387" s="59" t="s">
        <v>6030</v>
      </c>
      <c r="N387" s="84" t="s">
        <v>1104</v>
      </c>
      <c r="O387" s="59" t="s">
        <v>2091</v>
      </c>
      <c r="P387" s="8" t="s">
        <v>1105</v>
      </c>
      <c r="Q387" s="84" t="s">
        <v>5840</v>
      </c>
      <c r="R387" s="81"/>
    </row>
    <row r="388" spans="1:18" ht="40.5" x14ac:dyDescent="0.25">
      <c r="A388" s="6">
        <v>383</v>
      </c>
      <c r="B388" s="27" t="s">
        <v>6031</v>
      </c>
      <c r="C388" s="27">
        <v>44699</v>
      </c>
      <c r="D388" s="27">
        <v>44699</v>
      </c>
      <c r="E388" s="81">
        <v>5</v>
      </c>
      <c r="F388" s="82" t="s">
        <v>22</v>
      </c>
      <c r="G388" s="59" t="s">
        <v>1101</v>
      </c>
      <c r="H388" s="59" t="s">
        <v>1102</v>
      </c>
      <c r="I388" s="59" t="s">
        <v>1101</v>
      </c>
      <c r="J388" s="27">
        <v>44705</v>
      </c>
      <c r="K388" s="27">
        <v>44705</v>
      </c>
      <c r="L388" s="83">
        <f t="shared" si="10"/>
        <v>4</v>
      </c>
      <c r="M388" s="59" t="s">
        <v>6032</v>
      </c>
      <c r="N388" s="84" t="s">
        <v>1104</v>
      </c>
      <c r="O388" s="59" t="s">
        <v>2091</v>
      </c>
      <c r="P388" s="8" t="s">
        <v>1105</v>
      </c>
      <c r="Q388" s="84" t="s">
        <v>5840</v>
      </c>
      <c r="R388" s="81"/>
    </row>
    <row r="389" spans="1:18" ht="40.5" x14ac:dyDescent="0.25">
      <c r="A389" s="6">
        <v>384</v>
      </c>
      <c r="B389" s="27" t="s">
        <v>6033</v>
      </c>
      <c r="C389" s="27">
        <v>44699</v>
      </c>
      <c r="D389" s="27">
        <v>44699</v>
      </c>
      <c r="E389" s="81">
        <v>4</v>
      </c>
      <c r="F389" s="82" t="s">
        <v>22</v>
      </c>
      <c r="G389" s="59" t="s">
        <v>1101</v>
      </c>
      <c r="H389" s="59" t="s">
        <v>1102</v>
      </c>
      <c r="I389" s="59" t="s">
        <v>1101</v>
      </c>
      <c r="J389" s="27">
        <v>44706</v>
      </c>
      <c r="K389" s="27">
        <v>44706</v>
      </c>
      <c r="L389" s="83">
        <f t="shared" si="10"/>
        <v>5</v>
      </c>
      <c r="M389" s="59" t="s">
        <v>6034</v>
      </c>
      <c r="N389" s="84" t="s">
        <v>1104</v>
      </c>
      <c r="O389" s="59" t="s">
        <v>2091</v>
      </c>
      <c r="P389" s="8" t="s">
        <v>1105</v>
      </c>
      <c r="Q389" s="84" t="s">
        <v>5840</v>
      </c>
      <c r="R389" s="81"/>
    </row>
    <row r="390" spans="1:18" ht="40.5" x14ac:dyDescent="0.25">
      <c r="A390" s="6">
        <v>385</v>
      </c>
      <c r="B390" s="27" t="s">
        <v>6035</v>
      </c>
      <c r="C390" s="27">
        <v>44699</v>
      </c>
      <c r="D390" s="27">
        <v>44699</v>
      </c>
      <c r="E390" s="81">
        <v>4</v>
      </c>
      <c r="F390" s="82" t="s">
        <v>22</v>
      </c>
      <c r="G390" s="59" t="s">
        <v>1101</v>
      </c>
      <c r="H390" s="59" t="s">
        <v>1102</v>
      </c>
      <c r="I390" s="59" t="s">
        <v>1101</v>
      </c>
      <c r="J390" s="27">
        <v>44706</v>
      </c>
      <c r="K390" s="27">
        <v>44706</v>
      </c>
      <c r="L390" s="83">
        <f t="shared" si="10"/>
        <v>5</v>
      </c>
      <c r="M390" s="59" t="s">
        <v>6036</v>
      </c>
      <c r="N390" s="84" t="s">
        <v>1104</v>
      </c>
      <c r="O390" s="59" t="s">
        <v>2091</v>
      </c>
      <c r="P390" s="8" t="s">
        <v>1105</v>
      </c>
      <c r="Q390" s="84" t="s">
        <v>5840</v>
      </c>
      <c r="R390" s="81"/>
    </row>
    <row r="391" spans="1:18" ht="40.5" x14ac:dyDescent="0.25">
      <c r="A391" s="6">
        <v>386</v>
      </c>
      <c r="B391" s="27" t="s">
        <v>6037</v>
      </c>
      <c r="C391" s="27">
        <v>44700</v>
      </c>
      <c r="D391" s="27">
        <v>44700</v>
      </c>
      <c r="E391" s="81">
        <v>5</v>
      </c>
      <c r="F391" s="82" t="s">
        <v>22</v>
      </c>
      <c r="G391" s="59" t="s">
        <v>1101</v>
      </c>
      <c r="H391" s="59" t="s">
        <v>1102</v>
      </c>
      <c r="I391" s="59" t="s">
        <v>1101</v>
      </c>
      <c r="J391" s="27">
        <v>44706</v>
      </c>
      <c r="K391" s="27">
        <v>44706</v>
      </c>
      <c r="L391" s="83">
        <f t="shared" ref="L391:L416" si="11">+NETWORKDAYS(D391,K391,$R$6:$R$9)-1</f>
        <v>4</v>
      </c>
      <c r="M391" s="59" t="s">
        <v>6038</v>
      </c>
      <c r="N391" s="84" t="s">
        <v>1104</v>
      </c>
      <c r="O391" s="59" t="s">
        <v>2091</v>
      </c>
      <c r="P391" s="8" t="s">
        <v>1105</v>
      </c>
      <c r="Q391" s="84" t="s">
        <v>5840</v>
      </c>
      <c r="R391" s="81"/>
    </row>
    <row r="392" spans="1:18" ht="40.5" x14ac:dyDescent="0.25">
      <c r="A392" s="6">
        <v>387</v>
      </c>
      <c r="B392" s="27" t="s">
        <v>6039</v>
      </c>
      <c r="C392" s="27">
        <v>44700</v>
      </c>
      <c r="D392" s="27">
        <v>44700</v>
      </c>
      <c r="E392" s="81">
        <v>1</v>
      </c>
      <c r="F392" s="82" t="s">
        <v>22</v>
      </c>
      <c r="G392" s="59" t="s">
        <v>1101</v>
      </c>
      <c r="H392" s="59" t="s">
        <v>1102</v>
      </c>
      <c r="I392" s="59" t="s">
        <v>1101</v>
      </c>
      <c r="J392" s="27">
        <v>44706</v>
      </c>
      <c r="K392" s="27">
        <v>44706</v>
      </c>
      <c r="L392" s="83">
        <f t="shared" si="11"/>
        <v>4</v>
      </c>
      <c r="M392" s="59" t="s">
        <v>6040</v>
      </c>
      <c r="N392" s="84" t="s">
        <v>1104</v>
      </c>
      <c r="O392" s="59" t="s">
        <v>2091</v>
      </c>
      <c r="P392" s="8" t="s">
        <v>1105</v>
      </c>
      <c r="Q392" s="84" t="s">
        <v>5840</v>
      </c>
      <c r="R392" s="81"/>
    </row>
    <row r="393" spans="1:18" ht="40.5" x14ac:dyDescent="0.25">
      <c r="A393" s="6">
        <v>388</v>
      </c>
      <c r="B393" s="27" t="s">
        <v>6041</v>
      </c>
      <c r="C393" s="27">
        <v>44700</v>
      </c>
      <c r="D393" s="27">
        <v>44700</v>
      </c>
      <c r="E393" s="81">
        <v>1</v>
      </c>
      <c r="F393" s="82" t="s">
        <v>22</v>
      </c>
      <c r="G393" s="59" t="s">
        <v>1101</v>
      </c>
      <c r="H393" s="59" t="s">
        <v>1102</v>
      </c>
      <c r="I393" s="59" t="s">
        <v>1101</v>
      </c>
      <c r="J393" s="27">
        <v>44706</v>
      </c>
      <c r="K393" s="27">
        <v>44706</v>
      </c>
      <c r="L393" s="83">
        <f t="shared" si="11"/>
        <v>4</v>
      </c>
      <c r="M393" s="59" t="s">
        <v>6042</v>
      </c>
      <c r="N393" s="84" t="s">
        <v>1104</v>
      </c>
      <c r="O393" s="59" t="s">
        <v>2091</v>
      </c>
      <c r="P393" s="8" t="s">
        <v>1105</v>
      </c>
      <c r="Q393" s="84" t="s">
        <v>5840</v>
      </c>
      <c r="R393" s="81"/>
    </row>
    <row r="394" spans="1:18" ht="40.5" x14ac:dyDescent="0.25">
      <c r="A394" s="6">
        <v>389</v>
      </c>
      <c r="B394" s="27" t="s">
        <v>6043</v>
      </c>
      <c r="C394" s="27">
        <v>44700</v>
      </c>
      <c r="D394" s="27">
        <v>44700</v>
      </c>
      <c r="E394" s="81">
        <v>19</v>
      </c>
      <c r="F394" s="82" t="s">
        <v>22</v>
      </c>
      <c r="G394" s="59" t="s">
        <v>1101</v>
      </c>
      <c r="H394" s="59" t="s">
        <v>1102</v>
      </c>
      <c r="I394" s="59" t="s">
        <v>1101</v>
      </c>
      <c r="J394" s="27">
        <v>44706</v>
      </c>
      <c r="K394" s="27">
        <v>44706</v>
      </c>
      <c r="L394" s="83">
        <f t="shared" si="11"/>
        <v>4</v>
      </c>
      <c r="M394" s="59" t="s">
        <v>6044</v>
      </c>
      <c r="N394" s="84" t="s">
        <v>1104</v>
      </c>
      <c r="O394" s="59" t="s">
        <v>2091</v>
      </c>
      <c r="P394" s="8" t="s">
        <v>1105</v>
      </c>
      <c r="Q394" s="84" t="s">
        <v>5840</v>
      </c>
      <c r="R394" s="81"/>
    </row>
    <row r="395" spans="1:18" ht="40.5" x14ac:dyDescent="0.25">
      <c r="A395" s="6">
        <v>390</v>
      </c>
      <c r="B395" s="27" t="s">
        <v>6045</v>
      </c>
      <c r="C395" s="27">
        <v>44701</v>
      </c>
      <c r="D395" s="27">
        <v>44701</v>
      </c>
      <c r="E395" s="81">
        <v>1</v>
      </c>
      <c r="F395" s="82" t="s">
        <v>22</v>
      </c>
      <c r="G395" s="59" t="s">
        <v>1101</v>
      </c>
      <c r="H395" s="59" t="s">
        <v>1102</v>
      </c>
      <c r="I395" s="59" t="s">
        <v>1101</v>
      </c>
      <c r="J395" s="27">
        <v>44706</v>
      </c>
      <c r="K395" s="27">
        <v>44706</v>
      </c>
      <c r="L395" s="83">
        <f t="shared" si="11"/>
        <v>3</v>
      </c>
      <c r="M395" s="59" t="s">
        <v>6046</v>
      </c>
      <c r="N395" s="84" t="s">
        <v>1104</v>
      </c>
      <c r="O395" s="59" t="s">
        <v>2091</v>
      </c>
      <c r="P395" s="8" t="s">
        <v>1105</v>
      </c>
      <c r="Q395" s="84" t="s">
        <v>5840</v>
      </c>
      <c r="R395" s="81"/>
    </row>
    <row r="396" spans="1:18" ht="40.5" x14ac:dyDescent="0.25">
      <c r="A396" s="6">
        <v>391</v>
      </c>
      <c r="B396" s="27" t="s">
        <v>6047</v>
      </c>
      <c r="C396" s="27">
        <v>44701</v>
      </c>
      <c r="D396" s="27">
        <v>44711</v>
      </c>
      <c r="E396" s="81">
        <v>4</v>
      </c>
      <c r="F396" s="82" t="s">
        <v>22</v>
      </c>
      <c r="G396" s="59" t="s">
        <v>1101</v>
      </c>
      <c r="H396" s="59" t="s">
        <v>1102</v>
      </c>
      <c r="I396" s="59" t="s">
        <v>1101</v>
      </c>
      <c r="J396" s="27">
        <v>44725</v>
      </c>
      <c r="K396" s="27">
        <v>44725</v>
      </c>
      <c r="L396" s="83">
        <f t="shared" si="11"/>
        <v>10</v>
      </c>
      <c r="M396" s="59" t="s">
        <v>6048</v>
      </c>
      <c r="N396" s="84" t="s">
        <v>1104</v>
      </c>
      <c r="O396" s="59" t="s">
        <v>2091</v>
      </c>
      <c r="P396" s="8" t="s">
        <v>1105</v>
      </c>
      <c r="Q396" s="84" t="s">
        <v>5840</v>
      </c>
      <c r="R396" s="81"/>
    </row>
    <row r="397" spans="1:18" ht="40.5" x14ac:dyDescent="0.25">
      <c r="A397" s="6">
        <v>392</v>
      </c>
      <c r="B397" s="27" t="s">
        <v>6049</v>
      </c>
      <c r="C397" s="27">
        <v>44701</v>
      </c>
      <c r="D397" s="27">
        <v>44701</v>
      </c>
      <c r="E397" s="81">
        <v>5</v>
      </c>
      <c r="F397" s="82" t="s">
        <v>22</v>
      </c>
      <c r="G397" s="59" t="s">
        <v>1101</v>
      </c>
      <c r="H397" s="59" t="s">
        <v>1102</v>
      </c>
      <c r="I397" s="59" t="s">
        <v>1101</v>
      </c>
      <c r="J397" s="27">
        <v>44706</v>
      </c>
      <c r="K397" s="27">
        <v>44706</v>
      </c>
      <c r="L397" s="83">
        <f t="shared" si="11"/>
        <v>3</v>
      </c>
      <c r="M397" s="59" t="s">
        <v>6050</v>
      </c>
      <c r="N397" s="84" t="s">
        <v>1104</v>
      </c>
      <c r="O397" s="59" t="s">
        <v>2091</v>
      </c>
      <c r="P397" s="8" t="s">
        <v>1105</v>
      </c>
      <c r="Q397" s="84" t="s">
        <v>5840</v>
      </c>
      <c r="R397" s="81"/>
    </row>
    <row r="398" spans="1:18" ht="40.5" x14ac:dyDescent="0.25">
      <c r="A398" s="6">
        <v>393</v>
      </c>
      <c r="B398" s="27" t="s">
        <v>6051</v>
      </c>
      <c r="C398" s="27">
        <v>44705</v>
      </c>
      <c r="D398" s="27">
        <v>44713</v>
      </c>
      <c r="E398" s="81">
        <v>17</v>
      </c>
      <c r="F398" s="82" t="s">
        <v>22</v>
      </c>
      <c r="G398" s="59" t="s">
        <v>1101</v>
      </c>
      <c r="H398" s="59" t="s">
        <v>1102</v>
      </c>
      <c r="I398" s="59" t="s">
        <v>1101</v>
      </c>
      <c r="J398" s="27">
        <v>44713</v>
      </c>
      <c r="K398" s="27">
        <v>44713</v>
      </c>
      <c r="L398" s="83">
        <f t="shared" si="11"/>
        <v>0</v>
      </c>
      <c r="M398" s="59" t="s">
        <v>6052</v>
      </c>
      <c r="N398" s="84" t="s">
        <v>1104</v>
      </c>
      <c r="O398" s="59" t="s">
        <v>2091</v>
      </c>
      <c r="P398" s="8" t="s">
        <v>1105</v>
      </c>
      <c r="Q398" s="84" t="s">
        <v>5840</v>
      </c>
      <c r="R398" s="81"/>
    </row>
    <row r="399" spans="1:18" ht="40.5" x14ac:dyDescent="0.25">
      <c r="A399" s="6">
        <v>394</v>
      </c>
      <c r="B399" s="27" t="s">
        <v>6053</v>
      </c>
      <c r="C399" s="27">
        <v>44706</v>
      </c>
      <c r="D399" s="27">
        <v>44706</v>
      </c>
      <c r="E399" s="81">
        <v>1</v>
      </c>
      <c r="F399" s="82" t="s">
        <v>22</v>
      </c>
      <c r="G399" s="59" t="s">
        <v>1101</v>
      </c>
      <c r="H399" s="59" t="s">
        <v>1102</v>
      </c>
      <c r="I399" s="59" t="s">
        <v>1101</v>
      </c>
      <c r="J399" s="27">
        <v>44714</v>
      </c>
      <c r="K399" s="27">
        <v>44714</v>
      </c>
      <c r="L399" s="83">
        <f t="shared" si="11"/>
        <v>6</v>
      </c>
      <c r="M399" s="59" t="s">
        <v>6054</v>
      </c>
      <c r="N399" s="84" t="s">
        <v>1104</v>
      </c>
      <c r="O399" s="59" t="s">
        <v>2091</v>
      </c>
      <c r="P399" s="8" t="s">
        <v>1105</v>
      </c>
      <c r="Q399" s="84" t="s">
        <v>5840</v>
      </c>
      <c r="R399" s="81"/>
    </row>
    <row r="400" spans="1:18" ht="40.5" x14ac:dyDescent="0.25">
      <c r="A400" s="6">
        <v>395</v>
      </c>
      <c r="B400" s="27" t="s">
        <v>6055</v>
      </c>
      <c r="C400" s="27">
        <v>44706</v>
      </c>
      <c r="D400" s="27">
        <v>44706</v>
      </c>
      <c r="E400" s="81">
        <v>1</v>
      </c>
      <c r="F400" s="82" t="s">
        <v>22</v>
      </c>
      <c r="G400" s="59" t="s">
        <v>1101</v>
      </c>
      <c r="H400" s="59" t="s">
        <v>1102</v>
      </c>
      <c r="I400" s="59" t="s">
        <v>1101</v>
      </c>
      <c r="J400" s="27">
        <v>44714</v>
      </c>
      <c r="K400" s="27">
        <v>44714</v>
      </c>
      <c r="L400" s="83">
        <f t="shared" si="11"/>
        <v>6</v>
      </c>
      <c r="M400" s="59" t="s">
        <v>6056</v>
      </c>
      <c r="N400" s="84" t="s">
        <v>1104</v>
      </c>
      <c r="O400" s="59" t="s">
        <v>2091</v>
      </c>
      <c r="P400" s="8" t="s">
        <v>1105</v>
      </c>
      <c r="Q400" s="84" t="s">
        <v>5840</v>
      </c>
      <c r="R400" s="81"/>
    </row>
    <row r="401" spans="1:18" ht="40.5" x14ac:dyDescent="0.25">
      <c r="A401" s="6">
        <v>396</v>
      </c>
      <c r="B401" s="27" t="s">
        <v>6057</v>
      </c>
      <c r="C401" s="27">
        <v>44706</v>
      </c>
      <c r="D401" s="27">
        <v>44706</v>
      </c>
      <c r="E401" s="81">
        <v>1</v>
      </c>
      <c r="F401" s="82" t="s">
        <v>22</v>
      </c>
      <c r="G401" s="59" t="s">
        <v>1101</v>
      </c>
      <c r="H401" s="59" t="s">
        <v>1102</v>
      </c>
      <c r="I401" s="59" t="s">
        <v>1101</v>
      </c>
      <c r="J401" s="27">
        <v>44714</v>
      </c>
      <c r="K401" s="27">
        <v>44714</v>
      </c>
      <c r="L401" s="83">
        <f t="shared" si="11"/>
        <v>6</v>
      </c>
      <c r="M401" s="59" t="s">
        <v>6058</v>
      </c>
      <c r="N401" s="84" t="s">
        <v>1104</v>
      </c>
      <c r="O401" s="59" t="s">
        <v>2091</v>
      </c>
      <c r="P401" s="8" t="s">
        <v>1105</v>
      </c>
      <c r="Q401" s="84" t="s">
        <v>5840</v>
      </c>
      <c r="R401" s="81"/>
    </row>
    <row r="402" spans="1:18" ht="40.5" x14ac:dyDescent="0.25">
      <c r="A402" s="6">
        <v>397</v>
      </c>
      <c r="B402" s="27" t="s">
        <v>6059</v>
      </c>
      <c r="C402" s="27">
        <v>44706</v>
      </c>
      <c r="D402" s="27">
        <v>44706</v>
      </c>
      <c r="E402" s="81">
        <v>4</v>
      </c>
      <c r="F402" s="82" t="s">
        <v>22</v>
      </c>
      <c r="G402" s="59" t="s">
        <v>1101</v>
      </c>
      <c r="H402" s="59" t="s">
        <v>1102</v>
      </c>
      <c r="I402" s="59" t="s">
        <v>1101</v>
      </c>
      <c r="J402" s="27">
        <v>44714</v>
      </c>
      <c r="K402" s="27">
        <v>44714</v>
      </c>
      <c r="L402" s="83">
        <f t="shared" si="11"/>
        <v>6</v>
      </c>
      <c r="M402" s="59" t="s">
        <v>6060</v>
      </c>
      <c r="N402" s="84" t="s">
        <v>1104</v>
      </c>
      <c r="O402" s="59" t="s">
        <v>2091</v>
      </c>
      <c r="P402" s="8" t="s">
        <v>1105</v>
      </c>
      <c r="Q402" s="84" t="s">
        <v>5840</v>
      </c>
      <c r="R402" s="81"/>
    </row>
    <row r="403" spans="1:18" ht="40.5" x14ac:dyDescent="0.25">
      <c r="A403" s="6">
        <v>398</v>
      </c>
      <c r="B403" s="27" t="s">
        <v>6061</v>
      </c>
      <c r="C403" s="27">
        <v>44706</v>
      </c>
      <c r="D403" s="27">
        <v>44706</v>
      </c>
      <c r="E403" s="81">
        <v>1</v>
      </c>
      <c r="F403" s="82" t="s">
        <v>22</v>
      </c>
      <c r="G403" s="59" t="s">
        <v>1101</v>
      </c>
      <c r="H403" s="59" t="s">
        <v>1102</v>
      </c>
      <c r="I403" s="59" t="s">
        <v>1101</v>
      </c>
      <c r="J403" s="27">
        <v>44715</v>
      </c>
      <c r="K403" s="27">
        <v>44715</v>
      </c>
      <c r="L403" s="83">
        <f t="shared" si="11"/>
        <v>7</v>
      </c>
      <c r="M403" s="59" t="s">
        <v>6062</v>
      </c>
      <c r="N403" s="84" t="s">
        <v>1104</v>
      </c>
      <c r="O403" s="59" t="s">
        <v>2091</v>
      </c>
      <c r="P403" s="8" t="s">
        <v>1105</v>
      </c>
      <c r="Q403" s="84" t="s">
        <v>5840</v>
      </c>
      <c r="R403" s="81"/>
    </row>
    <row r="404" spans="1:18" ht="40.5" x14ac:dyDescent="0.25">
      <c r="A404" s="6">
        <v>399</v>
      </c>
      <c r="B404" s="27" t="s">
        <v>6063</v>
      </c>
      <c r="C404" s="27">
        <v>44706</v>
      </c>
      <c r="D404" s="27">
        <v>44706</v>
      </c>
      <c r="E404" s="81">
        <v>5</v>
      </c>
      <c r="F404" s="82" t="s">
        <v>22</v>
      </c>
      <c r="G404" s="59" t="s">
        <v>1101</v>
      </c>
      <c r="H404" s="59" t="s">
        <v>1102</v>
      </c>
      <c r="I404" s="59" t="s">
        <v>1101</v>
      </c>
      <c r="J404" s="27">
        <v>44715</v>
      </c>
      <c r="K404" s="27">
        <v>44715</v>
      </c>
      <c r="L404" s="83">
        <f t="shared" si="11"/>
        <v>7</v>
      </c>
      <c r="M404" s="59" t="s">
        <v>6064</v>
      </c>
      <c r="N404" s="84" t="s">
        <v>1104</v>
      </c>
      <c r="O404" s="59" t="s">
        <v>2091</v>
      </c>
      <c r="P404" s="8" t="s">
        <v>1105</v>
      </c>
      <c r="Q404" s="84" t="s">
        <v>5840</v>
      </c>
      <c r="R404" s="81"/>
    </row>
    <row r="405" spans="1:18" ht="40.5" x14ac:dyDescent="0.25">
      <c r="A405" s="6">
        <v>400</v>
      </c>
      <c r="B405" s="27" t="s">
        <v>6065</v>
      </c>
      <c r="C405" s="27">
        <v>44707</v>
      </c>
      <c r="D405" s="27">
        <v>44707</v>
      </c>
      <c r="E405" s="81">
        <v>1</v>
      </c>
      <c r="F405" s="82" t="s">
        <v>22</v>
      </c>
      <c r="G405" s="59" t="s">
        <v>1101</v>
      </c>
      <c r="H405" s="59" t="s">
        <v>1102</v>
      </c>
      <c r="I405" s="59" t="s">
        <v>1101</v>
      </c>
      <c r="J405" s="27">
        <v>44715</v>
      </c>
      <c r="K405" s="27">
        <v>44715</v>
      </c>
      <c r="L405" s="83">
        <f t="shared" si="11"/>
        <v>6</v>
      </c>
      <c r="M405" s="59" t="s">
        <v>6066</v>
      </c>
      <c r="N405" s="84" t="s">
        <v>1104</v>
      </c>
      <c r="O405" s="59" t="s">
        <v>2091</v>
      </c>
      <c r="P405" s="8" t="s">
        <v>1105</v>
      </c>
      <c r="Q405" s="84" t="s">
        <v>5840</v>
      </c>
      <c r="R405" s="81"/>
    </row>
    <row r="406" spans="1:18" ht="40.5" x14ac:dyDescent="0.25">
      <c r="A406" s="6">
        <v>401</v>
      </c>
      <c r="B406" s="27" t="s">
        <v>6067</v>
      </c>
      <c r="C406" s="27">
        <v>44707</v>
      </c>
      <c r="D406" s="27">
        <v>44711</v>
      </c>
      <c r="E406" s="81">
        <f>4+71+86</f>
        <v>161</v>
      </c>
      <c r="F406" s="82" t="s">
        <v>22</v>
      </c>
      <c r="G406" s="59" t="s">
        <v>1101</v>
      </c>
      <c r="H406" s="59" t="s">
        <v>1102</v>
      </c>
      <c r="I406" s="59" t="s">
        <v>1101</v>
      </c>
      <c r="J406" s="27">
        <v>44726</v>
      </c>
      <c r="K406" s="27">
        <v>44726</v>
      </c>
      <c r="L406" s="83">
        <f t="shared" si="11"/>
        <v>11</v>
      </c>
      <c r="M406" s="59" t="s">
        <v>6068</v>
      </c>
      <c r="N406" s="84" t="s">
        <v>1104</v>
      </c>
      <c r="O406" s="59" t="s">
        <v>2091</v>
      </c>
      <c r="P406" s="8" t="s">
        <v>1105</v>
      </c>
      <c r="Q406" s="84" t="s">
        <v>5840</v>
      </c>
      <c r="R406" s="81"/>
    </row>
    <row r="407" spans="1:18" ht="40.5" x14ac:dyDescent="0.25">
      <c r="A407" s="6">
        <v>402</v>
      </c>
      <c r="B407" s="27" t="s">
        <v>6069</v>
      </c>
      <c r="C407" s="27">
        <v>44708</v>
      </c>
      <c r="D407" s="27">
        <v>44708</v>
      </c>
      <c r="E407" s="81">
        <v>1</v>
      </c>
      <c r="F407" s="82" t="s">
        <v>22</v>
      </c>
      <c r="G407" s="59" t="s">
        <v>1101</v>
      </c>
      <c r="H407" s="59" t="s">
        <v>1102</v>
      </c>
      <c r="I407" s="59" t="s">
        <v>1101</v>
      </c>
      <c r="J407" s="27">
        <v>44715</v>
      </c>
      <c r="K407" s="27">
        <v>44715</v>
      </c>
      <c r="L407" s="83">
        <f t="shared" si="11"/>
        <v>5</v>
      </c>
      <c r="M407" s="59" t="s">
        <v>6070</v>
      </c>
      <c r="N407" s="84" t="s">
        <v>1104</v>
      </c>
      <c r="O407" s="59" t="s">
        <v>2091</v>
      </c>
      <c r="P407" s="8" t="s">
        <v>1105</v>
      </c>
      <c r="Q407" s="84" t="s">
        <v>5840</v>
      </c>
      <c r="R407" s="81"/>
    </row>
    <row r="408" spans="1:18" ht="40.5" x14ac:dyDescent="0.25">
      <c r="A408" s="6">
        <v>403</v>
      </c>
      <c r="B408" s="27" t="s">
        <v>6071</v>
      </c>
      <c r="C408" s="27">
        <v>44708</v>
      </c>
      <c r="D408" s="27">
        <v>44708</v>
      </c>
      <c r="E408" s="81">
        <v>1</v>
      </c>
      <c r="F408" s="82" t="s">
        <v>22</v>
      </c>
      <c r="G408" s="59" t="s">
        <v>1101</v>
      </c>
      <c r="H408" s="59" t="s">
        <v>1102</v>
      </c>
      <c r="I408" s="59" t="s">
        <v>1101</v>
      </c>
      <c r="J408" s="27">
        <v>44715</v>
      </c>
      <c r="K408" s="27">
        <v>44715</v>
      </c>
      <c r="L408" s="83">
        <f t="shared" si="11"/>
        <v>5</v>
      </c>
      <c r="M408" s="59" t="s">
        <v>6072</v>
      </c>
      <c r="N408" s="84" t="s">
        <v>1104</v>
      </c>
      <c r="O408" s="59" t="s">
        <v>2091</v>
      </c>
      <c r="P408" s="8" t="s">
        <v>1105</v>
      </c>
      <c r="Q408" s="84" t="s">
        <v>5840</v>
      </c>
      <c r="R408" s="81"/>
    </row>
    <row r="409" spans="1:18" ht="40.5" x14ac:dyDescent="0.25">
      <c r="A409" s="6">
        <v>404</v>
      </c>
      <c r="B409" s="27" t="s">
        <v>6073</v>
      </c>
      <c r="C409" s="27">
        <v>44708</v>
      </c>
      <c r="D409" s="27">
        <v>44707</v>
      </c>
      <c r="E409" s="81">
        <v>1</v>
      </c>
      <c r="F409" s="82" t="s">
        <v>22</v>
      </c>
      <c r="G409" s="59" t="s">
        <v>1101</v>
      </c>
      <c r="H409" s="59" t="s">
        <v>1102</v>
      </c>
      <c r="I409" s="59" t="s">
        <v>1101</v>
      </c>
      <c r="J409" s="27">
        <v>44719</v>
      </c>
      <c r="K409" s="27">
        <v>44719</v>
      </c>
      <c r="L409" s="83">
        <f t="shared" si="11"/>
        <v>8</v>
      </c>
      <c r="M409" s="59" t="s">
        <v>6074</v>
      </c>
      <c r="N409" s="84" t="s">
        <v>1104</v>
      </c>
      <c r="O409" s="59" t="s">
        <v>2091</v>
      </c>
      <c r="P409" s="8" t="s">
        <v>1105</v>
      </c>
      <c r="Q409" s="84" t="s">
        <v>5840</v>
      </c>
      <c r="R409" s="81"/>
    </row>
    <row r="410" spans="1:18" ht="40.5" x14ac:dyDescent="0.25">
      <c r="A410" s="6">
        <v>405</v>
      </c>
      <c r="B410" s="27" t="s">
        <v>6075</v>
      </c>
      <c r="C410" s="27">
        <v>44711</v>
      </c>
      <c r="D410" s="27">
        <v>44711</v>
      </c>
      <c r="E410" s="81">
        <v>1</v>
      </c>
      <c r="F410" s="82" t="s">
        <v>22</v>
      </c>
      <c r="G410" s="59" t="s">
        <v>1101</v>
      </c>
      <c r="H410" s="59" t="s">
        <v>1102</v>
      </c>
      <c r="I410" s="59" t="s">
        <v>1101</v>
      </c>
      <c r="J410" s="27">
        <v>44726</v>
      </c>
      <c r="K410" s="27">
        <v>44726</v>
      </c>
      <c r="L410" s="83">
        <f t="shared" si="11"/>
        <v>11</v>
      </c>
      <c r="M410" s="59" t="s">
        <v>6076</v>
      </c>
      <c r="N410" s="84" t="s">
        <v>1104</v>
      </c>
      <c r="O410" s="59" t="s">
        <v>2091</v>
      </c>
      <c r="P410" s="8" t="s">
        <v>1105</v>
      </c>
      <c r="Q410" s="84" t="s">
        <v>5840</v>
      </c>
      <c r="R410" s="81"/>
    </row>
    <row r="411" spans="1:18" ht="40.5" x14ac:dyDescent="0.25">
      <c r="A411" s="6">
        <v>406</v>
      </c>
      <c r="B411" s="27" t="s">
        <v>6077</v>
      </c>
      <c r="C411" s="27">
        <v>44711</v>
      </c>
      <c r="D411" s="27">
        <v>44711</v>
      </c>
      <c r="E411" s="81">
        <v>4</v>
      </c>
      <c r="F411" s="82" t="s">
        <v>22</v>
      </c>
      <c r="G411" s="59" t="s">
        <v>1101</v>
      </c>
      <c r="H411" s="59" t="s">
        <v>1102</v>
      </c>
      <c r="I411" s="59" t="s">
        <v>1101</v>
      </c>
      <c r="J411" s="27">
        <v>44719</v>
      </c>
      <c r="K411" s="27">
        <v>44719</v>
      </c>
      <c r="L411" s="83">
        <f t="shared" si="11"/>
        <v>6</v>
      </c>
      <c r="M411" s="59" t="s">
        <v>6078</v>
      </c>
      <c r="N411" s="84" t="s">
        <v>1104</v>
      </c>
      <c r="O411" s="59" t="s">
        <v>2091</v>
      </c>
      <c r="P411" s="8" t="s">
        <v>1105</v>
      </c>
      <c r="Q411" s="84" t="s">
        <v>5840</v>
      </c>
      <c r="R411" s="81"/>
    </row>
    <row r="412" spans="1:18" ht="40.5" x14ac:dyDescent="0.25">
      <c r="A412" s="6">
        <v>407</v>
      </c>
      <c r="B412" s="27" t="s">
        <v>6079</v>
      </c>
      <c r="C412" s="27">
        <v>44711</v>
      </c>
      <c r="D412" s="27">
        <v>44711</v>
      </c>
      <c r="E412" s="81">
        <v>249</v>
      </c>
      <c r="F412" s="82" t="s">
        <v>22</v>
      </c>
      <c r="G412" s="59" t="s">
        <v>1101</v>
      </c>
      <c r="H412" s="59" t="s">
        <v>1102</v>
      </c>
      <c r="I412" s="59" t="s">
        <v>1101</v>
      </c>
      <c r="J412" s="27">
        <v>44719</v>
      </c>
      <c r="K412" s="27">
        <v>44719</v>
      </c>
      <c r="L412" s="83">
        <f t="shared" si="11"/>
        <v>6</v>
      </c>
      <c r="M412" s="59" t="s">
        <v>6080</v>
      </c>
      <c r="N412" s="84" t="s">
        <v>1104</v>
      </c>
      <c r="O412" s="59" t="s">
        <v>2091</v>
      </c>
      <c r="P412" s="8" t="s">
        <v>1105</v>
      </c>
      <c r="Q412" s="84" t="s">
        <v>5840</v>
      </c>
      <c r="R412" s="81"/>
    </row>
    <row r="413" spans="1:18" ht="40.5" x14ac:dyDescent="0.25">
      <c r="A413" s="6">
        <v>408</v>
      </c>
      <c r="B413" s="27" t="s">
        <v>6081</v>
      </c>
      <c r="C413" s="27">
        <v>44711</v>
      </c>
      <c r="D413" s="27">
        <v>44711</v>
      </c>
      <c r="E413" s="81">
        <v>4</v>
      </c>
      <c r="F413" s="82" t="s">
        <v>22</v>
      </c>
      <c r="G413" s="59" t="s">
        <v>1101</v>
      </c>
      <c r="H413" s="59" t="s">
        <v>1102</v>
      </c>
      <c r="I413" s="59" t="s">
        <v>1101</v>
      </c>
      <c r="J413" s="27">
        <v>44719</v>
      </c>
      <c r="K413" s="27">
        <v>44719</v>
      </c>
      <c r="L413" s="83">
        <f t="shared" si="11"/>
        <v>6</v>
      </c>
      <c r="M413" s="59" t="s">
        <v>6082</v>
      </c>
      <c r="N413" s="84" t="s">
        <v>1104</v>
      </c>
      <c r="O413" s="59" t="s">
        <v>2091</v>
      </c>
      <c r="P413" s="8" t="s">
        <v>1105</v>
      </c>
      <c r="Q413" s="84" t="s">
        <v>5840</v>
      </c>
      <c r="R413" s="81"/>
    </row>
    <row r="414" spans="1:18" ht="40.5" x14ac:dyDescent="0.25">
      <c r="A414" s="6">
        <v>409</v>
      </c>
      <c r="B414" s="27" t="s">
        <v>6083</v>
      </c>
      <c r="C414" s="27">
        <v>44711</v>
      </c>
      <c r="D414" s="27">
        <v>44711</v>
      </c>
      <c r="E414" s="81">
        <v>1</v>
      </c>
      <c r="F414" s="82" t="s">
        <v>22</v>
      </c>
      <c r="G414" s="59" t="s">
        <v>1101</v>
      </c>
      <c r="H414" s="59" t="s">
        <v>1102</v>
      </c>
      <c r="I414" s="59" t="s">
        <v>1101</v>
      </c>
      <c r="J414" s="27">
        <v>44719</v>
      </c>
      <c r="K414" s="27">
        <v>44719</v>
      </c>
      <c r="L414" s="83">
        <f t="shared" si="11"/>
        <v>6</v>
      </c>
      <c r="M414" s="59" t="s">
        <v>6084</v>
      </c>
      <c r="N414" s="84" t="s">
        <v>1104</v>
      </c>
      <c r="O414" s="59" t="s">
        <v>2091</v>
      </c>
      <c r="P414" s="8" t="s">
        <v>1105</v>
      </c>
      <c r="Q414" s="84" t="s">
        <v>5840</v>
      </c>
      <c r="R414" s="81"/>
    </row>
    <row r="415" spans="1:18" ht="30.75" x14ac:dyDescent="0.25">
      <c r="A415" s="6">
        <v>410</v>
      </c>
      <c r="B415" s="27" t="s">
        <v>6085</v>
      </c>
      <c r="C415" s="27">
        <v>44701</v>
      </c>
      <c r="D415" s="27">
        <v>44701</v>
      </c>
      <c r="E415" s="81">
        <v>1</v>
      </c>
      <c r="F415" s="82" t="s">
        <v>22</v>
      </c>
      <c r="G415" s="59" t="s">
        <v>1101</v>
      </c>
      <c r="H415" s="59" t="s">
        <v>1102</v>
      </c>
      <c r="I415" s="59" t="s">
        <v>1101</v>
      </c>
      <c r="J415" s="27">
        <v>44707</v>
      </c>
      <c r="K415" s="27">
        <v>44707</v>
      </c>
      <c r="L415" s="83">
        <f t="shared" si="11"/>
        <v>4</v>
      </c>
      <c r="M415" s="59" t="s">
        <v>6086</v>
      </c>
      <c r="N415" s="84" t="s">
        <v>1104</v>
      </c>
      <c r="O415" s="59" t="s">
        <v>2091</v>
      </c>
      <c r="P415" s="8" t="s">
        <v>1105</v>
      </c>
      <c r="Q415" s="84" t="s">
        <v>5840</v>
      </c>
      <c r="R415" s="81"/>
    </row>
    <row r="416" spans="1:18" ht="40.5" x14ac:dyDescent="0.25">
      <c r="A416" s="6">
        <v>411</v>
      </c>
      <c r="B416" s="27" t="s">
        <v>6087</v>
      </c>
      <c r="C416" s="27">
        <v>44657</v>
      </c>
      <c r="D416" s="27">
        <v>44700</v>
      </c>
      <c r="E416" s="81">
        <v>39</v>
      </c>
      <c r="F416" s="82" t="s">
        <v>22</v>
      </c>
      <c r="G416" s="59" t="s">
        <v>1101</v>
      </c>
      <c r="H416" s="59" t="s">
        <v>1102</v>
      </c>
      <c r="I416" s="59" t="s">
        <v>1101</v>
      </c>
      <c r="J416" s="27">
        <v>44700</v>
      </c>
      <c r="K416" s="27">
        <v>44700</v>
      </c>
      <c r="L416" s="83">
        <f t="shared" si="11"/>
        <v>0</v>
      </c>
      <c r="M416" s="59" t="s">
        <v>6088</v>
      </c>
      <c r="N416" s="84" t="s">
        <v>1104</v>
      </c>
      <c r="O416" s="59" t="s">
        <v>1026</v>
      </c>
      <c r="P416" s="8" t="s">
        <v>1105</v>
      </c>
      <c r="Q416" s="84" t="s">
        <v>5840</v>
      </c>
      <c r="R416" s="81"/>
    </row>
  </sheetData>
  <autoFilter ref="A5:R416">
    <filterColumn colId="5">
      <filters>
        <filter val="ATENDIDO"/>
      </filters>
    </filterColumn>
  </autoFilter>
  <mergeCells count="3">
    <mergeCell ref="A1:R1"/>
    <mergeCell ref="A2:R2"/>
    <mergeCell ref="A3:R3"/>
  </mergeCells>
  <pageMargins left="0.7" right="0.7" top="0.75" bottom="0.75" header="0.3" footer="0.3"/>
  <pageSetup orientation="portrait" horizontalDpi="4294967292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429"/>
  <sheetViews>
    <sheetView zoomScale="70" zoomScaleNormal="70" workbookViewId="0">
      <selection activeCell="C5" sqref="C5"/>
    </sheetView>
  </sheetViews>
  <sheetFormatPr baseColWidth="10" defaultRowHeight="15" x14ac:dyDescent="0.25"/>
  <cols>
    <col min="3" max="3" width="14.85546875" customWidth="1"/>
    <col min="4" max="4" width="14.140625" customWidth="1"/>
    <col min="5" max="5" width="14.28515625" customWidth="1"/>
    <col min="8" max="8" width="14.42578125" customWidth="1"/>
  </cols>
  <sheetData>
    <row r="1" spans="1:18" ht="18" x14ac:dyDescent="0.25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</row>
    <row r="2" spans="1:18" ht="18" x14ac:dyDescent="0.25">
      <c r="A2" s="103" t="s">
        <v>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</row>
    <row r="3" spans="1:18" ht="18" x14ac:dyDescent="0.25">
      <c r="A3" s="103" t="s">
        <v>4889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</row>
    <row r="5" spans="1:18" ht="45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</row>
    <row r="6" spans="1:18" ht="66.75" customHeight="1" x14ac:dyDescent="0.25">
      <c r="A6" s="86">
        <v>1</v>
      </c>
      <c r="B6" s="59" t="s">
        <v>6089</v>
      </c>
      <c r="C6" s="70">
        <v>44713</v>
      </c>
      <c r="D6" s="70">
        <v>44713</v>
      </c>
      <c r="E6" s="86">
        <v>2</v>
      </c>
      <c r="F6" s="87" t="s">
        <v>22</v>
      </c>
      <c r="G6" s="59" t="s">
        <v>30</v>
      </c>
      <c r="H6" s="55" t="s">
        <v>24</v>
      </c>
      <c r="I6" s="59" t="s">
        <v>30</v>
      </c>
      <c r="J6" s="70">
        <v>44715</v>
      </c>
      <c r="K6" s="70">
        <v>44715</v>
      </c>
      <c r="L6" s="88">
        <f>+NETWORKDAYS(D6,K6,$R$6:$R$9)-1</f>
        <v>2</v>
      </c>
      <c r="M6" s="59" t="s">
        <v>6090</v>
      </c>
      <c r="N6" s="59" t="s">
        <v>26</v>
      </c>
      <c r="O6" s="59" t="s">
        <v>6091</v>
      </c>
      <c r="P6" s="59" t="s">
        <v>6092</v>
      </c>
      <c r="Q6" s="59" t="str">
        <f>IF(L6&gt;15,"FUERA DE TIEMPO","DENTRO DEL TIEMPO")</f>
        <v>DENTRO DEL TIEMPO</v>
      </c>
      <c r="R6" s="28"/>
    </row>
    <row r="7" spans="1:18" ht="48.75" x14ac:dyDescent="0.25">
      <c r="A7" s="86">
        <v>2</v>
      </c>
      <c r="B7" s="59" t="s">
        <v>6093</v>
      </c>
      <c r="C7" s="70">
        <v>44713</v>
      </c>
      <c r="D7" s="70">
        <v>44713</v>
      </c>
      <c r="E7" s="86">
        <v>2</v>
      </c>
      <c r="F7" s="87" t="s">
        <v>22</v>
      </c>
      <c r="G7" s="59" t="s">
        <v>30</v>
      </c>
      <c r="H7" s="55" t="s">
        <v>24</v>
      </c>
      <c r="I7" s="59" t="s">
        <v>30</v>
      </c>
      <c r="J7" s="70">
        <v>44715</v>
      </c>
      <c r="K7" s="70">
        <v>44715</v>
      </c>
      <c r="L7" s="88">
        <f t="shared" ref="L7:L70" si="0">+NETWORKDAYS(D7,K7,$R$6:$R$9)-1</f>
        <v>2</v>
      </c>
      <c r="M7" s="59" t="s">
        <v>6094</v>
      </c>
      <c r="N7" s="59" t="s">
        <v>26</v>
      </c>
      <c r="O7" s="59" t="s">
        <v>6095</v>
      </c>
      <c r="P7" s="59" t="s">
        <v>6096</v>
      </c>
      <c r="Q7" s="59" t="str">
        <f t="shared" ref="Q7:Q70" si="1">IF(L7&gt;15,"FUERA DE TIEMPO","DENTRO DEL TIEMPO")</f>
        <v>DENTRO DEL TIEMPO</v>
      </c>
      <c r="R7" s="28"/>
    </row>
    <row r="8" spans="1:18" ht="48.75" x14ac:dyDescent="0.25">
      <c r="A8" s="86">
        <v>3</v>
      </c>
      <c r="B8" s="59" t="s">
        <v>6097</v>
      </c>
      <c r="C8" s="70">
        <v>44713</v>
      </c>
      <c r="D8" s="70">
        <v>44713</v>
      </c>
      <c r="E8" s="86">
        <v>2</v>
      </c>
      <c r="F8" s="87" t="s">
        <v>22</v>
      </c>
      <c r="G8" s="59" t="s">
        <v>30</v>
      </c>
      <c r="H8" s="55" t="s">
        <v>24</v>
      </c>
      <c r="I8" s="59" t="s">
        <v>30</v>
      </c>
      <c r="J8" s="70">
        <v>44715</v>
      </c>
      <c r="K8" s="70">
        <v>44715</v>
      </c>
      <c r="L8" s="88">
        <f t="shared" si="0"/>
        <v>2</v>
      </c>
      <c r="M8" s="59" t="s">
        <v>6098</v>
      </c>
      <c r="N8" s="59" t="s">
        <v>26</v>
      </c>
      <c r="O8" s="59" t="s">
        <v>6099</v>
      </c>
      <c r="P8" s="59" t="s">
        <v>6100</v>
      </c>
      <c r="Q8" s="59" t="str">
        <f t="shared" si="1"/>
        <v>DENTRO DEL TIEMPO</v>
      </c>
      <c r="R8" s="28"/>
    </row>
    <row r="9" spans="1:18" ht="48.75" x14ac:dyDescent="0.25">
      <c r="A9" s="86">
        <v>4</v>
      </c>
      <c r="B9" s="59" t="s">
        <v>6101</v>
      </c>
      <c r="C9" s="70">
        <v>44713</v>
      </c>
      <c r="D9" s="70">
        <v>44713</v>
      </c>
      <c r="E9" s="86">
        <v>2</v>
      </c>
      <c r="F9" s="87" t="s">
        <v>22</v>
      </c>
      <c r="G9" s="59" t="s">
        <v>30</v>
      </c>
      <c r="H9" s="55" t="s">
        <v>24</v>
      </c>
      <c r="I9" s="59" t="s">
        <v>30</v>
      </c>
      <c r="J9" s="70">
        <v>44715</v>
      </c>
      <c r="K9" s="70">
        <v>44715</v>
      </c>
      <c r="L9" s="88">
        <f t="shared" si="0"/>
        <v>2</v>
      </c>
      <c r="M9" s="59" t="s">
        <v>6102</v>
      </c>
      <c r="N9" s="59" t="s">
        <v>26</v>
      </c>
      <c r="O9" s="59" t="s">
        <v>6103</v>
      </c>
      <c r="P9" s="59" t="s">
        <v>6104</v>
      </c>
      <c r="Q9" s="59" t="str">
        <f>IF(L9&gt;15,"FUERA DE TIEMPO","DENTRO DEL TIEMPO")</f>
        <v>DENTRO DEL TIEMPO</v>
      </c>
      <c r="R9" s="28"/>
    </row>
    <row r="10" spans="1:18" ht="48.75" x14ac:dyDescent="0.25">
      <c r="A10" s="86">
        <v>5</v>
      </c>
      <c r="B10" s="59" t="s">
        <v>6105</v>
      </c>
      <c r="C10" s="70">
        <v>44713</v>
      </c>
      <c r="D10" s="70">
        <v>44713</v>
      </c>
      <c r="E10" s="86">
        <v>4</v>
      </c>
      <c r="F10" s="87" t="s">
        <v>22</v>
      </c>
      <c r="G10" s="59" t="s">
        <v>23</v>
      </c>
      <c r="H10" s="55" t="s">
        <v>24</v>
      </c>
      <c r="I10" s="59" t="s">
        <v>23</v>
      </c>
      <c r="J10" s="70">
        <v>44715</v>
      </c>
      <c r="K10" s="70">
        <v>44715</v>
      </c>
      <c r="L10" s="88">
        <f t="shared" si="0"/>
        <v>2</v>
      </c>
      <c r="M10" s="59" t="s">
        <v>6106</v>
      </c>
      <c r="N10" s="59" t="s">
        <v>26</v>
      </c>
      <c r="O10" s="59" t="s">
        <v>6107</v>
      </c>
      <c r="P10" s="59" t="s">
        <v>6108</v>
      </c>
      <c r="Q10" s="59" t="str">
        <f t="shared" si="1"/>
        <v>DENTRO DEL TIEMPO</v>
      </c>
      <c r="R10" s="28"/>
    </row>
    <row r="11" spans="1:18" ht="48.75" x14ac:dyDescent="0.25">
      <c r="A11" s="86">
        <v>6</v>
      </c>
      <c r="B11" s="59" t="s">
        <v>6109</v>
      </c>
      <c r="C11" s="70">
        <v>44714</v>
      </c>
      <c r="D11" s="70">
        <v>44714</v>
      </c>
      <c r="E11" s="86">
        <v>2</v>
      </c>
      <c r="F11" s="87" t="s">
        <v>22</v>
      </c>
      <c r="G11" s="59" t="s">
        <v>23</v>
      </c>
      <c r="H11" s="55" t="s">
        <v>24</v>
      </c>
      <c r="I11" s="59" t="s">
        <v>23</v>
      </c>
      <c r="J11" s="70">
        <v>44715</v>
      </c>
      <c r="K11" s="70">
        <v>44715</v>
      </c>
      <c r="L11" s="88">
        <f t="shared" si="0"/>
        <v>1</v>
      </c>
      <c r="M11" s="59" t="s">
        <v>6110</v>
      </c>
      <c r="N11" s="59" t="s">
        <v>26</v>
      </c>
      <c r="O11" s="59" t="s">
        <v>6111</v>
      </c>
      <c r="P11" s="59" t="s">
        <v>6112</v>
      </c>
      <c r="Q11" s="59" t="str">
        <f t="shared" si="1"/>
        <v>DENTRO DEL TIEMPO</v>
      </c>
      <c r="R11" s="28"/>
    </row>
    <row r="12" spans="1:18" ht="48.75" x14ac:dyDescent="0.25">
      <c r="A12" s="86">
        <v>7</v>
      </c>
      <c r="B12" s="59" t="s">
        <v>6113</v>
      </c>
      <c r="C12" s="70">
        <v>44714</v>
      </c>
      <c r="D12" s="70">
        <v>44714</v>
      </c>
      <c r="E12" s="86">
        <v>65</v>
      </c>
      <c r="F12" s="87" t="s">
        <v>22</v>
      </c>
      <c r="G12" s="59" t="s">
        <v>23</v>
      </c>
      <c r="H12" s="55" t="s">
        <v>24</v>
      </c>
      <c r="I12" s="59" t="s">
        <v>23</v>
      </c>
      <c r="J12" s="70">
        <v>44715</v>
      </c>
      <c r="K12" s="70">
        <v>44715</v>
      </c>
      <c r="L12" s="88">
        <f t="shared" si="0"/>
        <v>1</v>
      </c>
      <c r="M12" s="59" t="s">
        <v>6114</v>
      </c>
      <c r="N12" s="59" t="s">
        <v>26</v>
      </c>
      <c r="O12" s="59" t="s">
        <v>6115</v>
      </c>
      <c r="P12" s="59" t="s">
        <v>6116</v>
      </c>
      <c r="Q12" s="59" t="str">
        <f t="shared" si="1"/>
        <v>DENTRO DEL TIEMPO</v>
      </c>
      <c r="R12" s="28"/>
    </row>
    <row r="13" spans="1:18" ht="48.75" x14ac:dyDescent="0.25">
      <c r="A13" s="86">
        <v>8</v>
      </c>
      <c r="B13" s="59" t="s">
        <v>6117</v>
      </c>
      <c r="C13" s="70">
        <v>44714</v>
      </c>
      <c r="D13" s="70">
        <v>44714</v>
      </c>
      <c r="E13" s="86">
        <v>2</v>
      </c>
      <c r="F13" s="87" t="s">
        <v>22</v>
      </c>
      <c r="G13" s="59" t="s">
        <v>23</v>
      </c>
      <c r="H13" s="55" t="s">
        <v>24</v>
      </c>
      <c r="I13" s="59" t="s">
        <v>23</v>
      </c>
      <c r="J13" s="70">
        <v>44715</v>
      </c>
      <c r="K13" s="70">
        <v>44715</v>
      </c>
      <c r="L13" s="88">
        <f t="shared" si="0"/>
        <v>1</v>
      </c>
      <c r="M13" s="59" t="s">
        <v>6118</v>
      </c>
      <c r="N13" s="59" t="s">
        <v>26</v>
      </c>
      <c r="O13" s="59" t="s">
        <v>6119</v>
      </c>
      <c r="P13" s="59" t="s">
        <v>6120</v>
      </c>
      <c r="Q13" s="59" t="str">
        <f t="shared" si="1"/>
        <v>DENTRO DEL TIEMPO</v>
      </c>
      <c r="R13" s="28"/>
    </row>
    <row r="14" spans="1:18" ht="48.75" x14ac:dyDescent="0.25">
      <c r="A14" s="86">
        <v>9</v>
      </c>
      <c r="B14" s="59" t="s">
        <v>6121</v>
      </c>
      <c r="C14" s="70">
        <v>44714</v>
      </c>
      <c r="D14" s="70">
        <v>44714</v>
      </c>
      <c r="E14" s="86">
        <v>2</v>
      </c>
      <c r="F14" s="87" t="s">
        <v>22</v>
      </c>
      <c r="G14" s="59" t="s">
        <v>30</v>
      </c>
      <c r="H14" s="55" t="s">
        <v>24</v>
      </c>
      <c r="I14" s="59" t="s">
        <v>30</v>
      </c>
      <c r="J14" s="70">
        <v>44715</v>
      </c>
      <c r="K14" s="70">
        <v>44715</v>
      </c>
      <c r="L14" s="88">
        <f t="shared" si="0"/>
        <v>1</v>
      </c>
      <c r="M14" s="59" t="s">
        <v>6122</v>
      </c>
      <c r="N14" s="59" t="s">
        <v>26</v>
      </c>
      <c r="O14" s="59" t="s">
        <v>6123</v>
      </c>
      <c r="P14" s="59" t="s">
        <v>6124</v>
      </c>
      <c r="Q14" s="59" t="str">
        <f t="shared" si="1"/>
        <v>DENTRO DEL TIEMPO</v>
      </c>
      <c r="R14" s="28"/>
    </row>
    <row r="15" spans="1:18" ht="48.75" x14ac:dyDescent="0.25">
      <c r="A15" s="86">
        <v>10</v>
      </c>
      <c r="B15" s="59" t="s">
        <v>6125</v>
      </c>
      <c r="C15" s="70">
        <v>44714</v>
      </c>
      <c r="D15" s="70">
        <v>44714</v>
      </c>
      <c r="E15" s="86">
        <v>2</v>
      </c>
      <c r="F15" s="87" t="s">
        <v>22</v>
      </c>
      <c r="G15" s="59" t="s">
        <v>30</v>
      </c>
      <c r="H15" s="55" t="s">
        <v>24</v>
      </c>
      <c r="I15" s="59" t="s">
        <v>30</v>
      </c>
      <c r="J15" s="70">
        <v>44715</v>
      </c>
      <c r="K15" s="70">
        <v>44715</v>
      </c>
      <c r="L15" s="88">
        <f t="shared" si="0"/>
        <v>1</v>
      </c>
      <c r="M15" s="59" t="s">
        <v>6126</v>
      </c>
      <c r="N15" s="59" t="s">
        <v>26</v>
      </c>
      <c r="O15" s="59" t="s">
        <v>6127</v>
      </c>
      <c r="P15" s="59" t="s">
        <v>6128</v>
      </c>
      <c r="Q15" s="59" t="str">
        <f t="shared" si="1"/>
        <v>DENTRO DEL TIEMPO</v>
      </c>
      <c r="R15" s="28"/>
    </row>
    <row r="16" spans="1:18" ht="48.75" x14ac:dyDescent="0.25">
      <c r="A16" s="86">
        <v>11</v>
      </c>
      <c r="B16" s="59" t="s">
        <v>6129</v>
      </c>
      <c r="C16" s="70">
        <v>44715</v>
      </c>
      <c r="D16" s="70">
        <v>44715</v>
      </c>
      <c r="E16" s="86">
        <v>2</v>
      </c>
      <c r="F16" s="87" t="s">
        <v>22</v>
      </c>
      <c r="G16" s="59" t="s">
        <v>30</v>
      </c>
      <c r="H16" s="55" t="s">
        <v>24</v>
      </c>
      <c r="I16" s="59" t="s">
        <v>30</v>
      </c>
      <c r="J16" s="70">
        <v>44715</v>
      </c>
      <c r="K16" s="70">
        <v>44715</v>
      </c>
      <c r="L16" s="88">
        <f t="shared" si="0"/>
        <v>0</v>
      </c>
      <c r="M16" s="59" t="s">
        <v>6130</v>
      </c>
      <c r="N16" s="59" t="s">
        <v>26</v>
      </c>
      <c r="O16" s="59" t="s">
        <v>6131</v>
      </c>
      <c r="P16" s="59" t="s">
        <v>6132</v>
      </c>
      <c r="Q16" s="59" t="str">
        <f t="shared" si="1"/>
        <v>DENTRO DEL TIEMPO</v>
      </c>
      <c r="R16" s="28"/>
    </row>
    <row r="17" spans="1:18" ht="48.75" x14ac:dyDescent="0.25">
      <c r="A17" s="86">
        <v>12</v>
      </c>
      <c r="B17" s="59" t="s">
        <v>6133</v>
      </c>
      <c r="C17" s="70">
        <v>44715</v>
      </c>
      <c r="D17" s="70">
        <v>44715</v>
      </c>
      <c r="E17" s="86">
        <v>2</v>
      </c>
      <c r="F17" s="87" t="s">
        <v>22</v>
      </c>
      <c r="G17" s="59" t="s">
        <v>30</v>
      </c>
      <c r="H17" s="55" t="s">
        <v>24</v>
      </c>
      <c r="I17" s="59" t="s">
        <v>30</v>
      </c>
      <c r="J17" s="70">
        <v>44715</v>
      </c>
      <c r="K17" s="70">
        <v>44715</v>
      </c>
      <c r="L17" s="88">
        <f t="shared" si="0"/>
        <v>0</v>
      </c>
      <c r="M17" s="59" t="s">
        <v>6134</v>
      </c>
      <c r="N17" s="59" t="s">
        <v>26</v>
      </c>
      <c r="O17" s="59" t="s">
        <v>4257</v>
      </c>
      <c r="P17" s="59" t="s">
        <v>6135</v>
      </c>
      <c r="Q17" s="59" t="str">
        <f t="shared" si="1"/>
        <v>DENTRO DEL TIEMPO</v>
      </c>
      <c r="R17" s="28"/>
    </row>
    <row r="18" spans="1:18" ht="48.75" x14ac:dyDescent="0.25">
      <c r="A18" s="86">
        <v>13</v>
      </c>
      <c r="B18" s="59" t="s">
        <v>6136</v>
      </c>
      <c r="C18" s="70">
        <v>44715</v>
      </c>
      <c r="D18" s="70">
        <v>44715</v>
      </c>
      <c r="E18" s="86">
        <v>2</v>
      </c>
      <c r="F18" s="87" t="s">
        <v>22</v>
      </c>
      <c r="G18" s="59" t="s">
        <v>30</v>
      </c>
      <c r="H18" s="55" t="s">
        <v>24</v>
      </c>
      <c r="I18" s="59" t="s">
        <v>30</v>
      </c>
      <c r="J18" s="70">
        <v>44718</v>
      </c>
      <c r="K18" s="70">
        <v>44718</v>
      </c>
      <c r="L18" s="88">
        <f t="shared" si="0"/>
        <v>1</v>
      </c>
      <c r="M18" s="59" t="s">
        <v>6137</v>
      </c>
      <c r="N18" s="59" t="s">
        <v>26</v>
      </c>
      <c r="O18" s="59" t="s">
        <v>6138</v>
      </c>
      <c r="P18" s="59" t="s">
        <v>6139</v>
      </c>
      <c r="Q18" s="59" t="str">
        <f t="shared" si="1"/>
        <v>DENTRO DEL TIEMPO</v>
      </c>
      <c r="R18" s="28"/>
    </row>
    <row r="19" spans="1:18" ht="48.75" x14ac:dyDescent="0.25">
      <c r="A19" s="86">
        <v>14</v>
      </c>
      <c r="B19" s="59" t="s">
        <v>6140</v>
      </c>
      <c r="C19" s="70">
        <v>44715</v>
      </c>
      <c r="D19" s="70">
        <v>44715</v>
      </c>
      <c r="E19" s="86">
        <v>2</v>
      </c>
      <c r="F19" s="87" t="s">
        <v>22</v>
      </c>
      <c r="G19" s="59" t="s">
        <v>30</v>
      </c>
      <c r="H19" s="55" t="s">
        <v>24</v>
      </c>
      <c r="I19" s="59" t="s">
        <v>30</v>
      </c>
      <c r="J19" s="70">
        <v>44718</v>
      </c>
      <c r="K19" s="70">
        <v>44718</v>
      </c>
      <c r="L19" s="88">
        <f t="shared" si="0"/>
        <v>1</v>
      </c>
      <c r="M19" s="59" t="s">
        <v>6141</v>
      </c>
      <c r="N19" s="59" t="s">
        <v>26</v>
      </c>
      <c r="O19" s="59" t="s">
        <v>2444</v>
      </c>
      <c r="P19" s="59" t="s">
        <v>6142</v>
      </c>
      <c r="Q19" s="59" t="str">
        <f t="shared" si="1"/>
        <v>DENTRO DEL TIEMPO</v>
      </c>
      <c r="R19" s="28"/>
    </row>
    <row r="20" spans="1:18" ht="48.75" x14ac:dyDescent="0.25">
      <c r="A20" s="86">
        <v>15</v>
      </c>
      <c r="B20" s="59" t="s">
        <v>6143</v>
      </c>
      <c r="C20" s="70">
        <v>44715</v>
      </c>
      <c r="D20" s="70">
        <v>44715</v>
      </c>
      <c r="E20" s="86">
        <v>2</v>
      </c>
      <c r="F20" s="87" t="s">
        <v>22</v>
      </c>
      <c r="G20" s="59" t="s">
        <v>30</v>
      </c>
      <c r="H20" s="55" t="s">
        <v>24</v>
      </c>
      <c r="I20" s="59" t="s">
        <v>30</v>
      </c>
      <c r="J20" s="70">
        <v>44718</v>
      </c>
      <c r="K20" s="70">
        <v>44718</v>
      </c>
      <c r="L20" s="88">
        <f t="shared" si="0"/>
        <v>1</v>
      </c>
      <c r="M20" s="59" t="s">
        <v>6144</v>
      </c>
      <c r="N20" s="59" t="s">
        <v>26</v>
      </c>
      <c r="O20" s="59" t="s">
        <v>2381</v>
      </c>
      <c r="P20" s="59" t="s">
        <v>6145</v>
      </c>
      <c r="Q20" s="59" t="str">
        <f t="shared" si="1"/>
        <v>DENTRO DEL TIEMPO</v>
      </c>
      <c r="R20" s="28"/>
    </row>
    <row r="21" spans="1:18" ht="48.75" x14ac:dyDescent="0.25">
      <c r="A21" s="86">
        <v>16</v>
      </c>
      <c r="B21" s="59" t="s">
        <v>6146</v>
      </c>
      <c r="C21" s="70">
        <v>44715</v>
      </c>
      <c r="D21" s="70">
        <v>44715</v>
      </c>
      <c r="E21" s="86">
        <v>2</v>
      </c>
      <c r="F21" s="87" t="s">
        <v>22</v>
      </c>
      <c r="G21" s="59" t="s">
        <v>30</v>
      </c>
      <c r="H21" s="55" t="s">
        <v>24</v>
      </c>
      <c r="I21" s="59" t="s">
        <v>30</v>
      </c>
      <c r="J21" s="70">
        <v>44718</v>
      </c>
      <c r="K21" s="70">
        <v>44718</v>
      </c>
      <c r="L21" s="88">
        <f t="shared" si="0"/>
        <v>1</v>
      </c>
      <c r="M21" s="59" t="s">
        <v>6147</v>
      </c>
      <c r="N21" s="59" t="s">
        <v>26</v>
      </c>
      <c r="O21" s="59" t="s">
        <v>2381</v>
      </c>
      <c r="P21" s="59" t="s">
        <v>6145</v>
      </c>
      <c r="Q21" s="59" t="str">
        <f t="shared" si="1"/>
        <v>DENTRO DEL TIEMPO</v>
      </c>
      <c r="R21" s="28"/>
    </row>
    <row r="22" spans="1:18" ht="48.75" x14ac:dyDescent="0.25">
      <c r="A22" s="86">
        <v>17</v>
      </c>
      <c r="B22" s="59" t="s">
        <v>6148</v>
      </c>
      <c r="C22" s="70">
        <v>44715</v>
      </c>
      <c r="D22" s="70">
        <v>44715</v>
      </c>
      <c r="E22" s="86">
        <v>2</v>
      </c>
      <c r="F22" s="87" t="s">
        <v>22</v>
      </c>
      <c r="G22" s="59" t="s">
        <v>30</v>
      </c>
      <c r="H22" s="55" t="s">
        <v>24</v>
      </c>
      <c r="I22" s="59" t="s">
        <v>30</v>
      </c>
      <c r="J22" s="70">
        <v>44718</v>
      </c>
      <c r="K22" s="70">
        <v>44718</v>
      </c>
      <c r="L22" s="88">
        <f t="shared" si="0"/>
        <v>1</v>
      </c>
      <c r="M22" s="59" t="s">
        <v>6149</v>
      </c>
      <c r="N22" s="59" t="s">
        <v>26</v>
      </c>
      <c r="O22" s="59" t="s">
        <v>2381</v>
      </c>
      <c r="P22" s="59" t="s">
        <v>6145</v>
      </c>
      <c r="Q22" s="59" t="str">
        <f t="shared" si="1"/>
        <v>DENTRO DEL TIEMPO</v>
      </c>
      <c r="R22" s="28"/>
    </row>
    <row r="23" spans="1:18" ht="48.75" x14ac:dyDescent="0.25">
      <c r="A23" s="86">
        <v>18</v>
      </c>
      <c r="B23" s="59" t="s">
        <v>6150</v>
      </c>
      <c r="C23" s="70">
        <v>44715</v>
      </c>
      <c r="D23" s="70">
        <v>44715</v>
      </c>
      <c r="E23" s="86">
        <v>2</v>
      </c>
      <c r="F23" s="87" t="s">
        <v>22</v>
      </c>
      <c r="G23" s="59" t="s">
        <v>30</v>
      </c>
      <c r="H23" s="55" t="s">
        <v>24</v>
      </c>
      <c r="I23" s="59" t="s">
        <v>30</v>
      </c>
      <c r="J23" s="70">
        <v>44718</v>
      </c>
      <c r="K23" s="70">
        <v>44718</v>
      </c>
      <c r="L23" s="88">
        <f t="shared" si="0"/>
        <v>1</v>
      </c>
      <c r="M23" s="59" t="s">
        <v>6151</v>
      </c>
      <c r="N23" s="59" t="s">
        <v>26</v>
      </c>
      <c r="O23" s="59" t="s">
        <v>2999</v>
      </c>
      <c r="P23" s="59" t="s">
        <v>6145</v>
      </c>
      <c r="Q23" s="59" t="str">
        <f t="shared" si="1"/>
        <v>DENTRO DEL TIEMPO</v>
      </c>
      <c r="R23" s="28"/>
    </row>
    <row r="24" spans="1:18" ht="48.75" x14ac:dyDescent="0.25">
      <c r="A24" s="86">
        <v>19</v>
      </c>
      <c r="B24" s="59" t="s">
        <v>6152</v>
      </c>
      <c r="C24" s="70">
        <v>44715</v>
      </c>
      <c r="D24" s="70">
        <v>44715</v>
      </c>
      <c r="E24" s="86">
        <v>2</v>
      </c>
      <c r="F24" s="87" t="s">
        <v>22</v>
      </c>
      <c r="G24" s="59" t="s">
        <v>30</v>
      </c>
      <c r="H24" s="55" t="s">
        <v>24</v>
      </c>
      <c r="I24" s="59" t="s">
        <v>30</v>
      </c>
      <c r="J24" s="70">
        <v>44718</v>
      </c>
      <c r="K24" s="70">
        <v>44718</v>
      </c>
      <c r="L24" s="88">
        <f t="shared" si="0"/>
        <v>1</v>
      </c>
      <c r="M24" s="59" t="s">
        <v>6153</v>
      </c>
      <c r="N24" s="59" t="s">
        <v>26</v>
      </c>
      <c r="O24" s="59" t="s">
        <v>4458</v>
      </c>
      <c r="P24" s="59" t="s">
        <v>6154</v>
      </c>
      <c r="Q24" s="59" t="str">
        <f t="shared" si="1"/>
        <v>DENTRO DEL TIEMPO</v>
      </c>
      <c r="R24" s="28"/>
    </row>
    <row r="25" spans="1:18" ht="48.75" x14ac:dyDescent="0.25">
      <c r="A25" s="86">
        <v>20</v>
      </c>
      <c r="B25" s="59" t="s">
        <v>6155</v>
      </c>
      <c r="C25" s="70">
        <v>44715</v>
      </c>
      <c r="D25" s="70">
        <v>44715</v>
      </c>
      <c r="E25" s="86">
        <v>2</v>
      </c>
      <c r="F25" s="87" t="s">
        <v>22</v>
      </c>
      <c r="G25" s="59" t="s">
        <v>30</v>
      </c>
      <c r="H25" s="55" t="s">
        <v>24</v>
      </c>
      <c r="I25" s="59" t="s">
        <v>30</v>
      </c>
      <c r="J25" s="70">
        <v>44718</v>
      </c>
      <c r="K25" s="70">
        <v>44718</v>
      </c>
      <c r="L25" s="88">
        <f t="shared" si="0"/>
        <v>1</v>
      </c>
      <c r="M25" s="59" t="s">
        <v>6156</v>
      </c>
      <c r="N25" s="59" t="s">
        <v>26</v>
      </c>
      <c r="O25" s="59" t="s">
        <v>2683</v>
      </c>
      <c r="P25" s="59" t="s">
        <v>6154</v>
      </c>
      <c r="Q25" s="59" t="str">
        <f t="shared" si="1"/>
        <v>DENTRO DEL TIEMPO</v>
      </c>
      <c r="R25" s="28"/>
    </row>
    <row r="26" spans="1:18" ht="48.75" x14ac:dyDescent="0.25">
      <c r="A26" s="86">
        <v>21</v>
      </c>
      <c r="B26" s="59" t="s">
        <v>6157</v>
      </c>
      <c r="C26" s="70">
        <v>44715</v>
      </c>
      <c r="D26" s="70">
        <v>44715</v>
      </c>
      <c r="E26" s="86">
        <v>2</v>
      </c>
      <c r="F26" s="87" t="s">
        <v>22</v>
      </c>
      <c r="G26" s="59" t="s">
        <v>30</v>
      </c>
      <c r="H26" s="55" t="s">
        <v>24</v>
      </c>
      <c r="I26" s="59" t="s">
        <v>30</v>
      </c>
      <c r="J26" s="70">
        <v>44718</v>
      </c>
      <c r="K26" s="70">
        <v>44718</v>
      </c>
      <c r="L26" s="88">
        <f t="shared" si="0"/>
        <v>1</v>
      </c>
      <c r="M26" s="59" t="s">
        <v>6158</v>
      </c>
      <c r="N26" s="59" t="s">
        <v>26</v>
      </c>
      <c r="O26" s="59" t="s">
        <v>2683</v>
      </c>
      <c r="P26" s="59" t="s">
        <v>6154</v>
      </c>
      <c r="Q26" s="59" t="str">
        <f t="shared" si="1"/>
        <v>DENTRO DEL TIEMPO</v>
      </c>
      <c r="R26" s="28"/>
    </row>
    <row r="27" spans="1:18" ht="48.75" x14ac:dyDescent="0.25">
      <c r="A27" s="86">
        <v>22</v>
      </c>
      <c r="B27" s="59" t="s">
        <v>6159</v>
      </c>
      <c r="C27" s="70">
        <v>44715</v>
      </c>
      <c r="D27" s="70">
        <v>44715</v>
      </c>
      <c r="E27" s="86">
        <v>2</v>
      </c>
      <c r="F27" s="87" t="s">
        <v>22</v>
      </c>
      <c r="G27" s="59" t="s">
        <v>30</v>
      </c>
      <c r="H27" s="55" t="s">
        <v>24</v>
      </c>
      <c r="I27" s="59" t="s">
        <v>30</v>
      </c>
      <c r="J27" s="70">
        <v>44718</v>
      </c>
      <c r="K27" s="70">
        <v>44718</v>
      </c>
      <c r="L27" s="88">
        <f t="shared" si="0"/>
        <v>1</v>
      </c>
      <c r="M27" s="59" t="s">
        <v>6160</v>
      </c>
      <c r="N27" s="59" t="s">
        <v>26</v>
      </c>
      <c r="O27" s="59" t="s">
        <v>2683</v>
      </c>
      <c r="P27" s="59" t="s">
        <v>6154</v>
      </c>
      <c r="Q27" s="59" t="str">
        <f t="shared" si="1"/>
        <v>DENTRO DEL TIEMPO</v>
      </c>
      <c r="R27" s="28"/>
    </row>
    <row r="28" spans="1:18" ht="48.75" x14ac:dyDescent="0.25">
      <c r="A28" s="86">
        <v>23</v>
      </c>
      <c r="B28" s="59" t="s">
        <v>6161</v>
      </c>
      <c r="C28" s="70">
        <v>44715</v>
      </c>
      <c r="D28" s="70">
        <v>44715</v>
      </c>
      <c r="E28" s="86">
        <v>2</v>
      </c>
      <c r="F28" s="87" t="s">
        <v>22</v>
      </c>
      <c r="G28" s="59" t="s">
        <v>30</v>
      </c>
      <c r="H28" s="55" t="s">
        <v>24</v>
      </c>
      <c r="I28" s="59" t="s">
        <v>30</v>
      </c>
      <c r="J28" s="70">
        <v>44718</v>
      </c>
      <c r="K28" s="70">
        <v>44718</v>
      </c>
      <c r="L28" s="88">
        <f t="shared" si="0"/>
        <v>1</v>
      </c>
      <c r="M28" s="59" t="s">
        <v>6162</v>
      </c>
      <c r="N28" s="59" t="s">
        <v>26</v>
      </c>
      <c r="O28" s="59" t="s">
        <v>2683</v>
      </c>
      <c r="P28" s="59" t="s">
        <v>6154</v>
      </c>
      <c r="Q28" s="59" t="str">
        <f t="shared" si="1"/>
        <v>DENTRO DEL TIEMPO</v>
      </c>
      <c r="R28" s="28"/>
    </row>
    <row r="29" spans="1:18" ht="48.75" x14ac:dyDescent="0.25">
      <c r="A29" s="86">
        <v>24</v>
      </c>
      <c r="B29" s="59" t="s">
        <v>6163</v>
      </c>
      <c r="C29" s="70">
        <v>44715</v>
      </c>
      <c r="D29" s="70">
        <v>44715</v>
      </c>
      <c r="E29" s="86">
        <v>2</v>
      </c>
      <c r="F29" s="87" t="s">
        <v>22</v>
      </c>
      <c r="G29" s="59" t="s">
        <v>30</v>
      </c>
      <c r="H29" s="55" t="s">
        <v>24</v>
      </c>
      <c r="I29" s="59" t="s">
        <v>30</v>
      </c>
      <c r="J29" s="70">
        <v>44718</v>
      </c>
      <c r="K29" s="70">
        <v>44718</v>
      </c>
      <c r="L29" s="88">
        <f t="shared" si="0"/>
        <v>1</v>
      </c>
      <c r="M29" s="59" t="s">
        <v>6164</v>
      </c>
      <c r="N29" s="59" t="s">
        <v>26</v>
      </c>
      <c r="O29" s="59" t="s">
        <v>2683</v>
      </c>
      <c r="P29" s="59" t="s">
        <v>6154</v>
      </c>
      <c r="Q29" s="59" t="str">
        <f t="shared" si="1"/>
        <v>DENTRO DEL TIEMPO</v>
      </c>
      <c r="R29" s="28"/>
    </row>
    <row r="30" spans="1:18" ht="48.75" x14ac:dyDescent="0.25">
      <c r="A30" s="86">
        <v>25</v>
      </c>
      <c r="B30" s="59" t="s">
        <v>6165</v>
      </c>
      <c r="C30" s="70">
        <v>44715</v>
      </c>
      <c r="D30" s="70">
        <v>44715</v>
      </c>
      <c r="E30" s="86">
        <v>2</v>
      </c>
      <c r="F30" s="87" t="s">
        <v>22</v>
      </c>
      <c r="G30" s="59" t="s">
        <v>30</v>
      </c>
      <c r="H30" s="55" t="s">
        <v>24</v>
      </c>
      <c r="I30" s="59" t="s">
        <v>30</v>
      </c>
      <c r="J30" s="70">
        <v>44718</v>
      </c>
      <c r="K30" s="70">
        <v>44718</v>
      </c>
      <c r="L30" s="88">
        <f t="shared" si="0"/>
        <v>1</v>
      </c>
      <c r="M30" s="59" t="s">
        <v>6166</v>
      </c>
      <c r="N30" s="59" t="s">
        <v>26</v>
      </c>
      <c r="O30" s="59" t="s">
        <v>2683</v>
      </c>
      <c r="P30" s="59" t="s">
        <v>6154</v>
      </c>
      <c r="Q30" s="59" t="str">
        <f t="shared" si="1"/>
        <v>DENTRO DEL TIEMPO</v>
      </c>
      <c r="R30" s="28"/>
    </row>
    <row r="31" spans="1:18" ht="48.75" x14ac:dyDescent="0.25">
      <c r="A31" s="86">
        <v>26</v>
      </c>
      <c r="B31" s="59" t="s">
        <v>6167</v>
      </c>
      <c r="C31" s="70">
        <v>44715</v>
      </c>
      <c r="D31" s="70">
        <v>44715</v>
      </c>
      <c r="E31" s="86">
        <v>2</v>
      </c>
      <c r="F31" s="87" t="s">
        <v>22</v>
      </c>
      <c r="G31" s="59" t="s">
        <v>30</v>
      </c>
      <c r="H31" s="55" t="s">
        <v>24</v>
      </c>
      <c r="I31" s="59" t="s">
        <v>30</v>
      </c>
      <c r="J31" s="70">
        <v>44718</v>
      </c>
      <c r="K31" s="70">
        <v>44718</v>
      </c>
      <c r="L31" s="88">
        <f t="shared" si="0"/>
        <v>1</v>
      </c>
      <c r="M31" s="59" t="s">
        <v>6168</v>
      </c>
      <c r="N31" s="59" t="s">
        <v>26</v>
      </c>
      <c r="O31" s="59" t="s">
        <v>6169</v>
      </c>
      <c r="P31" s="59" t="s">
        <v>6170</v>
      </c>
      <c r="Q31" s="59" t="str">
        <f t="shared" si="1"/>
        <v>DENTRO DEL TIEMPO</v>
      </c>
      <c r="R31" s="28"/>
    </row>
    <row r="32" spans="1:18" ht="48.75" x14ac:dyDescent="0.25">
      <c r="A32" s="86">
        <v>27</v>
      </c>
      <c r="B32" s="59" t="s">
        <v>6171</v>
      </c>
      <c r="C32" s="70">
        <v>44715</v>
      </c>
      <c r="D32" s="70">
        <v>44715</v>
      </c>
      <c r="E32" s="86">
        <v>2</v>
      </c>
      <c r="F32" s="87" t="s">
        <v>22</v>
      </c>
      <c r="G32" s="59" t="s">
        <v>2064</v>
      </c>
      <c r="H32" s="55" t="s">
        <v>24</v>
      </c>
      <c r="I32" s="59" t="s">
        <v>2064</v>
      </c>
      <c r="J32" s="70">
        <v>44720</v>
      </c>
      <c r="K32" s="70">
        <v>44720</v>
      </c>
      <c r="L32" s="88">
        <f t="shared" si="0"/>
        <v>3</v>
      </c>
      <c r="M32" s="59" t="s">
        <v>6172</v>
      </c>
      <c r="N32" s="59" t="s">
        <v>26</v>
      </c>
      <c r="O32" s="59" t="s">
        <v>4356</v>
      </c>
      <c r="P32" s="59" t="s">
        <v>6173</v>
      </c>
      <c r="Q32" s="59" t="str">
        <f t="shared" si="1"/>
        <v>DENTRO DEL TIEMPO</v>
      </c>
      <c r="R32" s="28"/>
    </row>
    <row r="33" spans="1:18" ht="48.75" x14ac:dyDescent="0.25">
      <c r="A33" s="86">
        <v>28</v>
      </c>
      <c r="B33" s="59" t="s">
        <v>6174</v>
      </c>
      <c r="C33" s="70">
        <v>44718</v>
      </c>
      <c r="D33" s="70">
        <v>44718</v>
      </c>
      <c r="E33" s="86">
        <v>2</v>
      </c>
      <c r="F33" s="87" t="s">
        <v>22</v>
      </c>
      <c r="G33" s="59" t="s">
        <v>23</v>
      </c>
      <c r="H33" s="55" t="s">
        <v>24</v>
      </c>
      <c r="I33" s="59" t="s">
        <v>23</v>
      </c>
      <c r="J33" s="70">
        <v>44718</v>
      </c>
      <c r="K33" s="70">
        <v>44718</v>
      </c>
      <c r="L33" s="88">
        <f t="shared" si="0"/>
        <v>0</v>
      </c>
      <c r="M33" s="59" t="s">
        <v>6175</v>
      </c>
      <c r="N33" s="59" t="s">
        <v>26</v>
      </c>
      <c r="O33" s="59" t="s">
        <v>6176</v>
      </c>
      <c r="P33" s="59" t="s">
        <v>6177</v>
      </c>
      <c r="Q33" s="59" t="str">
        <f t="shared" si="1"/>
        <v>DENTRO DEL TIEMPO</v>
      </c>
      <c r="R33" s="28"/>
    </row>
    <row r="34" spans="1:18" ht="48.75" x14ac:dyDescent="0.25">
      <c r="A34" s="86">
        <v>29</v>
      </c>
      <c r="B34" s="59" t="s">
        <v>6178</v>
      </c>
      <c r="C34" s="70">
        <v>44718</v>
      </c>
      <c r="D34" s="70">
        <v>44718</v>
      </c>
      <c r="E34" s="86">
        <v>2</v>
      </c>
      <c r="F34" s="87" t="s">
        <v>22</v>
      </c>
      <c r="G34" s="59" t="s">
        <v>30</v>
      </c>
      <c r="H34" s="55" t="s">
        <v>24</v>
      </c>
      <c r="I34" s="59" t="s">
        <v>30</v>
      </c>
      <c r="J34" s="70">
        <v>44718</v>
      </c>
      <c r="K34" s="70">
        <v>44718</v>
      </c>
      <c r="L34" s="88">
        <f t="shared" si="0"/>
        <v>0</v>
      </c>
      <c r="M34" s="59" t="s">
        <v>6179</v>
      </c>
      <c r="N34" s="59" t="s">
        <v>26</v>
      </c>
      <c r="O34" s="59" t="s">
        <v>6180</v>
      </c>
      <c r="P34" s="59" t="s">
        <v>6181</v>
      </c>
      <c r="Q34" s="59" t="str">
        <f t="shared" si="1"/>
        <v>DENTRO DEL TIEMPO</v>
      </c>
      <c r="R34" s="28"/>
    </row>
    <row r="35" spans="1:18" ht="48.75" x14ac:dyDescent="0.25">
      <c r="A35" s="86">
        <v>30</v>
      </c>
      <c r="B35" s="59" t="s">
        <v>6182</v>
      </c>
      <c r="C35" s="70">
        <v>44718</v>
      </c>
      <c r="D35" s="70">
        <v>44718</v>
      </c>
      <c r="E35" s="86">
        <v>2</v>
      </c>
      <c r="F35" s="87" t="s">
        <v>22</v>
      </c>
      <c r="G35" s="59" t="s">
        <v>30</v>
      </c>
      <c r="H35" s="55" t="s">
        <v>24</v>
      </c>
      <c r="I35" s="59" t="s">
        <v>30</v>
      </c>
      <c r="J35" s="70">
        <v>44718</v>
      </c>
      <c r="K35" s="70">
        <v>44718</v>
      </c>
      <c r="L35" s="88">
        <f t="shared" si="0"/>
        <v>0</v>
      </c>
      <c r="M35" s="59" t="s">
        <v>6183</v>
      </c>
      <c r="N35" s="59" t="s">
        <v>26</v>
      </c>
      <c r="O35" s="59" t="s">
        <v>2320</v>
      </c>
      <c r="P35" s="59" t="s">
        <v>6184</v>
      </c>
      <c r="Q35" s="59" t="str">
        <f t="shared" si="1"/>
        <v>DENTRO DEL TIEMPO</v>
      </c>
      <c r="R35" s="28"/>
    </row>
    <row r="36" spans="1:18" ht="48.75" x14ac:dyDescent="0.25">
      <c r="A36" s="86">
        <v>31</v>
      </c>
      <c r="B36" s="59" t="s">
        <v>6185</v>
      </c>
      <c r="C36" s="70">
        <v>44718</v>
      </c>
      <c r="D36" s="70">
        <v>44718</v>
      </c>
      <c r="E36" s="86">
        <v>2</v>
      </c>
      <c r="F36" s="87" t="s">
        <v>22</v>
      </c>
      <c r="G36" s="59" t="s">
        <v>30</v>
      </c>
      <c r="H36" s="55" t="s">
        <v>24</v>
      </c>
      <c r="I36" s="59" t="s">
        <v>30</v>
      </c>
      <c r="J36" s="70">
        <v>44718</v>
      </c>
      <c r="K36" s="70">
        <v>44718</v>
      </c>
      <c r="L36" s="88">
        <f t="shared" si="0"/>
        <v>0</v>
      </c>
      <c r="M36" s="59" t="s">
        <v>6186</v>
      </c>
      <c r="N36" s="59" t="s">
        <v>26</v>
      </c>
      <c r="O36" s="59" t="s">
        <v>6187</v>
      </c>
      <c r="P36" s="59" t="s">
        <v>6188</v>
      </c>
      <c r="Q36" s="59" t="str">
        <f t="shared" si="1"/>
        <v>DENTRO DEL TIEMPO</v>
      </c>
      <c r="R36" s="28"/>
    </row>
    <row r="37" spans="1:18" ht="48.75" x14ac:dyDescent="0.25">
      <c r="A37" s="86">
        <v>32</v>
      </c>
      <c r="B37" s="59" t="s">
        <v>6189</v>
      </c>
      <c r="C37" s="70">
        <v>44718</v>
      </c>
      <c r="D37" s="70">
        <v>44718</v>
      </c>
      <c r="E37" s="86">
        <v>2</v>
      </c>
      <c r="F37" s="87" t="s">
        <v>22</v>
      </c>
      <c r="G37" s="59" t="s">
        <v>30</v>
      </c>
      <c r="H37" s="55" t="s">
        <v>24</v>
      </c>
      <c r="I37" s="59" t="s">
        <v>30</v>
      </c>
      <c r="J37" s="70">
        <v>44719</v>
      </c>
      <c r="K37" s="70">
        <v>44719</v>
      </c>
      <c r="L37" s="88">
        <f t="shared" si="0"/>
        <v>1</v>
      </c>
      <c r="M37" s="59" t="s">
        <v>6190</v>
      </c>
      <c r="N37" s="59" t="s">
        <v>26</v>
      </c>
      <c r="O37" s="59" t="s">
        <v>6191</v>
      </c>
      <c r="P37" s="59" t="s">
        <v>6192</v>
      </c>
      <c r="Q37" s="59" t="str">
        <f t="shared" si="1"/>
        <v>DENTRO DEL TIEMPO</v>
      </c>
      <c r="R37" s="28"/>
    </row>
    <row r="38" spans="1:18" ht="48.75" x14ac:dyDescent="0.25">
      <c r="A38" s="86">
        <v>33</v>
      </c>
      <c r="B38" s="59" t="s">
        <v>6193</v>
      </c>
      <c r="C38" s="70">
        <v>44718</v>
      </c>
      <c r="D38" s="70">
        <v>44718</v>
      </c>
      <c r="E38" s="86">
        <v>2</v>
      </c>
      <c r="F38" s="87" t="s">
        <v>22</v>
      </c>
      <c r="G38" s="59" t="s">
        <v>30</v>
      </c>
      <c r="H38" s="55" t="s">
        <v>24</v>
      </c>
      <c r="I38" s="59" t="s">
        <v>30</v>
      </c>
      <c r="J38" s="70">
        <v>44719</v>
      </c>
      <c r="K38" s="70">
        <v>44719</v>
      </c>
      <c r="L38" s="88">
        <f t="shared" si="0"/>
        <v>1</v>
      </c>
      <c r="M38" s="59" t="s">
        <v>6194</v>
      </c>
      <c r="N38" s="59" t="s">
        <v>26</v>
      </c>
      <c r="O38" s="59" t="s">
        <v>2792</v>
      </c>
      <c r="P38" s="59" t="s">
        <v>6195</v>
      </c>
      <c r="Q38" s="59" t="str">
        <f t="shared" si="1"/>
        <v>DENTRO DEL TIEMPO</v>
      </c>
      <c r="R38" s="28"/>
    </row>
    <row r="39" spans="1:18" ht="48.75" x14ac:dyDescent="0.25">
      <c r="A39" s="86">
        <v>34</v>
      </c>
      <c r="B39" s="59" t="s">
        <v>6196</v>
      </c>
      <c r="C39" s="70">
        <v>44718</v>
      </c>
      <c r="D39" s="70">
        <v>44718</v>
      </c>
      <c r="E39" s="86">
        <v>2</v>
      </c>
      <c r="F39" s="87" t="s">
        <v>22</v>
      </c>
      <c r="G39" s="59" t="s">
        <v>30</v>
      </c>
      <c r="H39" s="55" t="s">
        <v>24</v>
      </c>
      <c r="I39" s="59" t="s">
        <v>30</v>
      </c>
      <c r="J39" s="70">
        <v>44720</v>
      </c>
      <c r="K39" s="70">
        <v>44720</v>
      </c>
      <c r="L39" s="88">
        <f t="shared" si="0"/>
        <v>2</v>
      </c>
      <c r="M39" s="59" t="s">
        <v>6197</v>
      </c>
      <c r="N39" s="59" t="s">
        <v>26</v>
      </c>
      <c r="O39" s="59" t="s">
        <v>3962</v>
      </c>
      <c r="P39" s="59" t="s">
        <v>6198</v>
      </c>
      <c r="Q39" s="59" t="str">
        <f t="shared" si="1"/>
        <v>DENTRO DEL TIEMPO</v>
      </c>
      <c r="R39" s="28"/>
    </row>
    <row r="40" spans="1:18" ht="48.75" x14ac:dyDescent="0.25">
      <c r="A40" s="86">
        <v>35</v>
      </c>
      <c r="B40" s="59" t="s">
        <v>6199</v>
      </c>
      <c r="C40" s="70">
        <v>44718</v>
      </c>
      <c r="D40" s="70">
        <v>44718</v>
      </c>
      <c r="E40" s="86">
        <v>2</v>
      </c>
      <c r="F40" s="87" t="s">
        <v>22</v>
      </c>
      <c r="G40" s="59" t="s">
        <v>30</v>
      </c>
      <c r="H40" s="55" t="s">
        <v>24</v>
      </c>
      <c r="I40" s="59" t="s">
        <v>30</v>
      </c>
      <c r="J40" s="70">
        <v>44720</v>
      </c>
      <c r="K40" s="70">
        <v>44720</v>
      </c>
      <c r="L40" s="88">
        <f t="shared" si="0"/>
        <v>2</v>
      </c>
      <c r="M40" s="59" t="s">
        <v>6200</v>
      </c>
      <c r="N40" s="59" t="s">
        <v>26</v>
      </c>
      <c r="O40" s="59" t="s">
        <v>6201</v>
      </c>
      <c r="P40" s="59" t="s">
        <v>6202</v>
      </c>
      <c r="Q40" s="59" t="str">
        <f t="shared" si="1"/>
        <v>DENTRO DEL TIEMPO</v>
      </c>
      <c r="R40" s="28"/>
    </row>
    <row r="41" spans="1:18" ht="48.75" x14ac:dyDescent="0.25">
      <c r="A41" s="86">
        <v>36</v>
      </c>
      <c r="B41" s="59" t="s">
        <v>6203</v>
      </c>
      <c r="C41" s="70">
        <v>44718</v>
      </c>
      <c r="D41" s="70">
        <v>44718</v>
      </c>
      <c r="E41" s="86">
        <v>2</v>
      </c>
      <c r="F41" s="87" t="s">
        <v>22</v>
      </c>
      <c r="G41" s="59" t="s">
        <v>30</v>
      </c>
      <c r="H41" s="55" t="s">
        <v>24</v>
      </c>
      <c r="I41" s="59" t="s">
        <v>30</v>
      </c>
      <c r="J41" s="70">
        <v>44720</v>
      </c>
      <c r="K41" s="70">
        <v>44720</v>
      </c>
      <c r="L41" s="88">
        <f t="shared" si="0"/>
        <v>2</v>
      </c>
      <c r="M41" s="59" t="s">
        <v>6204</v>
      </c>
      <c r="N41" s="59" t="s">
        <v>26</v>
      </c>
      <c r="O41" s="59" t="s">
        <v>6205</v>
      </c>
      <c r="P41" s="59" t="s">
        <v>6206</v>
      </c>
      <c r="Q41" s="59" t="str">
        <f t="shared" si="1"/>
        <v>DENTRO DEL TIEMPO</v>
      </c>
      <c r="R41" s="28"/>
    </row>
    <row r="42" spans="1:18" ht="48.75" x14ac:dyDescent="0.25">
      <c r="A42" s="86">
        <v>37</v>
      </c>
      <c r="B42" s="59" t="s">
        <v>6207</v>
      </c>
      <c r="C42" s="70">
        <v>44718</v>
      </c>
      <c r="D42" s="70">
        <v>44718</v>
      </c>
      <c r="E42" s="86">
        <v>2</v>
      </c>
      <c r="F42" s="87" t="s">
        <v>22</v>
      </c>
      <c r="G42" s="59" t="s">
        <v>30</v>
      </c>
      <c r="H42" s="55" t="s">
        <v>24</v>
      </c>
      <c r="I42" s="59" t="s">
        <v>30</v>
      </c>
      <c r="J42" s="70">
        <v>44720</v>
      </c>
      <c r="K42" s="70">
        <v>44720</v>
      </c>
      <c r="L42" s="88">
        <f t="shared" si="0"/>
        <v>2</v>
      </c>
      <c r="M42" s="59" t="s">
        <v>6208</v>
      </c>
      <c r="N42" s="59" t="s">
        <v>26</v>
      </c>
      <c r="O42" s="59" t="s">
        <v>2306</v>
      </c>
      <c r="P42" s="59" t="s">
        <v>6209</v>
      </c>
      <c r="Q42" s="59" t="str">
        <f t="shared" si="1"/>
        <v>DENTRO DEL TIEMPO</v>
      </c>
      <c r="R42" s="28"/>
    </row>
    <row r="43" spans="1:18" ht="48.75" x14ac:dyDescent="0.25">
      <c r="A43" s="86">
        <v>38</v>
      </c>
      <c r="B43" s="59" t="s">
        <v>6210</v>
      </c>
      <c r="C43" s="70">
        <v>44718</v>
      </c>
      <c r="D43" s="70">
        <v>44718</v>
      </c>
      <c r="E43" s="86">
        <v>2</v>
      </c>
      <c r="F43" s="87" t="s">
        <v>22</v>
      </c>
      <c r="G43" s="59" t="s">
        <v>30</v>
      </c>
      <c r="H43" s="55" t="s">
        <v>24</v>
      </c>
      <c r="I43" s="59" t="s">
        <v>30</v>
      </c>
      <c r="J43" s="70">
        <v>44720</v>
      </c>
      <c r="K43" s="70">
        <v>44720</v>
      </c>
      <c r="L43" s="88">
        <f t="shared" si="0"/>
        <v>2</v>
      </c>
      <c r="M43" s="59" t="s">
        <v>6211</v>
      </c>
      <c r="N43" s="59" t="s">
        <v>26</v>
      </c>
      <c r="O43" s="59" t="s">
        <v>2306</v>
      </c>
      <c r="P43" s="59" t="s">
        <v>6209</v>
      </c>
      <c r="Q43" s="59" t="str">
        <f t="shared" si="1"/>
        <v>DENTRO DEL TIEMPO</v>
      </c>
      <c r="R43" s="28"/>
    </row>
    <row r="44" spans="1:18" ht="48.75" x14ac:dyDescent="0.25">
      <c r="A44" s="86">
        <v>39</v>
      </c>
      <c r="B44" s="59" t="s">
        <v>6212</v>
      </c>
      <c r="C44" s="70">
        <v>44718</v>
      </c>
      <c r="D44" s="70">
        <v>44718</v>
      </c>
      <c r="E44" s="86">
        <v>2</v>
      </c>
      <c r="F44" s="87" t="s">
        <v>22</v>
      </c>
      <c r="G44" s="59" t="s">
        <v>30</v>
      </c>
      <c r="H44" s="55" t="s">
        <v>24</v>
      </c>
      <c r="I44" s="59" t="s">
        <v>30</v>
      </c>
      <c r="J44" s="70">
        <v>44720</v>
      </c>
      <c r="K44" s="70">
        <v>44720</v>
      </c>
      <c r="L44" s="88">
        <f t="shared" si="0"/>
        <v>2</v>
      </c>
      <c r="M44" s="59" t="s">
        <v>6213</v>
      </c>
      <c r="N44" s="59" t="s">
        <v>26</v>
      </c>
      <c r="O44" s="59" t="s">
        <v>2306</v>
      </c>
      <c r="P44" s="59" t="s">
        <v>6209</v>
      </c>
      <c r="Q44" s="59" t="str">
        <f t="shared" si="1"/>
        <v>DENTRO DEL TIEMPO</v>
      </c>
      <c r="R44" s="28"/>
    </row>
    <row r="45" spans="1:18" ht="48.75" x14ac:dyDescent="0.25">
      <c r="A45" s="86">
        <v>40</v>
      </c>
      <c r="B45" s="59" t="s">
        <v>6214</v>
      </c>
      <c r="C45" s="70">
        <v>44719</v>
      </c>
      <c r="D45" s="70">
        <v>44719</v>
      </c>
      <c r="E45" s="86">
        <v>2</v>
      </c>
      <c r="F45" s="87" t="s">
        <v>22</v>
      </c>
      <c r="G45" s="59" t="s">
        <v>30</v>
      </c>
      <c r="H45" s="55" t="s">
        <v>24</v>
      </c>
      <c r="I45" s="59" t="s">
        <v>30</v>
      </c>
      <c r="J45" s="70">
        <v>44720</v>
      </c>
      <c r="K45" s="70">
        <v>44720</v>
      </c>
      <c r="L45" s="88">
        <f t="shared" si="0"/>
        <v>1</v>
      </c>
      <c r="M45" s="59" t="s">
        <v>6215</v>
      </c>
      <c r="N45" s="59" t="s">
        <v>26</v>
      </c>
      <c r="O45" s="59" t="s">
        <v>2396</v>
      </c>
      <c r="P45" s="59" t="s">
        <v>6216</v>
      </c>
      <c r="Q45" s="59" t="str">
        <f t="shared" si="1"/>
        <v>DENTRO DEL TIEMPO</v>
      </c>
      <c r="R45" s="28"/>
    </row>
    <row r="46" spans="1:18" ht="48.75" x14ac:dyDescent="0.25">
      <c r="A46" s="86">
        <v>41</v>
      </c>
      <c r="B46" s="59" t="s">
        <v>6217</v>
      </c>
      <c r="C46" s="70">
        <v>44719</v>
      </c>
      <c r="D46" s="70">
        <v>44719</v>
      </c>
      <c r="E46" s="86">
        <v>2</v>
      </c>
      <c r="F46" s="87" t="s">
        <v>22</v>
      </c>
      <c r="G46" s="59" t="s">
        <v>30</v>
      </c>
      <c r="H46" s="55" t="s">
        <v>24</v>
      </c>
      <c r="I46" s="59" t="s">
        <v>30</v>
      </c>
      <c r="J46" s="70">
        <v>44720</v>
      </c>
      <c r="K46" s="70">
        <v>44720</v>
      </c>
      <c r="L46" s="88">
        <f t="shared" si="0"/>
        <v>1</v>
      </c>
      <c r="M46" s="59" t="s">
        <v>6218</v>
      </c>
      <c r="N46" s="59" t="s">
        <v>26</v>
      </c>
      <c r="O46" s="59" t="s">
        <v>2396</v>
      </c>
      <c r="P46" s="59" t="s">
        <v>6216</v>
      </c>
      <c r="Q46" s="59" t="str">
        <f t="shared" si="1"/>
        <v>DENTRO DEL TIEMPO</v>
      </c>
      <c r="R46" s="28"/>
    </row>
    <row r="47" spans="1:18" ht="48.75" x14ac:dyDescent="0.25">
      <c r="A47" s="86">
        <v>42</v>
      </c>
      <c r="B47" s="59" t="s">
        <v>6219</v>
      </c>
      <c r="C47" s="70">
        <v>44719</v>
      </c>
      <c r="D47" s="70">
        <v>44719</v>
      </c>
      <c r="E47" s="86">
        <v>2</v>
      </c>
      <c r="F47" s="87" t="s">
        <v>22</v>
      </c>
      <c r="G47" s="59" t="s">
        <v>30</v>
      </c>
      <c r="H47" s="55" t="s">
        <v>24</v>
      </c>
      <c r="I47" s="59" t="s">
        <v>30</v>
      </c>
      <c r="J47" s="70">
        <v>44720</v>
      </c>
      <c r="K47" s="70">
        <v>44720</v>
      </c>
      <c r="L47" s="88">
        <f t="shared" si="0"/>
        <v>1</v>
      </c>
      <c r="M47" s="59" t="s">
        <v>6220</v>
      </c>
      <c r="N47" s="59" t="s">
        <v>26</v>
      </c>
      <c r="O47" s="59" t="s">
        <v>2396</v>
      </c>
      <c r="P47" s="59" t="s">
        <v>6216</v>
      </c>
      <c r="Q47" s="59" t="str">
        <f t="shared" si="1"/>
        <v>DENTRO DEL TIEMPO</v>
      </c>
      <c r="R47" s="28"/>
    </row>
    <row r="48" spans="1:18" ht="48.75" x14ac:dyDescent="0.25">
      <c r="A48" s="86">
        <v>43</v>
      </c>
      <c r="B48" s="59" t="s">
        <v>6221</v>
      </c>
      <c r="C48" s="70">
        <v>44719</v>
      </c>
      <c r="D48" s="70">
        <v>44719</v>
      </c>
      <c r="E48" s="86">
        <v>2</v>
      </c>
      <c r="F48" s="87" t="s">
        <v>22</v>
      </c>
      <c r="G48" s="59" t="s">
        <v>30</v>
      </c>
      <c r="H48" s="55" t="s">
        <v>24</v>
      </c>
      <c r="I48" s="59" t="s">
        <v>30</v>
      </c>
      <c r="J48" s="70">
        <v>44720</v>
      </c>
      <c r="K48" s="70">
        <v>44720</v>
      </c>
      <c r="L48" s="88">
        <f t="shared" si="0"/>
        <v>1</v>
      </c>
      <c r="M48" s="59" t="s">
        <v>6222</v>
      </c>
      <c r="N48" s="59" t="s">
        <v>26</v>
      </c>
      <c r="O48" s="59" t="s">
        <v>2396</v>
      </c>
      <c r="P48" s="59" t="s">
        <v>6216</v>
      </c>
      <c r="Q48" s="59" t="str">
        <f t="shared" si="1"/>
        <v>DENTRO DEL TIEMPO</v>
      </c>
      <c r="R48" s="28"/>
    </row>
    <row r="49" spans="1:18" ht="48.75" x14ac:dyDescent="0.25">
      <c r="A49" s="86">
        <v>44</v>
      </c>
      <c r="B49" s="59" t="s">
        <v>6223</v>
      </c>
      <c r="C49" s="70">
        <v>44719</v>
      </c>
      <c r="D49" s="70">
        <v>44719</v>
      </c>
      <c r="E49" s="86">
        <v>2</v>
      </c>
      <c r="F49" s="87" t="s">
        <v>22</v>
      </c>
      <c r="G49" s="59" t="s">
        <v>30</v>
      </c>
      <c r="H49" s="55" t="s">
        <v>24</v>
      </c>
      <c r="I49" s="59" t="s">
        <v>30</v>
      </c>
      <c r="J49" s="70">
        <v>44720</v>
      </c>
      <c r="K49" s="70">
        <v>44720</v>
      </c>
      <c r="L49" s="88">
        <f t="shared" si="0"/>
        <v>1</v>
      </c>
      <c r="M49" s="59" t="s">
        <v>6224</v>
      </c>
      <c r="N49" s="59" t="s">
        <v>26</v>
      </c>
      <c r="O49" s="59" t="s">
        <v>2396</v>
      </c>
      <c r="P49" s="59" t="s">
        <v>6216</v>
      </c>
      <c r="Q49" s="59" t="str">
        <f t="shared" si="1"/>
        <v>DENTRO DEL TIEMPO</v>
      </c>
      <c r="R49" s="28"/>
    </row>
    <row r="50" spans="1:18" ht="48.75" x14ac:dyDescent="0.25">
      <c r="A50" s="86">
        <v>45</v>
      </c>
      <c r="B50" s="59" t="s">
        <v>6225</v>
      </c>
      <c r="C50" s="70">
        <v>44719</v>
      </c>
      <c r="D50" s="70">
        <v>44719</v>
      </c>
      <c r="E50" s="86">
        <v>2</v>
      </c>
      <c r="F50" s="87" t="s">
        <v>22</v>
      </c>
      <c r="G50" s="59" t="s">
        <v>30</v>
      </c>
      <c r="H50" s="55" t="s">
        <v>24</v>
      </c>
      <c r="I50" s="59" t="s">
        <v>30</v>
      </c>
      <c r="J50" s="70">
        <v>44720</v>
      </c>
      <c r="K50" s="70">
        <v>44720</v>
      </c>
      <c r="L50" s="88">
        <f t="shared" si="0"/>
        <v>1</v>
      </c>
      <c r="M50" s="59" t="s">
        <v>6226</v>
      </c>
      <c r="N50" s="59" t="s">
        <v>26</v>
      </c>
      <c r="O50" s="59" t="s">
        <v>2396</v>
      </c>
      <c r="P50" s="59" t="s">
        <v>6216</v>
      </c>
      <c r="Q50" s="59" t="str">
        <f t="shared" si="1"/>
        <v>DENTRO DEL TIEMPO</v>
      </c>
      <c r="R50" s="28"/>
    </row>
    <row r="51" spans="1:18" ht="48.75" x14ac:dyDescent="0.25">
      <c r="A51" s="86">
        <v>46</v>
      </c>
      <c r="B51" s="59" t="s">
        <v>6227</v>
      </c>
      <c r="C51" s="70">
        <v>44719</v>
      </c>
      <c r="D51" s="70">
        <v>44719</v>
      </c>
      <c r="E51" s="86">
        <v>2</v>
      </c>
      <c r="F51" s="87" t="s">
        <v>22</v>
      </c>
      <c r="G51" s="59" t="s">
        <v>30</v>
      </c>
      <c r="H51" s="55" t="s">
        <v>24</v>
      </c>
      <c r="I51" s="59" t="s">
        <v>30</v>
      </c>
      <c r="J51" s="70">
        <v>44720</v>
      </c>
      <c r="K51" s="70">
        <v>44720</v>
      </c>
      <c r="L51" s="88">
        <f t="shared" si="0"/>
        <v>1</v>
      </c>
      <c r="M51" s="59" t="s">
        <v>6228</v>
      </c>
      <c r="N51" s="59" t="s">
        <v>26</v>
      </c>
      <c r="O51" s="59" t="s">
        <v>2396</v>
      </c>
      <c r="P51" s="59" t="s">
        <v>6216</v>
      </c>
      <c r="Q51" s="59" t="str">
        <f t="shared" si="1"/>
        <v>DENTRO DEL TIEMPO</v>
      </c>
      <c r="R51" s="28"/>
    </row>
    <row r="52" spans="1:18" ht="48.75" x14ac:dyDescent="0.25">
      <c r="A52" s="86">
        <v>47</v>
      </c>
      <c r="B52" s="59" t="s">
        <v>6229</v>
      </c>
      <c r="C52" s="70">
        <v>44719</v>
      </c>
      <c r="D52" s="70">
        <v>44719</v>
      </c>
      <c r="E52" s="86">
        <v>2</v>
      </c>
      <c r="F52" s="87" t="s">
        <v>22</v>
      </c>
      <c r="G52" s="59" t="s">
        <v>23</v>
      </c>
      <c r="H52" s="55" t="s">
        <v>24</v>
      </c>
      <c r="I52" s="59" t="s">
        <v>23</v>
      </c>
      <c r="J52" s="70">
        <v>44728</v>
      </c>
      <c r="K52" s="70">
        <v>44728</v>
      </c>
      <c r="L52" s="88">
        <f t="shared" si="0"/>
        <v>7</v>
      </c>
      <c r="M52" s="59" t="s">
        <v>6230</v>
      </c>
      <c r="N52" s="59" t="s">
        <v>26</v>
      </c>
      <c r="O52" s="59" t="s">
        <v>6231</v>
      </c>
      <c r="P52" s="59" t="s">
        <v>6232</v>
      </c>
      <c r="Q52" s="59" t="str">
        <f t="shared" si="1"/>
        <v>DENTRO DEL TIEMPO</v>
      </c>
      <c r="R52" s="28"/>
    </row>
    <row r="53" spans="1:18" ht="48.75" x14ac:dyDescent="0.25">
      <c r="A53" s="86">
        <v>48</v>
      </c>
      <c r="B53" s="59" t="s">
        <v>6233</v>
      </c>
      <c r="C53" s="70">
        <v>44719</v>
      </c>
      <c r="D53" s="70">
        <v>44719</v>
      </c>
      <c r="E53" s="86">
        <v>2</v>
      </c>
      <c r="F53" s="87" t="s">
        <v>22</v>
      </c>
      <c r="G53" s="59" t="s">
        <v>30</v>
      </c>
      <c r="H53" s="55" t="s">
        <v>24</v>
      </c>
      <c r="I53" s="59" t="s">
        <v>30</v>
      </c>
      <c r="J53" s="70">
        <v>44720</v>
      </c>
      <c r="K53" s="70">
        <v>44720</v>
      </c>
      <c r="L53" s="88">
        <f t="shared" si="0"/>
        <v>1</v>
      </c>
      <c r="M53" s="59" t="s">
        <v>6234</v>
      </c>
      <c r="N53" s="59" t="s">
        <v>26</v>
      </c>
      <c r="O53" s="59" t="s">
        <v>3911</v>
      </c>
      <c r="P53" s="59" t="s">
        <v>6235</v>
      </c>
      <c r="Q53" s="59" t="str">
        <f t="shared" si="1"/>
        <v>DENTRO DEL TIEMPO</v>
      </c>
      <c r="R53" s="28"/>
    </row>
    <row r="54" spans="1:18" ht="48.75" x14ac:dyDescent="0.25">
      <c r="A54" s="86">
        <v>49</v>
      </c>
      <c r="B54" s="59" t="s">
        <v>6236</v>
      </c>
      <c r="C54" s="70">
        <v>44719</v>
      </c>
      <c r="D54" s="70">
        <v>44719</v>
      </c>
      <c r="E54" s="86">
        <v>2</v>
      </c>
      <c r="F54" s="87" t="s">
        <v>22</v>
      </c>
      <c r="G54" s="59" t="s">
        <v>30</v>
      </c>
      <c r="H54" s="55" t="s">
        <v>24</v>
      </c>
      <c r="I54" s="59" t="s">
        <v>30</v>
      </c>
      <c r="J54" s="70">
        <v>44720</v>
      </c>
      <c r="K54" s="70">
        <v>44720</v>
      </c>
      <c r="L54" s="88">
        <f t="shared" si="0"/>
        <v>1</v>
      </c>
      <c r="M54" s="59" t="s">
        <v>6237</v>
      </c>
      <c r="N54" s="59" t="s">
        <v>26</v>
      </c>
      <c r="O54" s="59" t="s">
        <v>6238</v>
      </c>
      <c r="P54" s="59" t="s">
        <v>6239</v>
      </c>
      <c r="Q54" s="59" t="str">
        <f t="shared" si="1"/>
        <v>DENTRO DEL TIEMPO</v>
      </c>
      <c r="R54" s="28"/>
    </row>
    <row r="55" spans="1:18" ht="48.75" x14ac:dyDescent="0.25">
      <c r="A55" s="86">
        <v>50</v>
      </c>
      <c r="B55" s="59" t="s">
        <v>6240</v>
      </c>
      <c r="C55" s="70">
        <v>44719</v>
      </c>
      <c r="D55" s="70">
        <v>44719</v>
      </c>
      <c r="E55" s="86">
        <v>2</v>
      </c>
      <c r="F55" s="87" t="s">
        <v>22</v>
      </c>
      <c r="G55" s="59" t="s">
        <v>30</v>
      </c>
      <c r="H55" s="55" t="s">
        <v>24</v>
      </c>
      <c r="I55" s="59" t="s">
        <v>30</v>
      </c>
      <c r="J55" s="70">
        <v>44720</v>
      </c>
      <c r="K55" s="70">
        <v>44720</v>
      </c>
      <c r="L55" s="88">
        <f t="shared" si="0"/>
        <v>1</v>
      </c>
      <c r="M55" s="59" t="s">
        <v>6241</v>
      </c>
      <c r="N55" s="59" t="s">
        <v>26</v>
      </c>
      <c r="O55" s="59" t="s">
        <v>6242</v>
      </c>
      <c r="P55" s="59" t="s">
        <v>6243</v>
      </c>
      <c r="Q55" s="59" t="str">
        <f t="shared" si="1"/>
        <v>DENTRO DEL TIEMPO</v>
      </c>
      <c r="R55" s="28"/>
    </row>
    <row r="56" spans="1:18" ht="48.75" x14ac:dyDescent="0.25">
      <c r="A56" s="86">
        <v>51</v>
      </c>
      <c r="B56" s="59" t="s">
        <v>6244</v>
      </c>
      <c r="C56" s="70">
        <v>44719</v>
      </c>
      <c r="D56" s="70">
        <v>44719</v>
      </c>
      <c r="E56" s="86">
        <v>2</v>
      </c>
      <c r="F56" s="87" t="s">
        <v>22</v>
      </c>
      <c r="G56" s="59" t="s">
        <v>30</v>
      </c>
      <c r="H56" s="55" t="s">
        <v>24</v>
      </c>
      <c r="I56" s="59" t="s">
        <v>30</v>
      </c>
      <c r="J56" s="70">
        <v>44720</v>
      </c>
      <c r="K56" s="70">
        <v>44720</v>
      </c>
      <c r="L56" s="88">
        <f t="shared" si="0"/>
        <v>1</v>
      </c>
      <c r="M56" s="59" t="s">
        <v>6245</v>
      </c>
      <c r="N56" s="59" t="s">
        <v>26</v>
      </c>
      <c r="O56" s="59" t="s">
        <v>6246</v>
      </c>
      <c r="P56" s="59" t="s">
        <v>6247</v>
      </c>
      <c r="Q56" s="59" t="str">
        <f t="shared" si="1"/>
        <v>DENTRO DEL TIEMPO</v>
      </c>
      <c r="R56" s="28"/>
    </row>
    <row r="57" spans="1:18" ht="48.75" x14ac:dyDescent="0.25">
      <c r="A57" s="86">
        <v>52</v>
      </c>
      <c r="B57" s="59" t="s">
        <v>6248</v>
      </c>
      <c r="C57" s="70">
        <v>44719</v>
      </c>
      <c r="D57" s="70">
        <v>44719</v>
      </c>
      <c r="E57" s="86">
        <v>2</v>
      </c>
      <c r="F57" s="87" t="s">
        <v>22</v>
      </c>
      <c r="G57" s="59" t="s">
        <v>30</v>
      </c>
      <c r="H57" s="55" t="s">
        <v>24</v>
      </c>
      <c r="I57" s="59" t="s">
        <v>30</v>
      </c>
      <c r="J57" s="70">
        <v>44720</v>
      </c>
      <c r="K57" s="70">
        <v>44720</v>
      </c>
      <c r="L57" s="88">
        <f t="shared" si="0"/>
        <v>1</v>
      </c>
      <c r="M57" s="59" t="s">
        <v>6249</v>
      </c>
      <c r="N57" s="59" t="s">
        <v>26</v>
      </c>
      <c r="O57" s="59" t="s">
        <v>6246</v>
      </c>
      <c r="P57" s="59" t="s">
        <v>6247</v>
      </c>
      <c r="Q57" s="59" t="str">
        <f t="shared" si="1"/>
        <v>DENTRO DEL TIEMPO</v>
      </c>
      <c r="R57" s="28"/>
    </row>
    <row r="58" spans="1:18" ht="48.75" x14ac:dyDescent="0.25">
      <c r="A58" s="86">
        <v>53</v>
      </c>
      <c r="B58" s="59" t="s">
        <v>6250</v>
      </c>
      <c r="C58" s="70">
        <v>44719</v>
      </c>
      <c r="D58" s="70">
        <v>44719</v>
      </c>
      <c r="E58" s="86">
        <v>2</v>
      </c>
      <c r="F58" s="87" t="s">
        <v>22</v>
      </c>
      <c r="G58" s="59" t="s">
        <v>30</v>
      </c>
      <c r="H58" s="55" t="s">
        <v>24</v>
      </c>
      <c r="I58" s="59" t="s">
        <v>30</v>
      </c>
      <c r="J58" s="70">
        <v>44720</v>
      </c>
      <c r="K58" s="70">
        <v>44720</v>
      </c>
      <c r="L58" s="88">
        <f t="shared" si="0"/>
        <v>1</v>
      </c>
      <c r="M58" s="59" t="s">
        <v>6251</v>
      </c>
      <c r="N58" s="59" t="s">
        <v>26</v>
      </c>
      <c r="O58" s="59" t="s">
        <v>6252</v>
      </c>
      <c r="P58" s="59" t="s">
        <v>6247</v>
      </c>
      <c r="Q58" s="59" t="str">
        <f t="shared" si="1"/>
        <v>DENTRO DEL TIEMPO</v>
      </c>
      <c r="R58" s="28"/>
    </row>
    <row r="59" spans="1:18" ht="48.75" x14ac:dyDescent="0.25">
      <c r="A59" s="86">
        <v>54</v>
      </c>
      <c r="B59" s="59" t="s">
        <v>6253</v>
      </c>
      <c r="C59" s="70">
        <v>44719</v>
      </c>
      <c r="D59" s="70">
        <v>44719</v>
      </c>
      <c r="E59" s="86">
        <v>2</v>
      </c>
      <c r="F59" s="87" t="s">
        <v>22</v>
      </c>
      <c r="G59" s="59" t="s">
        <v>30</v>
      </c>
      <c r="H59" s="55" t="s">
        <v>24</v>
      </c>
      <c r="I59" s="59" t="s">
        <v>30</v>
      </c>
      <c r="J59" s="70">
        <v>44720</v>
      </c>
      <c r="K59" s="70">
        <v>44720</v>
      </c>
      <c r="L59" s="88">
        <f t="shared" si="0"/>
        <v>1</v>
      </c>
      <c r="M59" s="59" t="s">
        <v>6254</v>
      </c>
      <c r="N59" s="59" t="s">
        <v>26</v>
      </c>
      <c r="O59" s="59" t="s">
        <v>2683</v>
      </c>
      <c r="P59" s="59" t="s">
        <v>6154</v>
      </c>
      <c r="Q59" s="59" t="str">
        <f t="shared" si="1"/>
        <v>DENTRO DEL TIEMPO</v>
      </c>
      <c r="R59" s="28"/>
    </row>
    <row r="60" spans="1:18" ht="48.75" x14ac:dyDescent="0.25">
      <c r="A60" s="86">
        <v>55</v>
      </c>
      <c r="B60" s="59" t="s">
        <v>6255</v>
      </c>
      <c r="C60" s="70">
        <v>44719</v>
      </c>
      <c r="D60" s="70">
        <v>44719</v>
      </c>
      <c r="E60" s="86">
        <v>2</v>
      </c>
      <c r="F60" s="87" t="s">
        <v>22</v>
      </c>
      <c r="G60" s="59" t="s">
        <v>30</v>
      </c>
      <c r="H60" s="55" t="s">
        <v>24</v>
      </c>
      <c r="I60" s="59" t="s">
        <v>30</v>
      </c>
      <c r="J60" s="70">
        <v>44720</v>
      </c>
      <c r="K60" s="70">
        <v>44720</v>
      </c>
      <c r="L60" s="88">
        <f t="shared" si="0"/>
        <v>1</v>
      </c>
      <c r="M60" s="59" t="s">
        <v>6256</v>
      </c>
      <c r="N60" s="59" t="s">
        <v>26</v>
      </c>
      <c r="O60" s="59" t="s">
        <v>2683</v>
      </c>
      <c r="P60" s="59" t="s">
        <v>6154</v>
      </c>
      <c r="Q60" s="59" t="str">
        <f t="shared" si="1"/>
        <v>DENTRO DEL TIEMPO</v>
      </c>
      <c r="R60" s="28"/>
    </row>
    <row r="61" spans="1:18" ht="48.75" x14ac:dyDescent="0.25">
      <c r="A61" s="86">
        <v>56</v>
      </c>
      <c r="B61" s="59" t="s">
        <v>6257</v>
      </c>
      <c r="C61" s="70">
        <v>44719</v>
      </c>
      <c r="D61" s="70">
        <v>44719</v>
      </c>
      <c r="E61" s="86">
        <v>2</v>
      </c>
      <c r="F61" s="87" t="s">
        <v>22</v>
      </c>
      <c r="G61" s="59" t="s">
        <v>30</v>
      </c>
      <c r="H61" s="55" t="s">
        <v>24</v>
      </c>
      <c r="I61" s="59" t="s">
        <v>30</v>
      </c>
      <c r="J61" s="70">
        <v>44720</v>
      </c>
      <c r="K61" s="70">
        <v>44720</v>
      </c>
      <c r="L61" s="88">
        <f t="shared" si="0"/>
        <v>1</v>
      </c>
      <c r="M61" s="59" t="s">
        <v>6258</v>
      </c>
      <c r="N61" s="59" t="s">
        <v>26</v>
      </c>
      <c r="O61" s="59" t="s">
        <v>2683</v>
      </c>
      <c r="P61" s="59" t="s">
        <v>6154</v>
      </c>
      <c r="Q61" s="59" t="str">
        <f t="shared" si="1"/>
        <v>DENTRO DEL TIEMPO</v>
      </c>
      <c r="R61" s="28"/>
    </row>
    <row r="62" spans="1:18" ht="48.75" x14ac:dyDescent="0.25">
      <c r="A62" s="86">
        <v>57</v>
      </c>
      <c r="B62" s="59" t="s">
        <v>6259</v>
      </c>
      <c r="C62" s="70">
        <v>44719</v>
      </c>
      <c r="D62" s="70">
        <v>44719</v>
      </c>
      <c r="E62" s="86">
        <v>2</v>
      </c>
      <c r="F62" s="87" t="s">
        <v>22</v>
      </c>
      <c r="G62" s="59" t="s">
        <v>30</v>
      </c>
      <c r="H62" s="55" t="s">
        <v>24</v>
      </c>
      <c r="I62" s="59" t="s">
        <v>30</v>
      </c>
      <c r="J62" s="70">
        <v>44721</v>
      </c>
      <c r="K62" s="70">
        <v>44721</v>
      </c>
      <c r="L62" s="88">
        <f t="shared" si="0"/>
        <v>2</v>
      </c>
      <c r="M62" s="59" t="s">
        <v>6260</v>
      </c>
      <c r="N62" s="59" t="s">
        <v>26</v>
      </c>
      <c r="O62" s="59" t="s">
        <v>2683</v>
      </c>
      <c r="P62" s="59" t="s">
        <v>6154</v>
      </c>
      <c r="Q62" s="59" t="str">
        <f t="shared" si="1"/>
        <v>DENTRO DEL TIEMPO</v>
      </c>
      <c r="R62" s="28"/>
    </row>
    <row r="63" spans="1:18" ht="48.75" x14ac:dyDescent="0.25">
      <c r="A63" s="86">
        <v>58</v>
      </c>
      <c r="B63" s="59" t="s">
        <v>6261</v>
      </c>
      <c r="C63" s="70">
        <v>44719</v>
      </c>
      <c r="D63" s="70">
        <v>44719</v>
      </c>
      <c r="E63" s="86">
        <v>2</v>
      </c>
      <c r="F63" s="87" t="s">
        <v>22</v>
      </c>
      <c r="G63" s="59" t="s">
        <v>30</v>
      </c>
      <c r="H63" s="55" t="s">
        <v>24</v>
      </c>
      <c r="I63" s="59" t="s">
        <v>30</v>
      </c>
      <c r="J63" s="70">
        <v>44721</v>
      </c>
      <c r="K63" s="70">
        <v>44721</v>
      </c>
      <c r="L63" s="88">
        <f t="shared" si="0"/>
        <v>2</v>
      </c>
      <c r="M63" s="59" t="s">
        <v>6262</v>
      </c>
      <c r="N63" s="59" t="s">
        <v>26</v>
      </c>
      <c r="O63" s="59" t="s">
        <v>2683</v>
      </c>
      <c r="P63" s="59" t="s">
        <v>6154</v>
      </c>
      <c r="Q63" s="59" t="str">
        <f t="shared" si="1"/>
        <v>DENTRO DEL TIEMPO</v>
      </c>
      <c r="R63" s="28"/>
    </row>
    <row r="64" spans="1:18" ht="48.75" x14ac:dyDescent="0.25">
      <c r="A64" s="86">
        <v>59</v>
      </c>
      <c r="B64" s="59" t="s">
        <v>6263</v>
      </c>
      <c r="C64" s="70">
        <v>44719</v>
      </c>
      <c r="D64" s="70">
        <v>44719</v>
      </c>
      <c r="E64" s="86">
        <v>2</v>
      </c>
      <c r="F64" s="87" t="s">
        <v>22</v>
      </c>
      <c r="G64" s="59" t="s">
        <v>30</v>
      </c>
      <c r="H64" s="55" t="s">
        <v>24</v>
      </c>
      <c r="I64" s="59" t="s">
        <v>30</v>
      </c>
      <c r="J64" s="70">
        <v>44721</v>
      </c>
      <c r="K64" s="70">
        <v>44721</v>
      </c>
      <c r="L64" s="88">
        <f t="shared" si="0"/>
        <v>2</v>
      </c>
      <c r="M64" s="59" t="s">
        <v>6264</v>
      </c>
      <c r="N64" s="59" t="s">
        <v>26</v>
      </c>
      <c r="O64" s="59" t="s">
        <v>2683</v>
      </c>
      <c r="P64" s="59" t="s">
        <v>6154</v>
      </c>
      <c r="Q64" s="59" t="str">
        <f t="shared" si="1"/>
        <v>DENTRO DEL TIEMPO</v>
      </c>
      <c r="R64" s="28"/>
    </row>
    <row r="65" spans="1:18" ht="48.75" x14ac:dyDescent="0.25">
      <c r="A65" s="86">
        <v>60</v>
      </c>
      <c r="B65" s="59" t="s">
        <v>6265</v>
      </c>
      <c r="C65" s="70">
        <v>44719</v>
      </c>
      <c r="D65" s="70">
        <v>44719</v>
      </c>
      <c r="E65" s="86">
        <v>2</v>
      </c>
      <c r="F65" s="87" t="s">
        <v>22</v>
      </c>
      <c r="G65" s="59" t="s">
        <v>30</v>
      </c>
      <c r="H65" s="55" t="s">
        <v>24</v>
      </c>
      <c r="I65" s="59" t="s">
        <v>30</v>
      </c>
      <c r="J65" s="70">
        <v>44721</v>
      </c>
      <c r="K65" s="70">
        <v>44721</v>
      </c>
      <c r="L65" s="88">
        <f t="shared" si="0"/>
        <v>2</v>
      </c>
      <c r="M65" s="59" t="s">
        <v>6266</v>
      </c>
      <c r="N65" s="59" t="s">
        <v>26</v>
      </c>
      <c r="O65" s="59" t="s">
        <v>2683</v>
      </c>
      <c r="P65" s="59" t="s">
        <v>6154</v>
      </c>
      <c r="Q65" s="59" t="str">
        <f t="shared" si="1"/>
        <v>DENTRO DEL TIEMPO</v>
      </c>
      <c r="R65" s="28"/>
    </row>
    <row r="66" spans="1:18" ht="48.75" x14ac:dyDescent="0.25">
      <c r="A66" s="86">
        <v>61</v>
      </c>
      <c r="B66" s="59" t="s">
        <v>6267</v>
      </c>
      <c r="C66" s="70">
        <v>44719</v>
      </c>
      <c r="D66" s="70">
        <v>44719</v>
      </c>
      <c r="E66" s="86">
        <v>2</v>
      </c>
      <c r="F66" s="87" t="s">
        <v>22</v>
      </c>
      <c r="G66" s="59" t="s">
        <v>30</v>
      </c>
      <c r="H66" s="55" t="s">
        <v>24</v>
      </c>
      <c r="I66" s="59" t="s">
        <v>30</v>
      </c>
      <c r="J66" s="70">
        <v>44721</v>
      </c>
      <c r="K66" s="70">
        <v>44721</v>
      </c>
      <c r="L66" s="88">
        <f t="shared" si="0"/>
        <v>2</v>
      </c>
      <c r="M66" s="59" t="s">
        <v>6268</v>
      </c>
      <c r="N66" s="59" t="s">
        <v>26</v>
      </c>
      <c r="O66" s="59" t="s">
        <v>2683</v>
      </c>
      <c r="P66" s="59" t="s">
        <v>6154</v>
      </c>
      <c r="Q66" s="59" t="str">
        <f t="shared" si="1"/>
        <v>DENTRO DEL TIEMPO</v>
      </c>
      <c r="R66" s="28"/>
    </row>
    <row r="67" spans="1:18" ht="48.75" x14ac:dyDescent="0.25">
      <c r="A67" s="86">
        <v>62</v>
      </c>
      <c r="B67" s="59" t="s">
        <v>6269</v>
      </c>
      <c r="C67" s="70">
        <v>44719</v>
      </c>
      <c r="D67" s="70">
        <v>44719</v>
      </c>
      <c r="E67" s="86">
        <v>2</v>
      </c>
      <c r="F67" s="87" t="s">
        <v>22</v>
      </c>
      <c r="G67" s="59" t="s">
        <v>23</v>
      </c>
      <c r="H67" s="55" t="s">
        <v>24</v>
      </c>
      <c r="I67" s="59" t="s">
        <v>23</v>
      </c>
      <c r="J67" s="70">
        <v>44719</v>
      </c>
      <c r="K67" s="70">
        <v>44719</v>
      </c>
      <c r="L67" s="88">
        <f t="shared" si="0"/>
        <v>0</v>
      </c>
      <c r="M67" s="59" t="s">
        <v>6270</v>
      </c>
      <c r="N67" s="59" t="s">
        <v>26</v>
      </c>
      <c r="O67" s="59" t="s">
        <v>6271</v>
      </c>
      <c r="P67" s="59" t="s">
        <v>6272</v>
      </c>
      <c r="Q67" s="59" t="str">
        <f t="shared" si="1"/>
        <v>DENTRO DEL TIEMPO</v>
      </c>
      <c r="R67" s="28"/>
    </row>
    <row r="68" spans="1:18" ht="48.75" x14ac:dyDescent="0.25">
      <c r="A68" s="86">
        <v>63</v>
      </c>
      <c r="B68" s="59" t="s">
        <v>6273</v>
      </c>
      <c r="C68" s="70">
        <v>44720</v>
      </c>
      <c r="D68" s="70">
        <v>44720</v>
      </c>
      <c r="E68" s="86">
        <v>2</v>
      </c>
      <c r="F68" s="87" t="s">
        <v>22</v>
      </c>
      <c r="G68" s="59" t="s">
        <v>30</v>
      </c>
      <c r="H68" s="55" t="s">
        <v>24</v>
      </c>
      <c r="I68" s="59" t="s">
        <v>30</v>
      </c>
      <c r="J68" s="70">
        <v>44721</v>
      </c>
      <c r="K68" s="70">
        <v>44721</v>
      </c>
      <c r="L68" s="88">
        <f t="shared" si="0"/>
        <v>1</v>
      </c>
      <c r="M68" s="59" t="s">
        <v>6274</v>
      </c>
      <c r="N68" s="59" t="s">
        <v>26</v>
      </c>
      <c r="O68" s="59" t="s">
        <v>6275</v>
      </c>
      <c r="P68" s="59" t="s">
        <v>6276</v>
      </c>
      <c r="Q68" s="59" t="str">
        <f t="shared" si="1"/>
        <v>DENTRO DEL TIEMPO</v>
      </c>
      <c r="R68" s="28"/>
    </row>
    <row r="69" spans="1:18" ht="48.75" x14ac:dyDescent="0.25">
      <c r="A69" s="86">
        <v>64</v>
      </c>
      <c r="B69" s="59" t="s">
        <v>6277</v>
      </c>
      <c r="C69" s="70">
        <v>44720</v>
      </c>
      <c r="D69" s="70">
        <v>44720</v>
      </c>
      <c r="E69" s="86">
        <v>2</v>
      </c>
      <c r="F69" s="87" t="s">
        <v>22</v>
      </c>
      <c r="G69" s="59" t="s">
        <v>30</v>
      </c>
      <c r="H69" s="55" t="s">
        <v>24</v>
      </c>
      <c r="I69" s="59" t="s">
        <v>30</v>
      </c>
      <c r="J69" s="70">
        <v>44721</v>
      </c>
      <c r="K69" s="70">
        <v>44721</v>
      </c>
      <c r="L69" s="88">
        <f t="shared" si="0"/>
        <v>1</v>
      </c>
      <c r="M69" s="59" t="s">
        <v>6278</v>
      </c>
      <c r="N69" s="59" t="s">
        <v>26</v>
      </c>
      <c r="O69" s="59" t="s">
        <v>2683</v>
      </c>
      <c r="P69" s="59" t="s">
        <v>6154</v>
      </c>
      <c r="Q69" s="59" t="str">
        <f t="shared" si="1"/>
        <v>DENTRO DEL TIEMPO</v>
      </c>
      <c r="R69" s="28"/>
    </row>
    <row r="70" spans="1:18" ht="48.75" x14ac:dyDescent="0.25">
      <c r="A70" s="86">
        <v>65</v>
      </c>
      <c r="B70" s="59" t="s">
        <v>6279</v>
      </c>
      <c r="C70" s="70">
        <v>44720</v>
      </c>
      <c r="D70" s="70">
        <v>44720</v>
      </c>
      <c r="E70" s="86">
        <v>2</v>
      </c>
      <c r="F70" s="87" t="s">
        <v>22</v>
      </c>
      <c r="G70" s="59" t="s">
        <v>30</v>
      </c>
      <c r="H70" s="55" t="s">
        <v>24</v>
      </c>
      <c r="I70" s="59" t="s">
        <v>30</v>
      </c>
      <c r="J70" s="70">
        <v>44721</v>
      </c>
      <c r="K70" s="70">
        <v>44721</v>
      </c>
      <c r="L70" s="88">
        <f t="shared" si="0"/>
        <v>1</v>
      </c>
      <c r="M70" s="59" t="s">
        <v>6280</v>
      </c>
      <c r="N70" s="59" t="s">
        <v>26</v>
      </c>
      <c r="O70" s="59" t="s">
        <v>2683</v>
      </c>
      <c r="P70" s="59" t="s">
        <v>6154</v>
      </c>
      <c r="Q70" s="59" t="str">
        <f t="shared" si="1"/>
        <v>DENTRO DEL TIEMPO</v>
      </c>
      <c r="R70" s="28"/>
    </row>
    <row r="71" spans="1:18" ht="48.75" x14ac:dyDescent="0.25">
      <c r="A71" s="86">
        <v>66</v>
      </c>
      <c r="B71" s="59" t="s">
        <v>6281</v>
      </c>
      <c r="C71" s="70">
        <v>44720</v>
      </c>
      <c r="D71" s="70">
        <v>44720</v>
      </c>
      <c r="E71" s="86">
        <v>2</v>
      </c>
      <c r="F71" s="87" t="s">
        <v>22</v>
      </c>
      <c r="G71" s="59" t="s">
        <v>30</v>
      </c>
      <c r="H71" s="55" t="s">
        <v>24</v>
      </c>
      <c r="I71" s="59" t="s">
        <v>30</v>
      </c>
      <c r="J71" s="70">
        <v>44721</v>
      </c>
      <c r="K71" s="70">
        <v>44721</v>
      </c>
      <c r="L71" s="88">
        <f t="shared" ref="L71:L134" si="2">+NETWORKDAYS(D71,K71,$R$6:$R$9)-1</f>
        <v>1</v>
      </c>
      <c r="M71" s="59" t="s">
        <v>6282</v>
      </c>
      <c r="N71" s="59" t="s">
        <v>26</v>
      </c>
      <c r="O71" s="59" t="s">
        <v>2683</v>
      </c>
      <c r="P71" s="59" t="s">
        <v>6154</v>
      </c>
      <c r="Q71" s="59" t="str">
        <f t="shared" ref="Q71:Q134" si="3">IF(L71&gt;15,"FUERA DE TIEMPO","DENTRO DEL TIEMPO")</f>
        <v>DENTRO DEL TIEMPO</v>
      </c>
      <c r="R71" s="28"/>
    </row>
    <row r="72" spans="1:18" ht="48.75" x14ac:dyDescent="0.25">
      <c r="A72" s="86">
        <v>67</v>
      </c>
      <c r="B72" s="59" t="s">
        <v>6283</v>
      </c>
      <c r="C72" s="70">
        <v>44720</v>
      </c>
      <c r="D72" s="70">
        <v>44720</v>
      </c>
      <c r="E72" s="86">
        <v>2</v>
      </c>
      <c r="F72" s="87" t="s">
        <v>22</v>
      </c>
      <c r="G72" s="59" t="s">
        <v>30</v>
      </c>
      <c r="H72" s="55" t="s">
        <v>24</v>
      </c>
      <c r="I72" s="59" t="s">
        <v>30</v>
      </c>
      <c r="J72" s="70">
        <v>44721</v>
      </c>
      <c r="K72" s="70">
        <v>44721</v>
      </c>
      <c r="L72" s="88">
        <f t="shared" si="2"/>
        <v>1</v>
      </c>
      <c r="M72" s="59" t="s">
        <v>6284</v>
      </c>
      <c r="N72" s="59" t="s">
        <v>26</v>
      </c>
      <c r="O72" s="59" t="s">
        <v>2683</v>
      </c>
      <c r="P72" s="59" t="s">
        <v>6154</v>
      </c>
      <c r="Q72" s="59" t="str">
        <f t="shared" si="3"/>
        <v>DENTRO DEL TIEMPO</v>
      </c>
      <c r="R72" s="28"/>
    </row>
    <row r="73" spans="1:18" ht="48.75" x14ac:dyDescent="0.25">
      <c r="A73" s="86">
        <v>68</v>
      </c>
      <c r="B73" s="59" t="s">
        <v>6285</v>
      </c>
      <c r="C73" s="70">
        <v>44720</v>
      </c>
      <c r="D73" s="70">
        <v>44720</v>
      </c>
      <c r="E73" s="86">
        <v>2</v>
      </c>
      <c r="F73" s="87" t="s">
        <v>22</v>
      </c>
      <c r="G73" s="59" t="s">
        <v>30</v>
      </c>
      <c r="H73" s="55" t="s">
        <v>24</v>
      </c>
      <c r="I73" s="59" t="s">
        <v>30</v>
      </c>
      <c r="J73" s="70">
        <v>44721</v>
      </c>
      <c r="K73" s="70">
        <v>44721</v>
      </c>
      <c r="L73" s="88">
        <f t="shared" si="2"/>
        <v>1</v>
      </c>
      <c r="M73" s="59" t="s">
        <v>6286</v>
      </c>
      <c r="N73" s="59" t="s">
        <v>26</v>
      </c>
      <c r="O73" s="59" t="s">
        <v>2683</v>
      </c>
      <c r="P73" s="59" t="s">
        <v>6154</v>
      </c>
      <c r="Q73" s="59" t="str">
        <f t="shared" si="3"/>
        <v>DENTRO DEL TIEMPO</v>
      </c>
      <c r="R73" s="28"/>
    </row>
    <row r="74" spans="1:18" ht="48.75" x14ac:dyDescent="0.25">
      <c r="A74" s="86">
        <v>69</v>
      </c>
      <c r="B74" s="59" t="s">
        <v>6287</v>
      </c>
      <c r="C74" s="70">
        <v>44720</v>
      </c>
      <c r="D74" s="70">
        <v>44720</v>
      </c>
      <c r="E74" s="86">
        <v>2</v>
      </c>
      <c r="F74" s="87" t="s">
        <v>22</v>
      </c>
      <c r="G74" s="59" t="s">
        <v>30</v>
      </c>
      <c r="H74" s="55" t="s">
        <v>24</v>
      </c>
      <c r="I74" s="59" t="s">
        <v>30</v>
      </c>
      <c r="J74" s="70">
        <v>44721</v>
      </c>
      <c r="K74" s="70">
        <v>44721</v>
      </c>
      <c r="L74" s="88">
        <f t="shared" si="2"/>
        <v>1</v>
      </c>
      <c r="M74" s="59" t="s">
        <v>6288</v>
      </c>
      <c r="N74" s="59" t="s">
        <v>26</v>
      </c>
      <c r="O74" s="59" t="s">
        <v>2683</v>
      </c>
      <c r="P74" s="59" t="s">
        <v>6154</v>
      </c>
      <c r="Q74" s="59" t="str">
        <f t="shared" si="3"/>
        <v>DENTRO DEL TIEMPO</v>
      </c>
      <c r="R74" s="28"/>
    </row>
    <row r="75" spans="1:18" ht="48.75" x14ac:dyDescent="0.25">
      <c r="A75" s="86">
        <v>70</v>
      </c>
      <c r="B75" s="59" t="s">
        <v>6289</v>
      </c>
      <c r="C75" s="70">
        <v>44720</v>
      </c>
      <c r="D75" s="70">
        <v>44720</v>
      </c>
      <c r="E75" s="86">
        <v>2</v>
      </c>
      <c r="F75" s="87" t="s">
        <v>22</v>
      </c>
      <c r="G75" s="59" t="s">
        <v>30</v>
      </c>
      <c r="H75" s="55" t="s">
        <v>24</v>
      </c>
      <c r="I75" s="59" t="s">
        <v>30</v>
      </c>
      <c r="J75" s="70">
        <v>44722</v>
      </c>
      <c r="K75" s="70">
        <v>44722</v>
      </c>
      <c r="L75" s="88">
        <f t="shared" si="2"/>
        <v>2</v>
      </c>
      <c r="M75" s="59" t="s">
        <v>6290</v>
      </c>
      <c r="N75" s="59" t="s">
        <v>26</v>
      </c>
      <c r="O75" s="59" t="s">
        <v>2683</v>
      </c>
      <c r="P75" s="59" t="s">
        <v>6154</v>
      </c>
      <c r="Q75" s="59" t="str">
        <f t="shared" si="3"/>
        <v>DENTRO DEL TIEMPO</v>
      </c>
      <c r="R75" s="28"/>
    </row>
    <row r="76" spans="1:18" ht="48.75" x14ac:dyDescent="0.25">
      <c r="A76" s="86">
        <v>71</v>
      </c>
      <c r="B76" s="59" t="s">
        <v>6291</v>
      </c>
      <c r="C76" s="70">
        <v>44720</v>
      </c>
      <c r="D76" s="70">
        <v>44720</v>
      </c>
      <c r="E76" s="86">
        <v>19</v>
      </c>
      <c r="F76" s="87" t="s">
        <v>22</v>
      </c>
      <c r="G76" s="59" t="s">
        <v>23</v>
      </c>
      <c r="H76" s="55" t="s">
        <v>24</v>
      </c>
      <c r="I76" s="59" t="s">
        <v>23</v>
      </c>
      <c r="J76" s="70">
        <v>44722</v>
      </c>
      <c r="K76" s="70">
        <v>44722</v>
      </c>
      <c r="L76" s="88">
        <f t="shared" si="2"/>
        <v>2</v>
      </c>
      <c r="M76" s="59" t="s">
        <v>6292</v>
      </c>
      <c r="N76" s="59" t="s">
        <v>26</v>
      </c>
      <c r="O76" s="59" t="s">
        <v>6176</v>
      </c>
      <c r="P76" s="59" t="s">
        <v>6177</v>
      </c>
      <c r="Q76" s="59" t="str">
        <f t="shared" si="3"/>
        <v>DENTRO DEL TIEMPO</v>
      </c>
      <c r="R76" s="28"/>
    </row>
    <row r="77" spans="1:18" ht="48.75" x14ac:dyDescent="0.25">
      <c r="A77" s="86">
        <v>72</v>
      </c>
      <c r="B77" s="59" t="s">
        <v>6293</v>
      </c>
      <c r="C77" s="70">
        <v>44720</v>
      </c>
      <c r="D77" s="70">
        <v>44720</v>
      </c>
      <c r="E77" s="86">
        <v>2</v>
      </c>
      <c r="F77" s="87" t="s">
        <v>22</v>
      </c>
      <c r="G77" s="59" t="s">
        <v>30</v>
      </c>
      <c r="H77" s="55" t="s">
        <v>24</v>
      </c>
      <c r="I77" s="59" t="s">
        <v>30</v>
      </c>
      <c r="J77" s="70">
        <v>44722</v>
      </c>
      <c r="K77" s="70">
        <v>44722</v>
      </c>
      <c r="L77" s="88">
        <f t="shared" si="2"/>
        <v>2</v>
      </c>
      <c r="M77" s="59" t="s">
        <v>6294</v>
      </c>
      <c r="N77" s="59" t="s">
        <v>26</v>
      </c>
      <c r="O77" s="59" t="s">
        <v>6295</v>
      </c>
      <c r="P77" s="59" t="s">
        <v>6296</v>
      </c>
      <c r="Q77" s="59" t="str">
        <f t="shared" si="3"/>
        <v>DENTRO DEL TIEMPO</v>
      </c>
      <c r="R77" s="28"/>
    </row>
    <row r="78" spans="1:18" ht="48.75" x14ac:dyDescent="0.25">
      <c r="A78" s="86">
        <v>73</v>
      </c>
      <c r="B78" s="59" t="s">
        <v>6297</v>
      </c>
      <c r="C78" s="70">
        <v>44720</v>
      </c>
      <c r="D78" s="70">
        <v>44720</v>
      </c>
      <c r="E78" s="86">
        <v>2</v>
      </c>
      <c r="F78" s="87" t="s">
        <v>22</v>
      </c>
      <c r="G78" s="59" t="s">
        <v>30</v>
      </c>
      <c r="H78" s="55" t="s">
        <v>24</v>
      </c>
      <c r="I78" s="59" t="s">
        <v>30</v>
      </c>
      <c r="J78" s="70">
        <v>44722</v>
      </c>
      <c r="K78" s="70">
        <v>44722</v>
      </c>
      <c r="L78" s="88">
        <f t="shared" si="2"/>
        <v>2</v>
      </c>
      <c r="M78" s="59" t="s">
        <v>6298</v>
      </c>
      <c r="N78" s="59" t="s">
        <v>26</v>
      </c>
      <c r="O78" s="59" t="s">
        <v>6299</v>
      </c>
      <c r="P78" s="59" t="s">
        <v>6300</v>
      </c>
      <c r="Q78" s="59" t="str">
        <f t="shared" si="3"/>
        <v>DENTRO DEL TIEMPO</v>
      </c>
      <c r="R78" s="28"/>
    </row>
    <row r="79" spans="1:18" ht="48.75" hidden="1" x14ac:dyDescent="0.25">
      <c r="A79" s="86">
        <v>74</v>
      </c>
      <c r="B79" s="59" t="s">
        <v>6301</v>
      </c>
      <c r="C79" s="70">
        <v>44720</v>
      </c>
      <c r="D79" s="70">
        <v>44720</v>
      </c>
      <c r="E79" s="86">
        <v>0</v>
      </c>
      <c r="F79" s="87" t="s">
        <v>790</v>
      </c>
      <c r="G79" s="59" t="s">
        <v>23</v>
      </c>
      <c r="H79" s="55" t="s">
        <v>24</v>
      </c>
      <c r="I79" s="59" t="s">
        <v>23</v>
      </c>
      <c r="J79" s="70">
        <v>44733</v>
      </c>
      <c r="K79" s="70">
        <v>44733</v>
      </c>
      <c r="L79" s="88">
        <f t="shared" si="2"/>
        <v>9</v>
      </c>
      <c r="M79" s="59" t="s">
        <v>6302</v>
      </c>
      <c r="N79" s="59" t="s">
        <v>26</v>
      </c>
      <c r="O79" s="59" t="s">
        <v>6303</v>
      </c>
      <c r="P79" s="59" t="s">
        <v>6304</v>
      </c>
      <c r="Q79" s="59" t="str">
        <f t="shared" si="3"/>
        <v>DENTRO DEL TIEMPO</v>
      </c>
      <c r="R79" s="28"/>
    </row>
    <row r="80" spans="1:18" ht="48.75" x14ac:dyDescent="0.25">
      <c r="A80" s="86">
        <v>75</v>
      </c>
      <c r="B80" s="59" t="s">
        <v>6305</v>
      </c>
      <c r="C80" s="70">
        <v>44720</v>
      </c>
      <c r="D80" s="70">
        <v>44720</v>
      </c>
      <c r="E80" s="86">
        <v>2</v>
      </c>
      <c r="F80" s="87" t="s">
        <v>22</v>
      </c>
      <c r="G80" s="59" t="s">
        <v>30</v>
      </c>
      <c r="H80" s="55" t="s">
        <v>24</v>
      </c>
      <c r="I80" s="59" t="s">
        <v>30</v>
      </c>
      <c r="J80" s="70">
        <v>44722</v>
      </c>
      <c r="K80" s="70">
        <v>44722</v>
      </c>
      <c r="L80" s="88">
        <f t="shared" si="2"/>
        <v>2</v>
      </c>
      <c r="M80" s="59" t="s">
        <v>6306</v>
      </c>
      <c r="N80" s="59" t="s">
        <v>26</v>
      </c>
      <c r="O80" s="59" t="s">
        <v>6307</v>
      </c>
      <c r="P80" s="59" t="s">
        <v>6308</v>
      </c>
      <c r="Q80" s="59" t="str">
        <f t="shared" si="3"/>
        <v>DENTRO DEL TIEMPO</v>
      </c>
      <c r="R80" s="28"/>
    </row>
    <row r="81" spans="1:18" ht="48.75" x14ac:dyDescent="0.25">
      <c r="A81" s="86">
        <v>76</v>
      </c>
      <c r="B81" s="59" t="s">
        <v>6309</v>
      </c>
      <c r="C81" s="70">
        <v>44720</v>
      </c>
      <c r="D81" s="70">
        <v>44720</v>
      </c>
      <c r="E81" s="86">
        <v>2</v>
      </c>
      <c r="F81" s="87" t="s">
        <v>22</v>
      </c>
      <c r="G81" s="59" t="s">
        <v>30</v>
      </c>
      <c r="H81" s="55" t="s">
        <v>24</v>
      </c>
      <c r="I81" s="59" t="s">
        <v>30</v>
      </c>
      <c r="J81" s="70">
        <v>44722</v>
      </c>
      <c r="K81" s="70">
        <v>44722</v>
      </c>
      <c r="L81" s="88">
        <f t="shared" si="2"/>
        <v>2</v>
      </c>
      <c r="M81" s="59" t="s">
        <v>6310</v>
      </c>
      <c r="N81" s="59" t="s">
        <v>26</v>
      </c>
      <c r="O81" s="59" t="s">
        <v>6311</v>
      </c>
      <c r="P81" s="59" t="s">
        <v>6312</v>
      </c>
      <c r="Q81" s="59" t="str">
        <f t="shared" si="3"/>
        <v>DENTRO DEL TIEMPO</v>
      </c>
      <c r="R81" s="28"/>
    </row>
    <row r="82" spans="1:18" ht="48.75" x14ac:dyDescent="0.25">
      <c r="A82" s="86">
        <v>77</v>
      </c>
      <c r="B82" s="59" t="s">
        <v>6313</v>
      </c>
      <c r="C82" s="70">
        <v>44720</v>
      </c>
      <c r="D82" s="70">
        <v>44720</v>
      </c>
      <c r="E82" s="86">
        <v>2</v>
      </c>
      <c r="F82" s="87" t="s">
        <v>22</v>
      </c>
      <c r="G82" s="59" t="s">
        <v>30</v>
      </c>
      <c r="H82" s="55" t="s">
        <v>24</v>
      </c>
      <c r="I82" s="59" t="s">
        <v>30</v>
      </c>
      <c r="J82" s="70">
        <v>44722</v>
      </c>
      <c r="K82" s="70">
        <v>44722</v>
      </c>
      <c r="L82" s="88">
        <f t="shared" si="2"/>
        <v>2</v>
      </c>
      <c r="M82" s="59" t="s">
        <v>6314</v>
      </c>
      <c r="N82" s="59" t="s">
        <v>26</v>
      </c>
      <c r="O82" s="59" t="s">
        <v>3716</v>
      </c>
      <c r="P82" s="59" t="s">
        <v>6315</v>
      </c>
      <c r="Q82" s="59" t="str">
        <f t="shared" si="3"/>
        <v>DENTRO DEL TIEMPO</v>
      </c>
      <c r="R82" s="28"/>
    </row>
    <row r="83" spans="1:18" ht="48.75" x14ac:dyDescent="0.25">
      <c r="A83" s="86">
        <v>78</v>
      </c>
      <c r="B83" s="59" t="s">
        <v>6316</v>
      </c>
      <c r="C83" s="70">
        <v>44720</v>
      </c>
      <c r="D83" s="70">
        <v>44720</v>
      </c>
      <c r="E83" s="86">
        <v>2</v>
      </c>
      <c r="F83" s="87" t="s">
        <v>22</v>
      </c>
      <c r="G83" s="59" t="s">
        <v>30</v>
      </c>
      <c r="H83" s="55" t="s">
        <v>24</v>
      </c>
      <c r="I83" s="59" t="s">
        <v>30</v>
      </c>
      <c r="J83" s="70">
        <v>44722</v>
      </c>
      <c r="K83" s="70">
        <v>44722</v>
      </c>
      <c r="L83" s="88">
        <f t="shared" si="2"/>
        <v>2</v>
      </c>
      <c r="M83" s="59" t="s">
        <v>6317</v>
      </c>
      <c r="N83" s="59" t="s">
        <v>26</v>
      </c>
      <c r="O83" s="59" t="s">
        <v>3716</v>
      </c>
      <c r="P83" s="59" t="s">
        <v>6315</v>
      </c>
      <c r="Q83" s="59" t="str">
        <f t="shared" si="3"/>
        <v>DENTRO DEL TIEMPO</v>
      </c>
      <c r="R83" s="28"/>
    </row>
    <row r="84" spans="1:18" ht="48.75" x14ac:dyDescent="0.25">
      <c r="A84" s="86">
        <v>79</v>
      </c>
      <c r="B84" s="59" t="s">
        <v>6318</v>
      </c>
      <c r="C84" s="70">
        <v>44720</v>
      </c>
      <c r="D84" s="70">
        <v>44720</v>
      </c>
      <c r="E84" s="86">
        <v>2</v>
      </c>
      <c r="F84" s="87" t="s">
        <v>22</v>
      </c>
      <c r="G84" s="59" t="s">
        <v>30</v>
      </c>
      <c r="H84" s="55" t="s">
        <v>24</v>
      </c>
      <c r="I84" s="59" t="s">
        <v>30</v>
      </c>
      <c r="J84" s="70">
        <v>44722</v>
      </c>
      <c r="K84" s="70">
        <v>44722</v>
      </c>
      <c r="L84" s="88">
        <f t="shared" si="2"/>
        <v>2</v>
      </c>
      <c r="M84" s="59" t="s">
        <v>6319</v>
      </c>
      <c r="N84" s="59" t="s">
        <v>26</v>
      </c>
      <c r="O84" s="59" t="s">
        <v>3716</v>
      </c>
      <c r="P84" s="59" t="s">
        <v>6315</v>
      </c>
      <c r="Q84" s="59" t="str">
        <f t="shared" si="3"/>
        <v>DENTRO DEL TIEMPO</v>
      </c>
      <c r="R84" s="28"/>
    </row>
    <row r="85" spans="1:18" ht="48.75" x14ac:dyDescent="0.25">
      <c r="A85" s="86">
        <v>80</v>
      </c>
      <c r="B85" s="59" t="s">
        <v>6320</v>
      </c>
      <c r="C85" s="70">
        <v>44720</v>
      </c>
      <c r="D85" s="70">
        <v>44720</v>
      </c>
      <c r="E85" s="86">
        <v>2</v>
      </c>
      <c r="F85" s="87" t="s">
        <v>22</v>
      </c>
      <c r="G85" s="59" t="s">
        <v>30</v>
      </c>
      <c r="H85" s="55" t="s">
        <v>24</v>
      </c>
      <c r="I85" s="59" t="s">
        <v>30</v>
      </c>
      <c r="J85" s="70">
        <v>44722</v>
      </c>
      <c r="K85" s="70">
        <v>44722</v>
      </c>
      <c r="L85" s="88">
        <f t="shared" si="2"/>
        <v>2</v>
      </c>
      <c r="M85" s="59" t="s">
        <v>6321</v>
      </c>
      <c r="N85" s="59" t="s">
        <v>26</v>
      </c>
      <c r="O85" s="59" t="s">
        <v>3716</v>
      </c>
      <c r="P85" s="59" t="s">
        <v>6315</v>
      </c>
      <c r="Q85" s="59" t="str">
        <f t="shared" si="3"/>
        <v>DENTRO DEL TIEMPO</v>
      </c>
      <c r="R85" s="28"/>
    </row>
    <row r="86" spans="1:18" ht="48.75" x14ac:dyDescent="0.25">
      <c r="A86" s="86">
        <v>81</v>
      </c>
      <c r="B86" s="59" t="s">
        <v>6322</v>
      </c>
      <c r="C86" s="70">
        <v>44720</v>
      </c>
      <c r="D86" s="70">
        <v>44720</v>
      </c>
      <c r="E86" s="86">
        <v>2</v>
      </c>
      <c r="F86" s="87" t="s">
        <v>22</v>
      </c>
      <c r="G86" s="59" t="s">
        <v>30</v>
      </c>
      <c r="H86" s="55" t="s">
        <v>24</v>
      </c>
      <c r="I86" s="59" t="s">
        <v>30</v>
      </c>
      <c r="J86" s="70">
        <v>44722</v>
      </c>
      <c r="K86" s="70">
        <v>44722</v>
      </c>
      <c r="L86" s="88">
        <f t="shared" si="2"/>
        <v>2</v>
      </c>
      <c r="M86" s="59" t="s">
        <v>6323</v>
      </c>
      <c r="N86" s="59" t="s">
        <v>26</v>
      </c>
      <c r="O86" s="59" t="s">
        <v>3716</v>
      </c>
      <c r="P86" s="59" t="s">
        <v>6315</v>
      </c>
      <c r="Q86" s="59" t="str">
        <f t="shared" si="3"/>
        <v>DENTRO DEL TIEMPO</v>
      </c>
      <c r="R86" s="28"/>
    </row>
    <row r="87" spans="1:18" ht="48.75" x14ac:dyDescent="0.25">
      <c r="A87" s="86">
        <v>82</v>
      </c>
      <c r="B87" s="59" t="s">
        <v>6324</v>
      </c>
      <c r="C87" s="70">
        <v>44720</v>
      </c>
      <c r="D87" s="70">
        <v>44720</v>
      </c>
      <c r="E87" s="86">
        <v>2</v>
      </c>
      <c r="F87" s="87" t="s">
        <v>22</v>
      </c>
      <c r="G87" s="59" t="s">
        <v>30</v>
      </c>
      <c r="H87" s="55" t="s">
        <v>24</v>
      </c>
      <c r="I87" s="59" t="s">
        <v>30</v>
      </c>
      <c r="J87" s="70">
        <v>44722</v>
      </c>
      <c r="K87" s="70">
        <v>44722</v>
      </c>
      <c r="L87" s="88">
        <f t="shared" si="2"/>
        <v>2</v>
      </c>
      <c r="M87" s="59" t="s">
        <v>6325</v>
      </c>
      <c r="N87" s="59" t="s">
        <v>26</v>
      </c>
      <c r="O87" s="59" t="s">
        <v>3134</v>
      </c>
      <c r="P87" s="59" t="s">
        <v>6326</v>
      </c>
      <c r="Q87" s="59" t="str">
        <f t="shared" si="3"/>
        <v>DENTRO DEL TIEMPO</v>
      </c>
      <c r="R87" s="28"/>
    </row>
    <row r="88" spans="1:18" ht="48.75" x14ac:dyDescent="0.25">
      <c r="A88" s="86">
        <v>83</v>
      </c>
      <c r="B88" s="59" t="s">
        <v>6327</v>
      </c>
      <c r="C88" s="70">
        <v>44720</v>
      </c>
      <c r="D88" s="70">
        <v>44720</v>
      </c>
      <c r="E88" s="86">
        <v>2</v>
      </c>
      <c r="F88" s="87" t="s">
        <v>22</v>
      </c>
      <c r="G88" s="59" t="s">
        <v>30</v>
      </c>
      <c r="H88" s="55" t="s">
        <v>24</v>
      </c>
      <c r="I88" s="59" t="s">
        <v>30</v>
      </c>
      <c r="J88" s="70">
        <v>44722</v>
      </c>
      <c r="K88" s="70">
        <v>44722</v>
      </c>
      <c r="L88" s="88">
        <f t="shared" si="2"/>
        <v>2</v>
      </c>
      <c r="M88" s="59" t="s">
        <v>6328</v>
      </c>
      <c r="N88" s="59" t="s">
        <v>26</v>
      </c>
      <c r="O88" s="59" t="s">
        <v>6329</v>
      </c>
      <c r="P88" s="59" t="s">
        <v>6124</v>
      </c>
      <c r="Q88" s="59" t="str">
        <f t="shared" si="3"/>
        <v>DENTRO DEL TIEMPO</v>
      </c>
      <c r="R88" s="28"/>
    </row>
    <row r="89" spans="1:18" ht="48.75" x14ac:dyDescent="0.25">
      <c r="A89" s="86">
        <v>84</v>
      </c>
      <c r="B89" s="59" t="s">
        <v>6330</v>
      </c>
      <c r="C89" s="70">
        <v>44721</v>
      </c>
      <c r="D89" s="70">
        <v>44721</v>
      </c>
      <c r="E89" s="86">
        <v>2</v>
      </c>
      <c r="F89" s="87" t="s">
        <v>22</v>
      </c>
      <c r="G89" s="59" t="s">
        <v>30</v>
      </c>
      <c r="H89" s="55" t="s">
        <v>24</v>
      </c>
      <c r="I89" s="59" t="s">
        <v>30</v>
      </c>
      <c r="J89" s="70">
        <v>44725</v>
      </c>
      <c r="K89" s="70">
        <v>44725</v>
      </c>
      <c r="L89" s="88">
        <f t="shared" si="2"/>
        <v>2</v>
      </c>
      <c r="M89" s="59" t="s">
        <v>6331</v>
      </c>
      <c r="N89" s="59" t="s">
        <v>26</v>
      </c>
      <c r="O89" s="59" t="s">
        <v>6332</v>
      </c>
      <c r="P89" s="59" t="s">
        <v>6333</v>
      </c>
      <c r="Q89" s="59" t="str">
        <f t="shared" si="3"/>
        <v>DENTRO DEL TIEMPO</v>
      </c>
      <c r="R89" s="28"/>
    </row>
    <row r="90" spans="1:18" ht="48.75" x14ac:dyDescent="0.25">
      <c r="A90" s="86">
        <v>85</v>
      </c>
      <c r="B90" s="59" t="s">
        <v>6334</v>
      </c>
      <c r="C90" s="70">
        <v>44721</v>
      </c>
      <c r="D90" s="70">
        <v>44721</v>
      </c>
      <c r="E90" s="86">
        <v>2</v>
      </c>
      <c r="F90" s="87" t="s">
        <v>22</v>
      </c>
      <c r="G90" s="59" t="s">
        <v>23</v>
      </c>
      <c r="H90" s="55" t="s">
        <v>24</v>
      </c>
      <c r="I90" s="59" t="s">
        <v>23</v>
      </c>
      <c r="J90" s="70">
        <v>44722</v>
      </c>
      <c r="K90" s="70">
        <v>44722</v>
      </c>
      <c r="L90" s="88">
        <f t="shared" si="2"/>
        <v>1</v>
      </c>
      <c r="M90" s="59" t="s">
        <v>6335</v>
      </c>
      <c r="N90" s="59" t="s">
        <v>26</v>
      </c>
      <c r="O90" s="59" t="s">
        <v>6336</v>
      </c>
      <c r="P90" s="59" t="s">
        <v>6337</v>
      </c>
      <c r="Q90" s="59" t="str">
        <f t="shared" si="3"/>
        <v>DENTRO DEL TIEMPO</v>
      </c>
      <c r="R90" s="28"/>
    </row>
    <row r="91" spans="1:18" ht="48.75" x14ac:dyDescent="0.25">
      <c r="A91" s="86">
        <v>86</v>
      </c>
      <c r="B91" s="59" t="s">
        <v>6338</v>
      </c>
      <c r="C91" s="70">
        <v>44721</v>
      </c>
      <c r="D91" s="70">
        <v>44721</v>
      </c>
      <c r="E91" s="86">
        <v>2</v>
      </c>
      <c r="F91" s="87" t="s">
        <v>22</v>
      </c>
      <c r="G91" s="59" t="s">
        <v>30</v>
      </c>
      <c r="H91" s="55" t="s">
        <v>24</v>
      </c>
      <c r="I91" s="59" t="s">
        <v>30</v>
      </c>
      <c r="J91" s="70">
        <v>44725</v>
      </c>
      <c r="K91" s="70">
        <v>44725</v>
      </c>
      <c r="L91" s="88">
        <f t="shared" si="2"/>
        <v>2</v>
      </c>
      <c r="M91" s="59" t="s">
        <v>6339</v>
      </c>
      <c r="N91" s="59" t="s">
        <v>26</v>
      </c>
      <c r="O91" s="59" t="s">
        <v>6340</v>
      </c>
      <c r="P91" s="59" t="s">
        <v>6341</v>
      </c>
      <c r="Q91" s="59" t="str">
        <f t="shared" si="3"/>
        <v>DENTRO DEL TIEMPO</v>
      </c>
      <c r="R91" s="28"/>
    </row>
    <row r="92" spans="1:18" ht="48.75" x14ac:dyDescent="0.25">
      <c r="A92" s="86">
        <v>87</v>
      </c>
      <c r="B92" s="59" t="s">
        <v>6342</v>
      </c>
      <c r="C92" s="70">
        <v>44721</v>
      </c>
      <c r="D92" s="70">
        <v>44721</v>
      </c>
      <c r="E92" s="86">
        <v>2</v>
      </c>
      <c r="F92" s="87" t="s">
        <v>22</v>
      </c>
      <c r="G92" s="59" t="s">
        <v>30</v>
      </c>
      <c r="H92" s="55" t="s">
        <v>24</v>
      </c>
      <c r="I92" s="59" t="s">
        <v>30</v>
      </c>
      <c r="J92" s="70">
        <v>44725</v>
      </c>
      <c r="K92" s="70">
        <v>44725</v>
      </c>
      <c r="L92" s="88">
        <f t="shared" si="2"/>
        <v>2</v>
      </c>
      <c r="M92" s="59" t="s">
        <v>6343</v>
      </c>
      <c r="N92" s="59" t="s">
        <v>26</v>
      </c>
      <c r="O92" s="59" t="s">
        <v>2275</v>
      </c>
      <c r="P92" s="59" t="s">
        <v>6344</v>
      </c>
      <c r="Q92" s="59" t="str">
        <f t="shared" si="3"/>
        <v>DENTRO DEL TIEMPO</v>
      </c>
      <c r="R92" s="28"/>
    </row>
    <row r="93" spans="1:18" ht="39" hidden="1" x14ac:dyDescent="0.25">
      <c r="A93" s="86">
        <v>88</v>
      </c>
      <c r="B93" s="59" t="s">
        <v>6345</v>
      </c>
      <c r="C93" s="70">
        <v>44721</v>
      </c>
      <c r="D93" s="70">
        <v>44721</v>
      </c>
      <c r="E93" s="86">
        <v>0</v>
      </c>
      <c r="F93" s="87" t="s">
        <v>790</v>
      </c>
      <c r="G93" s="59" t="s">
        <v>5228</v>
      </c>
      <c r="H93" s="55" t="s">
        <v>3278</v>
      </c>
      <c r="I93" s="59" t="s">
        <v>5228</v>
      </c>
      <c r="J93" s="70">
        <v>44743</v>
      </c>
      <c r="K93" s="70">
        <v>44743</v>
      </c>
      <c r="L93" s="88">
        <f t="shared" si="2"/>
        <v>16</v>
      </c>
      <c r="M93" s="59" t="s">
        <v>6346</v>
      </c>
      <c r="N93" s="59" t="s">
        <v>26</v>
      </c>
      <c r="O93" s="59" t="s">
        <v>6347</v>
      </c>
      <c r="P93" s="59" t="s">
        <v>6348</v>
      </c>
      <c r="Q93" s="59" t="str">
        <f t="shared" si="3"/>
        <v>FUERA DE TIEMPO</v>
      </c>
      <c r="R93" s="28"/>
    </row>
    <row r="94" spans="1:18" ht="48.75" x14ac:dyDescent="0.25">
      <c r="A94" s="86">
        <v>89</v>
      </c>
      <c r="B94" s="59" t="s">
        <v>6349</v>
      </c>
      <c r="C94" s="70">
        <v>44721</v>
      </c>
      <c r="D94" s="70">
        <v>44721</v>
      </c>
      <c r="E94" s="86">
        <v>2</v>
      </c>
      <c r="F94" s="87" t="s">
        <v>22</v>
      </c>
      <c r="G94" s="59" t="s">
        <v>30</v>
      </c>
      <c r="H94" s="55" t="s">
        <v>24</v>
      </c>
      <c r="I94" s="59" t="s">
        <v>30</v>
      </c>
      <c r="J94" s="70">
        <v>44725</v>
      </c>
      <c r="K94" s="70">
        <v>44725</v>
      </c>
      <c r="L94" s="88">
        <f t="shared" si="2"/>
        <v>2</v>
      </c>
      <c r="M94" s="59" t="s">
        <v>6350</v>
      </c>
      <c r="N94" s="59" t="s">
        <v>26</v>
      </c>
      <c r="O94" s="59" t="s">
        <v>2396</v>
      </c>
      <c r="P94" s="59" t="s">
        <v>6216</v>
      </c>
      <c r="Q94" s="59" t="str">
        <f t="shared" si="3"/>
        <v>DENTRO DEL TIEMPO</v>
      </c>
      <c r="R94" s="28"/>
    </row>
    <row r="95" spans="1:18" ht="48.75" x14ac:dyDescent="0.25">
      <c r="A95" s="86">
        <v>90</v>
      </c>
      <c r="B95" s="59" t="s">
        <v>6351</v>
      </c>
      <c r="C95" s="70">
        <v>44721</v>
      </c>
      <c r="D95" s="70">
        <v>44721</v>
      </c>
      <c r="E95" s="86">
        <v>47</v>
      </c>
      <c r="F95" s="87" t="s">
        <v>22</v>
      </c>
      <c r="G95" s="59" t="s">
        <v>23</v>
      </c>
      <c r="H95" s="55" t="s">
        <v>24</v>
      </c>
      <c r="I95" s="59" t="s">
        <v>23</v>
      </c>
      <c r="J95" s="70">
        <v>44722</v>
      </c>
      <c r="K95" s="70">
        <v>44722</v>
      </c>
      <c r="L95" s="88">
        <f t="shared" si="2"/>
        <v>1</v>
      </c>
      <c r="M95" s="59" t="s">
        <v>6352</v>
      </c>
      <c r="N95" s="59" t="s">
        <v>26</v>
      </c>
      <c r="O95" s="59" t="s">
        <v>6107</v>
      </c>
      <c r="P95" s="59" t="s">
        <v>6353</v>
      </c>
      <c r="Q95" s="59" t="str">
        <f t="shared" si="3"/>
        <v>DENTRO DEL TIEMPO</v>
      </c>
      <c r="R95" s="28"/>
    </row>
    <row r="96" spans="1:18" ht="48.75" x14ac:dyDescent="0.25">
      <c r="A96" s="86">
        <v>91</v>
      </c>
      <c r="B96" s="59" t="s">
        <v>6354</v>
      </c>
      <c r="C96" s="70">
        <v>44721</v>
      </c>
      <c r="D96" s="70">
        <v>44721</v>
      </c>
      <c r="E96" s="86">
        <v>50</v>
      </c>
      <c r="F96" s="87" t="s">
        <v>22</v>
      </c>
      <c r="G96" s="59" t="s">
        <v>23</v>
      </c>
      <c r="H96" s="55" t="s">
        <v>24</v>
      </c>
      <c r="I96" s="59" t="s">
        <v>23</v>
      </c>
      <c r="J96" s="70">
        <v>44722</v>
      </c>
      <c r="K96" s="70">
        <v>44722</v>
      </c>
      <c r="L96" s="88">
        <f t="shared" si="2"/>
        <v>1</v>
      </c>
      <c r="M96" s="59" t="s">
        <v>6355</v>
      </c>
      <c r="N96" s="59" t="s">
        <v>26</v>
      </c>
      <c r="O96" s="59" t="s">
        <v>6356</v>
      </c>
      <c r="P96" s="59" t="s">
        <v>6357</v>
      </c>
      <c r="Q96" s="59" t="str">
        <f t="shared" si="3"/>
        <v>DENTRO DEL TIEMPO</v>
      </c>
      <c r="R96" s="28"/>
    </row>
    <row r="97" spans="1:18" ht="48.75" x14ac:dyDescent="0.25">
      <c r="A97" s="86">
        <v>92</v>
      </c>
      <c r="B97" s="59" t="s">
        <v>6358</v>
      </c>
      <c r="C97" s="70">
        <v>44721</v>
      </c>
      <c r="D97" s="70">
        <v>44721</v>
      </c>
      <c r="E97" s="86">
        <v>2</v>
      </c>
      <c r="F97" s="87" t="s">
        <v>22</v>
      </c>
      <c r="G97" s="59" t="s">
        <v>30</v>
      </c>
      <c r="H97" s="55" t="s">
        <v>24</v>
      </c>
      <c r="I97" s="59" t="s">
        <v>30</v>
      </c>
      <c r="J97" s="70">
        <v>44725</v>
      </c>
      <c r="K97" s="70">
        <v>44725</v>
      </c>
      <c r="L97" s="88">
        <f t="shared" si="2"/>
        <v>2</v>
      </c>
      <c r="M97" s="59" t="s">
        <v>6359</v>
      </c>
      <c r="N97" s="59" t="s">
        <v>26</v>
      </c>
      <c r="O97" s="59" t="s">
        <v>6360</v>
      </c>
      <c r="P97" s="59" t="s">
        <v>6361</v>
      </c>
      <c r="Q97" s="59" t="str">
        <f t="shared" si="3"/>
        <v>DENTRO DEL TIEMPO</v>
      </c>
      <c r="R97" s="28"/>
    </row>
    <row r="98" spans="1:18" ht="48.75" x14ac:dyDescent="0.25">
      <c r="A98" s="86">
        <v>93</v>
      </c>
      <c r="B98" s="59" t="s">
        <v>6362</v>
      </c>
      <c r="C98" s="70">
        <v>44721</v>
      </c>
      <c r="D98" s="70">
        <v>44721</v>
      </c>
      <c r="E98" s="86">
        <v>2</v>
      </c>
      <c r="F98" s="87" t="s">
        <v>22</v>
      </c>
      <c r="G98" s="59" t="s">
        <v>30</v>
      </c>
      <c r="H98" s="55" t="s">
        <v>24</v>
      </c>
      <c r="I98" s="59" t="s">
        <v>30</v>
      </c>
      <c r="J98" s="70">
        <v>44725</v>
      </c>
      <c r="K98" s="70">
        <v>44725</v>
      </c>
      <c r="L98" s="88">
        <f t="shared" si="2"/>
        <v>2</v>
      </c>
      <c r="M98" s="59" t="s">
        <v>6363</v>
      </c>
      <c r="N98" s="59" t="s">
        <v>26</v>
      </c>
      <c r="O98" s="59" t="s">
        <v>6364</v>
      </c>
      <c r="P98" s="59" t="s">
        <v>6365</v>
      </c>
      <c r="Q98" s="59" t="str">
        <f t="shared" si="3"/>
        <v>DENTRO DEL TIEMPO</v>
      </c>
      <c r="R98" s="28"/>
    </row>
    <row r="99" spans="1:18" ht="48.75" x14ac:dyDescent="0.25">
      <c r="A99" s="86">
        <v>94</v>
      </c>
      <c r="B99" s="59" t="s">
        <v>6366</v>
      </c>
      <c r="C99" s="70">
        <v>44722</v>
      </c>
      <c r="D99" s="70">
        <v>44722</v>
      </c>
      <c r="E99" s="86">
        <v>2</v>
      </c>
      <c r="F99" s="87" t="s">
        <v>22</v>
      </c>
      <c r="G99" s="59" t="s">
        <v>30</v>
      </c>
      <c r="H99" s="55" t="s">
        <v>24</v>
      </c>
      <c r="I99" s="59" t="s">
        <v>30</v>
      </c>
      <c r="J99" s="70">
        <v>44725</v>
      </c>
      <c r="K99" s="70">
        <v>44725</v>
      </c>
      <c r="L99" s="88">
        <f t="shared" si="2"/>
        <v>1</v>
      </c>
      <c r="M99" s="59" t="s">
        <v>6367</v>
      </c>
      <c r="N99" s="59" t="s">
        <v>26</v>
      </c>
      <c r="O99" s="59" t="s">
        <v>2589</v>
      </c>
      <c r="P99" s="59" t="s">
        <v>6368</v>
      </c>
      <c r="Q99" s="59" t="str">
        <f t="shared" si="3"/>
        <v>DENTRO DEL TIEMPO</v>
      </c>
      <c r="R99" s="28"/>
    </row>
    <row r="100" spans="1:18" ht="48.75" x14ac:dyDescent="0.25">
      <c r="A100" s="86">
        <v>95</v>
      </c>
      <c r="B100" s="59" t="s">
        <v>6369</v>
      </c>
      <c r="C100" s="70">
        <v>44722</v>
      </c>
      <c r="D100" s="70">
        <v>44722</v>
      </c>
      <c r="E100" s="86">
        <v>2</v>
      </c>
      <c r="F100" s="87" t="s">
        <v>22</v>
      </c>
      <c r="G100" s="59" t="s">
        <v>30</v>
      </c>
      <c r="H100" s="55" t="s">
        <v>24</v>
      </c>
      <c r="I100" s="59" t="s">
        <v>30</v>
      </c>
      <c r="J100" s="70">
        <v>44725</v>
      </c>
      <c r="K100" s="70">
        <v>44725</v>
      </c>
      <c r="L100" s="88">
        <f t="shared" si="2"/>
        <v>1</v>
      </c>
      <c r="M100" s="59" t="s">
        <v>6370</v>
      </c>
      <c r="N100" s="59" t="s">
        <v>26</v>
      </c>
      <c r="O100" s="59" t="s">
        <v>2333</v>
      </c>
      <c r="P100" s="59" t="s">
        <v>6184</v>
      </c>
      <c r="Q100" s="59" t="str">
        <f t="shared" si="3"/>
        <v>DENTRO DEL TIEMPO</v>
      </c>
      <c r="R100" s="28"/>
    </row>
    <row r="101" spans="1:18" ht="48.75" x14ac:dyDescent="0.25">
      <c r="A101" s="86">
        <v>96</v>
      </c>
      <c r="B101" s="59" t="s">
        <v>6371</v>
      </c>
      <c r="C101" s="70">
        <v>44722</v>
      </c>
      <c r="D101" s="70">
        <v>44722</v>
      </c>
      <c r="E101" s="86">
        <v>2</v>
      </c>
      <c r="F101" s="87" t="s">
        <v>22</v>
      </c>
      <c r="G101" s="59" t="s">
        <v>30</v>
      </c>
      <c r="H101" s="55" t="s">
        <v>24</v>
      </c>
      <c r="I101" s="59" t="s">
        <v>30</v>
      </c>
      <c r="J101" s="70">
        <v>44725</v>
      </c>
      <c r="K101" s="70">
        <v>44725</v>
      </c>
      <c r="L101" s="88">
        <f t="shared" si="2"/>
        <v>1</v>
      </c>
      <c r="M101" s="59" t="s">
        <v>6372</v>
      </c>
      <c r="N101" s="59" t="s">
        <v>26</v>
      </c>
      <c r="O101" s="59" t="s">
        <v>6373</v>
      </c>
      <c r="P101" s="59" t="s">
        <v>6374</v>
      </c>
      <c r="Q101" s="59" t="str">
        <f t="shared" si="3"/>
        <v>DENTRO DEL TIEMPO</v>
      </c>
      <c r="R101" s="28"/>
    </row>
    <row r="102" spans="1:18" ht="48.75" x14ac:dyDescent="0.25">
      <c r="A102" s="86">
        <v>97</v>
      </c>
      <c r="B102" s="59" t="s">
        <v>6375</v>
      </c>
      <c r="C102" s="70">
        <v>44722</v>
      </c>
      <c r="D102" s="70">
        <v>44722</v>
      </c>
      <c r="E102" s="86">
        <v>2</v>
      </c>
      <c r="F102" s="87" t="s">
        <v>22</v>
      </c>
      <c r="G102" s="59" t="s">
        <v>30</v>
      </c>
      <c r="H102" s="55" t="s">
        <v>24</v>
      </c>
      <c r="I102" s="59" t="s">
        <v>30</v>
      </c>
      <c r="J102" s="70">
        <v>44725</v>
      </c>
      <c r="K102" s="70">
        <v>44725</v>
      </c>
      <c r="L102" s="88">
        <f t="shared" si="2"/>
        <v>1</v>
      </c>
      <c r="M102" s="59" t="s">
        <v>6376</v>
      </c>
      <c r="N102" s="59" t="s">
        <v>26</v>
      </c>
      <c r="O102" s="59" t="s">
        <v>6377</v>
      </c>
      <c r="P102" s="59" t="s">
        <v>6378</v>
      </c>
      <c r="Q102" s="59" t="str">
        <f t="shared" si="3"/>
        <v>DENTRO DEL TIEMPO</v>
      </c>
      <c r="R102" s="28"/>
    </row>
    <row r="103" spans="1:18" ht="48.75" hidden="1" x14ac:dyDescent="0.25">
      <c r="A103" s="86">
        <v>98</v>
      </c>
      <c r="B103" s="59" t="s">
        <v>6379</v>
      </c>
      <c r="C103" s="70">
        <v>44722</v>
      </c>
      <c r="D103" s="70">
        <v>44722</v>
      </c>
      <c r="E103" s="86">
        <v>0</v>
      </c>
      <c r="F103" s="87" t="s">
        <v>790</v>
      </c>
      <c r="G103" s="59" t="s">
        <v>6380</v>
      </c>
      <c r="H103" s="55" t="s">
        <v>3278</v>
      </c>
      <c r="I103" s="59" t="s">
        <v>6380</v>
      </c>
      <c r="J103" s="70">
        <v>44727</v>
      </c>
      <c r="K103" s="70">
        <v>44727</v>
      </c>
      <c r="L103" s="88">
        <f t="shared" si="2"/>
        <v>3</v>
      </c>
      <c r="M103" s="59" t="s">
        <v>6381</v>
      </c>
      <c r="N103" s="59" t="s">
        <v>26</v>
      </c>
      <c r="O103" s="59" t="s">
        <v>6382</v>
      </c>
      <c r="P103" s="59" t="s">
        <v>6383</v>
      </c>
      <c r="Q103" s="59" t="str">
        <f t="shared" si="3"/>
        <v>DENTRO DEL TIEMPO</v>
      </c>
      <c r="R103" s="28"/>
    </row>
    <row r="104" spans="1:18" ht="48.75" x14ac:dyDescent="0.25">
      <c r="A104" s="86">
        <v>99</v>
      </c>
      <c r="B104" s="59" t="s">
        <v>6384</v>
      </c>
      <c r="C104" s="70">
        <v>44722</v>
      </c>
      <c r="D104" s="70">
        <v>44722</v>
      </c>
      <c r="E104" s="86">
        <v>2</v>
      </c>
      <c r="F104" s="87" t="s">
        <v>22</v>
      </c>
      <c r="G104" s="59" t="s">
        <v>30</v>
      </c>
      <c r="H104" s="55" t="s">
        <v>24</v>
      </c>
      <c r="I104" s="59" t="s">
        <v>30</v>
      </c>
      <c r="J104" s="70">
        <v>44726</v>
      </c>
      <c r="K104" s="70">
        <v>44726</v>
      </c>
      <c r="L104" s="88">
        <f t="shared" si="2"/>
        <v>2</v>
      </c>
      <c r="M104" s="59" t="s">
        <v>6385</v>
      </c>
      <c r="N104" s="59" t="s">
        <v>26</v>
      </c>
      <c r="O104" s="59" t="s">
        <v>6386</v>
      </c>
      <c r="P104" s="59" t="s">
        <v>6387</v>
      </c>
      <c r="Q104" s="59" t="str">
        <f t="shared" si="3"/>
        <v>DENTRO DEL TIEMPO</v>
      </c>
      <c r="R104" s="28"/>
    </row>
    <row r="105" spans="1:18" ht="48.75" x14ac:dyDescent="0.25">
      <c r="A105" s="86">
        <v>100</v>
      </c>
      <c r="B105" s="59" t="s">
        <v>6388</v>
      </c>
      <c r="C105" s="70">
        <v>44722</v>
      </c>
      <c r="D105" s="70">
        <v>44722</v>
      </c>
      <c r="E105" s="86">
        <v>2</v>
      </c>
      <c r="F105" s="87" t="s">
        <v>22</v>
      </c>
      <c r="G105" s="59" t="s">
        <v>30</v>
      </c>
      <c r="H105" s="55" t="s">
        <v>24</v>
      </c>
      <c r="I105" s="59" t="s">
        <v>30</v>
      </c>
      <c r="J105" s="70">
        <v>44726</v>
      </c>
      <c r="K105" s="70">
        <v>44726</v>
      </c>
      <c r="L105" s="88">
        <f t="shared" si="2"/>
        <v>2</v>
      </c>
      <c r="M105" s="59" t="s">
        <v>6389</v>
      </c>
      <c r="N105" s="59" t="s">
        <v>26</v>
      </c>
      <c r="O105" s="59" t="s">
        <v>2530</v>
      </c>
      <c r="P105" s="59" t="s">
        <v>6390</v>
      </c>
      <c r="Q105" s="59" t="str">
        <f t="shared" si="3"/>
        <v>DENTRO DEL TIEMPO</v>
      </c>
      <c r="R105" s="28"/>
    </row>
    <row r="106" spans="1:18" ht="48.75" x14ac:dyDescent="0.25">
      <c r="A106" s="86">
        <v>101</v>
      </c>
      <c r="B106" s="59" t="s">
        <v>6391</v>
      </c>
      <c r="C106" s="70">
        <v>44722</v>
      </c>
      <c r="D106" s="70">
        <v>44722</v>
      </c>
      <c r="E106" s="86">
        <v>2</v>
      </c>
      <c r="F106" s="87" t="s">
        <v>22</v>
      </c>
      <c r="G106" s="59" t="s">
        <v>30</v>
      </c>
      <c r="H106" s="55" t="s">
        <v>24</v>
      </c>
      <c r="I106" s="59" t="s">
        <v>30</v>
      </c>
      <c r="J106" s="70">
        <v>44726</v>
      </c>
      <c r="K106" s="70">
        <v>44726</v>
      </c>
      <c r="L106" s="88">
        <f t="shared" si="2"/>
        <v>2</v>
      </c>
      <c r="M106" s="59" t="s">
        <v>6392</v>
      </c>
      <c r="N106" s="59" t="s">
        <v>26</v>
      </c>
      <c r="O106" s="59" t="s">
        <v>6393</v>
      </c>
      <c r="P106" s="59" t="s">
        <v>6394</v>
      </c>
      <c r="Q106" s="59" t="str">
        <f t="shared" si="3"/>
        <v>DENTRO DEL TIEMPO</v>
      </c>
      <c r="R106" s="28"/>
    </row>
    <row r="107" spans="1:18" ht="48.75" x14ac:dyDescent="0.25">
      <c r="A107" s="86">
        <v>102</v>
      </c>
      <c r="B107" s="59" t="s">
        <v>6395</v>
      </c>
      <c r="C107" s="70">
        <v>44722</v>
      </c>
      <c r="D107" s="70">
        <v>44722</v>
      </c>
      <c r="E107" s="86">
        <v>2</v>
      </c>
      <c r="F107" s="87" t="s">
        <v>22</v>
      </c>
      <c r="G107" s="59" t="s">
        <v>30</v>
      </c>
      <c r="H107" s="55" t="s">
        <v>24</v>
      </c>
      <c r="I107" s="59" t="s">
        <v>30</v>
      </c>
      <c r="J107" s="70">
        <v>44726</v>
      </c>
      <c r="K107" s="70">
        <v>44726</v>
      </c>
      <c r="L107" s="88">
        <f t="shared" si="2"/>
        <v>2</v>
      </c>
      <c r="M107" s="59" t="s">
        <v>6396</v>
      </c>
      <c r="N107" s="59" t="s">
        <v>26</v>
      </c>
      <c r="O107" s="59" t="s">
        <v>6397</v>
      </c>
      <c r="P107" s="59" t="s">
        <v>6398</v>
      </c>
      <c r="Q107" s="59" t="str">
        <f t="shared" si="3"/>
        <v>DENTRO DEL TIEMPO</v>
      </c>
      <c r="R107" s="28"/>
    </row>
    <row r="108" spans="1:18" ht="48.75" x14ac:dyDescent="0.25">
      <c r="A108" s="86">
        <v>103</v>
      </c>
      <c r="B108" s="59" t="s">
        <v>6399</v>
      </c>
      <c r="C108" s="70">
        <v>44722</v>
      </c>
      <c r="D108" s="70">
        <v>44722</v>
      </c>
      <c r="E108" s="86">
        <v>2</v>
      </c>
      <c r="F108" s="87" t="s">
        <v>22</v>
      </c>
      <c r="G108" s="59" t="s">
        <v>30</v>
      </c>
      <c r="H108" s="55" t="s">
        <v>24</v>
      </c>
      <c r="I108" s="59" t="s">
        <v>30</v>
      </c>
      <c r="J108" s="70">
        <v>44726</v>
      </c>
      <c r="K108" s="70">
        <v>44726</v>
      </c>
      <c r="L108" s="88">
        <f t="shared" si="2"/>
        <v>2</v>
      </c>
      <c r="M108" s="59" t="s">
        <v>6400</v>
      </c>
      <c r="N108" s="59" t="s">
        <v>26</v>
      </c>
      <c r="O108" s="59" t="s">
        <v>2614</v>
      </c>
      <c r="P108" s="59" t="s">
        <v>6401</v>
      </c>
      <c r="Q108" s="59" t="str">
        <f t="shared" si="3"/>
        <v>DENTRO DEL TIEMPO</v>
      </c>
      <c r="R108" s="28"/>
    </row>
    <row r="109" spans="1:18" ht="48.75" x14ac:dyDescent="0.25">
      <c r="A109" s="86">
        <v>104</v>
      </c>
      <c r="B109" s="59" t="s">
        <v>6402</v>
      </c>
      <c r="C109" s="70">
        <v>44722</v>
      </c>
      <c r="D109" s="70">
        <v>44722</v>
      </c>
      <c r="E109" s="86">
        <v>2</v>
      </c>
      <c r="F109" s="87" t="s">
        <v>22</v>
      </c>
      <c r="G109" s="59" t="s">
        <v>30</v>
      </c>
      <c r="H109" s="55" t="s">
        <v>24</v>
      </c>
      <c r="I109" s="59" t="s">
        <v>30</v>
      </c>
      <c r="J109" s="70">
        <v>44726</v>
      </c>
      <c r="K109" s="70">
        <v>44726</v>
      </c>
      <c r="L109" s="88">
        <f t="shared" si="2"/>
        <v>2</v>
      </c>
      <c r="M109" s="59" t="s">
        <v>6403</v>
      </c>
      <c r="N109" s="59" t="s">
        <v>26</v>
      </c>
      <c r="O109" s="59" t="s">
        <v>6404</v>
      </c>
      <c r="P109" s="59" t="s">
        <v>6405</v>
      </c>
      <c r="Q109" s="59" t="str">
        <f t="shared" si="3"/>
        <v>DENTRO DEL TIEMPO</v>
      </c>
      <c r="R109" s="28"/>
    </row>
    <row r="110" spans="1:18" ht="48.75" x14ac:dyDescent="0.25">
      <c r="A110" s="86">
        <v>105</v>
      </c>
      <c r="B110" s="59" t="s">
        <v>6406</v>
      </c>
      <c r="C110" s="70">
        <v>44722</v>
      </c>
      <c r="D110" s="70">
        <v>44722</v>
      </c>
      <c r="E110" s="86">
        <v>2</v>
      </c>
      <c r="F110" s="87" t="s">
        <v>22</v>
      </c>
      <c r="G110" s="59" t="s">
        <v>30</v>
      </c>
      <c r="H110" s="55" t="s">
        <v>24</v>
      </c>
      <c r="I110" s="59" t="s">
        <v>30</v>
      </c>
      <c r="J110" s="70">
        <v>44727</v>
      </c>
      <c r="K110" s="70">
        <v>44727</v>
      </c>
      <c r="L110" s="88">
        <f t="shared" si="2"/>
        <v>3</v>
      </c>
      <c r="M110" s="59" t="s">
        <v>6407</v>
      </c>
      <c r="N110" s="59" t="s">
        <v>26</v>
      </c>
      <c r="O110" s="59" t="s">
        <v>2826</v>
      </c>
      <c r="P110" s="59" t="s">
        <v>6408</v>
      </c>
      <c r="Q110" s="59" t="str">
        <f t="shared" si="3"/>
        <v>DENTRO DEL TIEMPO</v>
      </c>
      <c r="R110" s="28"/>
    </row>
    <row r="111" spans="1:18" ht="48.75" x14ac:dyDescent="0.25">
      <c r="A111" s="86">
        <v>106</v>
      </c>
      <c r="B111" s="59" t="s">
        <v>6409</v>
      </c>
      <c r="C111" s="70">
        <v>44722</v>
      </c>
      <c r="D111" s="70">
        <v>44722</v>
      </c>
      <c r="E111" s="86">
        <v>2</v>
      </c>
      <c r="F111" s="87" t="s">
        <v>22</v>
      </c>
      <c r="G111" s="59" t="s">
        <v>30</v>
      </c>
      <c r="H111" s="55" t="s">
        <v>24</v>
      </c>
      <c r="I111" s="59" t="s">
        <v>30</v>
      </c>
      <c r="J111" s="70">
        <v>44728</v>
      </c>
      <c r="K111" s="70">
        <v>44728</v>
      </c>
      <c r="L111" s="88">
        <f t="shared" si="2"/>
        <v>4</v>
      </c>
      <c r="M111" s="59" t="s">
        <v>6410</v>
      </c>
      <c r="N111" s="59" t="s">
        <v>26</v>
      </c>
      <c r="O111" s="59" t="s">
        <v>6411</v>
      </c>
      <c r="P111" s="59" t="s">
        <v>6412</v>
      </c>
      <c r="Q111" s="59" t="str">
        <f t="shared" si="3"/>
        <v>DENTRO DEL TIEMPO</v>
      </c>
      <c r="R111" s="28"/>
    </row>
    <row r="112" spans="1:18" ht="48.75" x14ac:dyDescent="0.25">
      <c r="A112" s="86">
        <v>107</v>
      </c>
      <c r="B112" s="59" t="s">
        <v>6413</v>
      </c>
      <c r="C112" s="70">
        <v>44725</v>
      </c>
      <c r="D112" s="70">
        <v>44725</v>
      </c>
      <c r="E112" s="86">
        <v>2</v>
      </c>
      <c r="F112" s="87" t="s">
        <v>22</v>
      </c>
      <c r="G112" s="59" t="s">
        <v>30</v>
      </c>
      <c r="H112" s="55" t="s">
        <v>24</v>
      </c>
      <c r="I112" s="59" t="s">
        <v>30</v>
      </c>
      <c r="J112" s="70">
        <v>44728</v>
      </c>
      <c r="K112" s="70">
        <v>44728</v>
      </c>
      <c r="L112" s="88">
        <f t="shared" si="2"/>
        <v>3</v>
      </c>
      <c r="M112" s="59" t="s">
        <v>6414</v>
      </c>
      <c r="N112" s="59" t="s">
        <v>26</v>
      </c>
      <c r="O112" s="59" t="s">
        <v>2982</v>
      </c>
      <c r="P112" s="59" t="s">
        <v>6415</v>
      </c>
      <c r="Q112" s="59" t="str">
        <f t="shared" si="3"/>
        <v>DENTRO DEL TIEMPO</v>
      </c>
      <c r="R112" s="28"/>
    </row>
    <row r="113" spans="1:18" ht="48.75" x14ac:dyDescent="0.25">
      <c r="A113" s="86">
        <v>108</v>
      </c>
      <c r="B113" s="59" t="s">
        <v>6416</v>
      </c>
      <c r="C113" s="70">
        <v>44725</v>
      </c>
      <c r="D113" s="70">
        <v>44725</v>
      </c>
      <c r="E113" s="86">
        <v>2</v>
      </c>
      <c r="F113" s="87" t="s">
        <v>22</v>
      </c>
      <c r="G113" s="59" t="s">
        <v>30</v>
      </c>
      <c r="H113" s="55" t="s">
        <v>24</v>
      </c>
      <c r="I113" s="59" t="s">
        <v>30</v>
      </c>
      <c r="J113" s="70">
        <v>44728</v>
      </c>
      <c r="K113" s="70">
        <v>44728</v>
      </c>
      <c r="L113" s="88">
        <f t="shared" si="2"/>
        <v>3</v>
      </c>
      <c r="M113" s="59" t="s">
        <v>6410</v>
      </c>
      <c r="N113" s="59" t="s">
        <v>26</v>
      </c>
      <c r="O113" s="59" t="s">
        <v>6417</v>
      </c>
      <c r="P113" s="59" t="s">
        <v>6412</v>
      </c>
      <c r="Q113" s="59" t="str">
        <f t="shared" si="3"/>
        <v>DENTRO DEL TIEMPO</v>
      </c>
      <c r="R113" s="28"/>
    </row>
    <row r="114" spans="1:18" ht="48.75" x14ac:dyDescent="0.25">
      <c r="A114" s="86">
        <v>109</v>
      </c>
      <c r="B114" s="59" t="s">
        <v>6418</v>
      </c>
      <c r="C114" s="70">
        <v>44725</v>
      </c>
      <c r="D114" s="70">
        <v>44725</v>
      </c>
      <c r="E114" s="86">
        <v>2</v>
      </c>
      <c r="F114" s="87" t="s">
        <v>22</v>
      </c>
      <c r="G114" s="59" t="s">
        <v>30</v>
      </c>
      <c r="H114" s="55" t="s">
        <v>24</v>
      </c>
      <c r="I114" s="59" t="s">
        <v>30</v>
      </c>
      <c r="J114" s="70">
        <v>44728</v>
      </c>
      <c r="K114" s="70">
        <v>44728</v>
      </c>
      <c r="L114" s="88">
        <f t="shared" si="2"/>
        <v>3</v>
      </c>
      <c r="M114" s="59" t="s">
        <v>6419</v>
      </c>
      <c r="N114" s="59" t="s">
        <v>26</v>
      </c>
      <c r="O114" s="59" t="s">
        <v>6420</v>
      </c>
      <c r="P114" s="59" t="s">
        <v>6368</v>
      </c>
      <c r="Q114" s="59" t="str">
        <f t="shared" si="3"/>
        <v>DENTRO DEL TIEMPO</v>
      </c>
      <c r="R114" s="28"/>
    </row>
    <row r="115" spans="1:18" ht="48.75" x14ac:dyDescent="0.25">
      <c r="A115" s="86">
        <v>110</v>
      </c>
      <c r="B115" s="59" t="s">
        <v>6421</v>
      </c>
      <c r="C115" s="70">
        <v>44725</v>
      </c>
      <c r="D115" s="70">
        <v>44725</v>
      </c>
      <c r="E115" s="86">
        <v>2</v>
      </c>
      <c r="F115" s="87" t="s">
        <v>22</v>
      </c>
      <c r="G115" s="59" t="s">
        <v>30</v>
      </c>
      <c r="H115" s="55" t="s">
        <v>24</v>
      </c>
      <c r="I115" s="59" t="s">
        <v>30</v>
      </c>
      <c r="J115" s="70">
        <v>44728</v>
      </c>
      <c r="K115" s="70">
        <v>44728</v>
      </c>
      <c r="L115" s="88">
        <f t="shared" si="2"/>
        <v>3</v>
      </c>
      <c r="M115" s="59" t="s">
        <v>6422</v>
      </c>
      <c r="N115" s="59" t="s">
        <v>26</v>
      </c>
      <c r="O115" s="59" t="s">
        <v>6423</v>
      </c>
      <c r="P115" s="59" t="s">
        <v>6424</v>
      </c>
      <c r="Q115" s="59" t="str">
        <f t="shared" si="3"/>
        <v>DENTRO DEL TIEMPO</v>
      </c>
      <c r="R115" s="28"/>
    </row>
    <row r="116" spans="1:18" ht="48.75" x14ac:dyDescent="0.25">
      <c r="A116" s="86">
        <v>111</v>
      </c>
      <c r="B116" s="59" t="s">
        <v>6425</v>
      </c>
      <c r="C116" s="70">
        <v>44725</v>
      </c>
      <c r="D116" s="70">
        <v>44725</v>
      </c>
      <c r="E116" s="86">
        <v>2</v>
      </c>
      <c r="F116" s="87" t="s">
        <v>22</v>
      </c>
      <c r="G116" s="59" t="s">
        <v>30</v>
      </c>
      <c r="H116" s="55" t="s">
        <v>24</v>
      </c>
      <c r="I116" s="59" t="s">
        <v>30</v>
      </c>
      <c r="J116" s="70">
        <v>44728</v>
      </c>
      <c r="K116" s="70">
        <v>44728</v>
      </c>
      <c r="L116" s="88">
        <f t="shared" si="2"/>
        <v>3</v>
      </c>
      <c r="M116" s="59" t="s">
        <v>6426</v>
      </c>
      <c r="N116" s="59" t="s">
        <v>26</v>
      </c>
      <c r="O116" s="59" t="s">
        <v>6427</v>
      </c>
      <c r="P116" s="59" t="s">
        <v>6428</v>
      </c>
      <c r="Q116" s="59" t="str">
        <f t="shared" si="3"/>
        <v>DENTRO DEL TIEMPO</v>
      </c>
      <c r="R116" s="28"/>
    </row>
    <row r="117" spans="1:18" ht="48.75" x14ac:dyDescent="0.25">
      <c r="A117" s="86">
        <v>112</v>
      </c>
      <c r="B117" s="59" t="s">
        <v>6429</v>
      </c>
      <c r="C117" s="70">
        <v>44725</v>
      </c>
      <c r="D117" s="70">
        <v>44725</v>
      </c>
      <c r="E117" s="86">
        <v>2</v>
      </c>
      <c r="F117" s="87" t="s">
        <v>22</v>
      </c>
      <c r="G117" s="59" t="s">
        <v>30</v>
      </c>
      <c r="H117" s="55" t="s">
        <v>24</v>
      </c>
      <c r="I117" s="59" t="s">
        <v>30</v>
      </c>
      <c r="J117" s="70">
        <v>44728</v>
      </c>
      <c r="K117" s="70">
        <v>44728</v>
      </c>
      <c r="L117" s="88">
        <f t="shared" si="2"/>
        <v>3</v>
      </c>
      <c r="M117" s="59" t="s">
        <v>6430</v>
      </c>
      <c r="N117" s="59" t="s">
        <v>26</v>
      </c>
      <c r="O117" s="59" t="s">
        <v>6431</v>
      </c>
      <c r="P117" s="59" t="s">
        <v>6432</v>
      </c>
      <c r="Q117" s="59" t="str">
        <f t="shared" si="3"/>
        <v>DENTRO DEL TIEMPO</v>
      </c>
      <c r="R117" s="28"/>
    </row>
    <row r="118" spans="1:18" ht="48.75" x14ac:dyDescent="0.25">
      <c r="A118" s="86">
        <v>113</v>
      </c>
      <c r="B118" s="59" t="s">
        <v>6433</v>
      </c>
      <c r="C118" s="70">
        <v>44725</v>
      </c>
      <c r="D118" s="70">
        <v>44725</v>
      </c>
      <c r="E118" s="86">
        <v>2</v>
      </c>
      <c r="F118" s="87" t="s">
        <v>22</v>
      </c>
      <c r="G118" s="59" t="s">
        <v>30</v>
      </c>
      <c r="H118" s="55" t="s">
        <v>24</v>
      </c>
      <c r="I118" s="59" t="s">
        <v>30</v>
      </c>
      <c r="J118" s="70">
        <v>44728</v>
      </c>
      <c r="K118" s="70">
        <v>44728</v>
      </c>
      <c r="L118" s="88">
        <f t="shared" si="2"/>
        <v>3</v>
      </c>
      <c r="M118" s="59" t="s">
        <v>6434</v>
      </c>
      <c r="N118" s="59" t="s">
        <v>26</v>
      </c>
      <c r="O118" s="59" t="s">
        <v>2652</v>
      </c>
      <c r="P118" s="59" t="s">
        <v>6435</v>
      </c>
      <c r="Q118" s="59" t="str">
        <f t="shared" si="3"/>
        <v>DENTRO DEL TIEMPO</v>
      </c>
      <c r="R118" s="28"/>
    </row>
    <row r="119" spans="1:18" ht="48.75" x14ac:dyDescent="0.25">
      <c r="A119" s="86">
        <v>114</v>
      </c>
      <c r="B119" s="59" t="s">
        <v>6436</v>
      </c>
      <c r="C119" s="70">
        <v>44726</v>
      </c>
      <c r="D119" s="70">
        <v>44726</v>
      </c>
      <c r="E119" s="86">
        <v>2</v>
      </c>
      <c r="F119" s="87" t="s">
        <v>22</v>
      </c>
      <c r="G119" s="59" t="s">
        <v>30</v>
      </c>
      <c r="H119" s="55" t="s">
        <v>24</v>
      </c>
      <c r="I119" s="59" t="s">
        <v>30</v>
      </c>
      <c r="J119" s="70">
        <v>44728</v>
      </c>
      <c r="K119" s="70">
        <v>44728</v>
      </c>
      <c r="L119" s="88">
        <f t="shared" si="2"/>
        <v>2</v>
      </c>
      <c r="M119" s="59" t="s">
        <v>6437</v>
      </c>
      <c r="N119" s="59" t="s">
        <v>26</v>
      </c>
      <c r="O119" s="59" t="s">
        <v>2743</v>
      </c>
      <c r="P119" s="59" t="s">
        <v>6192</v>
      </c>
      <c r="Q119" s="59" t="str">
        <f t="shared" si="3"/>
        <v>DENTRO DEL TIEMPO</v>
      </c>
      <c r="R119" s="28"/>
    </row>
    <row r="120" spans="1:18" ht="48.75" x14ac:dyDescent="0.25">
      <c r="A120" s="86">
        <v>115</v>
      </c>
      <c r="B120" s="59" t="s">
        <v>6438</v>
      </c>
      <c r="C120" s="70">
        <v>44726</v>
      </c>
      <c r="D120" s="70">
        <v>44726</v>
      </c>
      <c r="E120" s="86">
        <v>2</v>
      </c>
      <c r="F120" s="87" t="s">
        <v>22</v>
      </c>
      <c r="G120" s="59" t="s">
        <v>30</v>
      </c>
      <c r="H120" s="55" t="s">
        <v>24</v>
      </c>
      <c r="I120" s="59" t="s">
        <v>30</v>
      </c>
      <c r="J120" s="70">
        <v>44729</v>
      </c>
      <c r="K120" s="70">
        <v>44729</v>
      </c>
      <c r="L120" s="88">
        <f t="shared" si="2"/>
        <v>3</v>
      </c>
      <c r="M120" s="59" t="s">
        <v>6439</v>
      </c>
      <c r="N120" s="59" t="s">
        <v>26</v>
      </c>
      <c r="O120" s="59" t="s">
        <v>2411</v>
      </c>
      <c r="P120" s="59" t="s">
        <v>6192</v>
      </c>
      <c r="Q120" s="59" t="str">
        <f t="shared" si="3"/>
        <v>DENTRO DEL TIEMPO</v>
      </c>
      <c r="R120" s="28"/>
    </row>
    <row r="121" spans="1:18" ht="48.75" x14ac:dyDescent="0.25">
      <c r="A121" s="86">
        <v>116</v>
      </c>
      <c r="B121" s="59" t="s">
        <v>6440</v>
      </c>
      <c r="C121" s="70">
        <v>44726</v>
      </c>
      <c r="D121" s="70">
        <v>44726</v>
      </c>
      <c r="E121" s="86">
        <v>2</v>
      </c>
      <c r="F121" s="87" t="s">
        <v>22</v>
      </c>
      <c r="G121" s="59" t="s">
        <v>30</v>
      </c>
      <c r="H121" s="55" t="s">
        <v>24</v>
      </c>
      <c r="I121" s="59" t="s">
        <v>30</v>
      </c>
      <c r="J121" s="70">
        <v>44729</v>
      </c>
      <c r="K121" s="70">
        <v>44729</v>
      </c>
      <c r="L121" s="88">
        <f t="shared" si="2"/>
        <v>3</v>
      </c>
      <c r="M121" s="59" t="s">
        <v>6441</v>
      </c>
      <c r="N121" s="59" t="s">
        <v>26</v>
      </c>
      <c r="O121" s="59" t="s">
        <v>3918</v>
      </c>
      <c r="P121" s="59" t="s">
        <v>6192</v>
      </c>
      <c r="Q121" s="59" t="str">
        <f t="shared" si="3"/>
        <v>DENTRO DEL TIEMPO</v>
      </c>
      <c r="R121" s="28"/>
    </row>
    <row r="122" spans="1:18" ht="48.75" x14ac:dyDescent="0.25">
      <c r="A122" s="86">
        <v>117</v>
      </c>
      <c r="B122" s="59" t="s">
        <v>6442</v>
      </c>
      <c r="C122" s="70">
        <v>44726</v>
      </c>
      <c r="D122" s="70">
        <v>44726</v>
      </c>
      <c r="E122" s="86">
        <v>2</v>
      </c>
      <c r="F122" s="87" t="s">
        <v>22</v>
      </c>
      <c r="G122" s="59" t="s">
        <v>30</v>
      </c>
      <c r="H122" s="55" t="s">
        <v>24</v>
      </c>
      <c r="I122" s="59" t="s">
        <v>30</v>
      </c>
      <c r="J122" s="70">
        <v>44729</v>
      </c>
      <c r="K122" s="70">
        <v>44729</v>
      </c>
      <c r="L122" s="88">
        <f t="shared" si="2"/>
        <v>3</v>
      </c>
      <c r="M122" s="59" t="s">
        <v>6443</v>
      </c>
      <c r="N122" s="59" t="s">
        <v>26</v>
      </c>
      <c r="O122" s="59" t="s">
        <v>6444</v>
      </c>
      <c r="P122" s="59" t="s">
        <v>6445</v>
      </c>
      <c r="Q122" s="59" t="str">
        <f t="shared" si="3"/>
        <v>DENTRO DEL TIEMPO</v>
      </c>
      <c r="R122" s="28"/>
    </row>
    <row r="123" spans="1:18" ht="48.75" x14ac:dyDescent="0.25">
      <c r="A123" s="86">
        <v>118</v>
      </c>
      <c r="B123" s="59" t="s">
        <v>6446</v>
      </c>
      <c r="C123" s="70">
        <v>44726</v>
      </c>
      <c r="D123" s="70">
        <v>44726</v>
      </c>
      <c r="E123" s="86">
        <v>2</v>
      </c>
      <c r="F123" s="87" t="s">
        <v>22</v>
      </c>
      <c r="G123" s="59" t="s">
        <v>30</v>
      </c>
      <c r="H123" s="55" t="s">
        <v>24</v>
      </c>
      <c r="I123" s="59" t="s">
        <v>30</v>
      </c>
      <c r="J123" s="70">
        <v>44729</v>
      </c>
      <c r="K123" s="70">
        <v>44729</v>
      </c>
      <c r="L123" s="88">
        <f t="shared" si="2"/>
        <v>3</v>
      </c>
      <c r="M123" s="59" t="s">
        <v>6447</v>
      </c>
      <c r="N123" s="59" t="s">
        <v>26</v>
      </c>
      <c r="O123" s="59" t="s">
        <v>6448</v>
      </c>
      <c r="P123" s="59" t="s">
        <v>6449</v>
      </c>
      <c r="Q123" s="59" t="str">
        <f t="shared" si="3"/>
        <v>DENTRO DEL TIEMPO</v>
      </c>
      <c r="R123" s="28"/>
    </row>
    <row r="124" spans="1:18" ht="48.75" x14ac:dyDescent="0.25">
      <c r="A124" s="86">
        <v>119</v>
      </c>
      <c r="B124" s="59" t="s">
        <v>6450</v>
      </c>
      <c r="C124" s="70">
        <v>44726</v>
      </c>
      <c r="D124" s="70">
        <v>44726</v>
      </c>
      <c r="E124" s="86">
        <v>2</v>
      </c>
      <c r="F124" s="87" t="s">
        <v>22</v>
      </c>
      <c r="G124" s="59" t="s">
        <v>30</v>
      </c>
      <c r="H124" s="55" t="s">
        <v>24</v>
      </c>
      <c r="I124" s="59" t="s">
        <v>30</v>
      </c>
      <c r="J124" s="70">
        <v>44729</v>
      </c>
      <c r="K124" s="70">
        <v>44729</v>
      </c>
      <c r="L124" s="88">
        <f t="shared" si="2"/>
        <v>3</v>
      </c>
      <c r="M124" s="59" t="s">
        <v>6451</v>
      </c>
      <c r="N124" s="59" t="s">
        <v>26</v>
      </c>
      <c r="O124" s="59" t="s">
        <v>6452</v>
      </c>
      <c r="P124" s="59" t="s">
        <v>6453</v>
      </c>
      <c r="Q124" s="59" t="str">
        <f t="shared" si="3"/>
        <v>DENTRO DEL TIEMPO</v>
      </c>
      <c r="R124" s="28"/>
    </row>
    <row r="125" spans="1:18" ht="48.75" x14ac:dyDescent="0.25">
      <c r="A125" s="86">
        <v>120</v>
      </c>
      <c r="B125" s="59" t="s">
        <v>6454</v>
      </c>
      <c r="C125" s="70">
        <v>44726</v>
      </c>
      <c r="D125" s="70">
        <v>44726</v>
      </c>
      <c r="E125" s="86">
        <v>2</v>
      </c>
      <c r="F125" s="87" t="s">
        <v>22</v>
      </c>
      <c r="G125" s="59" t="s">
        <v>30</v>
      </c>
      <c r="H125" s="55" t="s">
        <v>24</v>
      </c>
      <c r="I125" s="59" t="s">
        <v>30</v>
      </c>
      <c r="J125" s="70">
        <v>44729</v>
      </c>
      <c r="K125" s="70">
        <v>44729</v>
      </c>
      <c r="L125" s="88">
        <f t="shared" si="2"/>
        <v>3</v>
      </c>
      <c r="M125" s="59" t="s">
        <v>6455</v>
      </c>
      <c r="N125" s="59" t="s">
        <v>26</v>
      </c>
      <c r="O125" s="59" t="s">
        <v>3275</v>
      </c>
      <c r="P125" s="59" t="s">
        <v>6104</v>
      </c>
      <c r="Q125" s="59" t="str">
        <f t="shared" si="3"/>
        <v>DENTRO DEL TIEMPO</v>
      </c>
      <c r="R125" s="28"/>
    </row>
    <row r="126" spans="1:18" ht="48.75" x14ac:dyDescent="0.25">
      <c r="A126" s="86">
        <v>121</v>
      </c>
      <c r="B126" s="59" t="s">
        <v>6456</v>
      </c>
      <c r="C126" s="70">
        <v>44726</v>
      </c>
      <c r="D126" s="70">
        <v>44726</v>
      </c>
      <c r="E126" s="86">
        <v>2</v>
      </c>
      <c r="F126" s="87" t="s">
        <v>22</v>
      </c>
      <c r="G126" s="59" t="s">
        <v>30</v>
      </c>
      <c r="H126" s="55" t="s">
        <v>24</v>
      </c>
      <c r="I126" s="59" t="s">
        <v>30</v>
      </c>
      <c r="J126" s="70">
        <v>44729</v>
      </c>
      <c r="K126" s="70">
        <v>44729</v>
      </c>
      <c r="L126" s="88">
        <f t="shared" si="2"/>
        <v>3</v>
      </c>
      <c r="M126" s="59" t="s">
        <v>6457</v>
      </c>
      <c r="N126" s="59" t="s">
        <v>26</v>
      </c>
      <c r="O126" s="59" t="s">
        <v>3159</v>
      </c>
      <c r="P126" s="59" t="s">
        <v>6458</v>
      </c>
      <c r="Q126" s="59" t="str">
        <f t="shared" si="3"/>
        <v>DENTRO DEL TIEMPO</v>
      </c>
      <c r="R126" s="28"/>
    </row>
    <row r="127" spans="1:18" ht="39" hidden="1" x14ac:dyDescent="0.25">
      <c r="A127" s="86">
        <v>122</v>
      </c>
      <c r="B127" s="59" t="s">
        <v>6459</v>
      </c>
      <c r="C127" s="70">
        <v>44726</v>
      </c>
      <c r="D127" s="70">
        <v>44726</v>
      </c>
      <c r="E127" s="86">
        <v>0</v>
      </c>
      <c r="F127" s="87" t="s">
        <v>790</v>
      </c>
      <c r="G127" s="59" t="s">
        <v>6460</v>
      </c>
      <c r="H127" s="55" t="s">
        <v>6461</v>
      </c>
      <c r="I127" s="59" t="s">
        <v>6460</v>
      </c>
      <c r="J127" s="70">
        <v>44733</v>
      </c>
      <c r="K127" s="70">
        <v>44733</v>
      </c>
      <c r="L127" s="88">
        <f t="shared" si="2"/>
        <v>5</v>
      </c>
      <c r="M127" s="59" t="s">
        <v>6462</v>
      </c>
      <c r="N127" s="59" t="s">
        <v>26</v>
      </c>
      <c r="O127" s="59" t="s">
        <v>6463</v>
      </c>
      <c r="P127" s="59" t="s">
        <v>6206</v>
      </c>
      <c r="Q127" s="59" t="str">
        <f t="shared" si="3"/>
        <v>DENTRO DEL TIEMPO</v>
      </c>
      <c r="R127" s="28"/>
    </row>
    <row r="128" spans="1:18" ht="48.75" hidden="1" x14ac:dyDescent="0.25">
      <c r="A128" s="86">
        <v>123</v>
      </c>
      <c r="B128" s="59" t="s">
        <v>6464</v>
      </c>
      <c r="C128" s="70">
        <v>44726</v>
      </c>
      <c r="D128" s="70">
        <v>44726</v>
      </c>
      <c r="E128" s="86">
        <v>0</v>
      </c>
      <c r="F128" s="87" t="s">
        <v>790</v>
      </c>
      <c r="G128" s="59" t="s">
        <v>6465</v>
      </c>
      <c r="H128" s="55" t="s">
        <v>6466</v>
      </c>
      <c r="I128" s="59" t="s">
        <v>6465</v>
      </c>
      <c r="J128" s="70"/>
      <c r="K128" s="70"/>
      <c r="L128" s="88">
        <f t="shared" si="2"/>
        <v>-31948</v>
      </c>
      <c r="M128" s="59"/>
      <c r="N128" s="59" t="s">
        <v>26</v>
      </c>
      <c r="O128" s="59" t="s">
        <v>6467</v>
      </c>
      <c r="P128" s="59" t="s">
        <v>6468</v>
      </c>
      <c r="Q128" s="59" t="str">
        <f t="shared" si="3"/>
        <v>DENTRO DEL TIEMPO</v>
      </c>
      <c r="R128" s="28"/>
    </row>
    <row r="129" spans="1:18" ht="48.75" x14ac:dyDescent="0.25">
      <c r="A129" s="86">
        <v>124</v>
      </c>
      <c r="B129" s="59" t="s">
        <v>6469</v>
      </c>
      <c r="C129" s="70">
        <v>44726</v>
      </c>
      <c r="D129" s="70">
        <v>44726</v>
      </c>
      <c r="E129" s="86">
        <v>21</v>
      </c>
      <c r="F129" s="87" t="s">
        <v>22</v>
      </c>
      <c r="G129" s="59" t="s">
        <v>23</v>
      </c>
      <c r="H129" s="55" t="s">
        <v>24</v>
      </c>
      <c r="I129" s="59" t="s">
        <v>23</v>
      </c>
      <c r="J129" s="70">
        <v>44728</v>
      </c>
      <c r="K129" s="70">
        <v>44728</v>
      </c>
      <c r="L129" s="88">
        <f t="shared" si="2"/>
        <v>2</v>
      </c>
      <c r="M129" s="59" t="s">
        <v>6470</v>
      </c>
      <c r="N129" s="59" t="s">
        <v>26</v>
      </c>
      <c r="O129" s="59" t="s">
        <v>6467</v>
      </c>
      <c r="P129" s="59" t="s">
        <v>6471</v>
      </c>
      <c r="Q129" s="59" t="str">
        <f t="shared" si="3"/>
        <v>DENTRO DEL TIEMPO</v>
      </c>
      <c r="R129" s="28"/>
    </row>
    <row r="130" spans="1:18" ht="48.75" x14ac:dyDescent="0.25">
      <c r="A130" s="86">
        <v>125</v>
      </c>
      <c r="B130" s="59" t="s">
        <v>6472</v>
      </c>
      <c r="C130" s="70">
        <v>44726</v>
      </c>
      <c r="D130" s="70">
        <v>44726</v>
      </c>
      <c r="E130" s="86">
        <v>2</v>
      </c>
      <c r="F130" s="87" t="s">
        <v>22</v>
      </c>
      <c r="G130" s="59" t="s">
        <v>30</v>
      </c>
      <c r="H130" s="55" t="s">
        <v>24</v>
      </c>
      <c r="I130" s="59" t="s">
        <v>30</v>
      </c>
      <c r="J130" s="70">
        <v>44732</v>
      </c>
      <c r="K130" s="70">
        <v>44732</v>
      </c>
      <c r="L130" s="88">
        <f t="shared" si="2"/>
        <v>4</v>
      </c>
      <c r="M130" s="59" t="s">
        <v>6473</v>
      </c>
      <c r="N130" s="59" t="s">
        <v>26</v>
      </c>
      <c r="O130" s="59" t="s">
        <v>6474</v>
      </c>
      <c r="P130" s="59" t="s">
        <v>6475</v>
      </c>
      <c r="Q130" s="59" t="str">
        <f t="shared" si="3"/>
        <v>DENTRO DEL TIEMPO</v>
      </c>
      <c r="R130" s="28"/>
    </row>
    <row r="131" spans="1:18" ht="48.75" x14ac:dyDescent="0.25">
      <c r="A131" s="86">
        <v>126</v>
      </c>
      <c r="B131" s="59" t="s">
        <v>6476</v>
      </c>
      <c r="C131" s="70">
        <v>44726</v>
      </c>
      <c r="D131" s="70">
        <v>44726</v>
      </c>
      <c r="E131" s="86">
        <v>2</v>
      </c>
      <c r="F131" s="87" t="s">
        <v>22</v>
      </c>
      <c r="G131" s="59" t="s">
        <v>30</v>
      </c>
      <c r="H131" s="55" t="s">
        <v>24</v>
      </c>
      <c r="I131" s="59" t="s">
        <v>30</v>
      </c>
      <c r="J131" s="70">
        <v>44732</v>
      </c>
      <c r="K131" s="70">
        <v>44732</v>
      </c>
      <c r="L131" s="88">
        <f t="shared" si="2"/>
        <v>4</v>
      </c>
      <c r="M131" s="59" t="s">
        <v>6477</v>
      </c>
      <c r="N131" s="59" t="s">
        <v>26</v>
      </c>
      <c r="O131" s="59" t="s">
        <v>6360</v>
      </c>
      <c r="P131" s="59" t="s">
        <v>6361</v>
      </c>
      <c r="Q131" s="59" t="str">
        <f t="shared" si="3"/>
        <v>DENTRO DEL TIEMPO</v>
      </c>
      <c r="R131" s="28"/>
    </row>
    <row r="132" spans="1:18" ht="48.75" x14ac:dyDescent="0.25">
      <c r="A132" s="86">
        <v>127</v>
      </c>
      <c r="B132" s="59" t="s">
        <v>6478</v>
      </c>
      <c r="C132" s="70">
        <v>44727</v>
      </c>
      <c r="D132" s="70">
        <v>44727</v>
      </c>
      <c r="E132" s="86">
        <v>21</v>
      </c>
      <c r="F132" s="87" t="s">
        <v>22</v>
      </c>
      <c r="G132" s="59" t="s">
        <v>23</v>
      </c>
      <c r="H132" s="55" t="s">
        <v>24</v>
      </c>
      <c r="I132" s="59" t="s">
        <v>23</v>
      </c>
      <c r="J132" s="70">
        <v>44736</v>
      </c>
      <c r="K132" s="70">
        <v>44736</v>
      </c>
      <c r="L132" s="88">
        <f t="shared" si="2"/>
        <v>7</v>
      </c>
      <c r="M132" s="59" t="s">
        <v>6479</v>
      </c>
      <c r="N132" s="59" t="s">
        <v>26</v>
      </c>
      <c r="O132" s="59" t="s">
        <v>6480</v>
      </c>
      <c r="P132" s="59" t="s">
        <v>6481</v>
      </c>
      <c r="Q132" s="59" t="str">
        <f t="shared" si="3"/>
        <v>DENTRO DEL TIEMPO</v>
      </c>
      <c r="R132" s="28"/>
    </row>
    <row r="133" spans="1:18" ht="48.75" x14ac:dyDescent="0.25">
      <c r="A133" s="86">
        <v>128</v>
      </c>
      <c r="B133" s="59" t="s">
        <v>6482</v>
      </c>
      <c r="C133" s="70">
        <v>44727</v>
      </c>
      <c r="D133" s="70">
        <v>44727</v>
      </c>
      <c r="E133" s="86">
        <v>57</v>
      </c>
      <c r="F133" s="87" t="s">
        <v>22</v>
      </c>
      <c r="G133" s="59" t="s">
        <v>23</v>
      </c>
      <c r="H133" s="55" t="s">
        <v>24</v>
      </c>
      <c r="I133" s="59" t="s">
        <v>23</v>
      </c>
      <c r="J133" s="70">
        <v>44732</v>
      </c>
      <c r="K133" s="70">
        <v>44732</v>
      </c>
      <c r="L133" s="88">
        <f t="shared" si="2"/>
        <v>3</v>
      </c>
      <c r="M133" s="59" t="s">
        <v>6483</v>
      </c>
      <c r="N133" s="59" t="s">
        <v>26</v>
      </c>
      <c r="O133" s="59" t="s">
        <v>6484</v>
      </c>
      <c r="P133" s="59" t="s">
        <v>6485</v>
      </c>
      <c r="Q133" s="59" t="str">
        <f t="shared" si="3"/>
        <v>DENTRO DEL TIEMPO</v>
      </c>
      <c r="R133" s="28"/>
    </row>
    <row r="134" spans="1:18" ht="48.75" x14ac:dyDescent="0.25">
      <c r="A134" s="86">
        <v>129</v>
      </c>
      <c r="B134" s="59" t="s">
        <v>6486</v>
      </c>
      <c r="C134" s="70">
        <v>44727</v>
      </c>
      <c r="D134" s="70">
        <v>44727</v>
      </c>
      <c r="E134" s="86">
        <v>2</v>
      </c>
      <c r="F134" s="87" t="s">
        <v>22</v>
      </c>
      <c r="G134" s="59" t="s">
        <v>30</v>
      </c>
      <c r="H134" s="55" t="s">
        <v>24</v>
      </c>
      <c r="I134" s="59" t="s">
        <v>30</v>
      </c>
      <c r="J134" s="70">
        <v>44732</v>
      </c>
      <c r="K134" s="70">
        <v>44732</v>
      </c>
      <c r="L134" s="88">
        <f t="shared" si="2"/>
        <v>3</v>
      </c>
      <c r="M134" s="59" t="s">
        <v>6487</v>
      </c>
      <c r="N134" s="59" t="s">
        <v>26</v>
      </c>
      <c r="O134" s="59" t="s">
        <v>2275</v>
      </c>
      <c r="P134" s="59" t="s">
        <v>6488</v>
      </c>
      <c r="Q134" s="59" t="str">
        <f t="shared" si="3"/>
        <v>DENTRO DEL TIEMPO</v>
      </c>
      <c r="R134" s="28"/>
    </row>
    <row r="135" spans="1:18" ht="48.75" x14ac:dyDescent="0.25">
      <c r="A135" s="86">
        <v>130</v>
      </c>
      <c r="B135" s="59" t="s">
        <v>6489</v>
      </c>
      <c r="C135" s="70">
        <v>44727</v>
      </c>
      <c r="D135" s="70">
        <v>44727</v>
      </c>
      <c r="E135" s="86">
        <v>2</v>
      </c>
      <c r="F135" s="87" t="s">
        <v>22</v>
      </c>
      <c r="G135" s="59" t="s">
        <v>30</v>
      </c>
      <c r="H135" s="55" t="s">
        <v>24</v>
      </c>
      <c r="I135" s="59" t="s">
        <v>30</v>
      </c>
      <c r="J135" s="70">
        <v>44732</v>
      </c>
      <c r="K135" s="70">
        <v>44732</v>
      </c>
      <c r="L135" s="88">
        <f t="shared" ref="L135:L198" si="4">+NETWORKDAYS(D135,K135,$R$6:$R$9)-1</f>
        <v>3</v>
      </c>
      <c r="M135" s="59" t="s">
        <v>6490</v>
      </c>
      <c r="N135" s="59" t="s">
        <v>26</v>
      </c>
      <c r="O135" s="59" t="s">
        <v>2275</v>
      </c>
      <c r="P135" s="59" t="s">
        <v>6488</v>
      </c>
      <c r="Q135" s="59" t="str">
        <f t="shared" ref="Q135:Q198" si="5">IF(L135&gt;15,"FUERA DE TIEMPO","DENTRO DEL TIEMPO")</f>
        <v>DENTRO DEL TIEMPO</v>
      </c>
      <c r="R135" s="28"/>
    </row>
    <row r="136" spans="1:18" ht="48.75" x14ac:dyDescent="0.25">
      <c r="A136" s="86">
        <v>131</v>
      </c>
      <c r="B136" s="59" t="s">
        <v>6491</v>
      </c>
      <c r="C136" s="70">
        <v>44727</v>
      </c>
      <c r="D136" s="70">
        <v>44727</v>
      </c>
      <c r="E136" s="86">
        <v>2</v>
      </c>
      <c r="F136" s="87" t="s">
        <v>22</v>
      </c>
      <c r="G136" s="59" t="s">
        <v>30</v>
      </c>
      <c r="H136" s="55" t="s">
        <v>24</v>
      </c>
      <c r="I136" s="59" t="s">
        <v>30</v>
      </c>
      <c r="J136" s="70">
        <v>44732</v>
      </c>
      <c r="K136" s="70">
        <v>44732</v>
      </c>
      <c r="L136" s="88">
        <f t="shared" si="4"/>
        <v>3</v>
      </c>
      <c r="M136" s="59" t="s">
        <v>6492</v>
      </c>
      <c r="N136" s="59" t="s">
        <v>26</v>
      </c>
      <c r="O136" s="59" t="s">
        <v>6493</v>
      </c>
      <c r="P136" s="59" t="s">
        <v>6494</v>
      </c>
      <c r="Q136" s="59" t="str">
        <f t="shared" si="5"/>
        <v>DENTRO DEL TIEMPO</v>
      </c>
      <c r="R136" s="28"/>
    </row>
    <row r="137" spans="1:18" ht="48.75" x14ac:dyDescent="0.25">
      <c r="A137" s="86">
        <v>132</v>
      </c>
      <c r="B137" s="59" t="s">
        <v>6495</v>
      </c>
      <c r="C137" s="70">
        <v>44727</v>
      </c>
      <c r="D137" s="70">
        <v>44727</v>
      </c>
      <c r="E137" s="86">
        <v>103</v>
      </c>
      <c r="F137" s="87" t="s">
        <v>22</v>
      </c>
      <c r="G137" s="59" t="s">
        <v>23</v>
      </c>
      <c r="H137" s="55" t="s">
        <v>24</v>
      </c>
      <c r="I137" s="59" t="s">
        <v>23</v>
      </c>
      <c r="J137" s="70">
        <v>44732</v>
      </c>
      <c r="K137" s="70">
        <v>44732</v>
      </c>
      <c r="L137" s="88">
        <f t="shared" si="4"/>
        <v>3</v>
      </c>
      <c r="M137" s="59" t="s">
        <v>6496</v>
      </c>
      <c r="N137" s="59" t="s">
        <v>26</v>
      </c>
      <c r="O137" s="59" t="s">
        <v>6497</v>
      </c>
      <c r="P137" s="59" t="s">
        <v>6498</v>
      </c>
      <c r="Q137" s="59" t="str">
        <f t="shared" si="5"/>
        <v>DENTRO DEL TIEMPO</v>
      </c>
      <c r="R137" s="28"/>
    </row>
    <row r="138" spans="1:18" ht="48.75" x14ac:dyDescent="0.25">
      <c r="A138" s="86">
        <v>133</v>
      </c>
      <c r="B138" s="59" t="s">
        <v>6499</v>
      </c>
      <c r="C138" s="70">
        <v>44727</v>
      </c>
      <c r="D138" s="70">
        <v>44727</v>
      </c>
      <c r="E138" s="86">
        <v>2</v>
      </c>
      <c r="F138" s="87" t="s">
        <v>22</v>
      </c>
      <c r="G138" s="59" t="s">
        <v>30</v>
      </c>
      <c r="H138" s="55" t="s">
        <v>24</v>
      </c>
      <c r="I138" s="59" t="s">
        <v>30</v>
      </c>
      <c r="J138" s="70">
        <v>44732</v>
      </c>
      <c r="K138" s="70">
        <v>44732</v>
      </c>
      <c r="L138" s="88">
        <f t="shared" si="4"/>
        <v>3</v>
      </c>
      <c r="M138" s="59" t="s">
        <v>6492</v>
      </c>
      <c r="N138" s="59" t="s">
        <v>26</v>
      </c>
      <c r="O138" s="59" t="s">
        <v>3159</v>
      </c>
      <c r="P138" s="59" t="s">
        <v>6458</v>
      </c>
      <c r="Q138" s="59" t="str">
        <f t="shared" si="5"/>
        <v>DENTRO DEL TIEMPO</v>
      </c>
      <c r="R138" s="28"/>
    </row>
    <row r="139" spans="1:18" ht="48.75" x14ac:dyDescent="0.25">
      <c r="A139" s="86">
        <v>134</v>
      </c>
      <c r="B139" s="59" t="s">
        <v>6500</v>
      </c>
      <c r="C139" s="70">
        <v>44727</v>
      </c>
      <c r="D139" s="70">
        <v>44727</v>
      </c>
      <c r="E139" s="86">
        <v>2</v>
      </c>
      <c r="F139" s="87" t="s">
        <v>22</v>
      </c>
      <c r="G139" s="59" t="s">
        <v>30</v>
      </c>
      <c r="H139" s="55" t="s">
        <v>24</v>
      </c>
      <c r="I139" s="59" t="s">
        <v>30</v>
      </c>
      <c r="J139" s="70">
        <v>44732</v>
      </c>
      <c r="K139" s="70">
        <v>44732</v>
      </c>
      <c r="L139" s="88">
        <f t="shared" si="4"/>
        <v>3</v>
      </c>
      <c r="M139" s="59" t="s">
        <v>6501</v>
      </c>
      <c r="N139" s="59" t="s">
        <v>26</v>
      </c>
      <c r="O139" s="59" t="s">
        <v>2452</v>
      </c>
      <c r="P139" s="59" t="s">
        <v>6502</v>
      </c>
      <c r="Q139" s="59" t="str">
        <f t="shared" si="5"/>
        <v>DENTRO DEL TIEMPO</v>
      </c>
      <c r="R139" s="28"/>
    </row>
    <row r="140" spans="1:18" ht="48.75" x14ac:dyDescent="0.25">
      <c r="A140" s="86">
        <v>135</v>
      </c>
      <c r="B140" s="59" t="s">
        <v>6503</v>
      </c>
      <c r="C140" s="70">
        <v>44727</v>
      </c>
      <c r="D140" s="70">
        <v>44727</v>
      </c>
      <c r="E140" s="86">
        <v>2</v>
      </c>
      <c r="F140" s="87" t="s">
        <v>22</v>
      </c>
      <c r="G140" s="59" t="s">
        <v>30</v>
      </c>
      <c r="H140" s="55" t="s">
        <v>24</v>
      </c>
      <c r="I140" s="59" t="s">
        <v>30</v>
      </c>
      <c r="J140" s="70">
        <v>44732</v>
      </c>
      <c r="K140" s="70">
        <v>44732</v>
      </c>
      <c r="L140" s="88">
        <f t="shared" si="4"/>
        <v>3</v>
      </c>
      <c r="M140" s="59" t="s">
        <v>6504</v>
      </c>
      <c r="N140" s="59" t="s">
        <v>26</v>
      </c>
      <c r="O140" s="59" t="s">
        <v>6505</v>
      </c>
      <c r="P140" s="59" t="s">
        <v>6506</v>
      </c>
      <c r="Q140" s="59" t="str">
        <f t="shared" si="5"/>
        <v>DENTRO DEL TIEMPO</v>
      </c>
      <c r="R140" s="28"/>
    </row>
    <row r="141" spans="1:18" ht="48.75" x14ac:dyDescent="0.25">
      <c r="A141" s="86">
        <v>136</v>
      </c>
      <c r="B141" s="59" t="s">
        <v>6507</v>
      </c>
      <c r="C141" s="70">
        <v>44727</v>
      </c>
      <c r="D141" s="70">
        <v>44727</v>
      </c>
      <c r="E141" s="86">
        <v>2</v>
      </c>
      <c r="F141" s="87" t="s">
        <v>22</v>
      </c>
      <c r="G141" s="59" t="s">
        <v>30</v>
      </c>
      <c r="H141" s="55" t="s">
        <v>24</v>
      </c>
      <c r="I141" s="59" t="s">
        <v>30</v>
      </c>
      <c r="J141" s="70">
        <v>44732</v>
      </c>
      <c r="K141" s="70">
        <v>44732</v>
      </c>
      <c r="L141" s="88">
        <f t="shared" si="4"/>
        <v>3</v>
      </c>
      <c r="M141" s="59" t="s">
        <v>6508</v>
      </c>
      <c r="N141" s="59" t="s">
        <v>26</v>
      </c>
      <c r="O141" s="59" t="s">
        <v>6509</v>
      </c>
      <c r="P141" s="59" t="s">
        <v>6510</v>
      </c>
      <c r="Q141" s="59" t="str">
        <f t="shared" si="5"/>
        <v>DENTRO DEL TIEMPO</v>
      </c>
      <c r="R141" s="28"/>
    </row>
    <row r="142" spans="1:18" ht="48.75" x14ac:dyDescent="0.25">
      <c r="A142" s="86">
        <v>137</v>
      </c>
      <c r="B142" s="59" t="s">
        <v>6511</v>
      </c>
      <c r="C142" s="70">
        <v>44727</v>
      </c>
      <c r="D142" s="70">
        <v>44727</v>
      </c>
      <c r="E142" s="86">
        <v>2</v>
      </c>
      <c r="F142" s="87" t="s">
        <v>22</v>
      </c>
      <c r="G142" s="59" t="s">
        <v>30</v>
      </c>
      <c r="H142" s="55" t="s">
        <v>24</v>
      </c>
      <c r="I142" s="59" t="s">
        <v>30</v>
      </c>
      <c r="J142" s="70">
        <v>44732</v>
      </c>
      <c r="K142" s="70">
        <v>44732</v>
      </c>
      <c r="L142" s="88">
        <f t="shared" si="4"/>
        <v>3</v>
      </c>
      <c r="M142" s="59" t="s">
        <v>6512</v>
      </c>
      <c r="N142" s="59" t="s">
        <v>26</v>
      </c>
      <c r="O142" s="59" t="s">
        <v>3275</v>
      </c>
      <c r="P142" s="59" t="s">
        <v>6192</v>
      </c>
      <c r="Q142" s="59" t="str">
        <f t="shared" si="5"/>
        <v>DENTRO DEL TIEMPO</v>
      </c>
      <c r="R142" s="28"/>
    </row>
    <row r="143" spans="1:18" ht="48.75" x14ac:dyDescent="0.25">
      <c r="A143" s="86">
        <v>138</v>
      </c>
      <c r="B143" s="59" t="s">
        <v>6513</v>
      </c>
      <c r="C143" s="70">
        <v>44727</v>
      </c>
      <c r="D143" s="70">
        <v>44727</v>
      </c>
      <c r="E143" s="86">
        <v>2</v>
      </c>
      <c r="F143" s="87" t="s">
        <v>22</v>
      </c>
      <c r="G143" s="59" t="s">
        <v>30</v>
      </c>
      <c r="H143" s="55" t="s">
        <v>24</v>
      </c>
      <c r="I143" s="59" t="s">
        <v>30</v>
      </c>
      <c r="J143" s="70">
        <v>44732</v>
      </c>
      <c r="K143" s="70">
        <v>44732</v>
      </c>
      <c r="L143" s="88">
        <f t="shared" si="4"/>
        <v>3</v>
      </c>
      <c r="M143" s="59" t="s">
        <v>6514</v>
      </c>
      <c r="N143" s="59" t="s">
        <v>26</v>
      </c>
      <c r="O143" s="59" t="s">
        <v>4108</v>
      </c>
      <c r="P143" s="59" t="s">
        <v>6515</v>
      </c>
      <c r="Q143" s="59" t="str">
        <f t="shared" si="5"/>
        <v>DENTRO DEL TIEMPO</v>
      </c>
      <c r="R143" s="28"/>
    </row>
    <row r="144" spans="1:18" ht="48.75" x14ac:dyDescent="0.25">
      <c r="A144" s="86">
        <v>139</v>
      </c>
      <c r="B144" s="59" t="s">
        <v>6516</v>
      </c>
      <c r="C144" s="70">
        <v>44728</v>
      </c>
      <c r="D144" s="70">
        <v>44728</v>
      </c>
      <c r="E144" s="86">
        <v>2</v>
      </c>
      <c r="F144" s="87" t="s">
        <v>22</v>
      </c>
      <c r="G144" s="59" t="s">
        <v>30</v>
      </c>
      <c r="H144" s="55" t="s">
        <v>24</v>
      </c>
      <c r="I144" s="59" t="s">
        <v>30</v>
      </c>
      <c r="J144" s="70">
        <v>44732</v>
      </c>
      <c r="K144" s="70">
        <v>44732</v>
      </c>
      <c r="L144" s="88">
        <f t="shared" si="4"/>
        <v>2</v>
      </c>
      <c r="M144" s="59" t="s">
        <v>6517</v>
      </c>
      <c r="N144" s="59" t="s">
        <v>26</v>
      </c>
      <c r="O144" s="59" t="s">
        <v>6518</v>
      </c>
      <c r="P144" s="59" t="s">
        <v>6519</v>
      </c>
      <c r="Q144" s="59" t="str">
        <f t="shared" si="5"/>
        <v>DENTRO DEL TIEMPO</v>
      </c>
      <c r="R144" s="28"/>
    </row>
    <row r="145" spans="1:18" ht="48.75" x14ac:dyDescent="0.25">
      <c r="A145" s="86">
        <v>140</v>
      </c>
      <c r="B145" s="59" t="s">
        <v>6520</v>
      </c>
      <c r="C145" s="70">
        <v>44728</v>
      </c>
      <c r="D145" s="70">
        <v>44728</v>
      </c>
      <c r="E145" s="86">
        <v>2</v>
      </c>
      <c r="F145" s="87" t="s">
        <v>22</v>
      </c>
      <c r="G145" s="59" t="s">
        <v>30</v>
      </c>
      <c r="H145" s="55" t="s">
        <v>24</v>
      </c>
      <c r="I145" s="59" t="s">
        <v>30</v>
      </c>
      <c r="J145" s="70">
        <v>44732</v>
      </c>
      <c r="K145" s="70">
        <v>44732</v>
      </c>
      <c r="L145" s="88">
        <f t="shared" si="4"/>
        <v>2</v>
      </c>
      <c r="M145" s="59" t="s">
        <v>6521</v>
      </c>
      <c r="N145" s="59" t="s">
        <v>26</v>
      </c>
      <c r="O145" s="59" t="s">
        <v>6522</v>
      </c>
      <c r="P145" s="59" t="s">
        <v>6523</v>
      </c>
      <c r="Q145" s="59" t="str">
        <f t="shared" si="5"/>
        <v>DENTRO DEL TIEMPO</v>
      </c>
      <c r="R145" s="28"/>
    </row>
    <row r="146" spans="1:18" ht="48.75" x14ac:dyDescent="0.25">
      <c r="A146" s="86">
        <v>141</v>
      </c>
      <c r="B146" s="59" t="s">
        <v>6524</v>
      </c>
      <c r="C146" s="70">
        <v>44728</v>
      </c>
      <c r="D146" s="70">
        <v>44728</v>
      </c>
      <c r="E146" s="86">
        <v>2</v>
      </c>
      <c r="F146" s="87" t="s">
        <v>22</v>
      </c>
      <c r="G146" s="59" t="s">
        <v>30</v>
      </c>
      <c r="H146" s="55" t="s">
        <v>24</v>
      </c>
      <c r="I146" s="59" t="s">
        <v>30</v>
      </c>
      <c r="J146" s="70">
        <v>44732</v>
      </c>
      <c r="K146" s="70">
        <v>44732</v>
      </c>
      <c r="L146" s="88">
        <f t="shared" si="4"/>
        <v>2</v>
      </c>
      <c r="M146" s="59" t="s">
        <v>6525</v>
      </c>
      <c r="N146" s="59" t="s">
        <v>26</v>
      </c>
      <c r="O146" s="59" t="s">
        <v>2327</v>
      </c>
      <c r="P146" s="59" t="s">
        <v>6526</v>
      </c>
      <c r="Q146" s="59" t="str">
        <f t="shared" si="5"/>
        <v>DENTRO DEL TIEMPO</v>
      </c>
      <c r="R146" s="28"/>
    </row>
    <row r="147" spans="1:18" ht="48.75" x14ac:dyDescent="0.25">
      <c r="A147" s="86">
        <v>142</v>
      </c>
      <c r="B147" s="59" t="s">
        <v>6527</v>
      </c>
      <c r="C147" s="70">
        <v>44728</v>
      </c>
      <c r="D147" s="70">
        <v>44728</v>
      </c>
      <c r="E147" s="86">
        <v>2</v>
      </c>
      <c r="F147" s="87" t="s">
        <v>22</v>
      </c>
      <c r="G147" s="59" t="s">
        <v>30</v>
      </c>
      <c r="H147" s="55" t="s">
        <v>24</v>
      </c>
      <c r="I147" s="59" t="s">
        <v>30</v>
      </c>
      <c r="J147" s="70">
        <v>44732</v>
      </c>
      <c r="K147" s="70">
        <v>44732</v>
      </c>
      <c r="L147" s="88">
        <f t="shared" si="4"/>
        <v>2</v>
      </c>
      <c r="M147" s="59" t="s">
        <v>6528</v>
      </c>
      <c r="N147" s="59" t="s">
        <v>26</v>
      </c>
      <c r="O147" s="59" t="s">
        <v>6529</v>
      </c>
      <c r="P147" s="59" t="s">
        <v>6530</v>
      </c>
      <c r="Q147" s="59" t="str">
        <f t="shared" si="5"/>
        <v>DENTRO DEL TIEMPO</v>
      </c>
      <c r="R147" s="28"/>
    </row>
    <row r="148" spans="1:18" ht="48.75" x14ac:dyDescent="0.25">
      <c r="A148" s="86">
        <v>143</v>
      </c>
      <c r="B148" s="59" t="s">
        <v>6531</v>
      </c>
      <c r="C148" s="70">
        <v>44728</v>
      </c>
      <c r="D148" s="70">
        <v>44728</v>
      </c>
      <c r="E148" s="86">
        <v>2</v>
      </c>
      <c r="F148" s="87" t="s">
        <v>22</v>
      </c>
      <c r="G148" s="59" t="s">
        <v>30</v>
      </c>
      <c r="H148" s="55" t="s">
        <v>24</v>
      </c>
      <c r="I148" s="59" t="s">
        <v>30</v>
      </c>
      <c r="J148" s="70">
        <v>44732</v>
      </c>
      <c r="K148" s="70">
        <v>44732</v>
      </c>
      <c r="L148" s="88">
        <f t="shared" si="4"/>
        <v>2</v>
      </c>
      <c r="M148" s="59" t="s">
        <v>6532</v>
      </c>
      <c r="N148" s="59" t="s">
        <v>26</v>
      </c>
      <c r="O148" s="59" t="s">
        <v>2456</v>
      </c>
      <c r="P148" s="59" t="s">
        <v>6533</v>
      </c>
      <c r="Q148" s="59" t="str">
        <f t="shared" si="5"/>
        <v>DENTRO DEL TIEMPO</v>
      </c>
      <c r="R148" s="28"/>
    </row>
    <row r="149" spans="1:18" ht="48.75" x14ac:dyDescent="0.25">
      <c r="A149" s="86">
        <v>144</v>
      </c>
      <c r="B149" s="59" t="s">
        <v>6534</v>
      </c>
      <c r="C149" s="70">
        <v>44728</v>
      </c>
      <c r="D149" s="70">
        <v>44728</v>
      </c>
      <c r="E149" s="86">
        <v>2</v>
      </c>
      <c r="F149" s="87" t="s">
        <v>22</v>
      </c>
      <c r="G149" s="59" t="s">
        <v>23</v>
      </c>
      <c r="H149" s="55" t="s">
        <v>24</v>
      </c>
      <c r="I149" s="59" t="s">
        <v>23</v>
      </c>
      <c r="J149" s="70">
        <v>44736</v>
      </c>
      <c r="K149" s="70">
        <v>44736</v>
      </c>
      <c r="L149" s="88">
        <f t="shared" si="4"/>
        <v>6</v>
      </c>
      <c r="M149" s="59" t="s">
        <v>6535</v>
      </c>
      <c r="N149" s="59" t="s">
        <v>26</v>
      </c>
      <c r="O149" s="59" t="s">
        <v>6536</v>
      </c>
      <c r="P149" s="59" t="s">
        <v>6537</v>
      </c>
      <c r="Q149" s="59" t="str">
        <f t="shared" si="5"/>
        <v>DENTRO DEL TIEMPO</v>
      </c>
      <c r="R149" s="28"/>
    </row>
    <row r="150" spans="1:18" ht="48.75" x14ac:dyDescent="0.25">
      <c r="A150" s="86">
        <v>145</v>
      </c>
      <c r="B150" s="59" t="s">
        <v>6538</v>
      </c>
      <c r="C150" s="70">
        <v>44728</v>
      </c>
      <c r="D150" s="70">
        <v>44728</v>
      </c>
      <c r="E150" s="86">
        <v>2</v>
      </c>
      <c r="F150" s="87" t="s">
        <v>22</v>
      </c>
      <c r="G150" s="59" t="s">
        <v>23</v>
      </c>
      <c r="H150" s="55" t="s">
        <v>24</v>
      </c>
      <c r="I150" s="59" t="s">
        <v>23</v>
      </c>
      <c r="J150" s="70">
        <v>44739</v>
      </c>
      <c r="K150" s="70">
        <v>44739</v>
      </c>
      <c r="L150" s="88">
        <f t="shared" si="4"/>
        <v>7</v>
      </c>
      <c r="M150" s="59" t="s">
        <v>6539</v>
      </c>
      <c r="N150" s="59" t="s">
        <v>26</v>
      </c>
      <c r="O150" s="59" t="s">
        <v>6540</v>
      </c>
      <c r="P150" s="59" t="s">
        <v>6537</v>
      </c>
      <c r="Q150" s="59" t="str">
        <f t="shared" si="5"/>
        <v>DENTRO DEL TIEMPO</v>
      </c>
      <c r="R150" s="28"/>
    </row>
    <row r="151" spans="1:18" ht="48.75" x14ac:dyDescent="0.25">
      <c r="A151" s="86">
        <v>146</v>
      </c>
      <c r="B151" s="59" t="s">
        <v>6541</v>
      </c>
      <c r="C151" s="70">
        <v>44728</v>
      </c>
      <c r="D151" s="70">
        <v>44728</v>
      </c>
      <c r="E151" s="86">
        <v>2</v>
      </c>
      <c r="F151" s="87" t="s">
        <v>22</v>
      </c>
      <c r="G151" s="59" t="s">
        <v>30</v>
      </c>
      <c r="H151" s="55" t="s">
        <v>24</v>
      </c>
      <c r="I151" s="59" t="s">
        <v>30</v>
      </c>
      <c r="J151" s="70">
        <v>44733</v>
      </c>
      <c r="K151" s="70">
        <v>44733</v>
      </c>
      <c r="L151" s="88">
        <f t="shared" si="4"/>
        <v>3</v>
      </c>
      <c r="M151" s="59" t="s">
        <v>6542</v>
      </c>
      <c r="N151" s="59" t="s">
        <v>26</v>
      </c>
      <c r="O151" s="59" t="s">
        <v>2826</v>
      </c>
      <c r="P151" s="59" t="s">
        <v>6128</v>
      </c>
      <c r="Q151" s="59" t="str">
        <f t="shared" si="5"/>
        <v>DENTRO DEL TIEMPO</v>
      </c>
      <c r="R151" s="28"/>
    </row>
    <row r="152" spans="1:18" ht="48.75" x14ac:dyDescent="0.25">
      <c r="A152" s="86">
        <v>147</v>
      </c>
      <c r="B152" s="59" t="s">
        <v>6543</v>
      </c>
      <c r="C152" s="70">
        <v>44728</v>
      </c>
      <c r="D152" s="70">
        <v>44728</v>
      </c>
      <c r="E152" s="86">
        <v>2</v>
      </c>
      <c r="F152" s="87" t="s">
        <v>22</v>
      </c>
      <c r="G152" s="59" t="s">
        <v>30</v>
      </c>
      <c r="H152" s="55" t="s">
        <v>24</v>
      </c>
      <c r="I152" s="59" t="s">
        <v>30</v>
      </c>
      <c r="J152" s="70">
        <v>44732</v>
      </c>
      <c r="K152" s="70">
        <v>44732</v>
      </c>
      <c r="L152" s="88">
        <f t="shared" si="4"/>
        <v>2</v>
      </c>
      <c r="M152" s="59" t="s">
        <v>6544</v>
      </c>
      <c r="N152" s="59" t="s">
        <v>26</v>
      </c>
      <c r="O152" s="59" t="s">
        <v>4583</v>
      </c>
      <c r="P152" s="59" t="s">
        <v>6545</v>
      </c>
      <c r="Q152" s="59" t="str">
        <f t="shared" si="5"/>
        <v>DENTRO DEL TIEMPO</v>
      </c>
      <c r="R152" s="28"/>
    </row>
    <row r="153" spans="1:18" ht="48.75" x14ac:dyDescent="0.25">
      <c r="A153" s="86">
        <v>148</v>
      </c>
      <c r="B153" s="59" t="s">
        <v>6546</v>
      </c>
      <c r="C153" s="70">
        <v>44728</v>
      </c>
      <c r="D153" s="70">
        <v>44728</v>
      </c>
      <c r="E153" s="86">
        <v>2</v>
      </c>
      <c r="F153" s="87" t="s">
        <v>22</v>
      </c>
      <c r="G153" s="59" t="s">
        <v>30</v>
      </c>
      <c r="H153" s="55" t="s">
        <v>24</v>
      </c>
      <c r="I153" s="59" t="s">
        <v>30</v>
      </c>
      <c r="J153" s="70">
        <v>44733</v>
      </c>
      <c r="K153" s="70">
        <v>44733</v>
      </c>
      <c r="L153" s="88">
        <f t="shared" si="4"/>
        <v>3</v>
      </c>
      <c r="M153" s="59" t="s">
        <v>6547</v>
      </c>
      <c r="N153" s="59" t="s">
        <v>26</v>
      </c>
      <c r="O153" s="59" t="s">
        <v>6548</v>
      </c>
      <c r="P153" s="59" t="s">
        <v>6549</v>
      </c>
      <c r="Q153" s="59" t="str">
        <f t="shared" si="5"/>
        <v>DENTRO DEL TIEMPO</v>
      </c>
      <c r="R153" s="28"/>
    </row>
    <row r="154" spans="1:18" ht="48.75" x14ac:dyDescent="0.25">
      <c r="A154" s="86">
        <v>149</v>
      </c>
      <c r="B154" s="59" t="s">
        <v>6550</v>
      </c>
      <c r="C154" s="70">
        <v>44728</v>
      </c>
      <c r="D154" s="70">
        <v>44728</v>
      </c>
      <c r="E154" s="86">
        <v>2</v>
      </c>
      <c r="F154" s="87" t="s">
        <v>22</v>
      </c>
      <c r="G154" s="59" t="s">
        <v>30</v>
      </c>
      <c r="H154" s="55" t="s">
        <v>24</v>
      </c>
      <c r="I154" s="59" t="s">
        <v>30</v>
      </c>
      <c r="J154" s="70">
        <v>44733</v>
      </c>
      <c r="K154" s="70">
        <v>44733</v>
      </c>
      <c r="L154" s="88">
        <f t="shared" si="4"/>
        <v>3</v>
      </c>
      <c r="M154" s="59" t="s">
        <v>6551</v>
      </c>
      <c r="N154" s="59" t="s">
        <v>26</v>
      </c>
      <c r="O154" s="59" t="s">
        <v>3749</v>
      </c>
      <c r="P154" s="59" t="s">
        <v>6552</v>
      </c>
      <c r="Q154" s="59" t="str">
        <f t="shared" si="5"/>
        <v>DENTRO DEL TIEMPO</v>
      </c>
      <c r="R154" s="28"/>
    </row>
    <row r="155" spans="1:18" ht="48.75" x14ac:dyDescent="0.25">
      <c r="A155" s="86">
        <v>150</v>
      </c>
      <c r="B155" s="59" t="s">
        <v>6553</v>
      </c>
      <c r="C155" s="70">
        <v>44729</v>
      </c>
      <c r="D155" s="70">
        <v>44729</v>
      </c>
      <c r="E155" s="86">
        <v>2</v>
      </c>
      <c r="F155" s="87" t="s">
        <v>22</v>
      </c>
      <c r="G155" s="59" t="s">
        <v>30</v>
      </c>
      <c r="H155" s="55" t="s">
        <v>24</v>
      </c>
      <c r="I155" s="59" t="s">
        <v>30</v>
      </c>
      <c r="J155" s="70">
        <v>44734</v>
      </c>
      <c r="K155" s="70">
        <v>44734</v>
      </c>
      <c r="L155" s="88">
        <f t="shared" si="4"/>
        <v>3</v>
      </c>
      <c r="M155" s="59" t="s">
        <v>6554</v>
      </c>
      <c r="N155" s="59" t="s">
        <v>26</v>
      </c>
      <c r="O155" s="59" t="s">
        <v>2275</v>
      </c>
      <c r="P155" s="59" t="s">
        <v>6555</v>
      </c>
      <c r="Q155" s="59" t="str">
        <f t="shared" si="5"/>
        <v>DENTRO DEL TIEMPO</v>
      </c>
      <c r="R155" s="28"/>
    </row>
    <row r="156" spans="1:18" ht="48.75" x14ac:dyDescent="0.25">
      <c r="A156" s="86">
        <v>151</v>
      </c>
      <c r="B156" s="59" t="s">
        <v>6556</v>
      </c>
      <c r="C156" s="70">
        <v>44729</v>
      </c>
      <c r="D156" s="70">
        <v>44729</v>
      </c>
      <c r="E156" s="86">
        <v>2</v>
      </c>
      <c r="F156" s="87" t="s">
        <v>22</v>
      </c>
      <c r="G156" s="59" t="s">
        <v>30</v>
      </c>
      <c r="H156" s="55" t="s">
        <v>24</v>
      </c>
      <c r="I156" s="59" t="s">
        <v>30</v>
      </c>
      <c r="J156" s="70">
        <v>44734</v>
      </c>
      <c r="K156" s="70">
        <v>44734</v>
      </c>
      <c r="L156" s="88">
        <f t="shared" si="4"/>
        <v>3</v>
      </c>
      <c r="M156" s="59" t="s">
        <v>6557</v>
      </c>
      <c r="N156" s="59" t="s">
        <v>26</v>
      </c>
      <c r="O156" s="59" t="s">
        <v>6558</v>
      </c>
      <c r="P156" s="59" t="s">
        <v>6559</v>
      </c>
      <c r="Q156" s="59" t="str">
        <f t="shared" si="5"/>
        <v>DENTRO DEL TIEMPO</v>
      </c>
      <c r="R156" s="28"/>
    </row>
    <row r="157" spans="1:18" ht="48.75" x14ac:dyDescent="0.25">
      <c r="A157" s="86">
        <v>152</v>
      </c>
      <c r="B157" s="59" t="s">
        <v>6560</v>
      </c>
      <c r="C157" s="70">
        <v>44732</v>
      </c>
      <c r="D157" s="70">
        <v>44732</v>
      </c>
      <c r="E157" s="86">
        <v>2</v>
      </c>
      <c r="F157" s="87" t="s">
        <v>22</v>
      </c>
      <c r="G157" s="59" t="s">
        <v>30</v>
      </c>
      <c r="H157" s="55" t="s">
        <v>24</v>
      </c>
      <c r="I157" s="59" t="s">
        <v>30</v>
      </c>
      <c r="J157" s="70">
        <v>44734</v>
      </c>
      <c r="K157" s="70">
        <v>44734</v>
      </c>
      <c r="L157" s="88">
        <f t="shared" si="4"/>
        <v>2</v>
      </c>
      <c r="M157" s="59" t="s">
        <v>6561</v>
      </c>
      <c r="N157" s="59" t="s">
        <v>26</v>
      </c>
      <c r="O157" s="59" t="s">
        <v>3080</v>
      </c>
      <c r="P157" s="59" t="s">
        <v>6562</v>
      </c>
      <c r="Q157" s="59" t="str">
        <f t="shared" si="5"/>
        <v>DENTRO DEL TIEMPO</v>
      </c>
      <c r="R157" s="28"/>
    </row>
    <row r="158" spans="1:18" ht="48.75" x14ac:dyDescent="0.25">
      <c r="A158" s="86">
        <v>153</v>
      </c>
      <c r="B158" s="59" t="s">
        <v>6563</v>
      </c>
      <c r="C158" s="70">
        <v>44732</v>
      </c>
      <c r="D158" s="70">
        <v>44732</v>
      </c>
      <c r="E158" s="86">
        <v>2</v>
      </c>
      <c r="F158" s="87" t="s">
        <v>22</v>
      </c>
      <c r="G158" s="59" t="s">
        <v>30</v>
      </c>
      <c r="H158" s="55" t="s">
        <v>24</v>
      </c>
      <c r="I158" s="59" t="s">
        <v>30</v>
      </c>
      <c r="J158" s="70">
        <v>44734</v>
      </c>
      <c r="K158" s="70">
        <v>44734</v>
      </c>
      <c r="L158" s="88">
        <f t="shared" si="4"/>
        <v>2</v>
      </c>
      <c r="M158" s="59" t="s">
        <v>6564</v>
      </c>
      <c r="N158" s="59" t="s">
        <v>26</v>
      </c>
      <c r="O158" s="59" t="s">
        <v>3324</v>
      </c>
      <c r="P158" s="59" t="s">
        <v>6565</v>
      </c>
      <c r="Q158" s="59" t="str">
        <f t="shared" si="5"/>
        <v>DENTRO DEL TIEMPO</v>
      </c>
      <c r="R158" s="28"/>
    </row>
    <row r="159" spans="1:18" ht="48.75" x14ac:dyDescent="0.25">
      <c r="A159" s="86">
        <v>154</v>
      </c>
      <c r="B159" s="59" t="s">
        <v>6566</v>
      </c>
      <c r="C159" s="70">
        <v>44732</v>
      </c>
      <c r="D159" s="70">
        <v>44732</v>
      </c>
      <c r="E159" s="86">
        <v>2</v>
      </c>
      <c r="F159" s="87" t="s">
        <v>22</v>
      </c>
      <c r="G159" s="59" t="s">
        <v>30</v>
      </c>
      <c r="H159" s="55" t="s">
        <v>24</v>
      </c>
      <c r="I159" s="59" t="s">
        <v>30</v>
      </c>
      <c r="J159" s="70">
        <v>44734</v>
      </c>
      <c r="K159" s="70">
        <v>44734</v>
      </c>
      <c r="L159" s="88">
        <f t="shared" si="4"/>
        <v>2</v>
      </c>
      <c r="M159" s="59" t="s">
        <v>6567</v>
      </c>
      <c r="N159" s="59" t="s">
        <v>26</v>
      </c>
      <c r="O159" s="59" t="s">
        <v>6568</v>
      </c>
      <c r="P159" s="59" t="s">
        <v>6569</v>
      </c>
      <c r="Q159" s="59" t="str">
        <f t="shared" si="5"/>
        <v>DENTRO DEL TIEMPO</v>
      </c>
      <c r="R159" s="28"/>
    </row>
    <row r="160" spans="1:18" ht="48.75" x14ac:dyDescent="0.25">
      <c r="A160" s="86">
        <v>155</v>
      </c>
      <c r="B160" s="59" t="s">
        <v>6570</v>
      </c>
      <c r="C160" s="70">
        <v>44732</v>
      </c>
      <c r="D160" s="70">
        <v>44732</v>
      </c>
      <c r="E160" s="86">
        <v>2</v>
      </c>
      <c r="F160" s="87" t="s">
        <v>22</v>
      </c>
      <c r="G160" s="59" t="s">
        <v>30</v>
      </c>
      <c r="H160" s="55" t="s">
        <v>24</v>
      </c>
      <c r="I160" s="59" t="s">
        <v>30</v>
      </c>
      <c r="J160" s="70">
        <v>44736</v>
      </c>
      <c r="K160" s="70">
        <v>44736</v>
      </c>
      <c r="L160" s="88">
        <f t="shared" si="4"/>
        <v>4</v>
      </c>
      <c r="M160" s="59" t="s">
        <v>6571</v>
      </c>
      <c r="N160" s="59" t="s">
        <v>26</v>
      </c>
      <c r="O160" s="59" t="s">
        <v>6572</v>
      </c>
      <c r="P160" s="59" t="s">
        <v>6573</v>
      </c>
      <c r="Q160" s="59" t="str">
        <f t="shared" si="5"/>
        <v>DENTRO DEL TIEMPO</v>
      </c>
      <c r="R160" s="28"/>
    </row>
    <row r="161" spans="1:18" ht="48.75" x14ac:dyDescent="0.25">
      <c r="A161" s="86">
        <v>156</v>
      </c>
      <c r="B161" s="59" t="s">
        <v>6574</v>
      </c>
      <c r="C161" s="70">
        <v>44732</v>
      </c>
      <c r="D161" s="70">
        <v>44732</v>
      </c>
      <c r="E161" s="86">
        <v>2</v>
      </c>
      <c r="F161" s="87" t="s">
        <v>22</v>
      </c>
      <c r="G161" s="59" t="s">
        <v>30</v>
      </c>
      <c r="H161" s="55" t="s">
        <v>24</v>
      </c>
      <c r="I161" s="59" t="s">
        <v>30</v>
      </c>
      <c r="J161" s="70">
        <v>44734</v>
      </c>
      <c r="K161" s="70">
        <v>44734</v>
      </c>
      <c r="L161" s="88">
        <f t="shared" si="4"/>
        <v>2</v>
      </c>
      <c r="M161" s="59" t="s">
        <v>6575</v>
      </c>
      <c r="N161" s="59" t="s">
        <v>26</v>
      </c>
      <c r="O161" s="59" t="s">
        <v>6576</v>
      </c>
      <c r="P161" s="59" t="s">
        <v>6145</v>
      </c>
      <c r="Q161" s="59" t="str">
        <f t="shared" si="5"/>
        <v>DENTRO DEL TIEMPO</v>
      </c>
      <c r="R161" s="28"/>
    </row>
    <row r="162" spans="1:18" ht="48.75" x14ac:dyDescent="0.25">
      <c r="A162" s="86">
        <v>157</v>
      </c>
      <c r="B162" s="59" t="s">
        <v>6577</v>
      </c>
      <c r="C162" s="70">
        <v>44732</v>
      </c>
      <c r="D162" s="70">
        <v>44732</v>
      </c>
      <c r="E162" s="86">
        <v>2</v>
      </c>
      <c r="F162" s="87" t="s">
        <v>22</v>
      </c>
      <c r="G162" s="59" t="s">
        <v>30</v>
      </c>
      <c r="H162" s="55" t="s">
        <v>24</v>
      </c>
      <c r="I162" s="59" t="s">
        <v>30</v>
      </c>
      <c r="J162" s="70">
        <v>44734</v>
      </c>
      <c r="K162" s="70">
        <v>44734</v>
      </c>
      <c r="L162" s="88">
        <f t="shared" si="4"/>
        <v>2</v>
      </c>
      <c r="M162" s="59" t="s">
        <v>6578</v>
      </c>
      <c r="N162" s="59" t="s">
        <v>26</v>
      </c>
      <c r="O162" s="59" t="s">
        <v>2381</v>
      </c>
      <c r="P162" s="59" t="s">
        <v>6145</v>
      </c>
      <c r="Q162" s="59" t="str">
        <f t="shared" si="5"/>
        <v>DENTRO DEL TIEMPO</v>
      </c>
      <c r="R162" s="28"/>
    </row>
    <row r="163" spans="1:18" ht="48.75" x14ac:dyDescent="0.25">
      <c r="A163" s="86">
        <v>158</v>
      </c>
      <c r="B163" s="59" t="s">
        <v>6579</v>
      </c>
      <c r="C163" s="70">
        <v>44732</v>
      </c>
      <c r="D163" s="70">
        <v>44732</v>
      </c>
      <c r="E163" s="86">
        <v>2</v>
      </c>
      <c r="F163" s="87" t="s">
        <v>22</v>
      </c>
      <c r="G163" s="59" t="s">
        <v>30</v>
      </c>
      <c r="H163" s="55" t="s">
        <v>24</v>
      </c>
      <c r="I163" s="59" t="s">
        <v>30</v>
      </c>
      <c r="J163" s="70">
        <v>44734</v>
      </c>
      <c r="K163" s="70">
        <v>44734</v>
      </c>
      <c r="L163" s="88">
        <f t="shared" si="4"/>
        <v>2</v>
      </c>
      <c r="M163" s="59" t="s">
        <v>6580</v>
      </c>
      <c r="N163" s="59" t="s">
        <v>26</v>
      </c>
      <c r="O163" s="59" t="s">
        <v>2456</v>
      </c>
      <c r="P163" s="59" t="s">
        <v>6533</v>
      </c>
      <c r="Q163" s="59" t="str">
        <f t="shared" si="5"/>
        <v>DENTRO DEL TIEMPO</v>
      </c>
      <c r="R163" s="28"/>
    </row>
    <row r="164" spans="1:18" ht="48.75" x14ac:dyDescent="0.25">
      <c r="A164" s="86">
        <v>159</v>
      </c>
      <c r="B164" s="59" t="s">
        <v>6581</v>
      </c>
      <c r="C164" s="70">
        <v>44732</v>
      </c>
      <c r="D164" s="70">
        <v>44732</v>
      </c>
      <c r="E164" s="86">
        <v>2</v>
      </c>
      <c r="F164" s="87" t="s">
        <v>22</v>
      </c>
      <c r="G164" s="59" t="s">
        <v>30</v>
      </c>
      <c r="H164" s="55" t="s">
        <v>24</v>
      </c>
      <c r="I164" s="59" t="s">
        <v>30</v>
      </c>
      <c r="J164" s="70">
        <v>44735</v>
      </c>
      <c r="K164" s="70">
        <v>44735</v>
      </c>
      <c r="L164" s="88">
        <f t="shared" si="4"/>
        <v>3</v>
      </c>
      <c r="M164" s="59" t="s">
        <v>6582</v>
      </c>
      <c r="N164" s="59" t="s">
        <v>26</v>
      </c>
      <c r="O164" s="59" t="s">
        <v>2792</v>
      </c>
      <c r="P164" s="59" t="s">
        <v>6583</v>
      </c>
      <c r="Q164" s="59" t="str">
        <f t="shared" si="5"/>
        <v>DENTRO DEL TIEMPO</v>
      </c>
      <c r="R164" s="28"/>
    </row>
    <row r="165" spans="1:18" ht="48.75" x14ac:dyDescent="0.25">
      <c r="A165" s="86">
        <v>160</v>
      </c>
      <c r="B165" s="59" t="s">
        <v>6584</v>
      </c>
      <c r="C165" s="70">
        <v>44732</v>
      </c>
      <c r="D165" s="70">
        <v>44732</v>
      </c>
      <c r="E165" s="86">
        <v>2</v>
      </c>
      <c r="F165" s="87" t="s">
        <v>22</v>
      </c>
      <c r="G165" s="59" t="s">
        <v>30</v>
      </c>
      <c r="H165" s="55" t="s">
        <v>24</v>
      </c>
      <c r="I165" s="59" t="s">
        <v>30</v>
      </c>
      <c r="J165" s="70">
        <v>44735</v>
      </c>
      <c r="K165" s="70">
        <v>44735</v>
      </c>
      <c r="L165" s="88">
        <f t="shared" si="4"/>
        <v>3</v>
      </c>
      <c r="M165" s="59" t="s">
        <v>6585</v>
      </c>
      <c r="N165" s="59" t="s">
        <v>26</v>
      </c>
      <c r="O165" s="59" t="s">
        <v>6586</v>
      </c>
      <c r="P165" s="59" t="s">
        <v>6587</v>
      </c>
      <c r="Q165" s="59" t="str">
        <f t="shared" si="5"/>
        <v>DENTRO DEL TIEMPO</v>
      </c>
      <c r="R165" s="28"/>
    </row>
    <row r="166" spans="1:18" ht="48.75" x14ac:dyDescent="0.25">
      <c r="A166" s="86">
        <v>161</v>
      </c>
      <c r="B166" s="59" t="s">
        <v>6588</v>
      </c>
      <c r="C166" s="70">
        <v>44732</v>
      </c>
      <c r="D166" s="70">
        <v>44732</v>
      </c>
      <c r="E166" s="86">
        <v>2</v>
      </c>
      <c r="F166" s="87" t="s">
        <v>22</v>
      </c>
      <c r="G166" s="59" t="s">
        <v>30</v>
      </c>
      <c r="H166" s="55" t="s">
        <v>24</v>
      </c>
      <c r="I166" s="59" t="s">
        <v>30</v>
      </c>
      <c r="J166" s="70">
        <v>44735</v>
      </c>
      <c r="K166" s="70">
        <v>44735</v>
      </c>
      <c r="L166" s="88">
        <f t="shared" si="4"/>
        <v>3</v>
      </c>
      <c r="M166" s="59" t="s">
        <v>6589</v>
      </c>
      <c r="N166" s="59" t="s">
        <v>26</v>
      </c>
      <c r="O166" s="59" t="s">
        <v>2614</v>
      </c>
      <c r="P166" s="59" t="s">
        <v>6184</v>
      </c>
      <c r="Q166" s="59" t="str">
        <f t="shared" si="5"/>
        <v>DENTRO DEL TIEMPO</v>
      </c>
      <c r="R166" s="28"/>
    </row>
    <row r="167" spans="1:18" ht="48.75" x14ac:dyDescent="0.25">
      <c r="A167" s="86">
        <v>162</v>
      </c>
      <c r="B167" s="59" t="s">
        <v>6590</v>
      </c>
      <c r="C167" s="70">
        <v>44733</v>
      </c>
      <c r="D167" s="70">
        <v>44733</v>
      </c>
      <c r="E167" s="86">
        <v>2</v>
      </c>
      <c r="F167" s="87" t="s">
        <v>22</v>
      </c>
      <c r="G167" s="59" t="s">
        <v>30</v>
      </c>
      <c r="H167" s="55" t="s">
        <v>24</v>
      </c>
      <c r="I167" s="59" t="s">
        <v>30</v>
      </c>
      <c r="J167" s="70">
        <v>44735</v>
      </c>
      <c r="K167" s="70">
        <v>44735</v>
      </c>
      <c r="L167" s="88">
        <f t="shared" si="4"/>
        <v>2</v>
      </c>
      <c r="M167" s="59" t="s">
        <v>6591</v>
      </c>
      <c r="N167" s="59" t="s">
        <v>26</v>
      </c>
      <c r="O167" s="59" t="s">
        <v>6592</v>
      </c>
      <c r="P167" s="59" t="s">
        <v>6593</v>
      </c>
      <c r="Q167" s="59" t="str">
        <f t="shared" si="5"/>
        <v>DENTRO DEL TIEMPO</v>
      </c>
      <c r="R167" s="28"/>
    </row>
    <row r="168" spans="1:18" ht="48.75" x14ac:dyDescent="0.25">
      <c r="A168" s="86">
        <v>163</v>
      </c>
      <c r="B168" s="59" t="s">
        <v>6594</v>
      </c>
      <c r="C168" s="70">
        <v>44733</v>
      </c>
      <c r="D168" s="70">
        <v>44733</v>
      </c>
      <c r="E168" s="86">
        <v>2</v>
      </c>
      <c r="F168" s="87" t="s">
        <v>22</v>
      </c>
      <c r="G168" s="59" t="s">
        <v>30</v>
      </c>
      <c r="H168" s="55" t="s">
        <v>24</v>
      </c>
      <c r="I168" s="59" t="s">
        <v>30</v>
      </c>
      <c r="J168" s="70">
        <v>44735</v>
      </c>
      <c r="K168" s="70">
        <v>44735</v>
      </c>
      <c r="L168" s="88">
        <f t="shared" si="4"/>
        <v>2</v>
      </c>
      <c r="M168" s="59" t="s">
        <v>6595</v>
      </c>
      <c r="N168" s="59" t="s">
        <v>26</v>
      </c>
      <c r="O168" s="59" t="s">
        <v>2320</v>
      </c>
      <c r="P168" s="59" t="s">
        <v>6596</v>
      </c>
      <c r="Q168" s="59" t="str">
        <f t="shared" si="5"/>
        <v>DENTRO DEL TIEMPO</v>
      </c>
      <c r="R168" s="28"/>
    </row>
    <row r="169" spans="1:18" ht="48.75" x14ac:dyDescent="0.25">
      <c r="A169" s="86">
        <v>164</v>
      </c>
      <c r="B169" s="59" t="s">
        <v>6597</v>
      </c>
      <c r="C169" s="70">
        <v>44733</v>
      </c>
      <c r="D169" s="70">
        <v>44733</v>
      </c>
      <c r="E169" s="86">
        <v>2</v>
      </c>
      <c r="F169" s="87" t="s">
        <v>22</v>
      </c>
      <c r="G169" s="59" t="s">
        <v>30</v>
      </c>
      <c r="H169" s="55" t="s">
        <v>24</v>
      </c>
      <c r="I169" s="59" t="s">
        <v>30</v>
      </c>
      <c r="J169" s="70">
        <v>44735</v>
      </c>
      <c r="K169" s="70">
        <v>44735</v>
      </c>
      <c r="L169" s="88">
        <f t="shared" si="4"/>
        <v>2</v>
      </c>
      <c r="M169" s="59" t="s">
        <v>6598</v>
      </c>
      <c r="N169" s="59" t="s">
        <v>26</v>
      </c>
      <c r="O169" s="59" t="s">
        <v>6599</v>
      </c>
      <c r="P169" s="59" t="s">
        <v>6600</v>
      </c>
      <c r="Q169" s="59" t="str">
        <f t="shared" si="5"/>
        <v>DENTRO DEL TIEMPO</v>
      </c>
      <c r="R169" s="28"/>
    </row>
    <row r="170" spans="1:18" ht="48.75" x14ac:dyDescent="0.25">
      <c r="A170" s="86">
        <v>165</v>
      </c>
      <c r="B170" s="59" t="s">
        <v>6601</v>
      </c>
      <c r="C170" s="70">
        <v>44733</v>
      </c>
      <c r="D170" s="70">
        <v>44733</v>
      </c>
      <c r="E170" s="86">
        <v>2</v>
      </c>
      <c r="F170" s="87" t="s">
        <v>22</v>
      </c>
      <c r="G170" s="59" t="s">
        <v>30</v>
      </c>
      <c r="H170" s="55" t="s">
        <v>24</v>
      </c>
      <c r="I170" s="59" t="s">
        <v>30</v>
      </c>
      <c r="J170" s="70">
        <v>44735</v>
      </c>
      <c r="K170" s="70">
        <v>44735</v>
      </c>
      <c r="L170" s="88">
        <f t="shared" si="4"/>
        <v>2</v>
      </c>
      <c r="M170" s="59" t="s">
        <v>6602</v>
      </c>
      <c r="N170" s="59" t="s">
        <v>26</v>
      </c>
      <c r="O170" s="59" t="s">
        <v>6603</v>
      </c>
      <c r="P170" s="59" t="s">
        <v>6604</v>
      </c>
      <c r="Q170" s="59" t="str">
        <f t="shared" si="5"/>
        <v>DENTRO DEL TIEMPO</v>
      </c>
      <c r="R170" s="28"/>
    </row>
    <row r="171" spans="1:18" ht="48.75" x14ac:dyDescent="0.25">
      <c r="A171" s="86">
        <v>166</v>
      </c>
      <c r="B171" s="59" t="s">
        <v>6605</v>
      </c>
      <c r="C171" s="70">
        <v>44733</v>
      </c>
      <c r="D171" s="70">
        <v>44733</v>
      </c>
      <c r="E171" s="86">
        <v>2</v>
      </c>
      <c r="F171" s="87" t="s">
        <v>22</v>
      </c>
      <c r="G171" s="59" t="s">
        <v>30</v>
      </c>
      <c r="H171" s="55" t="s">
        <v>24</v>
      </c>
      <c r="I171" s="59" t="s">
        <v>30</v>
      </c>
      <c r="J171" s="70">
        <v>44735</v>
      </c>
      <c r="K171" s="70">
        <v>44735</v>
      </c>
      <c r="L171" s="88">
        <f t="shared" si="4"/>
        <v>2</v>
      </c>
      <c r="M171" s="59" t="s">
        <v>6606</v>
      </c>
      <c r="N171" s="59" t="s">
        <v>26</v>
      </c>
      <c r="O171" s="59" t="s">
        <v>3275</v>
      </c>
      <c r="P171" s="59" t="s">
        <v>6607</v>
      </c>
      <c r="Q171" s="59" t="str">
        <f t="shared" si="5"/>
        <v>DENTRO DEL TIEMPO</v>
      </c>
      <c r="R171" s="28"/>
    </row>
    <row r="172" spans="1:18" ht="48.75" x14ac:dyDescent="0.25">
      <c r="A172" s="86">
        <v>167</v>
      </c>
      <c r="B172" s="59" t="s">
        <v>6608</v>
      </c>
      <c r="C172" s="70">
        <v>44733</v>
      </c>
      <c r="D172" s="70">
        <v>44733</v>
      </c>
      <c r="E172" s="86">
        <v>2</v>
      </c>
      <c r="F172" s="87" t="s">
        <v>22</v>
      </c>
      <c r="G172" s="59" t="s">
        <v>30</v>
      </c>
      <c r="H172" s="55" t="s">
        <v>24</v>
      </c>
      <c r="I172" s="59" t="s">
        <v>30</v>
      </c>
      <c r="J172" s="70">
        <v>44735</v>
      </c>
      <c r="K172" s="70">
        <v>44735</v>
      </c>
      <c r="L172" s="88">
        <f t="shared" si="4"/>
        <v>2</v>
      </c>
      <c r="M172" s="59" t="s">
        <v>6609</v>
      </c>
      <c r="N172" s="59" t="s">
        <v>26</v>
      </c>
      <c r="O172" s="59" t="s">
        <v>6610</v>
      </c>
      <c r="P172" s="59" t="s">
        <v>6611</v>
      </c>
      <c r="Q172" s="59" t="str">
        <f t="shared" si="5"/>
        <v>DENTRO DEL TIEMPO</v>
      </c>
      <c r="R172" s="28"/>
    </row>
    <row r="173" spans="1:18" ht="48.75" x14ac:dyDescent="0.25">
      <c r="A173" s="86">
        <v>168</v>
      </c>
      <c r="B173" s="59" t="s">
        <v>6612</v>
      </c>
      <c r="C173" s="70">
        <v>44733</v>
      </c>
      <c r="D173" s="70">
        <v>44733</v>
      </c>
      <c r="E173" s="86">
        <v>2</v>
      </c>
      <c r="F173" s="87" t="s">
        <v>22</v>
      </c>
      <c r="G173" s="59" t="s">
        <v>30</v>
      </c>
      <c r="H173" s="55" t="s">
        <v>24</v>
      </c>
      <c r="I173" s="59" t="s">
        <v>30</v>
      </c>
      <c r="J173" s="70">
        <v>44735</v>
      </c>
      <c r="K173" s="70">
        <v>44735</v>
      </c>
      <c r="L173" s="88">
        <f t="shared" si="4"/>
        <v>2</v>
      </c>
      <c r="M173" s="59" t="s">
        <v>6606</v>
      </c>
      <c r="N173" s="59" t="s">
        <v>26</v>
      </c>
      <c r="O173" s="59" t="s">
        <v>6613</v>
      </c>
      <c r="P173" s="59" t="s">
        <v>6614</v>
      </c>
      <c r="Q173" s="59" t="str">
        <f t="shared" si="5"/>
        <v>DENTRO DEL TIEMPO</v>
      </c>
      <c r="R173" s="28"/>
    </row>
    <row r="174" spans="1:18" ht="48.75" x14ac:dyDescent="0.25">
      <c r="A174" s="86">
        <v>169</v>
      </c>
      <c r="B174" s="59" t="s">
        <v>6615</v>
      </c>
      <c r="C174" s="70">
        <v>44734</v>
      </c>
      <c r="D174" s="70">
        <v>44734</v>
      </c>
      <c r="E174" s="86">
        <v>2</v>
      </c>
      <c r="F174" s="87" t="s">
        <v>22</v>
      </c>
      <c r="G174" s="59" t="s">
        <v>30</v>
      </c>
      <c r="H174" s="55" t="s">
        <v>24</v>
      </c>
      <c r="I174" s="59" t="s">
        <v>30</v>
      </c>
      <c r="J174" s="70">
        <v>44735</v>
      </c>
      <c r="K174" s="70">
        <v>44735</v>
      </c>
      <c r="L174" s="88">
        <f t="shared" si="4"/>
        <v>1</v>
      </c>
      <c r="M174" s="59" t="s">
        <v>6616</v>
      </c>
      <c r="N174" s="59" t="s">
        <v>26</v>
      </c>
      <c r="O174" s="59" t="s">
        <v>6617</v>
      </c>
      <c r="P174" s="59" t="s">
        <v>6618</v>
      </c>
      <c r="Q174" s="59" t="str">
        <f t="shared" si="5"/>
        <v>DENTRO DEL TIEMPO</v>
      </c>
      <c r="R174" s="28"/>
    </row>
    <row r="175" spans="1:18" ht="48.75" x14ac:dyDescent="0.25">
      <c r="A175" s="86">
        <v>170</v>
      </c>
      <c r="B175" s="59" t="s">
        <v>6619</v>
      </c>
      <c r="C175" s="70">
        <v>44734</v>
      </c>
      <c r="D175" s="70">
        <v>44734</v>
      </c>
      <c r="E175" s="86">
        <v>2</v>
      </c>
      <c r="F175" s="87" t="s">
        <v>22</v>
      </c>
      <c r="G175" s="59" t="s">
        <v>30</v>
      </c>
      <c r="H175" s="55" t="s">
        <v>24</v>
      </c>
      <c r="I175" s="59" t="s">
        <v>30</v>
      </c>
      <c r="J175" s="70">
        <v>44735</v>
      </c>
      <c r="K175" s="70">
        <v>44735</v>
      </c>
      <c r="L175" s="88">
        <f t="shared" si="4"/>
        <v>1</v>
      </c>
      <c r="M175" s="59" t="s">
        <v>6620</v>
      </c>
      <c r="N175" s="59" t="s">
        <v>26</v>
      </c>
      <c r="O175" s="59" t="s">
        <v>6621</v>
      </c>
      <c r="P175" s="59" t="s">
        <v>6622</v>
      </c>
      <c r="Q175" s="59" t="str">
        <f t="shared" si="5"/>
        <v>DENTRO DEL TIEMPO</v>
      </c>
      <c r="R175" s="28"/>
    </row>
    <row r="176" spans="1:18" ht="48.75" x14ac:dyDescent="0.25">
      <c r="A176" s="86">
        <v>171</v>
      </c>
      <c r="B176" s="59" t="s">
        <v>6623</v>
      </c>
      <c r="C176" s="70">
        <v>44734</v>
      </c>
      <c r="D176" s="70">
        <v>44734</v>
      </c>
      <c r="E176" s="86">
        <v>2</v>
      </c>
      <c r="F176" s="87" t="s">
        <v>22</v>
      </c>
      <c r="G176" s="59" t="s">
        <v>30</v>
      </c>
      <c r="H176" s="55" t="s">
        <v>24</v>
      </c>
      <c r="I176" s="59" t="s">
        <v>30</v>
      </c>
      <c r="J176" s="70">
        <v>44735</v>
      </c>
      <c r="K176" s="70">
        <v>44735</v>
      </c>
      <c r="L176" s="88">
        <f t="shared" si="4"/>
        <v>1</v>
      </c>
      <c r="M176" s="59" t="s">
        <v>6624</v>
      </c>
      <c r="N176" s="59" t="s">
        <v>26</v>
      </c>
      <c r="O176" s="59" t="s">
        <v>2306</v>
      </c>
      <c r="P176" s="59" t="s">
        <v>6209</v>
      </c>
      <c r="Q176" s="59" t="str">
        <f t="shared" si="5"/>
        <v>DENTRO DEL TIEMPO</v>
      </c>
      <c r="R176" s="28"/>
    </row>
    <row r="177" spans="1:18" ht="48.75" x14ac:dyDescent="0.25">
      <c r="A177" s="86">
        <v>172</v>
      </c>
      <c r="B177" s="59" t="s">
        <v>6625</v>
      </c>
      <c r="C177" s="70">
        <v>44734</v>
      </c>
      <c r="D177" s="70">
        <v>44734</v>
      </c>
      <c r="E177" s="86">
        <v>2</v>
      </c>
      <c r="F177" s="87" t="s">
        <v>22</v>
      </c>
      <c r="G177" s="59" t="s">
        <v>30</v>
      </c>
      <c r="H177" s="55" t="s">
        <v>24</v>
      </c>
      <c r="I177" s="59" t="s">
        <v>30</v>
      </c>
      <c r="J177" s="70">
        <v>44735</v>
      </c>
      <c r="K177" s="70">
        <v>44735</v>
      </c>
      <c r="L177" s="88">
        <f t="shared" si="4"/>
        <v>1</v>
      </c>
      <c r="M177" s="59" t="s">
        <v>6626</v>
      </c>
      <c r="N177" s="59" t="s">
        <v>26</v>
      </c>
      <c r="O177" s="59" t="s">
        <v>2411</v>
      </c>
      <c r="P177" s="59" t="s">
        <v>6135</v>
      </c>
      <c r="Q177" s="59" t="str">
        <f t="shared" si="5"/>
        <v>DENTRO DEL TIEMPO</v>
      </c>
      <c r="R177" s="28"/>
    </row>
    <row r="178" spans="1:18" ht="39" hidden="1" x14ac:dyDescent="0.25">
      <c r="A178" s="86">
        <v>173</v>
      </c>
      <c r="B178" s="59" t="s">
        <v>6627</v>
      </c>
      <c r="C178" s="70">
        <v>44734</v>
      </c>
      <c r="D178" s="70">
        <v>44734</v>
      </c>
      <c r="E178" s="86">
        <v>0</v>
      </c>
      <c r="F178" s="87" t="s">
        <v>790</v>
      </c>
      <c r="G178" s="59" t="s">
        <v>6628</v>
      </c>
      <c r="H178" s="55" t="s">
        <v>2956</v>
      </c>
      <c r="I178" s="59" t="s">
        <v>6628</v>
      </c>
      <c r="J178" s="70">
        <v>44739</v>
      </c>
      <c r="K178" s="70">
        <v>44739</v>
      </c>
      <c r="L178" s="88">
        <f t="shared" si="4"/>
        <v>3</v>
      </c>
      <c r="M178" s="59" t="s">
        <v>6629</v>
      </c>
      <c r="N178" s="59" t="s">
        <v>26</v>
      </c>
      <c r="O178" s="59" t="s">
        <v>4388</v>
      </c>
      <c r="P178" s="59" t="s">
        <v>6206</v>
      </c>
      <c r="Q178" s="59" t="str">
        <f t="shared" si="5"/>
        <v>DENTRO DEL TIEMPO</v>
      </c>
      <c r="R178" s="28"/>
    </row>
    <row r="179" spans="1:18" ht="48.75" x14ac:dyDescent="0.25">
      <c r="A179" s="86">
        <v>174</v>
      </c>
      <c r="B179" s="59" t="s">
        <v>6630</v>
      </c>
      <c r="C179" s="70">
        <v>44734</v>
      </c>
      <c r="D179" s="70">
        <v>44734</v>
      </c>
      <c r="E179" s="86">
        <v>2</v>
      </c>
      <c r="F179" s="87" t="s">
        <v>22</v>
      </c>
      <c r="G179" s="59" t="s">
        <v>30</v>
      </c>
      <c r="H179" s="55" t="s">
        <v>24</v>
      </c>
      <c r="I179" s="59" t="s">
        <v>30</v>
      </c>
      <c r="J179" s="70">
        <v>44736</v>
      </c>
      <c r="K179" s="70">
        <v>44736</v>
      </c>
      <c r="L179" s="88">
        <f t="shared" si="4"/>
        <v>2</v>
      </c>
      <c r="M179" s="59" t="s">
        <v>6631</v>
      </c>
      <c r="N179" s="59" t="s">
        <v>26</v>
      </c>
      <c r="O179" s="59" t="s">
        <v>6632</v>
      </c>
      <c r="P179" s="59" t="s">
        <v>6445</v>
      </c>
      <c r="Q179" s="59" t="str">
        <f t="shared" si="5"/>
        <v>DENTRO DEL TIEMPO</v>
      </c>
      <c r="R179" s="28"/>
    </row>
    <row r="180" spans="1:18" ht="48.75" x14ac:dyDescent="0.25">
      <c r="A180" s="86">
        <v>175</v>
      </c>
      <c r="B180" s="59" t="s">
        <v>6633</v>
      </c>
      <c r="C180" s="70">
        <v>44734</v>
      </c>
      <c r="D180" s="70">
        <v>44734</v>
      </c>
      <c r="E180" s="86">
        <v>2</v>
      </c>
      <c r="F180" s="87" t="s">
        <v>22</v>
      </c>
      <c r="G180" s="59" t="s">
        <v>30</v>
      </c>
      <c r="H180" s="55" t="s">
        <v>24</v>
      </c>
      <c r="I180" s="59" t="s">
        <v>30</v>
      </c>
      <c r="J180" s="70">
        <v>44736</v>
      </c>
      <c r="K180" s="70">
        <v>44736</v>
      </c>
      <c r="L180" s="88">
        <f t="shared" si="4"/>
        <v>2</v>
      </c>
      <c r="M180" s="59" t="s">
        <v>6634</v>
      </c>
      <c r="N180" s="59" t="s">
        <v>26</v>
      </c>
      <c r="O180" s="59" t="s">
        <v>6635</v>
      </c>
      <c r="P180" s="59" t="s">
        <v>6636</v>
      </c>
      <c r="Q180" s="59" t="str">
        <f t="shared" si="5"/>
        <v>DENTRO DEL TIEMPO</v>
      </c>
      <c r="R180" s="28"/>
    </row>
    <row r="181" spans="1:18" ht="48.75" x14ac:dyDescent="0.25">
      <c r="A181" s="86">
        <v>176</v>
      </c>
      <c r="B181" s="59" t="s">
        <v>6637</v>
      </c>
      <c r="C181" s="70">
        <v>44734</v>
      </c>
      <c r="D181" s="70">
        <v>44734</v>
      </c>
      <c r="E181" s="86">
        <v>2</v>
      </c>
      <c r="F181" s="87" t="s">
        <v>22</v>
      </c>
      <c r="G181" s="59" t="s">
        <v>30</v>
      </c>
      <c r="H181" s="55" t="s">
        <v>24</v>
      </c>
      <c r="I181" s="59" t="s">
        <v>30</v>
      </c>
      <c r="J181" s="70">
        <v>44736</v>
      </c>
      <c r="K181" s="70">
        <v>44736</v>
      </c>
      <c r="L181" s="88">
        <f t="shared" si="4"/>
        <v>2</v>
      </c>
      <c r="M181" s="59" t="s">
        <v>6638</v>
      </c>
      <c r="N181" s="59" t="s">
        <v>26</v>
      </c>
      <c r="O181" s="59" t="s">
        <v>2327</v>
      </c>
      <c r="P181" s="59" t="s">
        <v>6639</v>
      </c>
      <c r="Q181" s="59" t="str">
        <f t="shared" si="5"/>
        <v>DENTRO DEL TIEMPO</v>
      </c>
      <c r="R181" s="28"/>
    </row>
    <row r="182" spans="1:18" ht="48.75" x14ac:dyDescent="0.25">
      <c r="A182" s="86">
        <v>177</v>
      </c>
      <c r="B182" s="59" t="s">
        <v>6640</v>
      </c>
      <c r="C182" s="70">
        <v>44734</v>
      </c>
      <c r="D182" s="70">
        <v>44734</v>
      </c>
      <c r="E182" s="86">
        <v>2</v>
      </c>
      <c r="F182" s="87" t="s">
        <v>22</v>
      </c>
      <c r="G182" s="59" t="s">
        <v>30</v>
      </c>
      <c r="H182" s="55" t="s">
        <v>24</v>
      </c>
      <c r="I182" s="59" t="s">
        <v>30</v>
      </c>
      <c r="J182" s="70">
        <v>44736</v>
      </c>
      <c r="K182" s="70">
        <v>44736</v>
      </c>
      <c r="L182" s="88">
        <f t="shared" si="4"/>
        <v>2</v>
      </c>
      <c r="M182" s="59" t="s">
        <v>6641</v>
      </c>
      <c r="N182" s="59" t="s">
        <v>26</v>
      </c>
      <c r="O182" s="59" t="s">
        <v>6642</v>
      </c>
      <c r="P182" s="59" t="s">
        <v>6643</v>
      </c>
      <c r="Q182" s="59" t="str">
        <f t="shared" si="5"/>
        <v>DENTRO DEL TIEMPO</v>
      </c>
      <c r="R182" s="28"/>
    </row>
    <row r="183" spans="1:18" ht="48.75" x14ac:dyDescent="0.25">
      <c r="A183" s="86">
        <v>178</v>
      </c>
      <c r="B183" s="59" t="s">
        <v>6644</v>
      </c>
      <c r="C183" s="70">
        <v>44734</v>
      </c>
      <c r="D183" s="70">
        <v>44734</v>
      </c>
      <c r="E183" s="86">
        <v>2</v>
      </c>
      <c r="F183" s="87" t="s">
        <v>22</v>
      </c>
      <c r="G183" s="59" t="s">
        <v>30</v>
      </c>
      <c r="H183" s="55" t="s">
        <v>24</v>
      </c>
      <c r="I183" s="59" t="s">
        <v>30</v>
      </c>
      <c r="J183" s="70">
        <v>44736</v>
      </c>
      <c r="K183" s="70">
        <v>44736</v>
      </c>
      <c r="L183" s="88">
        <f t="shared" si="4"/>
        <v>2</v>
      </c>
      <c r="M183" s="59" t="s">
        <v>6645</v>
      </c>
      <c r="N183" s="59" t="s">
        <v>26</v>
      </c>
      <c r="O183" s="59" t="s">
        <v>6646</v>
      </c>
      <c r="P183" s="59" t="s">
        <v>6128</v>
      </c>
      <c r="Q183" s="59" t="str">
        <f t="shared" si="5"/>
        <v>DENTRO DEL TIEMPO</v>
      </c>
      <c r="R183" s="28"/>
    </row>
    <row r="184" spans="1:18" ht="48.75" x14ac:dyDescent="0.25">
      <c r="A184" s="86">
        <v>179</v>
      </c>
      <c r="B184" s="59" t="s">
        <v>6647</v>
      </c>
      <c r="C184" s="70">
        <v>44734</v>
      </c>
      <c r="D184" s="70">
        <v>44734</v>
      </c>
      <c r="E184" s="86">
        <v>401</v>
      </c>
      <c r="F184" s="87" t="s">
        <v>22</v>
      </c>
      <c r="G184" s="59" t="s">
        <v>23</v>
      </c>
      <c r="H184" s="55" t="s">
        <v>24</v>
      </c>
      <c r="I184" s="59" t="s">
        <v>23</v>
      </c>
      <c r="J184" s="70">
        <v>44736</v>
      </c>
      <c r="K184" s="70">
        <v>44736</v>
      </c>
      <c r="L184" s="88">
        <f t="shared" si="4"/>
        <v>2</v>
      </c>
      <c r="M184" s="59" t="s">
        <v>6648</v>
      </c>
      <c r="N184" s="59" t="s">
        <v>26</v>
      </c>
      <c r="O184" s="59" t="s">
        <v>6649</v>
      </c>
      <c r="P184" s="59" t="s">
        <v>6650</v>
      </c>
      <c r="Q184" s="59" t="str">
        <f t="shared" si="5"/>
        <v>DENTRO DEL TIEMPO</v>
      </c>
      <c r="R184" s="28"/>
    </row>
    <row r="185" spans="1:18" ht="48.75" x14ac:dyDescent="0.25">
      <c r="A185" s="86">
        <v>180</v>
      </c>
      <c r="B185" s="59" t="s">
        <v>6651</v>
      </c>
      <c r="C185" s="70">
        <v>44734</v>
      </c>
      <c r="D185" s="70">
        <v>44734</v>
      </c>
      <c r="E185" s="86">
        <v>2</v>
      </c>
      <c r="F185" s="87" t="s">
        <v>22</v>
      </c>
      <c r="G185" s="59" t="s">
        <v>30</v>
      </c>
      <c r="H185" s="55" t="s">
        <v>24</v>
      </c>
      <c r="I185" s="59" t="s">
        <v>30</v>
      </c>
      <c r="J185" s="70">
        <v>44741</v>
      </c>
      <c r="K185" s="70">
        <v>44741</v>
      </c>
      <c r="L185" s="88">
        <f t="shared" si="4"/>
        <v>5</v>
      </c>
      <c r="M185" s="59" t="s">
        <v>6652</v>
      </c>
      <c r="N185" s="59" t="s">
        <v>26</v>
      </c>
      <c r="O185" s="59" t="s">
        <v>6138</v>
      </c>
      <c r="P185" s="59" t="s">
        <v>6139</v>
      </c>
      <c r="Q185" s="59" t="str">
        <f t="shared" si="5"/>
        <v>DENTRO DEL TIEMPO</v>
      </c>
      <c r="R185" s="28"/>
    </row>
    <row r="186" spans="1:18" ht="48.75" x14ac:dyDescent="0.25">
      <c r="A186" s="86">
        <v>181</v>
      </c>
      <c r="B186" s="59" t="s">
        <v>6653</v>
      </c>
      <c r="C186" s="70">
        <v>44734</v>
      </c>
      <c r="D186" s="70">
        <v>44734</v>
      </c>
      <c r="E186" s="86">
        <v>2</v>
      </c>
      <c r="F186" s="87" t="s">
        <v>22</v>
      </c>
      <c r="G186" s="59" t="s">
        <v>30</v>
      </c>
      <c r="H186" s="55" t="s">
        <v>24</v>
      </c>
      <c r="I186" s="59" t="s">
        <v>30</v>
      </c>
      <c r="J186" s="70">
        <v>44736</v>
      </c>
      <c r="K186" s="70">
        <v>44736</v>
      </c>
      <c r="L186" s="88">
        <f t="shared" si="4"/>
        <v>2</v>
      </c>
      <c r="M186" s="59" t="s">
        <v>6654</v>
      </c>
      <c r="N186" s="59" t="s">
        <v>26</v>
      </c>
      <c r="O186" s="59" t="s">
        <v>6655</v>
      </c>
      <c r="P186" s="59" t="s">
        <v>6656</v>
      </c>
      <c r="Q186" s="59" t="str">
        <f t="shared" si="5"/>
        <v>DENTRO DEL TIEMPO</v>
      </c>
      <c r="R186" s="28"/>
    </row>
    <row r="187" spans="1:18" ht="48.75" x14ac:dyDescent="0.25">
      <c r="A187" s="86">
        <v>182</v>
      </c>
      <c r="B187" s="59" t="s">
        <v>6657</v>
      </c>
      <c r="C187" s="70">
        <v>44734</v>
      </c>
      <c r="D187" s="70">
        <v>44734</v>
      </c>
      <c r="E187" s="86">
        <v>2</v>
      </c>
      <c r="F187" s="87" t="s">
        <v>22</v>
      </c>
      <c r="G187" s="59" t="s">
        <v>30</v>
      </c>
      <c r="H187" s="55" t="s">
        <v>24</v>
      </c>
      <c r="I187" s="59" t="s">
        <v>30</v>
      </c>
      <c r="J187" s="70">
        <v>44736</v>
      </c>
      <c r="K187" s="70">
        <v>44736</v>
      </c>
      <c r="L187" s="88">
        <f t="shared" si="4"/>
        <v>2</v>
      </c>
      <c r="M187" s="59" t="s">
        <v>6658</v>
      </c>
      <c r="N187" s="59" t="s">
        <v>26</v>
      </c>
      <c r="O187" s="59" t="s">
        <v>6659</v>
      </c>
      <c r="P187" s="59" t="s">
        <v>6660</v>
      </c>
      <c r="Q187" s="59" t="str">
        <f t="shared" si="5"/>
        <v>DENTRO DEL TIEMPO</v>
      </c>
      <c r="R187" s="28"/>
    </row>
    <row r="188" spans="1:18" ht="48.75" x14ac:dyDescent="0.25">
      <c r="A188" s="86">
        <v>183</v>
      </c>
      <c r="B188" s="59" t="s">
        <v>6661</v>
      </c>
      <c r="C188" s="70">
        <v>44734</v>
      </c>
      <c r="D188" s="70">
        <v>44734</v>
      </c>
      <c r="E188" s="86">
        <v>2</v>
      </c>
      <c r="F188" s="87" t="s">
        <v>22</v>
      </c>
      <c r="G188" s="59" t="s">
        <v>30</v>
      </c>
      <c r="H188" s="55" t="s">
        <v>24</v>
      </c>
      <c r="I188" s="59" t="s">
        <v>30</v>
      </c>
      <c r="J188" s="70">
        <v>44736</v>
      </c>
      <c r="K188" s="70">
        <v>44736</v>
      </c>
      <c r="L188" s="88">
        <f t="shared" si="4"/>
        <v>2</v>
      </c>
      <c r="M188" s="59" t="s">
        <v>6662</v>
      </c>
      <c r="N188" s="59" t="s">
        <v>26</v>
      </c>
      <c r="O188" s="59" t="s">
        <v>3787</v>
      </c>
      <c r="P188" s="59" t="s">
        <v>6663</v>
      </c>
      <c r="Q188" s="59" t="str">
        <f t="shared" si="5"/>
        <v>DENTRO DEL TIEMPO</v>
      </c>
      <c r="R188" s="28"/>
    </row>
    <row r="189" spans="1:18" ht="48.75" x14ac:dyDescent="0.25">
      <c r="A189" s="86">
        <v>184</v>
      </c>
      <c r="B189" s="59" t="s">
        <v>6664</v>
      </c>
      <c r="C189" s="70">
        <v>44734</v>
      </c>
      <c r="D189" s="70">
        <v>44734</v>
      </c>
      <c r="E189" s="86">
        <v>2</v>
      </c>
      <c r="F189" s="87" t="s">
        <v>22</v>
      </c>
      <c r="G189" s="59" t="s">
        <v>30</v>
      </c>
      <c r="H189" s="55" t="s">
        <v>24</v>
      </c>
      <c r="I189" s="59" t="s">
        <v>30</v>
      </c>
      <c r="J189" s="70">
        <v>44736</v>
      </c>
      <c r="K189" s="70">
        <v>44736</v>
      </c>
      <c r="L189" s="88">
        <f t="shared" si="4"/>
        <v>2</v>
      </c>
      <c r="M189" s="59" t="s">
        <v>6665</v>
      </c>
      <c r="N189" s="59" t="s">
        <v>26</v>
      </c>
      <c r="O189" s="59" t="s">
        <v>2792</v>
      </c>
      <c r="P189" s="59" t="s">
        <v>6666</v>
      </c>
      <c r="Q189" s="59" t="str">
        <f t="shared" si="5"/>
        <v>DENTRO DEL TIEMPO</v>
      </c>
      <c r="R189" s="28"/>
    </row>
    <row r="190" spans="1:18" ht="48.75" x14ac:dyDescent="0.25">
      <c r="A190" s="86">
        <v>185</v>
      </c>
      <c r="B190" s="59" t="s">
        <v>6667</v>
      </c>
      <c r="C190" s="70">
        <v>44734</v>
      </c>
      <c r="D190" s="70">
        <v>44734</v>
      </c>
      <c r="E190" s="86">
        <v>2</v>
      </c>
      <c r="F190" s="87" t="s">
        <v>22</v>
      </c>
      <c r="G190" s="59" t="s">
        <v>30</v>
      </c>
      <c r="H190" s="55" t="s">
        <v>24</v>
      </c>
      <c r="I190" s="59" t="s">
        <v>30</v>
      </c>
      <c r="J190" s="70">
        <v>44739</v>
      </c>
      <c r="K190" s="70">
        <v>44739</v>
      </c>
      <c r="L190" s="88">
        <f t="shared" si="4"/>
        <v>3</v>
      </c>
      <c r="M190" s="59" t="s">
        <v>6668</v>
      </c>
      <c r="N190" s="59" t="s">
        <v>26</v>
      </c>
      <c r="O190" s="59" t="s">
        <v>6669</v>
      </c>
      <c r="P190" s="59" t="s">
        <v>6670</v>
      </c>
      <c r="Q190" s="59" t="str">
        <f t="shared" si="5"/>
        <v>DENTRO DEL TIEMPO</v>
      </c>
      <c r="R190" s="28"/>
    </row>
    <row r="191" spans="1:18" ht="48.75" x14ac:dyDescent="0.25">
      <c r="A191" s="86">
        <v>186</v>
      </c>
      <c r="B191" s="59" t="s">
        <v>6671</v>
      </c>
      <c r="C191" s="70">
        <v>44735</v>
      </c>
      <c r="D191" s="70">
        <v>44735</v>
      </c>
      <c r="E191" s="86">
        <v>2</v>
      </c>
      <c r="F191" s="87" t="s">
        <v>22</v>
      </c>
      <c r="G191" s="59" t="s">
        <v>30</v>
      </c>
      <c r="H191" s="55" t="s">
        <v>24</v>
      </c>
      <c r="I191" s="59" t="s">
        <v>30</v>
      </c>
      <c r="J191" s="70">
        <v>44739</v>
      </c>
      <c r="K191" s="70">
        <v>44739</v>
      </c>
      <c r="L191" s="88">
        <f t="shared" si="4"/>
        <v>2</v>
      </c>
      <c r="M191" s="59" t="s">
        <v>6672</v>
      </c>
      <c r="N191" s="59" t="s">
        <v>26</v>
      </c>
      <c r="O191" s="59" t="s">
        <v>6673</v>
      </c>
      <c r="P191" s="59" t="s">
        <v>6674</v>
      </c>
      <c r="Q191" s="59" t="str">
        <f t="shared" si="5"/>
        <v>DENTRO DEL TIEMPO</v>
      </c>
      <c r="R191" s="28"/>
    </row>
    <row r="192" spans="1:18" ht="48.75" x14ac:dyDescent="0.25">
      <c r="A192" s="86">
        <v>187</v>
      </c>
      <c r="B192" s="59" t="s">
        <v>6675</v>
      </c>
      <c r="C192" s="70">
        <v>44735</v>
      </c>
      <c r="D192" s="70">
        <v>44735</v>
      </c>
      <c r="E192" s="86">
        <v>2</v>
      </c>
      <c r="F192" s="87" t="s">
        <v>22</v>
      </c>
      <c r="G192" s="59" t="s">
        <v>23</v>
      </c>
      <c r="H192" s="55" t="s">
        <v>24</v>
      </c>
      <c r="I192" s="59" t="s">
        <v>23</v>
      </c>
      <c r="J192" s="70">
        <v>44739</v>
      </c>
      <c r="K192" s="70">
        <v>44739</v>
      </c>
      <c r="L192" s="88">
        <f t="shared" si="4"/>
        <v>2</v>
      </c>
      <c r="M192" s="59" t="s">
        <v>6676</v>
      </c>
      <c r="N192" s="59" t="s">
        <v>26</v>
      </c>
      <c r="O192" s="59" t="s">
        <v>6677</v>
      </c>
      <c r="P192" s="59" t="s">
        <v>6678</v>
      </c>
      <c r="Q192" s="59" t="str">
        <f t="shared" si="5"/>
        <v>DENTRO DEL TIEMPO</v>
      </c>
      <c r="R192" s="28"/>
    </row>
    <row r="193" spans="1:18" ht="48.75" x14ac:dyDescent="0.25">
      <c r="A193" s="86">
        <v>188</v>
      </c>
      <c r="B193" s="59" t="s">
        <v>6679</v>
      </c>
      <c r="C193" s="70">
        <v>44735</v>
      </c>
      <c r="D193" s="70">
        <v>44735</v>
      </c>
      <c r="E193" s="86">
        <v>2</v>
      </c>
      <c r="F193" s="87" t="s">
        <v>22</v>
      </c>
      <c r="G193" s="59" t="s">
        <v>30</v>
      </c>
      <c r="H193" s="55" t="s">
        <v>24</v>
      </c>
      <c r="I193" s="59" t="s">
        <v>30</v>
      </c>
      <c r="J193" s="70">
        <v>44739</v>
      </c>
      <c r="K193" s="70">
        <v>44739</v>
      </c>
      <c r="L193" s="88">
        <f t="shared" si="4"/>
        <v>2</v>
      </c>
      <c r="M193" s="59" t="s">
        <v>6680</v>
      </c>
      <c r="N193" s="59" t="s">
        <v>26</v>
      </c>
      <c r="O193" s="59" t="s">
        <v>6681</v>
      </c>
      <c r="P193" s="59" t="s">
        <v>6682</v>
      </c>
      <c r="Q193" s="59" t="str">
        <f t="shared" si="5"/>
        <v>DENTRO DEL TIEMPO</v>
      </c>
      <c r="R193" s="28"/>
    </row>
    <row r="194" spans="1:18" ht="48.75" x14ac:dyDescent="0.25">
      <c r="A194" s="86">
        <v>189</v>
      </c>
      <c r="B194" s="59" t="s">
        <v>6683</v>
      </c>
      <c r="C194" s="70">
        <v>44735</v>
      </c>
      <c r="D194" s="70">
        <v>44735</v>
      </c>
      <c r="E194" s="86">
        <v>2</v>
      </c>
      <c r="F194" s="87" t="s">
        <v>22</v>
      </c>
      <c r="G194" s="59" t="s">
        <v>30</v>
      </c>
      <c r="H194" s="55" t="s">
        <v>24</v>
      </c>
      <c r="I194" s="59" t="s">
        <v>30</v>
      </c>
      <c r="J194" s="70">
        <v>44739</v>
      </c>
      <c r="K194" s="70">
        <v>44739</v>
      </c>
      <c r="L194" s="88">
        <f t="shared" si="4"/>
        <v>2</v>
      </c>
      <c r="M194" s="59" t="s">
        <v>6684</v>
      </c>
      <c r="N194" s="59" t="s">
        <v>26</v>
      </c>
      <c r="O194" s="59" t="s">
        <v>6685</v>
      </c>
      <c r="P194" s="59" t="s">
        <v>6686</v>
      </c>
      <c r="Q194" s="59" t="str">
        <f t="shared" si="5"/>
        <v>DENTRO DEL TIEMPO</v>
      </c>
      <c r="R194" s="28"/>
    </row>
    <row r="195" spans="1:18" ht="48.75" x14ac:dyDescent="0.25">
      <c r="A195" s="86">
        <v>190</v>
      </c>
      <c r="B195" s="59" t="s">
        <v>6687</v>
      </c>
      <c r="C195" s="70">
        <v>44735</v>
      </c>
      <c r="D195" s="70">
        <v>44735</v>
      </c>
      <c r="E195" s="86">
        <v>2</v>
      </c>
      <c r="F195" s="87" t="s">
        <v>22</v>
      </c>
      <c r="G195" s="59" t="s">
        <v>30</v>
      </c>
      <c r="H195" s="55" t="s">
        <v>24</v>
      </c>
      <c r="I195" s="59" t="s">
        <v>30</v>
      </c>
      <c r="J195" s="70">
        <v>44739</v>
      </c>
      <c r="K195" s="70">
        <v>44739</v>
      </c>
      <c r="L195" s="88">
        <f t="shared" si="4"/>
        <v>2</v>
      </c>
      <c r="M195" s="59" t="s">
        <v>6688</v>
      </c>
      <c r="N195" s="59" t="s">
        <v>26</v>
      </c>
      <c r="O195" s="59" t="s">
        <v>2602</v>
      </c>
      <c r="P195" s="59" t="s">
        <v>6526</v>
      </c>
      <c r="Q195" s="59" t="str">
        <f t="shared" si="5"/>
        <v>DENTRO DEL TIEMPO</v>
      </c>
      <c r="R195" s="28"/>
    </row>
    <row r="196" spans="1:18" ht="48.75" x14ac:dyDescent="0.25">
      <c r="A196" s="86">
        <v>191</v>
      </c>
      <c r="B196" s="59" t="s">
        <v>6689</v>
      </c>
      <c r="C196" s="70">
        <v>44735</v>
      </c>
      <c r="D196" s="70">
        <v>44735</v>
      </c>
      <c r="E196" s="86">
        <v>2</v>
      </c>
      <c r="F196" s="87" t="s">
        <v>22</v>
      </c>
      <c r="G196" s="59" t="s">
        <v>30</v>
      </c>
      <c r="H196" s="55" t="s">
        <v>24</v>
      </c>
      <c r="I196" s="59" t="s">
        <v>30</v>
      </c>
      <c r="J196" s="70">
        <v>44739</v>
      </c>
      <c r="K196" s="70">
        <v>44739</v>
      </c>
      <c r="L196" s="88">
        <f t="shared" si="4"/>
        <v>2</v>
      </c>
      <c r="M196" s="59" t="s">
        <v>6690</v>
      </c>
      <c r="N196" s="59" t="s">
        <v>26</v>
      </c>
      <c r="O196" s="59" t="s">
        <v>6691</v>
      </c>
      <c r="P196" s="59" t="s">
        <v>6692</v>
      </c>
      <c r="Q196" s="59" t="str">
        <f t="shared" si="5"/>
        <v>DENTRO DEL TIEMPO</v>
      </c>
      <c r="R196" s="28"/>
    </row>
    <row r="197" spans="1:18" ht="48.75" x14ac:dyDescent="0.25">
      <c r="A197" s="86">
        <v>192</v>
      </c>
      <c r="B197" s="59" t="s">
        <v>6693</v>
      </c>
      <c r="C197" s="70">
        <v>44735</v>
      </c>
      <c r="D197" s="70">
        <v>44735</v>
      </c>
      <c r="E197" s="86">
        <v>2</v>
      </c>
      <c r="F197" s="87" t="s">
        <v>22</v>
      </c>
      <c r="G197" s="59" t="s">
        <v>30</v>
      </c>
      <c r="H197" s="55" t="s">
        <v>24</v>
      </c>
      <c r="I197" s="59" t="s">
        <v>30</v>
      </c>
      <c r="J197" s="70">
        <v>44739</v>
      </c>
      <c r="K197" s="70">
        <v>44739</v>
      </c>
      <c r="L197" s="88">
        <f t="shared" si="4"/>
        <v>2</v>
      </c>
      <c r="M197" s="59" t="s">
        <v>6694</v>
      </c>
      <c r="N197" s="59" t="s">
        <v>26</v>
      </c>
      <c r="O197" s="59" t="s">
        <v>6695</v>
      </c>
      <c r="P197" s="59" t="s">
        <v>6696</v>
      </c>
      <c r="Q197" s="59" t="str">
        <f t="shared" si="5"/>
        <v>DENTRO DEL TIEMPO</v>
      </c>
      <c r="R197" s="28"/>
    </row>
    <row r="198" spans="1:18" ht="48.75" x14ac:dyDescent="0.25">
      <c r="A198" s="86">
        <v>193</v>
      </c>
      <c r="B198" s="59" t="s">
        <v>6697</v>
      </c>
      <c r="C198" s="70">
        <v>44735</v>
      </c>
      <c r="D198" s="70">
        <v>44735</v>
      </c>
      <c r="E198" s="86">
        <v>2</v>
      </c>
      <c r="F198" s="87" t="s">
        <v>22</v>
      </c>
      <c r="G198" s="59" t="s">
        <v>30</v>
      </c>
      <c r="H198" s="55" t="s">
        <v>24</v>
      </c>
      <c r="I198" s="59" t="s">
        <v>30</v>
      </c>
      <c r="J198" s="70">
        <v>44739</v>
      </c>
      <c r="K198" s="70">
        <v>44739</v>
      </c>
      <c r="L198" s="88">
        <f t="shared" si="4"/>
        <v>2</v>
      </c>
      <c r="M198" s="59" t="s">
        <v>6698</v>
      </c>
      <c r="N198" s="59" t="s">
        <v>26</v>
      </c>
      <c r="O198" s="59" t="s">
        <v>2320</v>
      </c>
      <c r="P198" s="59" t="s">
        <v>6699</v>
      </c>
      <c r="Q198" s="59" t="str">
        <f t="shared" si="5"/>
        <v>DENTRO DEL TIEMPO</v>
      </c>
      <c r="R198" s="28"/>
    </row>
    <row r="199" spans="1:18" ht="48.75" x14ac:dyDescent="0.25">
      <c r="A199" s="86">
        <v>194</v>
      </c>
      <c r="B199" s="59" t="s">
        <v>6700</v>
      </c>
      <c r="C199" s="70">
        <v>44735</v>
      </c>
      <c r="D199" s="70">
        <v>44735</v>
      </c>
      <c r="E199" s="86">
        <v>2</v>
      </c>
      <c r="F199" s="87" t="s">
        <v>22</v>
      </c>
      <c r="G199" s="59" t="s">
        <v>30</v>
      </c>
      <c r="H199" s="55" t="s">
        <v>24</v>
      </c>
      <c r="I199" s="59" t="s">
        <v>30</v>
      </c>
      <c r="J199" s="70">
        <v>44739</v>
      </c>
      <c r="K199" s="70">
        <v>44739</v>
      </c>
      <c r="L199" s="88">
        <f t="shared" ref="L199:L262" si="6">+NETWORKDAYS(D199,K199,$R$6:$R$9)-1</f>
        <v>2</v>
      </c>
      <c r="M199" s="59" t="s">
        <v>6701</v>
      </c>
      <c r="N199" s="59" t="s">
        <v>26</v>
      </c>
      <c r="O199" s="59" t="s">
        <v>3025</v>
      </c>
      <c r="P199" s="59" t="s">
        <v>6699</v>
      </c>
      <c r="Q199" s="59" t="str">
        <f t="shared" ref="Q199:Q262" si="7">IF(L199&gt;15,"FUERA DE TIEMPO","DENTRO DEL TIEMPO")</f>
        <v>DENTRO DEL TIEMPO</v>
      </c>
      <c r="R199" s="28"/>
    </row>
    <row r="200" spans="1:18" ht="48.75" x14ac:dyDescent="0.25">
      <c r="A200" s="86">
        <v>195</v>
      </c>
      <c r="B200" s="59" t="s">
        <v>6702</v>
      </c>
      <c r="C200" s="70">
        <v>44735</v>
      </c>
      <c r="D200" s="70">
        <v>44735</v>
      </c>
      <c r="E200" s="86">
        <v>2</v>
      </c>
      <c r="F200" s="87" t="s">
        <v>22</v>
      </c>
      <c r="G200" s="59" t="s">
        <v>30</v>
      </c>
      <c r="H200" s="55" t="s">
        <v>24</v>
      </c>
      <c r="I200" s="59" t="s">
        <v>30</v>
      </c>
      <c r="J200" s="70">
        <v>44739</v>
      </c>
      <c r="K200" s="70">
        <v>44739</v>
      </c>
      <c r="L200" s="88">
        <f t="shared" si="6"/>
        <v>2</v>
      </c>
      <c r="M200" s="59" t="s">
        <v>6703</v>
      </c>
      <c r="N200" s="59" t="s">
        <v>26</v>
      </c>
      <c r="O200" s="59" t="s">
        <v>2411</v>
      </c>
      <c r="P200" s="59" t="s">
        <v>6699</v>
      </c>
      <c r="Q200" s="59" t="str">
        <f t="shared" si="7"/>
        <v>DENTRO DEL TIEMPO</v>
      </c>
      <c r="R200" s="28"/>
    </row>
    <row r="201" spans="1:18" ht="48.75" x14ac:dyDescent="0.25">
      <c r="A201" s="86">
        <v>196</v>
      </c>
      <c r="B201" s="59" t="s">
        <v>6704</v>
      </c>
      <c r="C201" s="70">
        <v>44735</v>
      </c>
      <c r="D201" s="70">
        <v>44735</v>
      </c>
      <c r="E201" s="86">
        <v>2</v>
      </c>
      <c r="F201" s="87" t="s">
        <v>22</v>
      </c>
      <c r="G201" s="59" t="s">
        <v>30</v>
      </c>
      <c r="H201" s="55" t="s">
        <v>24</v>
      </c>
      <c r="I201" s="59" t="s">
        <v>30</v>
      </c>
      <c r="J201" s="70">
        <v>44739</v>
      </c>
      <c r="K201" s="70">
        <v>44739</v>
      </c>
      <c r="L201" s="88">
        <f t="shared" si="6"/>
        <v>2</v>
      </c>
      <c r="M201" s="59" t="s">
        <v>6705</v>
      </c>
      <c r="N201" s="59" t="s">
        <v>26</v>
      </c>
      <c r="O201" s="59" t="s">
        <v>4563</v>
      </c>
      <c r="P201" s="59" t="s">
        <v>6699</v>
      </c>
      <c r="Q201" s="59" t="str">
        <f t="shared" si="7"/>
        <v>DENTRO DEL TIEMPO</v>
      </c>
      <c r="R201" s="28"/>
    </row>
    <row r="202" spans="1:18" ht="48.75" x14ac:dyDescent="0.25">
      <c r="A202" s="86">
        <v>197</v>
      </c>
      <c r="B202" s="59" t="s">
        <v>6706</v>
      </c>
      <c r="C202" s="70">
        <v>44735</v>
      </c>
      <c r="D202" s="70">
        <v>44735</v>
      </c>
      <c r="E202" s="86">
        <v>2</v>
      </c>
      <c r="F202" s="87" t="s">
        <v>22</v>
      </c>
      <c r="G202" s="59" t="s">
        <v>30</v>
      </c>
      <c r="H202" s="55" t="s">
        <v>24</v>
      </c>
      <c r="I202" s="59" t="s">
        <v>30</v>
      </c>
      <c r="J202" s="70">
        <v>44739</v>
      </c>
      <c r="K202" s="70">
        <v>44739</v>
      </c>
      <c r="L202" s="88">
        <f t="shared" si="6"/>
        <v>2</v>
      </c>
      <c r="M202" s="59" t="s">
        <v>6707</v>
      </c>
      <c r="N202" s="59" t="s">
        <v>26</v>
      </c>
      <c r="O202" s="59" t="s">
        <v>2411</v>
      </c>
      <c r="P202" s="59" t="s">
        <v>6699</v>
      </c>
      <c r="Q202" s="59" t="str">
        <f t="shared" si="7"/>
        <v>DENTRO DEL TIEMPO</v>
      </c>
      <c r="R202" s="28"/>
    </row>
    <row r="203" spans="1:18" ht="48.75" x14ac:dyDescent="0.25">
      <c r="A203" s="86">
        <v>198</v>
      </c>
      <c r="B203" s="59" t="s">
        <v>6708</v>
      </c>
      <c r="C203" s="70">
        <v>44735</v>
      </c>
      <c r="D203" s="70">
        <v>44735</v>
      </c>
      <c r="E203" s="86">
        <v>2</v>
      </c>
      <c r="F203" s="87" t="s">
        <v>22</v>
      </c>
      <c r="G203" s="59" t="s">
        <v>30</v>
      </c>
      <c r="H203" s="55" t="s">
        <v>24</v>
      </c>
      <c r="I203" s="59" t="s">
        <v>30</v>
      </c>
      <c r="J203" s="70">
        <v>44739</v>
      </c>
      <c r="K203" s="70">
        <v>44739</v>
      </c>
      <c r="L203" s="88">
        <f t="shared" si="6"/>
        <v>2</v>
      </c>
      <c r="M203" s="59" t="s">
        <v>6709</v>
      </c>
      <c r="N203" s="59" t="s">
        <v>26</v>
      </c>
      <c r="O203" s="59" t="s">
        <v>3324</v>
      </c>
      <c r="P203" s="59" t="s">
        <v>6710</v>
      </c>
      <c r="Q203" s="59" t="str">
        <f t="shared" si="7"/>
        <v>DENTRO DEL TIEMPO</v>
      </c>
      <c r="R203" s="28"/>
    </row>
    <row r="204" spans="1:18" ht="48.75" x14ac:dyDescent="0.25">
      <c r="A204" s="86">
        <v>199</v>
      </c>
      <c r="B204" s="59" t="s">
        <v>6711</v>
      </c>
      <c r="C204" s="70">
        <v>44735</v>
      </c>
      <c r="D204" s="70">
        <v>44735</v>
      </c>
      <c r="E204" s="86">
        <v>2</v>
      </c>
      <c r="F204" s="87" t="s">
        <v>22</v>
      </c>
      <c r="G204" s="59" t="s">
        <v>30</v>
      </c>
      <c r="H204" s="55" t="s">
        <v>24</v>
      </c>
      <c r="I204" s="59" t="s">
        <v>30</v>
      </c>
      <c r="J204" s="70">
        <v>44739</v>
      </c>
      <c r="K204" s="70">
        <v>44739</v>
      </c>
      <c r="L204" s="88">
        <f t="shared" si="6"/>
        <v>2</v>
      </c>
      <c r="M204" s="59" t="s">
        <v>6712</v>
      </c>
      <c r="N204" s="59" t="s">
        <v>26</v>
      </c>
      <c r="O204" s="59" t="s">
        <v>6713</v>
      </c>
      <c r="P204" s="59" t="s">
        <v>6714</v>
      </c>
      <c r="Q204" s="59" t="str">
        <f t="shared" si="7"/>
        <v>DENTRO DEL TIEMPO</v>
      </c>
      <c r="R204" s="28"/>
    </row>
    <row r="205" spans="1:18" ht="48.75" x14ac:dyDescent="0.25">
      <c r="A205" s="86">
        <v>200</v>
      </c>
      <c r="B205" s="59" t="s">
        <v>6715</v>
      </c>
      <c r="C205" s="70">
        <v>44735</v>
      </c>
      <c r="D205" s="70">
        <v>44735</v>
      </c>
      <c r="E205" s="86">
        <v>2</v>
      </c>
      <c r="F205" s="87" t="s">
        <v>22</v>
      </c>
      <c r="G205" s="59" t="s">
        <v>30</v>
      </c>
      <c r="H205" s="55" t="s">
        <v>24</v>
      </c>
      <c r="I205" s="59" t="s">
        <v>30</v>
      </c>
      <c r="J205" s="70">
        <v>44739</v>
      </c>
      <c r="K205" s="70">
        <v>44739</v>
      </c>
      <c r="L205" s="88">
        <f t="shared" si="6"/>
        <v>2</v>
      </c>
      <c r="M205" s="59" t="s">
        <v>6716</v>
      </c>
      <c r="N205" s="59" t="s">
        <v>26</v>
      </c>
      <c r="O205" s="59" t="s">
        <v>2710</v>
      </c>
      <c r="P205" s="59" t="s">
        <v>6717</v>
      </c>
      <c r="Q205" s="59" t="str">
        <f t="shared" si="7"/>
        <v>DENTRO DEL TIEMPO</v>
      </c>
      <c r="R205" s="28"/>
    </row>
    <row r="206" spans="1:18" ht="48.75" hidden="1" x14ac:dyDescent="0.25">
      <c r="A206" s="86">
        <v>201</v>
      </c>
      <c r="B206" s="59" t="s">
        <v>6718</v>
      </c>
      <c r="C206" s="70">
        <v>44735</v>
      </c>
      <c r="D206" s="70">
        <v>44735</v>
      </c>
      <c r="E206" s="86">
        <v>0</v>
      </c>
      <c r="F206" s="87" t="s">
        <v>790</v>
      </c>
      <c r="G206" s="59" t="s">
        <v>6719</v>
      </c>
      <c r="H206" s="55" t="s">
        <v>24</v>
      </c>
      <c r="I206" s="59" t="s">
        <v>6719</v>
      </c>
      <c r="J206" s="70">
        <v>44740</v>
      </c>
      <c r="K206" s="70">
        <v>44740</v>
      </c>
      <c r="L206" s="88">
        <f t="shared" si="6"/>
        <v>3</v>
      </c>
      <c r="M206" s="59" t="s">
        <v>6720</v>
      </c>
      <c r="N206" s="59" t="s">
        <v>26</v>
      </c>
      <c r="O206" s="59" t="s">
        <v>6721</v>
      </c>
      <c r="P206" s="59" t="s">
        <v>6678</v>
      </c>
      <c r="Q206" s="59" t="str">
        <f t="shared" si="7"/>
        <v>DENTRO DEL TIEMPO</v>
      </c>
      <c r="R206" s="28"/>
    </row>
    <row r="207" spans="1:18" ht="48.75" x14ac:dyDescent="0.25">
      <c r="A207" s="86">
        <v>202</v>
      </c>
      <c r="B207" s="59" t="s">
        <v>6722</v>
      </c>
      <c r="C207" s="70">
        <v>44736</v>
      </c>
      <c r="D207" s="70">
        <v>44736</v>
      </c>
      <c r="E207" s="86">
        <v>2</v>
      </c>
      <c r="F207" s="87" t="s">
        <v>22</v>
      </c>
      <c r="G207" s="59" t="s">
        <v>30</v>
      </c>
      <c r="H207" s="55" t="s">
        <v>24</v>
      </c>
      <c r="I207" s="59" t="s">
        <v>30</v>
      </c>
      <c r="J207" s="70">
        <v>44739</v>
      </c>
      <c r="K207" s="70">
        <v>44739</v>
      </c>
      <c r="L207" s="88">
        <f t="shared" si="6"/>
        <v>1</v>
      </c>
      <c r="M207" s="59" t="s">
        <v>6723</v>
      </c>
      <c r="N207" s="59" t="s">
        <v>26</v>
      </c>
      <c r="O207" s="59" t="s">
        <v>4458</v>
      </c>
      <c r="P207" s="59" t="s">
        <v>6154</v>
      </c>
      <c r="Q207" s="59" t="str">
        <f t="shared" si="7"/>
        <v>DENTRO DEL TIEMPO</v>
      </c>
      <c r="R207" s="28"/>
    </row>
    <row r="208" spans="1:18" ht="48.75" x14ac:dyDescent="0.25">
      <c r="A208" s="86">
        <v>203</v>
      </c>
      <c r="B208" s="59" t="s">
        <v>6724</v>
      </c>
      <c r="C208" s="70">
        <v>44736</v>
      </c>
      <c r="D208" s="70">
        <v>44736</v>
      </c>
      <c r="E208" s="86">
        <v>2</v>
      </c>
      <c r="F208" s="87" t="s">
        <v>22</v>
      </c>
      <c r="G208" s="59" t="s">
        <v>30</v>
      </c>
      <c r="H208" s="55" t="s">
        <v>24</v>
      </c>
      <c r="I208" s="59" t="s">
        <v>30</v>
      </c>
      <c r="J208" s="70">
        <v>44739</v>
      </c>
      <c r="K208" s="70">
        <v>44739</v>
      </c>
      <c r="L208" s="88">
        <f t="shared" si="6"/>
        <v>1</v>
      </c>
      <c r="M208" s="59" t="s">
        <v>6725</v>
      </c>
      <c r="N208" s="59" t="s">
        <v>26</v>
      </c>
      <c r="O208" s="59" t="s">
        <v>4356</v>
      </c>
      <c r="P208" s="59" t="s">
        <v>6726</v>
      </c>
      <c r="Q208" s="59" t="str">
        <f t="shared" si="7"/>
        <v>DENTRO DEL TIEMPO</v>
      </c>
      <c r="R208" s="28"/>
    </row>
    <row r="209" spans="1:18" ht="48.75" x14ac:dyDescent="0.25">
      <c r="A209" s="86">
        <v>204</v>
      </c>
      <c r="B209" s="59" t="s">
        <v>6727</v>
      </c>
      <c r="C209" s="70">
        <v>44736</v>
      </c>
      <c r="D209" s="70">
        <v>44736</v>
      </c>
      <c r="E209" s="86">
        <v>2</v>
      </c>
      <c r="F209" s="87" t="s">
        <v>22</v>
      </c>
      <c r="G209" s="59" t="s">
        <v>30</v>
      </c>
      <c r="H209" s="55" t="s">
        <v>24</v>
      </c>
      <c r="I209" s="59" t="s">
        <v>30</v>
      </c>
      <c r="J209" s="70">
        <v>44739</v>
      </c>
      <c r="K209" s="70">
        <v>44739</v>
      </c>
      <c r="L209" s="88">
        <f t="shared" si="6"/>
        <v>1</v>
      </c>
      <c r="M209" s="59" t="s">
        <v>6728</v>
      </c>
      <c r="N209" s="59" t="s">
        <v>26</v>
      </c>
      <c r="O209" s="59" t="s">
        <v>4356</v>
      </c>
      <c r="P209" s="59" t="s">
        <v>6726</v>
      </c>
      <c r="Q209" s="59" t="str">
        <f t="shared" si="7"/>
        <v>DENTRO DEL TIEMPO</v>
      </c>
      <c r="R209" s="28"/>
    </row>
    <row r="210" spans="1:18" ht="48.75" x14ac:dyDescent="0.25">
      <c r="A210" s="86">
        <v>205</v>
      </c>
      <c r="B210" s="59" t="s">
        <v>6729</v>
      </c>
      <c r="C210" s="70">
        <v>44736</v>
      </c>
      <c r="D210" s="70">
        <v>44736</v>
      </c>
      <c r="E210" s="86">
        <v>2</v>
      </c>
      <c r="F210" s="87" t="s">
        <v>22</v>
      </c>
      <c r="G210" s="59" t="s">
        <v>30</v>
      </c>
      <c r="H210" s="55" t="s">
        <v>24</v>
      </c>
      <c r="I210" s="59" t="s">
        <v>30</v>
      </c>
      <c r="J210" s="70">
        <v>44740</v>
      </c>
      <c r="K210" s="70">
        <v>44740</v>
      </c>
      <c r="L210" s="88">
        <f t="shared" si="6"/>
        <v>2</v>
      </c>
      <c r="M210" s="59" t="s">
        <v>6730</v>
      </c>
      <c r="N210" s="59" t="s">
        <v>26</v>
      </c>
      <c r="O210" s="59" t="s">
        <v>2271</v>
      </c>
      <c r="P210" s="59" t="s">
        <v>6726</v>
      </c>
      <c r="Q210" s="59" t="str">
        <f t="shared" si="7"/>
        <v>DENTRO DEL TIEMPO</v>
      </c>
      <c r="R210" s="28"/>
    </row>
    <row r="211" spans="1:18" ht="48.75" x14ac:dyDescent="0.25">
      <c r="A211" s="86">
        <v>206</v>
      </c>
      <c r="B211" s="59" t="s">
        <v>6731</v>
      </c>
      <c r="C211" s="70">
        <v>44736</v>
      </c>
      <c r="D211" s="70">
        <v>44736</v>
      </c>
      <c r="E211" s="86">
        <v>2</v>
      </c>
      <c r="F211" s="87" t="s">
        <v>22</v>
      </c>
      <c r="G211" s="59" t="s">
        <v>30</v>
      </c>
      <c r="H211" s="55" t="s">
        <v>24</v>
      </c>
      <c r="I211" s="59" t="s">
        <v>30</v>
      </c>
      <c r="J211" s="70">
        <v>44736</v>
      </c>
      <c r="K211" s="70">
        <v>44736</v>
      </c>
      <c r="L211" s="88">
        <f t="shared" si="6"/>
        <v>0</v>
      </c>
      <c r="M211" s="59" t="s">
        <v>6732</v>
      </c>
      <c r="N211" s="59" t="s">
        <v>26</v>
      </c>
      <c r="O211" s="59" t="s">
        <v>6733</v>
      </c>
      <c r="P211" s="59" t="s">
        <v>6734</v>
      </c>
      <c r="Q211" s="59" t="str">
        <f t="shared" si="7"/>
        <v>DENTRO DEL TIEMPO</v>
      </c>
      <c r="R211" s="28"/>
    </row>
    <row r="212" spans="1:18" ht="48.75" x14ac:dyDescent="0.25">
      <c r="A212" s="86">
        <v>207</v>
      </c>
      <c r="B212" s="59" t="s">
        <v>6735</v>
      </c>
      <c r="C212" s="70">
        <v>44736</v>
      </c>
      <c r="D212" s="70">
        <v>44736</v>
      </c>
      <c r="E212" s="86">
        <v>2</v>
      </c>
      <c r="F212" s="87" t="s">
        <v>22</v>
      </c>
      <c r="G212" s="59" t="s">
        <v>30</v>
      </c>
      <c r="H212" s="55" t="s">
        <v>24</v>
      </c>
      <c r="I212" s="59" t="s">
        <v>30</v>
      </c>
      <c r="J212" s="70">
        <v>44740</v>
      </c>
      <c r="K212" s="70">
        <v>44740</v>
      </c>
      <c r="L212" s="88">
        <f t="shared" si="6"/>
        <v>2</v>
      </c>
      <c r="M212" s="59" t="s">
        <v>6736</v>
      </c>
      <c r="N212" s="59" t="s">
        <v>26</v>
      </c>
      <c r="O212" s="59" t="s">
        <v>4458</v>
      </c>
      <c r="P212" s="59" t="s">
        <v>6154</v>
      </c>
      <c r="Q212" s="59" t="str">
        <f t="shared" si="7"/>
        <v>DENTRO DEL TIEMPO</v>
      </c>
      <c r="R212" s="28"/>
    </row>
    <row r="213" spans="1:18" ht="48.75" x14ac:dyDescent="0.25">
      <c r="A213" s="86">
        <v>208</v>
      </c>
      <c r="B213" s="59" t="s">
        <v>6737</v>
      </c>
      <c r="C213" s="70">
        <v>44736</v>
      </c>
      <c r="D213" s="70">
        <v>44736</v>
      </c>
      <c r="E213" s="86">
        <v>2</v>
      </c>
      <c r="F213" s="87" t="s">
        <v>22</v>
      </c>
      <c r="G213" s="59" t="s">
        <v>30</v>
      </c>
      <c r="H213" s="55" t="s">
        <v>24</v>
      </c>
      <c r="I213" s="59" t="s">
        <v>30</v>
      </c>
      <c r="J213" s="70">
        <v>44740</v>
      </c>
      <c r="K213" s="70">
        <v>44740</v>
      </c>
      <c r="L213" s="88">
        <f t="shared" si="6"/>
        <v>2</v>
      </c>
      <c r="M213" s="59" t="s">
        <v>6738</v>
      </c>
      <c r="N213" s="59" t="s">
        <v>26</v>
      </c>
      <c r="O213" s="59" t="s">
        <v>4458</v>
      </c>
      <c r="P213" s="59" t="s">
        <v>6154</v>
      </c>
      <c r="Q213" s="59" t="str">
        <f t="shared" si="7"/>
        <v>DENTRO DEL TIEMPO</v>
      </c>
      <c r="R213" s="28"/>
    </row>
    <row r="214" spans="1:18" ht="48.75" x14ac:dyDescent="0.25">
      <c r="A214" s="86">
        <v>209</v>
      </c>
      <c r="B214" s="59" t="s">
        <v>6739</v>
      </c>
      <c r="C214" s="70">
        <v>44736</v>
      </c>
      <c r="D214" s="70">
        <v>44736</v>
      </c>
      <c r="E214" s="86">
        <v>2</v>
      </c>
      <c r="F214" s="87" t="s">
        <v>22</v>
      </c>
      <c r="G214" s="59" t="s">
        <v>30</v>
      </c>
      <c r="H214" s="55" t="s">
        <v>24</v>
      </c>
      <c r="I214" s="59" t="s">
        <v>30</v>
      </c>
      <c r="J214" s="70">
        <v>44740</v>
      </c>
      <c r="K214" s="70">
        <v>44740</v>
      </c>
      <c r="L214" s="88">
        <f t="shared" si="6"/>
        <v>2</v>
      </c>
      <c r="M214" s="59" t="s">
        <v>6740</v>
      </c>
      <c r="N214" s="59" t="s">
        <v>26</v>
      </c>
      <c r="O214" s="59" t="s">
        <v>4458</v>
      </c>
      <c r="P214" s="59" t="s">
        <v>6154</v>
      </c>
      <c r="Q214" s="59" t="str">
        <f t="shared" si="7"/>
        <v>DENTRO DEL TIEMPO</v>
      </c>
      <c r="R214" s="28"/>
    </row>
    <row r="215" spans="1:18" ht="48.75" x14ac:dyDescent="0.25">
      <c r="A215" s="86">
        <v>210</v>
      </c>
      <c r="B215" s="59" t="s">
        <v>6741</v>
      </c>
      <c r="C215" s="70">
        <v>44736</v>
      </c>
      <c r="D215" s="70">
        <v>44736</v>
      </c>
      <c r="E215" s="86">
        <v>2</v>
      </c>
      <c r="F215" s="87" t="s">
        <v>22</v>
      </c>
      <c r="G215" s="59" t="s">
        <v>30</v>
      </c>
      <c r="H215" s="55" t="s">
        <v>24</v>
      </c>
      <c r="I215" s="59" t="s">
        <v>30</v>
      </c>
      <c r="J215" s="70">
        <v>44740</v>
      </c>
      <c r="K215" s="70">
        <v>44740</v>
      </c>
      <c r="L215" s="88">
        <f t="shared" si="6"/>
        <v>2</v>
      </c>
      <c r="M215" s="59" t="s">
        <v>6742</v>
      </c>
      <c r="N215" s="59" t="s">
        <v>26</v>
      </c>
      <c r="O215" s="59" t="s">
        <v>4458</v>
      </c>
      <c r="P215" s="59" t="s">
        <v>6154</v>
      </c>
      <c r="Q215" s="59" t="str">
        <f t="shared" si="7"/>
        <v>DENTRO DEL TIEMPO</v>
      </c>
      <c r="R215" s="28"/>
    </row>
    <row r="216" spans="1:18" ht="48.75" x14ac:dyDescent="0.25">
      <c r="A216" s="86">
        <v>211</v>
      </c>
      <c r="B216" s="59" t="s">
        <v>6743</v>
      </c>
      <c r="C216" s="70">
        <v>44736</v>
      </c>
      <c r="D216" s="70">
        <v>44736</v>
      </c>
      <c r="E216" s="86">
        <v>2</v>
      </c>
      <c r="F216" s="87" t="s">
        <v>22</v>
      </c>
      <c r="G216" s="59" t="s">
        <v>30</v>
      </c>
      <c r="H216" s="55" t="s">
        <v>24</v>
      </c>
      <c r="I216" s="59" t="s">
        <v>30</v>
      </c>
      <c r="J216" s="70">
        <v>44740</v>
      </c>
      <c r="K216" s="70">
        <v>44740</v>
      </c>
      <c r="L216" s="88">
        <f t="shared" si="6"/>
        <v>2</v>
      </c>
      <c r="M216" s="59" t="s">
        <v>6744</v>
      </c>
      <c r="N216" s="59" t="s">
        <v>26</v>
      </c>
      <c r="O216" s="59" t="s">
        <v>4458</v>
      </c>
      <c r="P216" s="59" t="s">
        <v>6154</v>
      </c>
      <c r="Q216" s="59" t="str">
        <f t="shared" si="7"/>
        <v>DENTRO DEL TIEMPO</v>
      </c>
      <c r="R216" s="28"/>
    </row>
    <row r="217" spans="1:18" ht="48.75" x14ac:dyDescent="0.25">
      <c r="A217" s="86">
        <v>212</v>
      </c>
      <c r="B217" s="59" t="s">
        <v>6745</v>
      </c>
      <c r="C217" s="70">
        <v>44736</v>
      </c>
      <c r="D217" s="70">
        <v>44736</v>
      </c>
      <c r="E217" s="86">
        <v>2</v>
      </c>
      <c r="F217" s="87" t="s">
        <v>22</v>
      </c>
      <c r="G217" s="59" t="s">
        <v>30</v>
      </c>
      <c r="H217" s="55" t="s">
        <v>24</v>
      </c>
      <c r="I217" s="59" t="s">
        <v>30</v>
      </c>
      <c r="J217" s="70">
        <v>44740</v>
      </c>
      <c r="K217" s="70">
        <v>44740</v>
      </c>
      <c r="L217" s="88">
        <f t="shared" si="6"/>
        <v>2</v>
      </c>
      <c r="M217" s="59" t="s">
        <v>6746</v>
      </c>
      <c r="N217" s="59" t="s">
        <v>26</v>
      </c>
      <c r="O217" s="59" t="s">
        <v>4458</v>
      </c>
      <c r="P217" s="59" t="s">
        <v>6154</v>
      </c>
      <c r="Q217" s="59" t="str">
        <f t="shared" si="7"/>
        <v>DENTRO DEL TIEMPO</v>
      </c>
      <c r="R217" s="28"/>
    </row>
    <row r="218" spans="1:18" ht="48.75" x14ac:dyDescent="0.25">
      <c r="A218" s="86">
        <v>213</v>
      </c>
      <c r="B218" s="59" t="s">
        <v>6747</v>
      </c>
      <c r="C218" s="70">
        <v>44736</v>
      </c>
      <c r="D218" s="70">
        <v>44736</v>
      </c>
      <c r="E218" s="86">
        <v>2</v>
      </c>
      <c r="F218" s="87" t="s">
        <v>22</v>
      </c>
      <c r="G218" s="59" t="s">
        <v>30</v>
      </c>
      <c r="H218" s="55" t="s">
        <v>24</v>
      </c>
      <c r="I218" s="59" t="s">
        <v>30</v>
      </c>
      <c r="J218" s="70">
        <v>44740</v>
      </c>
      <c r="K218" s="70">
        <v>44740</v>
      </c>
      <c r="L218" s="88">
        <f t="shared" si="6"/>
        <v>2</v>
      </c>
      <c r="M218" s="59" t="s">
        <v>6748</v>
      </c>
      <c r="N218" s="59" t="s">
        <v>26</v>
      </c>
      <c r="O218" s="59" t="s">
        <v>4458</v>
      </c>
      <c r="P218" s="59" t="s">
        <v>6154</v>
      </c>
      <c r="Q218" s="59" t="str">
        <f t="shared" si="7"/>
        <v>DENTRO DEL TIEMPO</v>
      </c>
      <c r="R218" s="28"/>
    </row>
    <row r="219" spans="1:18" ht="48.75" x14ac:dyDescent="0.25">
      <c r="A219" s="86">
        <v>214</v>
      </c>
      <c r="B219" s="59" t="s">
        <v>6749</v>
      </c>
      <c r="C219" s="70">
        <v>44736</v>
      </c>
      <c r="D219" s="70">
        <v>44736</v>
      </c>
      <c r="E219" s="86">
        <v>2</v>
      </c>
      <c r="F219" s="87" t="s">
        <v>22</v>
      </c>
      <c r="G219" s="59" t="s">
        <v>30</v>
      </c>
      <c r="H219" s="55" t="s">
        <v>24</v>
      </c>
      <c r="I219" s="59" t="s">
        <v>30</v>
      </c>
      <c r="J219" s="70">
        <v>44740</v>
      </c>
      <c r="K219" s="70">
        <v>44740</v>
      </c>
      <c r="L219" s="88">
        <f t="shared" si="6"/>
        <v>2</v>
      </c>
      <c r="M219" s="59" t="s">
        <v>6750</v>
      </c>
      <c r="N219" s="59" t="s">
        <v>26</v>
      </c>
      <c r="O219" s="59" t="s">
        <v>4458</v>
      </c>
      <c r="P219" s="59" t="s">
        <v>6154</v>
      </c>
      <c r="Q219" s="59" t="str">
        <f t="shared" si="7"/>
        <v>DENTRO DEL TIEMPO</v>
      </c>
      <c r="R219" s="28"/>
    </row>
    <row r="220" spans="1:18" ht="48.75" x14ac:dyDescent="0.25">
      <c r="A220" s="86">
        <v>215</v>
      </c>
      <c r="B220" s="59" t="s">
        <v>6751</v>
      </c>
      <c r="C220" s="70">
        <v>44736</v>
      </c>
      <c r="D220" s="70">
        <v>44736</v>
      </c>
      <c r="E220" s="86">
        <v>2</v>
      </c>
      <c r="F220" s="87" t="s">
        <v>22</v>
      </c>
      <c r="G220" s="59" t="s">
        <v>30</v>
      </c>
      <c r="H220" s="55" t="s">
        <v>24</v>
      </c>
      <c r="I220" s="59" t="s">
        <v>30</v>
      </c>
      <c r="J220" s="70">
        <v>44740</v>
      </c>
      <c r="K220" s="70">
        <v>44740</v>
      </c>
      <c r="L220" s="88">
        <f t="shared" si="6"/>
        <v>2</v>
      </c>
      <c r="M220" s="59" t="s">
        <v>6752</v>
      </c>
      <c r="N220" s="59" t="s">
        <v>26</v>
      </c>
      <c r="O220" s="59" t="s">
        <v>4458</v>
      </c>
      <c r="P220" s="59" t="s">
        <v>6154</v>
      </c>
      <c r="Q220" s="59" t="str">
        <f t="shared" si="7"/>
        <v>DENTRO DEL TIEMPO</v>
      </c>
      <c r="R220" s="28"/>
    </row>
    <row r="221" spans="1:18" ht="48.75" x14ac:dyDescent="0.25">
      <c r="A221" s="86">
        <v>216</v>
      </c>
      <c r="B221" s="59" t="s">
        <v>6753</v>
      </c>
      <c r="C221" s="70">
        <v>44736</v>
      </c>
      <c r="D221" s="70">
        <v>44736</v>
      </c>
      <c r="E221" s="86">
        <v>2</v>
      </c>
      <c r="F221" s="87" t="s">
        <v>22</v>
      </c>
      <c r="G221" s="59" t="s">
        <v>30</v>
      </c>
      <c r="H221" s="55" t="s">
        <v>24</v>
      </c>
      <c r="I221" s="59" t="s">
        <v>30</v>
      </c>
      <c r="J221" s="70">
        <v>44741</v>
      </c>
      <c r="K221" s="70">
        <v>44741</v>
      </c>
      <c r="L221" s="88">
        <f t="shared" si="6"/>
        <v>3</v>
      </c>
      <c r="M221" s="59" t="s">
        <v>6754</v>
      </c>
      <c r="N221" s="59" t="s">
        <v>26</v>
      </c>
      <c r="O221" s="59" t="s">
        <v>2683</v>
      </c>
      <c r="P221" s="59" t="s">
        <v>6154</v>
      </c>
      <c r="Q221" s="59" t="str">
        <f t="shared" si="7"/>
        <v>DENTRO DEL TIEMPO</v>
      </c>
      <c r="R221" s="28"/>
    </row>
    <row r="222" spans="1:18" ht="48.75" x14ac:dyDescent="0.25">
      <c r="A222" s="86">
        <v>217</v>
      </c>
      <c r="B222" s="59" t="s">
        <v>6755</v>
      </c>
      <c r="C222" s="70">
        <v>44736</v>
      </c>
      <c r="D222" s="70">
        <v>44736</v>
      </c>
      <c r="E222" s="86">
        <v>2</v>
      </c>
      <c r="F222" s="87" t="s">
        <v>22</v>
      </c>
      <c r="G222" s="59" t="s">
        <v>30</v>
      </c>
      <c r="H222" s="55" t="s">
        <v>24</v>
      </c>
      <c r="I222" s="59" t="s">
        <v>30</v>
      </c>
      <c r="J222" s="70">
        <v>44741</v>
      </c>
      <c r="K222" s="70">
        <v>44741</v>
      </c>
      <c r="L222" s="88">
        <f t="shared" si="6"/>
        <v>3</v>
      </c>
      <c r="M222" s="59" t="s">
        <v>6756</v>
      </c>
      <c r="N222" s="59" t="s">
        <v>26</v>
      </c>
      <c r="O222" s="59" t="s">
        <v>2683</v>
      </c>
      <c r="P222" s="59" t="s">
        <v>6154</v>
      </c>
      <c r="Q222" s="59" t="str">
        <f t="shared" si="7"/>
        <v>DENTRO DEL TIEMPO</v>
      </c>
      <c r="R222" s="28"/>
    </row>
    <row r="223" spans="1:18" ht="48.75" x14ac:dyDescent="0.25">
      <c r="A223" s="86">
        <v>218</v>
      </c>
      <c r="B223" s="59" t="s">
        <v>6757</v>
      </c>
      <c r="C223" s="70">
        <v>44736</v>
      </c>
      <c r="D223" s="70">
        <v>44736</v>
      </c>
      <c r="E223" s="86">
        <v>2</v>
      </c>
      <c r="F223" s="87" t="s">
        <v>22</v>
      </c>
      <c r="G223" s="59" t="s">
        <v>30</v>
      </c>
      <c r="H223" s="55" t="s">
        <v>24</v>
      </c>
      <c r="I223" s="59" t="s">
        <v>30</v>
      </c>
      <c r="J223" s="70">
        <v>44741</v>
      </c>
      <c r="K223" s="70">
        <v>44741</v>
      </c>
      <c r="L223" s="88">
        <f t="shared" si="6"/>
        <v>3</v>
      </c>
      <c r="M223" s="59" t="s">
        <v>6758</v>
      </c>
      <c r="N223" s="59" t="s">
        <v>26</v>
      </c>
      <c r="O223" s="59" t="s">
        <v>2683</v>
      </c>
      <c r="P223" s="59" t="s">
        <v>6154</v>
      </c>
      <c r="Q223" s="59" t="str">
        <f t="shared" si="7"/>
        <v>DENTRO DEL TIEMPO</v>
      </c>
      <c r="R223" s="28"/>
    </row>
    <row r="224" spans="1:18" ht="48.75" x14ac:dyDescent="0.25">
      <c r="A224" s="86">
        <v>219</v>
      </c>
      <c r="B224" s="59" t="s">
        <v>6759</v>
      </c>
      <c r="C224" s="70">
        <v>44736</v>
      </c>
      <c r="D224" s="70">
        <v>44736</v>
      </c>
      <c r="E224" s="86">
        <v>2</v>
      </c>
      <c r="F224" s="87" t="s">
        <v>22</v>
      </c>
      <c r="G224" s="59" t="s">
        <v>30</v>
      </c>
      <c r="H224" s="55" t="s">
        <v>24</v>
      </c>
      <c r="I224" s="59" t="s">
        <v>30</v>
      </c>
      <c r="J224" s="70">
        <v>44741</v>
      </c>
      <c r="K224" s="70">
        <v>44741</v>
      </c>
      <c r="L224" s="88">
        <f t="shared" si="6"/>
        <v>3</v>
      </c>
      <c r="M224" s="59" t="s">
        <v>6760</v>
      </c>
      <c r="N224" s="59" t="s">
        <v>26</v>
      </c>
      <c r="O224" s="59" t="s">
        <v>2683</v>
      </c>
      <c r="P224" s="59" t="s">
        <v>6154</v>
      </c>
      <c r="Q224" s="59" t="str">
        <f t="shared" si="7"/>
        <v>DENTRO DEL TIEMPO</v>
      </c>
      <c r="R224" s="28"/>
    </row>
    <row r="225" spans="1:18" ht="48.75" x14ac:dyDescent="0.25">
      <c r="A225" s="86">
        <v>220</v>
      </c>
      <c r="B225" s="59" t="s">
        <v>6761</v>
      </c>
      <c r="C225" s="70">
        <v>44736</v>
      </c>
      <c r="D225" s="70">
        <v>44736</v>
      </c>
      <c r="E225" s="86">
        <v>2</v>
      </c>
      <c r="F225" s="87" t="s">
        <v>22</v>
      </c>
      <c r="G225" s="59" t="s">
        <v>30</v>
      </c>
      <c r="H225" s="55" t="s">
        <v>24</v>
      </c>
      <c r="I225" s="59" t="s">
        <v>30</v>
      </c>
      <c r="J225" s="70">
        <v>44741</v>
      </c>
      <c r="K225" s="70">
        <v>44741</v>
      </c>
      <c r="L225" s="88">
        <f t="shared" si="6"/>
        <v>3</v>
      </c>
      <c r="M225" s="59" t="s">
        <v>6762</v>
      </c>
      <c r="N225" s="59" t="s">
        <v>26</v>
      </c>
      <c r="O225" s="59" t="s">
        <v>2683</v>
      </c>
      <c r="P225" s="59" t="s">
        <v>6154</v>
      </c>
      <c r="Q225" s="59" t="str">
        <f t="shared" si="7"/>
        <v>DENTRO DEL TIEMPO</v>
      </c>
      <c r="R225" s="28"/>
    </row>
    <row r="226" spans="1:18" ht="48.75" x14ac:dyDescent="0.25">
      <c r="A226" s="86">
        <v>221</v>
      </c>
      <c r="B226" s="59" t="s">
        <v>6763</v>
      </c>
      <c r="C226" s="70">
        <v>44736</v>
      </c>
      <c r="D226" s="70">
        <v>44736</v>
      </c>
      <c r="E226" s="86">
        <v>2</v>
      </c>
      <c r="F226" s="87" t="s">
        <v>22</v>
      </c>
      <c r="G226" s="59" t="s">
        <v>30</v>
      </c>
      <c r="H226" s="55" t="s">
        <v>24</v>
      </c>
      <c r="I226" s="59" t="s">
        <v>30</v>
      </c>
      <c r="J226" s="70">
        <v>44754</v>
      </c>
      <c r="K226" s="70">
        <v>44754</v>
      </c>
      <c r="L226" s="88">
        <f t="shared" si="6"/>
        <v>12</v>
      </c>
      <c r="M226" s="59" t="s">
        <v>6764</v>
      </c>
      <c r="N226" s="59" t="s">
        <v>26</v>
      </c>
      <c r="O226" s="59" t="s">
        <v>6765</v>
      </c>
      <c r="P226" s="59" t="s">
        <v>6766</v>
      </c>
      <c r="Q226" s="59" t="str">
        <f t="shared" si="7"/>
        <v>DENTRO DEL TIEMPO</v>
      </c>
      <c r="R226" s="28"/>
    </row>
    <row r="227" spans="1:18" ht="48.75" x14ac:dyDescent="0.25">
      <c r="A227" s="86">
        <v>222</v>
      </c>
      <c r="B227" s="59" t="s">
        <v>6767</v>
      </c>
      <c r="C227" s="70">
        <v>44736</v>
      </c>
      <c r="D227" s="70">
        <v>44736</v>
      </c>
      <c r="E227" s="86">
        <v>2</v>
      </c>
      <c r="F227" s="87" t="s">
        <v>22</v>
      </c>
      <c r="G227" s="59" t="s">
        <v>30</v>
      </c>
      <c r="H227" s="55" t="s">
        <v>24</v>
      </c>
      <c r="I227" s="59" t="s">
        <v>30</v>
      </c>
      <c r="J227" s="70">
        <v>44740</v>
      </c>
      <c r="K227" s="70">
        <v>44740</v>
      </c>
      <c r="L227" s="88">
        <f t="shared" si="6"/>
        <v>2</v>
      </c>
      <c r="M227" s="59" t="s">
        <v>6768</v>
      </c>
      <c r="N227" s="59" t="s">
        <v>26</v>
      </c>
      <c r="O227" s="59" t="s">
        <v>6769</v>
      </c>
      <c r="P227" s="59" t="s">
        <v>6308</v>
      </c>
      <c r="Q227" s="59" t="str">
        <f t="shared" si="7"/>
        <v>DENTRO DEL TIEMPO</v>
      </c>
      <c r="R227" s="28"/>
    </row>
    <row r="228" spans="1:18" ht="48.75" x14ac:dyDescent="0.25">
      <c r="A228" s="86">
        <v>223</v>
      </c>
      <c r="B228" s="59" t="s">
        <v>6770</v>
      </c>
      <c r="C228" s="70">
        <v>44736</v>
      </c>
      <c r="D228" s="70">
        <v>44736</v>
      </c>
      <c r="E228" s="86">
        <v>2</v>
      </c>
      <c r="F228" s="87" t="s">
        <v>22</v>
      </c>
      <c r="G228" s="59" t="s">
        <v>30</v>
      </c>
      <c r="H228" s="55" t="s">
        <v>24</v>
      </c>
      <c r="I228" s="59" t="s">
        <v>30</v>
      </c>
      <c r="J228" s="70">
        <v>44740</v>
      </c>
      <c r="K228" s="70">
        <v>44740</v>
      </c>
      <c r="L228" s="88">
        <f t="shared" si="6"/>
        <v>2</v>
      </c>
      <c r="M228" s="59" t="s">
        <v>6771</v>
      </c>
      <c r="N228" s="59" t="s">
        <v>26</v>
      </c>
      <c r="O228" s="59" t="s">
        <v>2444</v>
      </c>
      <c r="P228" s="59" t="s">
        <v>6142</v>
      </c>
      <c r="Q228" s="59" t="str">
        <f t="shared" si="7"/>
        <v>DENTRO DEL TIEMPO</v>
      </c>
      <c r="R228" s="28"/>
    </row>
    <row r="229" spans="1:18" ht="48.75" x14ac:dyDescent="0.25">
      <c r="A229" s="86">
        <v>224</v>
      </c>
      <c r="B229" s="59" t="s">
        <v>6772</v>
      </c>
      <c r="C229" s="70">
        <v>44736</v>
      </c>
      <c r="D229" s="70">
        <v>44736</v>
      </c>
      <c r="E229" s="86">
        <v>2</v>
      </c>
      <c r="F229" s="87" t="s">
        <v>22</v>
      </c>
      <c r="G229" s="59" t="s">
        <v>30</v>
      </c>
      <c r="H229" s="55" t="s">
        <v>24</v>
      </c>
      <c r="I229" s="59" t="s">
        <v>30</v>
      </c>
      <c r="J229" s="70">
        <v>44740</v>
      </c>
      <c r="K229" s="70">
        <v>44740</v>
      </c>
      <c r="L229" s="88">
        <f t="shared" si="6"/>
        <v>2</v>
      </c>
      <c r="M229" s="59" t="s">
        <v>6773</v>
      </c>
      <c r="N229" s="59" t="s">
        <v>26</v>
      </c>
      <c r="O229" s="59" t="s">
        <v>6774</v>
      </c>
      <c r="P229" s="59" t="s">
        <v>6775</v>
      </c>
      <c r="Q229" s="59" t="str">
        <f t="shared" si="7"/>
        <v>DENTRO DEL TIEMPO</v>
      </c>
      <c r="R229" s="28"/>
    </row>
    <row r="230" spans="1:18" ht="48.75" x14ac:dyDescent="0.25">
      <c r="A230" s="86">
        <v>225</v>
      </c>
      <c r="B230" s="59" t="s">
        <v>6776</v>
      </c>
      <c r="C230" s="70">
        <v>44736</v>
      </c>
      <c r="D230" s="70">
        <v>44736</v>
      </c>
      <c r="E230" s="86">
        <v>2</v>
      </c>
      <c r="F230" s="87" t="s">
        <v>22</v>
      </c>
      <c r="G230" s="59" t="s">
        <v>30</v>
      </c>
      <c r="H230" s="55" t="s">
        <v>24</v>
      </c>
      <c r="I230" s="59" t="s">
        <v>30</v>
      </c>
      <c r="J230" s="70">
        <v>44740</v>
      </c>
      <c r="K230" s="70">
        <v>44740</v>
      </c>
      <c r="L230" s="88">
        <f t="shared" si="6"/>
        <v>2</v>
      </c>
      <c r="M230" s="59" t="s">
        <v>6777</v>
      </c>
      <c r="N230" s="59" t="s">
        <v>26</v>
      </c>
      <c r="O230" s="59" t="s">
        <v>4331</v>
      </c>
      <c r="P230" s="59" t="s">
        <v>6699</v>
      </c>
      <c r="Q230" s="59" t="str">
        <f t="shared" si="7"/>
        <v>DENTRO DEL TIEMPO</v>
      </c>
      <c r="R230" s="28"/>
    </row>
    <row r="231" spans="1:18" ht="48.75" x14ac:dyDescent="0.25">
      <c r="A231" s="86">
        <v>226</v>
      </c>
      <c r="B231" s="59" t="s">
        <v>6778</v>
      </c>
      <c r="C231" s="70">
        <v>44739</v>
      </c>
      <c r="D231" s="70">
        <v>44739</v>
      </c>
      <c r="E231" s="86">
        <v>2</v>
      </c>
      <c r="F231" s="87" t="s">
        <v>22</v>
      </c>
      <c r="G231" s="59" t="s">
        <v>30</v>
      </c>
      <c r="H231" s="55" t="s">
        <v>24</v>
      </c>
      <c r="I231" s="59" t="s">
        <v>30</v>
      </c>
      <c r="J231" s="70">
        <v>44740</v>
      </c>
      <c r="K231" s="70">
        <v>44740</v>
      </c>
      <c r="L231" s="88">
        <f t="shared" si="6"/>
        <v>1</v>
      </c>
      <c r="M231" s="59" t="s">
        <v>6779</v>
      </c>
      <c r="N231" s="59" t="s">
        <v>26</v>
      </c>
      <c r="O231" s="59" t="s">
        <v>6780</v>
      </c>
      <c r="P231" s="59" t="s">
        <v>6781</v>
      </c>
      <c r="Q231" s="59" t="str">
        <f t="shared" si="7"/>
        <v>DENTRO DEL TIEMPO</v>
      </c>
      <c r="R231" s="28"/>
    </row>
    <row r="232" spans="1:18" ht="48.75" x14ac:dyDescent="0.25">
      <c r="A232" s="86">
        <v>227</v>
      </c>
      <c r="B232" s="59" t="s">
        <v>6782</v>
      </c>
      <c r="C232" s="70">
        <v>44739</v>
      </c>
      <c r="D232" s="70">
        <v>44739</v>
      </c>
      <c r="E232" s="86">
        <v>2</v>
      </c>
      <c r="F232" s="87" t="s">
        <v>22</v>
      </c>
      <c r="G232" s="59" t="s">
        <v>30</v>
      </c>
      <c r="H232" s="55" t="s">
        <v>24</v>
      </c>
      <c r="I232" s="59" t="s">
        <v>30</v>
      </c>
      <c r="J232" s="70">
        <v>44740</v>
      </c>
      <c r="K232" s="70">
        <v>44740</v>
      </c>
      <c r="L232" s="88">
        <f t="shared" si="6"/>
        <v>1</v>
      </c>
      <c r="M232" s="59" t="s">
        <v>6783</v>
      </c>
      <c r="N232" s="59" t="s">
        <v>26</v>
      </c>
      <c r="O232" s="59" t="s">
        <v>4004</v>
      </c>
      <c r="P232" s="59" t="s">
        <v>6784</v>
      </c>
      <c r="Q232" s="59" t="str">
        <f t="shared" si="7"/>
        <v>DENTRO DEL TIEMPO</v>
      </c>
      <c r="R232" s="28"/>
    </row>
    <row r="233" spans="1:18" ht="48.75" x14ac:dyDescent="0.25">
      <c r="A233" s="86">
        <v>228</v>
      </c>
      <c r="B233" s="59" t="s">
        <v>6785</v>
      </c>
      <c r="C233" s="70">
        <v>44739</v>
      </c>
      <c r="D233" s="70">
        <v>44739</v>
      </c>
      <c r="E233" s="86">
        <v>2</v>
      </c>
      <c r="F233" s="87" t="s">
        <v>22</v>
      </c>
      <c r="G233" s="59" t="s">
        <v>23</v>
      </c>
      <c r="H233" s="55" t="s">
        <v>24</v>
      </c>
      <c r="I233" s="59" t="s">
        <v>23</v>
      </c>
      <c r="J233" s="70">
        <v>44742</v>
      </c>
      <c r="K233" s="70">
        <v>44742</v>
      </c>
      <c r="L233" s="88">
        <f t="shared" si="6"/>
        <v>3</v>
      </c>
      <c r="M233" s="59" t="s">
        <v>6786</v>
      </c>
      <c r="N233" s="59" t="s">
        <v>26</v>
      </c>
      <c r="O233" s="59" t="s">
        <v>6787</v>
      </c>
      <c r="P233" s="59" t="s">
        <v>6788</v>
      </c>
      <c r="Q233" s="59" t="str">
        <f t="shared" si="7"/>
        <v>DENTRO DEL TIEMPO</v>
      </c>
      <c r="R233" s="28"/>
    </row>
    <row r="234" spans="1:18" ht="48.75" x14ac:dyDescent="0.25">
      <c r="A234" s="86">
        <v>229</v>
      </c>
      <c r="B234" s="59" t="s">
        <v>6789</v>
      </c>
      <c r="C234" s="70">
        <v>44739</v>
      </c>
      <c r="D234" s="70">
        <v>44739</v>
      </c>
      <c r="E234" s="86">
        <v>2</v>
      </c>
      <c r="F234" s="87" t="s">
        <v>22</v>
      </c>
      <c r="G234" s="59" t="s">
        <v>30</v>
      </c>
      <c r="H234" s="55" t="s">
        <v>24</v>
      </c>
      <c r="I234" s="59" t="s">
        <v>30</v>
      </c>
      <c r="J234" s="70">
        <v>44740</v>
      </c>
      <c r="K234" s="70">
        <v>44740</v>
      </c>
      <c r="L234" s="88">
        <f t="shared" si="6"/>
        <v>1</v>
      </c>
      <c r="M234" s="59" t="s">
        <v>6790</v>
      </c>
      <c r="N234" s="59" t="s">
        <v>26</v>
      </c>
      <c r="O234" s="59" t="s">
        <v>6791</v>
      </c>
      <c r="P234" s="59" t="s">
        <v>6666</v>
      </c>
      <c r="Q234" s="59" t="str">
        <f t="shared" si="7"/>
        <v>DENTRO DEL TIEMPO</v>
      </c>
      <c r="R234" s="28"/>
    </row>
    <row r="235" spans="1:18" ht="48.75" x14ac:dyDescent="0.25">
      <c r="A235" s="86">
        <v>230</v>
      </c>
      <c r="B235" s="59" t="s">
        <v>6792</v>
      </c>
      <c r="C235" s="70">
        <v>44739</v>
      </c>
      <c r="D235" s="70">
        <v>44739</v>
      </c>
      <c r="E235" s="86">
        <v>2</v>
      </c>
      <c r="F235" s="87" t="s">
        <v>22</v>
      </c>
      <c r="G235" s="59" t="s">
        <v>30</v>
      </c>
      <c r="H235" s="55" t="s">
        <v>24</v>
      </c>
      <c r="I235" s="59" t="s">
        <v>30</v>
      </c>
      <c r="J235" s="70">
        <v>44740</v>
      </c>
      <c r="K235" s="70">
        <v>44740</v>
      </c>
      <c r="L235" s="88">
        <f t="shared" si="6"/>
        <v>1</v>
      </c>
      <c r="M235" s="59" t="s">
        <v>6793</v>
      </c>
      <c r="N235" s="59" t="s">
        <v>26</v>
      </c>
      <c r="O235" s="59" t="s">
        <v>2381</v>
      </c>
      <c r="P235" s="59" t="s">
        <v>6145</v>
      </c>
      <c r="Q235" s="59" t="str">
        <f t="shared" si="7"/>
        <v>DENTRO DEL TIEMPO</v>
      </c>
      <c r="R235" s="28"/>
    </row>
    <row r="236" spans="1:18" ht="48.75" x14ac:dyDescent="0.25">
      <c r="A236" s="86">
        <v>231</v>
      </c>
      <c r="B236" s="59" t="s">
        <v>6794</v>
      </c>
      <c r="C236" s="70">
        <v>44739</v>
      </c>
      <c r="D236" s="70">
        <v>44739</v>
      </c>
      <c r="E236" s="86">
        <v>2</v>
      </c>
      <c r="F236" s="87" t="s">
        <v>22</v>
      </c>
      <c r="G236" s="59" t="s">
        <v>30</v>
      </c>
      <c r="H236" s="55" t="s">
        <v>24</v>
      </c>
      <c r="I236" s="59" t="s">
        <v>30</v>
      </c>
      <c r="J236" s="70">
        <v>44740</v>
      </c>
      <c r="K236" s="70">
        <v>44740</v>
      </c>
      <c r="L236" s="88">
        <f t="shared" si="6"/>
        <v>1</v>
      </c>
      <c r="M236" s="59" t="s">
        <v>6795</v>
      </c>
      <c r="N236" s="59" t="s">
        <v>26</v>
      </c>
      <c r="O236" s="59" t="s">
        <v>2381</v>
      </c>
      <c r="P236" s="59" t="s">
        <v>6145</v>
      </c>
      <c r="Q236" s="59" t="str">
        <f t="shared" si="7"/>
        <v>DENTRO DEL TIEMPO</v>
      </c>
      <c r="R236" s="28"/>
    </row>
    <row r="237" spans="1:18" ht="48.75" x14ac:dyDescent="0.25">
      <c r="A237" s="86">
        <v>232</v>
      </c>
      <c r="B237" s="59" t="s">
        <v>6796</v>
      </c>
      <c r="C237" s="70">
        <v>44739</v>
      </c>
      <c r="D237" s="70">
        <v>44739</v>
      </c>
      <c r="E237" s="86">
        <v>16</v>
      </c>
      <c r="F237" s="87" t="s">
        <v>22</v>
      </c>
      <c r="G237" s="59" t="s">
        <v>23</v>
      </c>
      <c r="H237" s="55" t="s">
        <v>24</v>
      </c>
      <c r="I237" s="59" t="s">
        <v>23</v>
      </c>
      <c r="J237" s="70">
        <v>44742</v>
      </c>
      <c r="K237" s="70">
        <v>44742</v>
      </c>
      <c r="L237" s="88">
        <f t="shared" si="6"/>
        <v>3</v>
      </c>
      <c r="M237" s="59" t="s">
        <v>6797</v>
      </c>
      <c r="N237" s="59" t="s">
        <v>26</v>
      </c>
      <c r="O237" s="59" t="s">
        <v>6798</v>
      </c>
      <c r="P237" s="59" t="s">
        <v>6799</v>
      </c>
      <c r="Q237" s="59" t="str">
        <f t="shared" si="7"/>
        <v>DENTRO DEL TIEMPO</v>
      </c>
      <c r="R237" s="28"/>
    </row>
    <row r="238" spans="1:18" ht="48.75" x14ac:dyDescent="0.25">
      <c r="A238" s="86">
        <v>233</v>
      </c>
      <c r="B238" s="59" t="s">
        <v>6800</v>
      </c>
      <c r="C238" s="70">
        <v>44739</v>
      </c>
      <c r="D238" s="70">
        <v>44739</v>
      </c>
      <c r="E238" s="86">
        <v>2</v>
      </c>
      <c r="F238" s="87" t="s">
        <v>22</v>
      </c>
      <c r="G238" s="59" t="s">
        <v>23</v>
      </c>
      <c r="H238" s="55" t="s">
        <v>24</v>
      </c>
      <c r="I238" s="59" t="s">
        <v>23</v>
      </c>
      <c r="J238" s="70">
        <v>44739</v>
      </c>
      <c r="K238" s="70">
        <v>44739</v>
      </c>
      <c r="L238" s="88">
        <f t="shared" si="6"/>
        <v>0</v>
      </c>
      <c r="M238" s="59" t="s">
        <v>6801</v>
      </c>
      <c r="N238" s="59" t="s">
        <v>26</v>
      </c>
      <c r="O238" s="59" t="s">
        <v>6802</v>
      </c>
      <c r="P238" s="59" t="s">
        <v>6803</v>
      </c>
      <c r="Q238" s="59" t="str">
        <f t="shared" si="7"/>
        <v>DENTRO DEL TIEMPO</v>
      </c>
      <c r="R238" s="28"/>
    </row>
    <row r="239" spans="1:18" ht="48.75" x14ac:dyDescent="0.25">
      <c r="A239" s="86">
        <v>234</v>
      </c>
      <c r="B239" s="59" t="s">
        <v>6804</v>
      </c>
      <c r="C239" s="70">
        <v>44739</v>
      </c>
      <c r="D239" s="70">
        <v>44739</v>
      </c>
      <c r="E239" s="86">
        <v>14</v>
      </c>
      <c r="F239" s="87" t="s">
        <v>22</v>
      </c>
      <c r="G239" s="59" t="s">
        <v>23</v>
      </c>
      <c r="H239" s="55" t="s">
        <v>24</v>
      </c>
      <c r="I239" s="59" t="s">
        <v>23</v>
      </c>
      <c r="J239" s="70">
        <v>44748</v>
      </c>
      <c r="K239" s="70">
        <v>44748</v>
      </c>
      <c r="L239" s="88">
        <f t="shared" si="6"/>
        <v>7</v>
      </c>
      <c r="M239" s="59" t="s">
        <v>6805</v>
      </c>
      <c r="N239" s="59" t="s">
        <v>26</v>
      </c>
      <c r="O239" s="59" t="s">
        <v>6205</v>
      </c>
      <c r="P239" s="59" t="s">
        <v>6806</v>
      </c>
      <c r="Q239" s="59" t="str">
        <f t="shared" si="7"/>
        <v>DENTRO DEL TIEMPO</v>
      </c>
      <c r="R239" s="28"/>
    </row>
    <row r="240" spans="1:18" ht="48.75" x14ac:dyDescent="0.25">
      <c r="A240" s="86">
        <v>235</v>
      </c>
      <c r="B240" s="59" t="s">
        <v>6807</v>
      </c>
      <c r="C240" s="70">
        <v>44739</v>
      </c>
      <c r="D240" s="70">
        <v>44739</v>
      </c>
      <c r="E240" s="86">
        <v>2</v>
      </c>
      <c r="F240" s="87" t="s">
        <v>22</v>
      </c>
      <c r="G240" s="59" t="s">
        <v>30</v>
      </c>
      <c r="H240" s="55" t="s">
        <v>24</v>
      </c>
      <c r="I240" s="59" t="s">
        <v>30</v>
      </c>
      <c r="J240" s="70">
        <v>44740</v>
      </c>
      <c r="K240" s="70">
        <v>44740</v>
      </c>
      <c r="L240" s="88">
        <f t="shared" si="6"/>
        <v>1</v>
      </c>
      <c r="M240" s="59" t="s">
        <v>6808</v>
      </c>
      <c r="N240" s="59" t="s">
        <v>26</v>
      </c>
      <c r="O240" s="59" t="s">
        <v>2550</v>
      </c>
      <c r="P240" s="59" t="s">
        <v>6809</v>
      </c>
      <c r="Q240" s="59" t="str">
        <f t="shared" si="7"/>
        <v>DENTRO DEL TIEMPO</v>
      </c>
      <c r="R240" s="28"/>
    </row>
    <row r="241" spans="1:18" ht="48.75" x14ac:dyDescent="0.25">
      <c r="A241" s="86">
        <v>236</v>
      </c>
      <c r="B241" s="59" t="s">
        <v>6810</v>
      </c>
      <c r="C241" s="70">
        <v>44739</v>
      </c>
      <c r="D241" s="70">
        <v>44739</v>
      </c>
      <c r="E241" s="86">
        <v>2</v>
      </c>
      <c r="F241" s="87" t="s">
        <v>22</v>
      </c>
      <c r="G241" s="59" t="s">
        <v>30</v>
      </c>
      <c r="H241" s="55" t="s">
        <v>24</v>
      </c>
      <c r="I241" s="59" t="s">
        <v>30</v>
      </c>
      <c r="J241" s="70">
        <v>44740</v>
      </c>
      <c r="K241" s="70">
        <v>44740</v>
      </c>
      <c r="L241" s="88">
        <f t="shared" si="6"/>
        <v>1</v>
      </c>
      <c r="M241" s="59" t="s">
        <v>6811</v>
      </c>
      <c r="N241" s="59" t="s">
        <v>26</v>
      </c>
      <c r="O241" s="59" t="s">
        <v>6812</v>
      </c>
      <c r="P241" s="59" t="s">
        <v>6813</v>
      </c>
      <c r="Q241" s="59" t="str">
        <f t="shared" si="7"/>
        <v>DENTRO DEL TIEMPO</v>
      </c>
      <c r="R241" s="28"/>
    </row>
    <row r="242" spans="1:18" ht="48.75" x14ac:dyDescent="0.25">
      <c r="A242" s="86">
        <v>237</v>
      </c>
      <c r="B242" s="59" t="s">
        <v>6814</v>
      </c>
      <c r="C242" s="70">
        <v>44739</v>
      </c>
      <c r="D242" s="70">
        <v>44739</v>
      </c>
      <c r="E242" s="86">
        <v>2</v>
      </c>
      <c r="F242" s="87" t="s">
        <v>22</v>
      </c>
      <c r="G242" s="59" t="s">
        <v>30</v>
      </c>
      <c r="H242" s="55" t="s">
        <v>24</v>
      </c>
      <c r="I242" s="59" t="s">
        <v>30</v>
      </c>
      <c r="J242" s="70">
        <v>44740</v>
      </c>
      <c r="K242" s="70">
        <v>44740</v>
      </c>
      <c r="L242" s="88">
        <f t="shared" si="6"/>
        <v>1</v>
      </c>
      <c r="M242" s="59" t="s">
        <v>6815</v>
      </c>
      <c r="N242" s="59" t="s">
        <v>26</v>
      </c>
      <c r="O242" s="59" t="s">
        <v>6816</v>
      </c>
      <c r="P242" s="59" t="s">
        <v>6817</v>
      </c>
      <c r="Q242" s="59" t="str">
        <f t="shared" si="7"/>
        <v>DENTRO DEL TIEMPO</v>
      </c>
      <c r="R242" s="28"/>
    </row>
    <row r="243" spans="1:18" ht="48.75" x14ac:dyDescent="0.25">
      <c r="A243" s="86">
        <v>238</v>
      </c>
      <c r="B243" s="59" t="s">
        <v>6818</v>
      </c>
      <c r="C243" s="70">
        <v>44740</v>
      </c>
      <c r="D243" s="70">
        <v>44740</v>
      </c>
      <c r="E243" s="86">
        <v>2</v>
      </c>
      <c r="F243" s="87" t="s">
        <v>22</v>
      </c>
      <c r="G243" s="59" t="s">
        <v>30</v>
      </c>
      <c r="H243" s="55" t="s">
        <v>24</v>
      </c>
      <c r="I243" s="59" t="s">
        <v>30</v>
      </c>
      <c r="J243" s="70">
        <v>44742</v>
      </c>
      <c r="K243" s="70">
        <v>44742</v>
      </c>
      <c r="L243" s="88">
        <f t="shared" si="6"/>
        <v>2</v>
      </c>
      <c r="M243" s="59" t="s">
        <v>6819</v>
      </c>
      <c r="N243" s="59" t="s">
        <v>26</v>
      </c>
      <c r="O243" s="59" t="s">
        <v>6820</v>
      </c>
      <c r="P243" s="59" t="s">
        <v>6821</v>
      </c>
      <c r="Q243" s="59" t="str">
        <f t="shared" si="7"/>
        <v>DENTRO DEL TIEMPO</v>
      </c>
      <c r="R243" s="28"/>
    </row>
    <row r="244" spans="1:18" ht="48.75" x14ac:dyDescent="0.25">
      <c r="A244" s="86">
        <v>239</v>
      </c>
      <c r="B244" s="59" t="s">
        <v>6822</v>
      </c>
      <c r="C244" s="70">
        <v>44740</v>
      </c>
      <c r="D244" s="70">
        <v>44740</v>
      </c>
      <c r="E244" s="86">
        <v>1677</v>
      </c>
      <c r="F244" s="87" t="s">
        <v>22</v>
      </c>
      <c r="G244" s="59" t="s">
        <v>23</v>
      </c>
      <c r="H244" s="55" t="s">
        <v>24</v>
      </c>
      <c r="I244" s="59" t="s">
        <v>23</v>
      </c>
      <c r="J244" s="70">
        <v>44742</v>
      </c>
      <c r="K244" s="70">
        <v>44742</v>
      </c>
      <c r="L244" s="88">
        <f t="shared" si="6"/>
        <v>2</v>
      </c>
      <c r="M244" s="59" t="s">
        <v>6823</v>
      </c>
      <c r="N244" s="59" t="s">
        <v>26</v>
      </c>
      <c r="O244" s="59" t="s">
        <v>6824</v>
      </c>
      <c r="P244" s="59" t="s">
        <v>6825</v>
      </c>
      <c r="Q244" s="59" t="str">
        <f t="shared" si="7"/>
        <v>DENTRO DEL TIEMPO</v>
      </c>
      <c r="R244" s="28"/>
    </row>
    <row r="245" spans="1:18" ht="48.75" x14ac:dyDescent="0.25">
      <c r="A245" s="86">
        <v>240</v>
      </c>
      <c r="B245" s="59" t="s">
        <v>6826</v>
      </c>
      <c r="C245" s="70">
        <v>44740</v>
      </c>
      <c r="D245" s="70">
        <v>44740</v>
      </c>
      <c r="E245" s="86">
        <v>2</v>
      </c>
      <c r="F245" s="87" t="s">
        <v>22</v>
      </c>
      <c r="G245" s="59" t="s">
        <v>23</v>
      </c>
      <c r="H245" s="55" t="s">
        <v>24</v>
      </c>
      <c r="I245" s="59" t="s">
        <v>23</v>
      </c>
      <c r="J245" s="70">
        <v>44740</v>
      </c>
      <c r="K245" s="70">
        <v>44740</v>
      </c>
      <c r="L245" s="88">
        <f t="shared" si="6"/>
        <v>0</v>
      </c>
      <c r="M245" s="59" t="s">
        <v>6827</v>
      </c>
      <c r="N245" s="59" t="s">
        <v>26</v>
      </c>
      <c r="O245" s="59" t="s">
        <v>6828</v>
      </c>
      <c r="P245" s="59" t="s">
        <v>6829</v>
      </c>
      <c r="Q245" s="59" t="str">
        <f t="shared" si="7"/>
        <v>DENTRO DEL TIEMPO</v>
      </c>
      <c r="R245" s="28"/>
    </row>
    <row r="246" spans="1:18" ht="48.75" x14ac:dyDescent="0.25">
      <c r="A246" s="86">
        <v>241</v>
      </c>
      <c r="B246" s="59" t="s">
        <v>6830</v>
      </c>
      <c r="C246" s="70">
        <v>44740</v>
      </c>
      <c r="D246" s="70">
        <v>44740</v>
      </c>
      <c r="E246" s="86">
        <v>207</v>
      </c>
      <c r="F246" s="87" t="s">
        <v>22</v>
      </c>
      <c r="G246" s="59" t="s">
        <v>23</v>
      </c>
      <c r="H246" s="55" t="s">
        <v>24</v>
      </c>
      <c r="I246" s="59" t="s">
        <v>23</v>
      </c>
      <c r="J246" s="70">
        <v>44742</v>
      </c>
      <c r="K246" s="70">
        <v>44742</v>
      </c>
      <c r="L246" s="88">
        <f t="shared" si="6"/>
        <v>2</v>
      </c>
      <c r="M246" s="59" t="s">
        <v>6831</v>
      </c>
      <c r="N246" s="59" t="s">
        <v>26</v>
      </c>
      <c r="O246" s="59" t="s">
        <v>6832</v>
      </c>
      <c r="P246" s="59" t="s">
        <v>6833</v>
      </c>
      <c r="Q246" s="59" t="str">
        <f t="shared" si="7"/>
        <v>DENTRO DEL TIEMPO</v>
      </c>
      <c r="R246" s="28"/>
    </row>
    <row r="247" spans="1:18" ht="48.75" x14ac:dyDescent="0.25">
      <c r="A247" s="86">
        <v>242</v>
      </c>
      <c r="B247" s="59" t="s">
        <v>6834</v>
      </c>
      <c r="C247" s="70">
        <v>44740</v>
      </c>
      <c r="D247" s="70">
        <v>44740</v>
      </c>
      <c r="E247" s="86">
        <v>2</v>
      </c>
      <c r="F247" s="87" t="s">
        <v>22</v>
      </c>
      <c r="G247" s="59" t="s">
        <v>30</v>
      </c>
      <c r="H247" s="55" t="s">
        <v>24</v>
      </c>
      <c r="I247" s="59" t="s">
        <v>30</v>
      </c>
      <c r="J247" s="70">
        <v>44742</v>
      </c>
      <c r="K247" s="70">
        <v>44742</v>
      </c>
      <c r="L247" s="88">
        <f t="shared" si="6"/>
        <v>2</v>
      </c>
      <c r="M247" s="59" t="s">
        <v>6835</v>
      </c>
      <c r="N247" s="59" t="s">
        <v>26</v>
      </c>
      <c r="O247" s="59" t="s">
        <v>6836</v>
      </c>
      <c r="P247" s="59" t="s">
        <v>6837</v>
      </c>
      <c r="Q247" s="59" t="str">
        <f t="shared" si="7"/>
        <v>DENTRO DEL TIEMPO</v>
      </c>
      <c r="R247" s="28"/>
    </row>
    <row r="248" spans="1:18" ht="48.75" x14ac:dyDescent="0.25">
      <c r="A248" s="86">
        <v>243</v>
      </c>
      <c r="B248" s="59" t="s">
        <v>6838</v>
      </c>
      <c r="C248" s="70">
        <v>44740</v>
      </c>
      <c r="D248" s="70">
        <v>44740</v>
      </c>
      <c r="E248" s="86">
        <v>2</v>
      </c>
      <c r="F248" s="87" t="s">
        <v>22</v>
      </c>
      <c r="G248" s="59" t="s">
        <v>30</v>
      </c>
      <c r="H248" s="55" t="s">
        <v>24</v>
      </c>
      <c r="I248" s="59" t="s">
        <v>30</v>
      </c>
      <c r="J248" s="70">
        <v>44742</v>
      </c>
      <c r="K248" s="70">
        <v>44742</v>
      </c>
      <c r="L248" s="88">
        <f t="shared" si="6"/>
        <v>2</v>
      </c>
      <c r="M248" s="59" t="s">
        <v>6839</v>
      </c>
      <c r="N248" s="59" t="s">
        <v>26</v>
      </c>
      <c r="O248" s="59" t="s">
        <v>6840</v>
      </c>
      <c r="P248" s="59" t="s">
        <v>6686</v>
      </c>
      <c r="Q248" s="59" t="str">
        <f t="shared" si="7"/>
        <v>DENTRO DEL TIEMPO</v>
      </c>
      <c r="R248" s="28"/>
    </row>
    <row r="249" spans="1:18" ht="48.75" x14ac:dyDescent="0.25">
      <c r="A249" s="86">
        <v>244</v>
      </c>
      <c r="B249" s="59" t="s">
        <v>6841</v>
      </c>
      <c r="C249" s="70">
        <v>44741</v>
      </c>
      <c r="D249" s="70">
        <v>44741</v>
      </c>
      <c r="E249" s="86">
        <v>2</v>
      </c>
      <c r="F249" s="87" t="s">
        <v>22</v>
      </c>
      <c r="G249" s="59" t="s">
        <v>30</v>
      </c>
      <c r="H249" s="55" t="s">
        <v>24</v>
      </c>
      <c r="I249" s="59" t="s">
        <v>30</v>
      </c>
      <c r="J249" s="70">
        <v>44742</v>
      </c>
      <c r="K249" s="70">
        <v>44742</v>
      </c>
      <c r="L249" s="88">
        <f t="shared" si="6"/>
        <v>1</v>
      </c>
      <c r="M249" s="59" t="s">
        <v>6842</v>
      </c>
      <c r="N249" s="59" t="s">
        <v>26</v>
      </c>
      <c r="O249" s="59" t="s">
        <v>2333</v>
      </c>
      <c r="P249" s="59" t="s">
        <v>6843</v>
      </c>
      <c r="Q249" s="59" t="str">
        <f t="shared" si="7"/>
        <v>DENTRO DEL TIEMPO</v>
      </c>
      <c r="R249" s="28"/>
    </row>
    <row r="250" spans="1:18" ht="48.75" x14ac:dyDescent="0.25">
      <c r="A250" s="86">
        <v>245</v>
      </c>
      <c r="B250" s="59" t="s">
        <v>6844</v>
      </c>
      <c r="C250" s="70">
        <v>44741</v>
      </c>
      <c r="D250" s="70">
        <v>44741</v>
      </c>
      <c r="E250" s="86">
        <v>731</v>
      </c>
      <c r="F250" s="87" t="s">
        <v>22</v>
      </c>
      <c r="G250" s="59" t="s">
        <v>23</v>
      </c>
      <c r="H250" s="55" t="s">
        <v>24</v>
      </c>
      <c r="I250" s="59" t="s">
        <v>23</v>
      </c>
      <c r="J250" s="70">
        <v>44742</v>
      </c>
      <c r="K250" s="70">
        <v>44742</v>
      </c>
      <c r="L250" s="88">
        <f t="shared" si="6"/>
        <v>1</v>
      </c>
      <c r="M250" s="59" t="s">
        <v>6845</v>
      </c>
      <c r="N250" s="59" t="s">
        <v>26</v>
      </c>
      <c r="O250" s="59" t="s">
        <v>6846</v>
      </c>
      <c r="P250" s="59" t="s">
        <v>6847</v>
      </c>
      <c r="Q250" s="59" t="str">
        <f t="shared" si="7"/>
        <v>DENTRO DEL TIEMPO</v>
      </c>
      <c r="R250" s="28"/>
    </row>
    <row r="251" spans="1:18" ht="48.75" x14ac:dyDescent="0.25">
      <c r="A251" s="86">
        <v>246</v>
      </c>
      <c r="B251" s="59" t="s">
        <v>6848</v>
      </c>
      <c r="C251" s="70">
        <v>44741</v>
      </c>
      <c r="D251" s="70">
        <v>44741</v>
      </c>
      <c r="E251" s="86">
        <v>2</v>
      </c>
      <c r="F251" s="87" t="s">
        <v>22</v>
      </c>
      <c r="G251" s="59" t="s">
        <v>30</v>
      </c>
      <c r="H251" s="55" t="s">
        <v>24</v>
      </c>
      <c r="I251" s="59" t="s">
        <v>30</v>
      </c>
      <c r="J251" s="70">
        <v>44742</v>
      </c>
      <c r="K251" s="70">
        <v>44742</v>
      </c>
      <c r="L251" s="88">
        <f t="shared" si="6"/>
        <v>1</v>
      </c>
      <c r="M251" s="59" t="s">
        <v>6849</v>
      </c>
      <c r="N251" s="59" t="s">
        <v>26</v>
      </c>
      <c r="O251" s="59" t="s">
        <v>2327</v>
      </c>
      <c r="P251" s="59" t="s">
        <v>6596</v>
      </c>
      <c r="Q251" s="59" t="str">
        <f t="shared" si="7"/>
        <v>DENTRO DEL TIEMPO</v>
      </c>
      <c r="R251" s="28"/>
    </row>
    <row r="252" spans="1:18" ht="48.75" x14ac:dyDescent="0.25">
      <c r="A252" s="86">
        <v>247</v>
      </c>
      <c r="B252" s="59" t="s">
        <v>6850</v>
      </c>
      <c r="C252" s="70">
        <v>44741</v>
      </c>
      <c r="D252" s="70">
        <v>44741</v>
      </c>
      <c r="E252" s="86">
        <v>2</v>
      </c>
      <c r="F252" s="87" t="s">
        <v>22</v>
      </c>
      <c r="G252" s="59" t="s">
        <v>30</v>
      </c>
      <c r="H252" s="55" t="s">
        <v>24</v>
      </c>
      <c r="I252" s="59" t="s">
        <v>30</v>
      </c>
      <c r="J252" s="70">
        <v>44742</v>
      </c>
      <c r="K252" s="70">
        <v>44742</v>
      </c>
      <c r="L252" s="88">
        <f t="shared" si="6"/>
        <v>1</v>
      </c>
      <c r="M252" s="59" t="s">
        <v>6851</v>
      </c>
      <c r="N252" s="59" t="s">
        <v>26</v>
      </c>
      <c r="O252" s="59" t="s">
        <v>6852</v>
      </c>
      <c r="P252" s="59" t="s">
        <v>6853</v>
      </c>
      <c r="Q252" s="59" t="str">
        <f t="shared" si="7"/>
        <v>DENTRO DEL TIEMPO</v>
      </c>
      <c r="R252" s="28"/>
    </row>
    <row r="253" spans="1:18" ht="48.75" x14ac:dyDescent="0.25">
      <c r="A253" s="86">
        <v>248</v>
      </c>
      <c r="B253" s="59" t="s">
        <v>6854</v>
      </c>
      <c r="C253" s="70">
        <v>44741</v>
      </c>
      <c r="D253" s="70">
        <v>44741</v>
      </c>
      <c r="E253" s="86">
        <v>2</v>
      </c>
      <c r="F253" s="87" t="s">
        <v>22</v>
      </c>
      <c r="G253" s="59" t="s">
        <v>30</v>
      </c>
      <c r="H253" s="55" t="s">
        <v>24</v>
      </c>
      <c r="I253" s="59" t="s">
        <v>30</v>
      </c>
      <c r="J253" s="70">
        <v>44742</v>
      </c>
      <c r="K253" s="70">
        <v>44742</v>
      </c>
      <c r="L253" s="88">
        <f t="shared" si="6"/>
        <v>1</v>
      </c>
      <c r="M253" s="59" t="s">
        <v>6855</v>
      </c>
      <c r="N253" s="59" t="s">
        <v>26</v>
      </c>
      <c r="O253" s="59" t="s">
        <v>6856</v>
      </c>
      <c r="P253" s="59" t="s">
        <v>6857</v>
      </c>
      <c r="Q253" s="59" t="str">
        <f t="shared" si="7"/>
        <v>DENTRO DEL TIEMPO</v>
      </c>
      <c r="R253" s="28"/>
    </row>
    <row r="254" spans="1:18" ht="48.75" x14ac:dyDescent="0.25">
      <c r="A254" s="86">
        <v>249</v>
      </c>
      <c r="B254" s="59" t="s">
        <v>6858</v>
      </c>
      <c r="C254" s="70">
        <v>44741</v>
      </c>
      <c r="D254" s="70">
        <v>44741</v>
      </c>
      <c r="E254" s="86">
        <v>2</v>
      </c>
      <c r="F254" s="87" t="s">
        <v>22</v>
      </c>
      <c r="G254" s="59" t="s">
        <v>30</v>
      </c>
      <c r="H254" s="55" t="s">
        <v>24</v>
      </c>
      <c r="I254" s="59" t="s">
        <v>30</v>
      </c>
      <c r="J254" s="70">
        <v>44742</v>
      </c>
      <c r="K254" s="70">
        <v>44742</v>
      </c>
      <c r="L254" s="88">
        <f t="shared" si="6"/>
        <v>1</v>
      </c>
      <c r="M254" s="59" t="s">
        <v>6859</v>
      </c>
      <c r="N254" s="59" t="s">
        <v>26</v>
      </c>
      <c r="O254" s="59" t="s">
        <v>6860</v>
      </c>
      <c r="P254" s="59" t="s">
        <v>6861</v>
      </c>
      <c r="Q254" s="59" t="str">
        <f t="shared" si="7"/>
        <v>DENTRO DEL TIEMPO</v>
      </c>
      <c r="R254" s="28"/>
    </row>
    <row r="255" spans="1:18" ht="48.75" x14ac:dyDescent="0.25">
      <c r="A255" s="86">
        <v>250</v>
      </c>
      <c r="B255" s="59" t="s">
        <v>6862</v>
      </c>
      <c r="C255" s="70">
        <v>44741</v>
      </c>
      <c r="D255" s="70">
        <v>44741</v>
      </c>
      <c r="E255" s="86">
        <v>2</v>
      </c>
      <c r="F255" s="87" t="s">
        <v>22</v>
      </c>
      <c r="G255" s="59" t="s">
        <v>30</v>
      </c>
      <c r="H255" s="55" t="s">
        <v>24</v>
      </c>
      <c r="I255" s="59" t="s">
        <v>30</v>
      </c>
      <c r="J255" s="70">
        <v>44742</v>
      </c>
      <c r="K255" s="70">
        <v>44742</v>
      </c>
      <c r="L255" s="88">
        <f t="shared" si="6"/>
        <v>1</v>
      </c>
      <c r="M255" s="59" t="s">
        <v>6863</v>
      </c>
      <c r="N255" s="59" t="s">
        <v>26</v>
      </c>
      <c r="O255" s="59" t="s">
        <v>6864</v>
      </c>
      <c r="P255" s="59" t="s">
        <v>6865</v>
      </c>
      <c r="Q255" s="59" t="str">
        <f t="shared" si="7"/>
        <v>DENTRO DEL TIEMPO</v>
      </c>
      <c r="R255" s="28"/>
    </row>
    <row r="256" spans="1:18" ht="39" hidden="1" x14ac:dyDescent="0.25">
      <c r="A256" s="86">
        <v>251</v>
      </c>
      <c r="B256" s="59" t="s">
        <v>6866</v>
      </c>
      <c r="C256" s="70">
        <v>44741</v>
      </c>
      <c r="D256" s="70">
        <v>44741</v>
      </c>
      <c r="E256" s="86">
        <v>0</v>
      </c>
      <c r="F256" s="87" t="s">
        <v>790</v>
      </c>
      <c r="G256" s="59" t="s">
        <v>6867</v>
      </c>
      <c r="H256" s="55" t="s">
        <v>3278</v>
      </c>
      <c r="I256" s="59" t="s">
        <v>6867</v>
      </c>
      <c r="J256" s="70">
        <v>44761</v>
      </c>
      <c r="K256" s="70">
        <v>44761</v>
      </c>
      <c r="L256" s="88">
        <f t="shared" si="6"/>
        <v>14</v>
      </c>
      <c r="M256" s="59" t="s">
        <v>6868</v>
      </c>
      <c r="N256" s="59" t="s">
        <v>26</v>
      </c>
      <c r="O256" s="59" t="s">
        <v>4054</v>
      </c>
      <c r="P256" s="59" t="s">
        <v>6869</v>
      </c>
      <c r="Q256" s="59" t="str">
        <f t="shared" si="7"/>
        <v>DENTRO DEL TIEMPO</v>
      </c>
      <c r="R256" s="28"/>
    </row>
    <row r="257" spans="1:18" ht="48.75" x14ac:dyDescent="0.25">
      <c r="A257" s="86">
        <v>252</v>
      </c>
      <c r="B257" s="59" t="s">
        <v>6870</v>
      </c>
      <c r="C257" s="70">
        <v>44741</v>
      </c>
      <c r="D257" s="70">
        <v>44741</v>
      </c>
      <c r="E257" s="86">
        <v>207</v>
      </c>
      <c r="F257" s="87" t="s">
        <v>22</v>
      </c>
      <c r="G257" s="59" t="s">
        <v>23</v>
      </c>
      <c r="H257" s="55" t="s">
        <v>24</v>
      </c>
      <c r="I257" s="59" t="s">
        <v>23</v>
      </c>
      <c r="J257" s="70">
        <v>44749</v>
      </c>
      <c r="K257" s="70">
        <v>44749</v>
      </c>
      <c r="L257" s="88">
        <f t="shared" si="6"/>
        <v>6</v>
      </c>
      <c r="M257" s="59" t="s">
        <v>6871</v>
      </c>
      <c r="N257" s="59" t="s">
        <v>26</v>
      </c>
      <c r="O257" s="59" t="s">
        <v>6872</v>
      </c>
      <c r="P257" s="59" t="s">
        <v>6873</v>
      </c>
      <c r="Q257" s="59" t="str">
        <f t="shared" si="7"/>
        <v>DENTRO DEL TIEMPO</v>
      </c>
      <c r="R257" s="28"/>
    </row>
    <row r="258" spans="1:18" ht="48.75" x14ac:dyDescent="0.25">
      <c r="A258" s="86">
        <v>253</v>
      </c>
      <c r="B258" s="59" t="s">
        <v>6874</v>
      </c>
      <c r="C258" s="70">
        <v>44741</v>
      </c>
      <c r="D258" s="70">
        <v>44741</v>
      </c>
      <c r="E258" s="86">
        <v>2</v>
      </c>
      <c r="F258" s="87" t="s">
        <v>22</v>
      </c>
      <c r="G258" s="59" t="s">
        <v>30</v>
      </c>
      <c r="H258" s="55" t="s">
        <v>24</v>
      </c>
      <c r="I258" s="59" t="s">
        <v>30</v>
      </c>
      <c r="J258" s="70">
        <v>44742</v>
      </c>
      <c r="K258" s="70">
        <v>44742</v>
      </c>
      <c r="L258" s="88">
        <f t="shared" si="6"/>
        <v>1</v>
      </c>
      <c r="M258" s="59" t="s">
        <v>6875</v>
      </c>
      <c r="N258" s="59" t="s">
        <v>26</v>
      </c>
      <c r="O258" s="59" t="s">
        <v>6876</v>
      </c>
      <c r="P258" s="59" t="s">
        <v>6877</v>
      </c>
      <c r="Q258" s="59" t="str">
        <f t="shared" si="7"/>
        <v>DENTRO DEL TIEMPO</v>
      </c>
      <c r="R258" s="28"/>
    </row>
    <row r="259" spans="1:18" ht="48.75" x14ac:dyDescent="0.25">
      <c r="A259" s="86">
        <v>254</v>
      </c>
      <c r="B259" s="59" t="s">
        <v>6878</v>
      </c>
      <c r="C259" s="70">
        <v>44741</v>
      </c>
      <c r="D259" s="70">
        <v>44741</v>
      </c>
      <c r="E259" s="86">
        <v>2</v>
      </c>
      <c r="F259" s="87" t="s">
        <v>22</v>
      </c>
      <c r="G259" s="59" t="s">
        <v>30</v>
      </c>
      <c r="H259" s="55" t="s">
        <v>24</v>
      </c>
      <c r="I259" s="59" t="s">
        <v>30</v>
      </c>
      <c r="J259" s="70">
        <v>44742</v>
      </c>
      <c r="K259" s="70">
        <v>44742</v>
      </c>
      <c r="L259" s="88">
        <f t="shared" si="6"/>
        <v>1</v>
      </c>
      <c r="M259" s="59" t="s">
        <v>6879</v>
      </c>
      <c r="N259" s="59" t="s">
        <v>26</v>
      </c>
      <c r="O259" s="59" t="s">
        <v>6880</v>
      </c>
      <c r="P259" s="59" t="s">
        <v>6881</v>
      </c>
      <c r="Q259" s="59" t="str">
        <f t="shared" si="7"/>
        <v>DENTRO DEL TIEMPO</v>
      </c>
      <c r="R259" s="28"/>
    </row>
    <row r="260" spans="1:18" ht="48.75" x14ac:dyDescent="0.25">
      <c r="A260" s="86">
        <v>255</v>
      </c>
      <c r="B260" s="59" t="s">
        <v>6882</v>
      </c>
      <c r="C260" s="70">
        <v>44741</v>
      </c>
      <c r="D260" s="70">
        <v>44741</v>
      </c>
      <c r="E260" s="86">
        <v>2</v>
      </c>
      <c r="F260" s="87" t="s">
        <v>22</v>
      </c>
      <c r="G260" s="59" t="s">
        <v>30</v>
      </c>
      <c r="H260" s="55" t="s">
        <v>24</v>
      </c>
      <c r="I260" s="59" t="s">
        <v>30</v>
      </c>
      <c r="J260" s="70">
        <v>44742</v>
      </c>
      <c r="K260" s="70">
        <v>44742</v>
      </c>
      <c r="L260" s="88">
        <f t="shared" si="6"/>
        <v>1</v>
      </c>
      <c r="M260" s="59" t="s">
        <v>6883</v>
      </c>
      <c r="N260" s="59" t="s">
        <v>26</v>
      </c>
      <c r="O260" s="59" t="s">
        <v>6884</v>
      </c>
      <c r="P260" s="59" t="s">
        <v>6885</v>
      </c>
      <c r="Q260" s="59" t="str">
        <f t="shared" si="7"/>
        <v>DENTRO DEL TIEMPO</v>
      </c>
      <c r="R260" s="28"/>
    </row>
    <row r="261" spans="1:18" ht="48.75" x14ac:dyDescent="0.25">
      <c r="A261" s="86">
        <v>256</v>
      </c>
      <c r="B261" s="59" t="s">
        <v>6886</v>
      </c>
      <c r="C261" s="70">
        <v>44741</v>
      </c>
      <c r="D261" s="70">
        <v>44741</v>
      </c>
      <c r="E261" s="86">
        <v>2</v>
      </c>
      <c r="F261" s="87" t="s">
        <v>22</v>
      </c>
      <c r="G261" s="59" t="s">
        <v>30</v>
      </c>
      <c r="H261" s="55" t="s">
        <v>24</v>
      </c>
      <c r="I261" s="59" t="s">
        <v>30</v>
      </c>
      <c r="J261" s="70">
        <v>44742</v>
      </c>
      <c r="K261" s="70">
        <v>44742</v>
      </c>
      <c r="L261" s="88">
        <f t="shared" si="6"/>
        <v>1</v>
      </c>
      <c r="M261" s="59" t="s">
        <v>6887</v>
      </c>
      <c r="N261" s="59" t="s">
        <v>26</v>
      </c>
      <c r="O261" s="59" t="s">
        <v>3962</v>
      </c>
      <c r="P261" s="59" t="s">
        <v>6198</v>
      </c>
      <c r="Q261" s="59" t="str">
        <f t="shared" si="7"/>
        <v>DENTRO DEL TIEMPO</v>
      </c>
      <c r="R261" s="28"/>
    </row>
    <row r="262" spans="1:18" ht="48.75" x14ac:dyDescent="0.25">
      <c r="A262" s="86">
        <v>257</v>
      </c>
      <c r="B262" s="59" t="s">
        <v>6888</v>
      </c>
      <c r="C262" s="70">
        <v>44741</v>
      </c>
      <c r="D262" s="70">
        <v>44741</v>
      </c>
      <c r="E262" s="86">
        <v>2</v>
      </c>
      <c r="F262" s="87" t="s">
        <v>22</v>
      </c>
      <c r="G262" s="59" t="s">
        <v>30</v>
      </c>
      <c r="H262" s="55" t="s">
        <v>24</v>
      </c>
      <c r="I262" s="59" t="s">
        <v>30</v>
      </c>
      <c r="J262" s="70">
        <v>44742</v>
      </c>
      <c r="K262" s="70">
        <v>44742</v>
      </c>
      <c r="L262" s="88">
        <f t="shared" si="6"/>
        <v>1</v>
      </c>
      <c r="M262" s="59" t="s">
        <v>6889</v>
      </c>
      <c r="N262" s="59" t="s">
        <v>26</v>
      </c>
      <c r="O262" s="59" t="s">
        <v>6890</v>
      </c>
      <c r="P262" s="59" t="s">
        <v>6891</v>
      </c>
      <c r="Q262" s="59" t="str">
        <f t="shared" si="7"/>
        <v>DENTRO DEL TIEMPO</v>
      </c>
      <c r="R262" s="28"/>
    </row>
    <row r="263" spans="1:18" ht="48.75" x14ac:dyDescent="0.25">
      <c r="A263" s="86">
        <v>258</v>
      </c>
      <c r="B263" s="59" t="s">
        <v>6892</v>
      </c>
      <c r="C263" s="70">
        <v>44741</v>
      </c>
      <c r="D263" s="70">
        <v>44741</v>
      </c>
      <c r="E263" s="86">
        <v>77</v>
      </c>
      <c r="F263" s="87" t="s">
        <v>22</v>
      </c>
      <c r="G263" s="59" t="s">
        <v>23</v>
      </c>
      <c r="H263" s="55" t="s">
        <v>24</v>
      </c>
      <c r="I263" s="59" t="s">
        <v>23</v>
      </c>
      <c r="J263" s="70">
        <v>44743</v>
      </c>
      <c r="K263" s="70">
        <v>44743</v>
      </c>
      <c r="L263" s="88">
        <f t="shared" ref="L263:L326" si="8">+NETWORKDAYS(D263,K263,$R$6:$R$9)-1</f>
        <v>2</v>
      </c>
      <c r="M263" s="59" t="s">
        <v>6893</v>
      </c>
      <c r="N263" s="59" t="s">
        <v>26</v>
      </c>
      <c r="O263" s="59" t="s">
        <v>6894</v>
      </c>
      <c r="P263" s="59" t="s">
        <v>6895</v>
      </c>
      <c r="Q263" s="59" t="str">
        <f t="shared" ref="Q263:Q326" si="9">IF(L263&gt;15,"FUERA DE TIEMPO","DENTRO DEL TIEMPO")</f>
        <v>DENTRO DEL TIEMPO</v>
      </c>
      <c r="R263" s="28"/>
    </row>
    <row r="264" spans="1:18" ht="48.75" x14ac:dyDescent="0.25">
      <c r="A264" s="86">
        <v>259</v>
      </c>
      <c r="B264" s="59" t="s">
        <v>6896</v>
      </c>
      <c r="C264" s="70">
        <v>44742</v>
      </c>
      <c r="D264" s="70">
        <v>44742</v>
      </c>
      <c r="E264" s="86">
        <v>2</v>
      </c>
      <c r="F264" s="87" t="s">
        <v>22</v>
      </c>
      <c r="G264" s="59" t="s">
        <v>30</v>
      </c>
      <c r="H264" s="55" t="s">
        <v>24</v>
      </c>
      <c r="I264" s="59" t="s">
        <v>30</v>
      </c>
      <c r="J264" s="70">
        <v>44743</v>
      </c>
      <c r="K264" s="70">
        <v>44743</v>
      </c>
      <c r="L264" s="88">
        <f t="shared" si="8"/>
        <v>1</v>
      </c>
      <c r="M264" s="59" t="s">
        <v>6897</v>
      </c>
      <c r="N264" s="59" t="s">
        <v>26</v>
      </c>
      <c r="O264" s="59" t="s">
        <v>6898</v>
      </c>
      <c r="P264" s="59" t="s">
        <v>6899</v>
      </c>
      <c r="Q264" s="59" t="str">
        <f t="shared" si="9"/>
        <v>DENTRO DEL TIEMPO</v>
      </c>
      <c r="R264" s="28"/>
    </row>
    <row r="265" spans="1:18" ht="48.75" x14ac:dyDescent="0.25">
      <c r="A265" s="86">
        <v>260</v>
      </c>
      <c r="B265" s="59" t="s">
        <v>6900</v>
      </c>
      <c r="C265" s="70">
        <v>44742</v>
      </c>
      <c r="D265" s="70">
        <v>44742</v>
      </c>
      <c r="E265" s="86">
        <v>2</v>
      </c>
      <c r="F265" s="87" t="s">
        <v>22</v>
      </c>
      <c r="G265" s="59" t="s">
        <v>30</v>
      </c>
      <c r="H265" s="55" t="s">
        <v>24</v>
      </c>
      <c r="I265" s="59" t="s">
        <v>30</v>
      </c>
      <c r="J265" s="70">
        <v>44743</v>
      </c>
      <c r="K265" s="70">
        <v>44743</v>
      </c>
      <c r="L265" s="88">
        <f t="shared" si="8"/>
        <v>1</v>
      </c>
      <c r="M265" s="59" t="s">
        <v>6901</v>
      </c>
      <c r="N265" s="59" t="s">
        <v>26</v>
      </c>
      <c r="O265" s="59" t="s">
        <v>4458</v>
      </c>
      <c r="P265" s="59" t="s">
        <v>6154</v>
      </c>
      <c r="Q265" s="59" t="str">
        <f t="shared" si="9"/>
        <v>DENTRO DEL TIEMPO</v>
      </c>
      <c r="R265" s="28"/>
    </row>
    <row r="266" spans="1:18" ht="48.75" x14ac:dyDescent="0.25">
      <c r="A266" s="86">
        <v>261</v>
      </c>
      <c r="B266" s="59" t="s">
        <v>6902</v>
      </c>
      <c r="C266" s="70">
        <v>44742</v>
      </c>
      <c r="D266" s="70">
        <v>44742</v>
      </c>
      <c r="E266" s="86">
        <v>2</v>
      </c>
      <c r="F266" s="87" t="s">
        <v>22</v>
      </c>
      <c r="G266" s="59" t="s">
        <v>30</v>
      </c>
      <c r="H266" s="55" t="s">
        <v>24</v>
      </c>
      <c r="I266" s="59" t="s">
        <v>30</v>
      </c>
      <c r="J266" s="70">
        <v>44743</v>
      </c>
      <c r="K266" s="70">
        <v>44743</v>
      </c>
      <c r="L266" s="88">
        <f t="shared" si="8"/>
        <v>1</v>
      </c>
      <c r="M266" s="59" t="s">
        <v>6903</v>
      </c>
      <c r="N266" s="59" t="s">
        <v>26</v>
      </c>
      <c r="O266" s="59" t="s">
        <v>4458</v>
      </c>
      <c r="P266" s="59" t="s">
        <v>6154</v>
      </c>
      <c r="Q266" s="59" t="str">
        <f t="shared" si="9"/>
        <v>DENTRO DEL TIEMPO</v>
      </c>
      <c r="R266" s="28"/>
    </row>
    <row r="267" spans="1:18" ht="48.75" x14ac:dyDescent="0.25">
      <c r="A267" s="86">
        <v>262</v>
      </c>
      <c r="B267" s="59" t="s">
        <v>6904</v>
      </c>
      <c r="C267" s="70">
        <v>44742</v>
      </c>
      <c r="D267" s="70">
        <v>44742</v>
      </c>
      <c r="E267" s="86">
        <v>2</v>
      </c>
      <c r="F267" s="87" t="s">
        <v>22</v>
      </c>
      <c r="G267" s="59" t="s">
        <v>30</v>
      </c>
      <c r="H267" s="55" t="s">
        <v>24</v>
      </c>
      <c r="I267" s="59" t="s">
        <v>30</v>
      </c>
      <c r="J267" s="70">
        <v>44743</v>
      </c>
      <c r="K267" s="70">
        <v>44743</v>
      </c>
      <c r="L267" s="88">
        <f t="shared" si="8"/>
        <v>1</v>
      </c>
      <c r="M267" s="59" t="s">
        <v>6905</v>
      </c>
      <c r="N267" s="59" t="s">
        <v>26</v>
      </c>
      <c r="O267" s="59" t="s">
        <v>4458</v>
      </c>
      <c r="P267" s="59" t="s">
        <v>6154</v>
      </c>
      <c r="Q267" s="59" t="str">
        <f t="shared" si="9"/>
        <v>DENTRO DEL TIEMPO</v>
      </c>
      <c r="R267" s="28"/>
    </row>
    <row r="268" spans="1:18" ht="48.75" x14ac:dyDescent="0.25">
      <c r="A268" s="86">
        <v>263</v>
      </c>
      <c r="B268" s="59" t="s">
        <v>6906</v>
      </c>
      <c r="C268" s="70">
        <v>44742</v>
      </c>
      <c r="D268" s="70">
        <v>44742</v>
      </c>
      <c r="E268" s="86">
        <v>2</v>
      </c>
      <c r="F268" s="87" t="s">
        <v>22</v>
      </c>
      <c r="G268" s="59" t="s">
        <v>30</v>
      </c>
      <c r="H268" s="55" t="s">
        <v>24</v>
      </c>
      <c r="I268" s="59" t="s">
        <v>30</v>
      </c>
      <c r="J268" s="70">
        <v>44743</v>
      </c>
      <c r="K268" s="70">
        <v>44743</v>
      </c>
      <c r="L268" s="88">
        <f t="shared" si="8"/>
        <v>1</v>
      </c>
      <c r="M268" s="59" t="s">
        <v>6907</v>
      </c>
      <c r="N268" s="59" t="s">
        <v>26</v>
      </c>
      <c r="O268" s="59" t="s">
        <v>4458</v>
      </c>
      <c r="P268" s="59" t="s">
        <v>6154</v>
      </c>
      <c r="Q268" s="59" t="str">
        <f t="shared" si="9"/>
        <v>DENTRO DEL TIEMPO</v>
      </c>
      <c r="R268" s="28"/>
    </row>
    <row r="269" spans="1:18" ht="48.75" x14ac:dyDescent="0.25">
      <c r="A269" s="86">
        <v>264</v>
      </c>
      <c r="B269" s="59" t="s">
        <v>6908</v>
      </c>
      <c r="C269" s="70">
        <v>44742</v>
      </c>
      <c r="D269" s="70">
        <v>44742</v>
      </c>
      <c r="E269" s="86">
        <v>2</v>
      </c>
      <c r="F269" s="87" t="s">
        <v>22</v>
      </c>
      <c r="G269" s="59" t="s">
        <v>30</v>
      </c>
      <c r="H269" s="55" t="s">
        <v>24</v>
      </c>
      <c r="I269" s="59" t="s">
        <v>30</v>
      </c>
      <c r="J269" s="70">
        <v>44743</v>
      </c>
      <c r="K269" s="70">
        <v>44743</v>
      </c>
      <c r="L269" s="88">
        <f t="shared" si="8"/>
        <v>1</v>
      </c>
      <c r="M269" s="59" t="s">
        <v>6909</v>
      </c>
      <c r="N269" s="59" t="s">
        <v>26</v>
      </c>
      <c r="O269" s="59" t="s">
        <v>4458</v>
      </c>
      <c r="P269" s="59" t="s">
        <v>6154</v>
      </c>
      <c r="Q269" s="59" t="str">
        <f t="shared" si="9"/>
        <v>DENTRO DEL TIEMPO</v>
      </c>
      <c r="R269" s="28"/>
    </row>
    <row r="270" spans="1:18" ht="48.75" x14ac:dyDescent="0.25">
      <c r="A270" s="86">
        <v>265</v>
      </c>
      <c r="B270" s="59" t="s">
        <v>6910</v>
      </c>
      <c r="C270" s="70">
        <v>44742</v>
      </c>
      <c r="D270" s="70">
        <v>44742</v>
      </c>
      <c r="E270" s="86">
        <v>2</v>
      </c>
      <c r="F270" s="87" t="s">
        <v>22</v>
      </c>
      <c r="G270" s="59" t="s">
        <v>30</v>
      </c>
      <c r="H270" s="55" t="s">
        <v>24</v>
      </c>
      <c r="I270" s="59" t="s">
        <v>30</v>
      </c>
      <c r="J270" s="70">
        <v>44743</v>
      </c>
      <c r="K270" s="70">
        <v>44743</v>
      </c>
      <c r="L270" s="88">
        <f t="shared" si="8"/>
        <v>1</v>
      </c>
      <c r="M270" s="59" t="s">
        <v>6911</v>
      </c>
      <c r="N270" s="59" t="s">
        <v>26</v>
      </c>
      <c r="O270" s="59" t="s">
        <v>4458</v>
      </c>
      <c r="P270" s="59" t="s">
        <v>6154</v>
      </c>
      <c r="Q270" s="59" t="str">
        <f t="shared" si="9"/>
        <v>DENTRO DEL TIEMPO</v>
      </c>
      <c r="R270" s="28"/>
    </row>
    <row r="271" spans="1:18" ht="48.75" x14ac:dyDescent="0.25">
      <c r="A271" s="86">
        <v>266</v>
      </c>
      <c r="B271" s="59" t="s">
        <v>6912</v>
      </c>
      <c r="C271" s="70">
        <v>44742</v>
      </c>
      <c r="D271" s="70">
        <v>44742</v>
      </c>
      <c r="E271" s="86">
        <v>2</v>
      </c>
      <c r="F271" s="87" t="s">
        <v>22</v>
      </c>
      <c r="G271" s="59" t="s">
        <v>30</v>
      </c>
      <c r="H271" s="55" t="s">
        <v>24</v>
      </c>
      <c r="I271" s="59" t="s">
        <v>30</v>
      </c>
      <c r="J271" s="70">
        <v>44743</v>
      </c>
      <c r="K271" s="70">
        <v>44743</v>
      </c>
      <c r="L271" s="88">
        <f t="shared" si="8"/>
        <v>1</v>
      </c>
      <c r="M271" s="59" t="s">
        <v>6913</v>
      </c>
      <c r="N271" s="59" t="s">
        <v>26</v>
      </c>
      <c r="O271" s="59" t="s">
        <v>4458</v>
      </c>
      <c r="P271" s="59" t="s">
        <v>6154</v>
      </c>
      <c r="Q271" s="59" t="str">
        <f t="shared" si="9"/>
        <v>DENTRO DEL TIEMPO</v>
      </c>
      <c r="R271" s="28"/>
    </row>
    <row r="272" spans="1:18" ht="48.75" x14ac:dyDescent="0.25">
      <c r="A272" s="86">
        <v>267</v>
      </c>
      <c r="B272" s="59" t="s">
        <v>6914</v>
      </c>
      <c r="C272" s="70">
        <v>44742</v>
      </c>
      <c r="D272" s="70">
        <v>44742</v>
      </c>
      <c r="E272" s="86">
        <v>2</v>
      </c>
      <c r="F272" s="87" t="s">
        <v>22</v>
      </c>
      <c r="G272" s="59" t="s">
        <v>30</v>
      </c>
      <c r="H272" s="55" t="s">
        <v>24</v>
      </c>
      <c r="I272" s="59" t="s">
        <v>30</v>
      </c>
      <c r="J272" s="70">
        <v>44743</v>
      </c>
      <c r="K272" s="70">
        <v>44743</v>
      </c>
      <c r="L272" s="88">
        <f t="shared" si="8"/>
        <v>1</v>
      </c>
      <c r="M272" s="59" t="s">
        <v>6915</v>
      </c>
      <c r="N272" s="59" t="s">
        <v>26</v>
      </c>
      <c r="O272" s="59" t="s">
        <v>4458</v>
      </c>
      <c r="P272" s="59" t="s">
        <v>6154</v>
      </c>
      <c r="Q272" s="59" t="str">
        <f t="shared" si="9"/>
        <v>DENTRO DEL TIEMPO</v>
      </c>
      <c r="R272" s="28"/>
    </row>
    <row r="273" spans="1:18" ht="48.75" x14ac:dyDescent="0.25">
      <c r="A273" s="86">
        <v>268</v>
      </c>
      <c r="B273" s="59" t="s">
        <v>6916</v>
      </c>
      <c r="C273" s="70">
        <v>44742</v>
      </c>
      <c r="D273" s="70">
        <v>44742</v>
      </c>
      <c r="E273" s="86">
        <v>2</v>
      </c>
      <c r="F273" s="87" t="s">
        <v>22</v>
      </c>
      <c r="G273" s="59" t="s">
        <v>30</v>
      </c>
      <c r="H273" s="55" t="s">
        <v>24</v>
      </c>
      <c r="I273" s="59" t="s">
        <v>30</v>
      </c>
      <c r="J273" s="70">
        <v>44743</v>
      </c>
      <c r="K273" s="70">
        <v>44743</v>
      </c>
      <c r="L273" s="88">
        <f t="shared" si="8"/>
        <v>1</v>
      </c>
      <c r="M273" s="59" t="s">
        <v>6917</v>
      </c>
      <c r="N273" s="59" t="s">
        <v>26</v>
      </c>
      <c r="O273" s="59" t="s">
        <v>4458</v>
      </c>
      <c r="P273" s="59" t="s">
        <v>6154</v>
      </c>
      <c r="Q273" s="59" t="str">
        <f t="shared" si="9"/>
        <v>DENTRO DEL TIEMPO</v>
      </c>
      <c r="R273" s="28"/>
    </row>
    <row r="274" spans="1:18" ht="48.75" x14ac:dyDescent="0.25">
      <c r="A274" s="86">
        <v>269</v>
      </c>
      <c r="B274" s="59" t="s">
        <v>6918</v>
      </c>
      <c r="C274" s="70">
        <v>44742</v>
      </c>
      <c r="D274" s="70">
        <v>44742</v>
      </c>
      <c r="E274" s="86">
        <v>2</v>
      </c>
      <c r="F274" s="87" t="s">
        <v>22</v>
      </c>
      <c r="G274" s="59" t="s">
        <v>30</v>
      </c>
      <c r="H274" s="55" t="s">
        <v>24</v>
      </c>
      <c r="I274" s="59" t="s">
        <v>30</v>
      </c>
      <c r="J274" s="70">
        <v>44743</v>
      </c>
      <c r="K274" s="70">
        <v>44743</v>
      </c>
      <c r="L274" s="88">
        <f t="shared" si="8"/>
        <v>1</v>
      </c>
      <c r="M274" s="59" t="s">
        <v>6919</v>
      </c>
      <c r="N274" s="59" t="s">
        <v>26</v>
      </c>
      <c r="O274" s="59" t="s">
        <v>4458</v>
      </c>
      <c r="P274" s="59" t="s">
        <v>6154</v>
      </c>
      <c r="Q274" s="59" t="str">
        <f t="shared" si="9"/>
        <v>DENTRO DEL TIEMPO</v>
      </c>
      <c r="R274" s="28"/>
    </row>
    <row r="275" spans="1:18" ht="48.75" x14ac:dyDescent="0.25">
      <c r="A275" s="86">
        <v>270</v>
      </c>
      <c r="B275" s="59" t="s">
        <v>6920</v>
      </c>
      <c r="C275" s="70">
        <v>44742</v>
      </c>
      <c r="D275" s="70">
        <v>44742</v>
      </c>
      <c r="E275" s="86">
        <v>2</v>
      </c>
      <c r="F275" s="87" t="s">
        <v>22</v>
      </c>
      <c r="G275" s="59" t="s">
        <v>30</v>
      </c>
      <c r="H275" s="55" t="s">
        <v>24</v>
      </c>
      <c r="I275" s="59" t="s">
        <v>30</v>
      </c>
      <c r="J275" s="70">
        <v>44743</v>
      </c>
      <c r="K275" s="70">
        <v>44743</v>
      </c>
      <c r="L275" s="88">
        <f t="shared" si="8"/>
        <v>1</v>
      </c>
      <c r="M275" s="59" t="s">
        <v>6921</v>
      </c>
      <c r="N275" s="59" t="s">
        <v>26</v>
      </c>
      <c r="O275" s="59" t="s">
        <v>4458</v>
      </c>
      <c r="P275" s="59" t="s">
        <v>6154</v>
      </c>
      <c r="Q275" s="59" t="str">
        <f t="shared" si="9"/>
        <v>DENTRO DEL TIEMPO</v>
      </c>
      <c r="R275" s="28"/>
    </row>
    <row r="276" spans="1:18" ht="48.75" x14ac:dyDescent="0.25">
      <c r="A276" s="86">
        <v>271</v>
      </c>
      <c r="B276" s="59" t="s">
        <v>6922</v>
      </c>
      <c r="C276" s="70">
        <v>44742</v>
      </c>
      <c r="D276" s="70">
        <v>44742</v>
      </c>
      <c r="E276" s="86">
        <v>2</v>
      </c>
      <c r="F276" s="87" t="s">
        <v>22</v>
      </c>
      <c r="G276" s="59" t="s">
        <v>30</v>
      </c>
      <c r="H276" s="55" t="s">
        <v>24</v>
      </c>
      <c r="I276" s="59" t="s">
        <v>30</v>
      </c>
      <c r="J276" s="70">
        <v>44743</v>
      </c>
      <c r="K276" s="70">
        <v>44743</v>
      </c>
      <c r="L276" s="88">
        <f t="shared" si="8"/>
        <v>1</v>
      </c>
      <c r="M276" s="59" t="s">
        <v>6923</v>
      </c>
      <c r="N276" s="59" t="s">
        <v>26</v>
      </c>
      <c r="O276" s="59" t="s">
        <v>4458</v>
      </c>
      <c r="P276" s="59" t="s">
        <v>6154</v>
      </c>
      <c r="Q276" s="59" t="str">
        <f t="shared" si="9"/>
        <v>DENTRO DEL TIEMPO</v>
      </c>
      <c r="R276" s="28"/>
    </row>
    <row r="277" spans="1:18" ht="48.75" x14ac:dyDescent="0.25">
      <c r="A277" s="86">
        <v>272</v>
      </c>
      <c r="B277" s="59" t="s">
        <v>6924</v>
      </c>
      <c r="C277" s="70">
        <v>44742</v>
      </c>
      <c r="D277" s="70">
        <v>44742</v>
      </c>
      <c r="E277" s="86">
        <v>2</v>
      </c>
      <c r="F277" s="87" t="s">
        <v>22</v>
      </c>
      <c r="G277" s="59" t="s">
        <v>30</v>
      </c>
      <c r="H277" s="55" t="s">
        <v>24</v>
      </c>
      <c r="I277" s="59" t="s">
        <v>30</v>
      </c>
      <c r="J277" s="70">
        <v>44743</v>
      </c>
      <c r="K277" s="70">
        <v>44743</v>
      </c>
      <c r="L277" s="88">
        <f t="shared" si="8"/>
        <v>1</v>
      </c>
      <c r="M277" s="59" t="s">
        <v>6925</v>
      </c>
      <c r="N277" s="59" t="s">
        <v>26</v>
      </c>
      <c r="O277" s="59" t="s">
        <v>4458</v>
      </c>
      <c r="P277" s="59" t="s">
        <v>6154</v>
      </c>
      <c r="Q277" s="59" t="str">
        <f t="shared" si="9"/>
        <v>DENTRO DEL TIEMPO</v>
      </c>
      <c r="R277" s="28"/>
    </row>
    <row r="278" spans="1:18" ht="48.75" x14ac:dyDescent="0.25">
      <c r="A278" s="86">
        <v>273</v>
      </c>
      <c r="B278" s="59" t="s">
        <v>6926</v>
      </c>
      <c r="C278" s="70">
        <v>44742</v>
      </c>
      <c r="D278" s="70">
        <v>44742</v>
      </c>
      <c r="E278" s="86">
        <v>2</v>
      </c>
      <c r="F278" s="87" t="s">
        <v>22</v>
      </c>
      <c r="G278" s="59" t="s">
        <v>30</v>
      </c>
      <c r="H278" s="55" t="s">
        <v>24</v>
      </c>
      <c r="I278" s="59" t="s">
        <v>30</v>
      </c>
      <c r="J278" s="70">
        <v>44746</v>
      </c>
      <c r="K278" s="70">
        <v>44746</v>
      </c>
      <c r="L278" s="88">
        <f t="shared" si="8"/>
        <v>2</v>
      </c>
      <c r="M278" s="59" t="s">
        <v>6927</v>
      </c>
      <c r="N278" s="59" t="s">
        <v>26</v>
      </c>
      <c r="O278" s="59" t="s">
        <v>4458</v>
      </c>
      <c r="P278" s="59" t="s">
        <v>6154</v>
      </c>
      <c r="Q278" s="59" t="str">
        <f t="shared" si="9"/>
        <v>DENTRO DEL TIEMPO</v>
      </c>
      <c r="R278" s="28"/>
    </row>
    <row r="279" spans="1:18" ht="48.75" x14ac:dyDescent="0.25">
      <c r="A279" s="86">
        <v>274</v>
      </c>
      <c r="B279" s="59" t="s">
        <v>6928</v>
      </c>
      <c r="C279" s="70">
        <v>44742</v>
      </c>
      <c r="D279" s="70">
        <v>44742</v>
      </c>
      <c r="E279" s="86">
        <v>2</v>
      </c>
      <c r="F279" s="87" t="s">
        <v>22</v>
      </c>
      <c r="G279" s="59" t="s">
        <v>30</v>
      </c>
      <c r="H279" s="55" t="s">
        <v>24</v>
      </c>
      <c r="I279" s="59" t="s">
        <v>30</v>
      </c>
      <c r="J279" s="70">
        <v>44746</v>
      </c>
      <c r="K279" s="70">
        <v>44746</v>
      </c>
      <c r="L279" s="88">
        <f t="shared" si="8"/>
        <v>2</v>
      </c>
      <c r="M279" s="59" t="s">
        <v>6929</v>
      </c>
      <c r="N279" s="59" t="s">
        <v>26</v>
      </c>
      <c r="O279" s="59" t="s">
        <v>4458</v>
      </c>
      <c r="P279" s="59" t="s">
        <v>6154</v>
      </c>
      <c r="Q279" s="59" t="str">
        <f t="shared" si="9"/>
        <v>DENTRO DEL TIEMPO</v>
      </c>
      <c r="R279" s="28"/>
    </row>
    <row r="280" spans="1:18" ht="48.75" x14ac:dyDescent="0.25">
      <c r="A280" s="86">
        <v>275</v>
      </c>
      <c r="B280" s="59" t="s">
        <v>6930</v>
      </c>
      <c r="C280" s="70">
        <v>44742</v>
      </c>
      <c r="D280" s="70">
        <v>44742</v>
      </c>
      <c r="E280" s="86">
        <v>2</v>
      </c>
      <c r="F280" s="87" t="s">
        <v>22</v>
      </c>
      <c r="G280" s="59" t="s">
        <v>30</v>
      </c>
      <c r="H280" s="55" t="s">
        <v>24</v>
      </c>
      <c r="I280" s="59" t="s">
        <v>30</v>
      </c>
      <c r="J280" s="70">
        <v>44746</v>
      </c>
      <c r="K280" s="70">
        <v>44746</v>
      </c>
      <c r="L280" s="88">
        <f t="shared" si="8"/>
        <v>2</v>
      </c>
      <c r="M280" s="59" t="s">
        <v>6931</v>
      </c>
      <c r="N280" s="59" t="s">
        <v>26</v>
      </c>
      <c r="O280" s="59" t="s">
        <v>4458</v>
      </c>
      <c r="P280" s="59" t="s">
        <v>6154</v>
      </c>
      <c r="Q280" s="59" t="str">
        <f t="shared" si="9"/>
        <v>DENTRO DEL TIEMPO</v>
      </c>
      <c r="R280" s="28"/>
    </row>
    <row r="281" spans="1:18" ht="48.75" x14ac:dyDescent="0.25">
      <c r="A281" s="86">
        <v>276</v>
      </c>
      <c r="B281" s="59" t="s">
        <v>6932</v>
      </c>
      <c r="C281" s="70">
        <v>44742</v>
      </c>
      <c r="D281" s="70">
        <v>44742</v>
      </c>
      <c r="E281" s="86">
        <v>2</v>
      </c>
      <c r="F281" s="87" t="s">
        <v>22</v>
      </c>
      <c r="G281" s="59" t="s">
        <v>30</v>
      </c>
      <c r="H281" s="55" t="s">
        <v>24</v>
      </c>
      <c r="I281" s="59" t="s">
        <v>30</v>
      </c>
      <c r="J281" s="70">
        <v>44746</v>
      </c>
      <c r="K281" s="70">
        <v>44746</v>
      </c>
      <c r="L281" s="88">
        <f t="shared" si="8"/>
        <v>2</v>
      </c>
      <c r="M281" s="59" t="s">
        <v>6933</v>
      </c>
      <c r="N281" s="59" t="s">
        <v>26</v>
      </c>
      <c r="O281" s="59" t="s">
        <v>4458</v>
      </c>
      <c r="P281" s="59" t="s">
        <v>6154</v>
      </c>
      <c r="Q281" s="59" t="str">
        <f t="shared" si="9"/>
        <v>DENTRO DEL TIEMPO</v>
      </c>
      <c r="R281" s="28"/>
    </row>
    <row r="282" spans="1:18" ht="48.75" x14ac:dyDescent="0.25">
      <c r="A282" s="86">
        <v>277</v>
      </c>
      <c r="B282" s="59" t="s">
        <v>6934</v>
      </c>
      <c r="C282" s="70">
        <v>44742</v>
      </c>
      <c r="D282" s="70">
        <v>44742</v>
      </c>
      <c r="E282" s="86">
        <v>2</v>
      </c>
      <c r="F282" s="87" t="s">
        <v>22</v>
      </c>
      <c r="G282" s="59" t="s">
        <v>30</v>
      </c>
      <c r="H282" s="55" t="s">
        <v>24</v>
      </c>
      <c r="I282" s="59" t="s">
        <v>30</v>
      </c>
      <c r="J282" s="70">
        <v>44746</v>
      </c>
      <c r="K282" s="70">
        <v>44746</v>
      </c>
      <c r="L282" s="88">
        <f t="shared" si="8"/>
        <v>2</v>
      </c>
      <c r="M282" s="59" t="s">
        <v>6935</v>
      </c>
      <c r="N282" s="59" t="s">
        <v>26</v>
      </c>
      <c r="O282" s="59" t="s">
        <v>4458</v>
      </c>
      <c r="P282" s="59" t="s">
        <v>6154</v>
      </c>
      <c r="Q282" s="59" t="str">
        <f t="shared" si="9"/>
        <v>DENTRO DEL TIEMPO</v>
      </c>
      <c r="R282" s="28"/>
    </row>
    <row r="283" spans="1:18" ht="48.75" x14ac:dyDescent="0.25">
      <c r="A283" s="86">
        <v>278</v>
      </c>
      <c r="B283" s="59" t="s">
        <v>6936</v>
      </c>
      <c r="C283" s="70">
        <v>44742</v>
      </c>
      <c r="D283" s="70">
        <v>44742</v>
      </c>
      <c r="E283" s="86">
        <v>2</v>
      </c>
      <c r="F283" s="87" t="s">
        <v>22</v>
      </c>
      <c r="G283" s="59" t="s">
        <v>30</v>
      </c>
      <c r="H283" s="55" t="s">
        <v>24</v>
      </c>
      <c r="I283" s="59" t="s">
        <v>30</v>
      </c>
      <c r="J283" s="70">
        <v>44746</v>
      </c>
      <c r="K283" s="70">
        <v>44746</v>
      </c>
      <c r="L283" s="88">
        <f t="shared" si="8"/>
        <v>2</v>
      </c>
      <c r="M283" s="59" t="s">
        <v>6937</v>
      </c>
      <c r="N283" s="59" t="s">
        <v>26</v>
      </c>
      <c r="O283" s="59" t="s">
        <v>4458</v>
      </c>
      <c r="P283" s="59" t="s">
        <v>6154</v>
      </c>
      <c r="Q283" s="59" t="str">
        <f t="shared" si="9"/>
        <v>DENTRO DEL TIEMPO</v>
      </c>
      <c r="R283" s="28"/>
    </row>
    <row r="284" spans="1:18" ht="48.75" x14ac:dyDescent="0.25">
      <c r="A284" s="86">
        <v>279</v>
      </c>
      <c r="B284" s="59" t="s">
        <v>6938</v>
      </c>
      <c r="C284" s="70">
        <v>44742</v>
      </c>
      <c r="D284" s="70">
        <v>44742</v>
      </c>
      <c r="E284" s="86">
        <v>2</v>
      </c>
      <c r="F284" s="87" t="s">
        <v>22</v>
      </c>
      <c r="G284" s="59" t="s">
        <v>30</v>
      </c>
      <c r="H284" s="55" t="s">
        <v>24</v>
      </c>
      <c r="I284" s="59" t="s">
        <v>30</v>
      </c>
      <c r="J284" s="70">
        <v>44746</v>
      </c>
      <c r="K284" s="70">
        <v>44746</v>
      </c>
      <c r="L284" s="88">
        <f t="shared" si="8"/>
        <v>2</v>
      </c>
      <c r="M284" s="59" t="s">
        <v>6939</v>
      </c>
      <c r="N284" s="59" t="s">
        <v>26</v>
      </c>
      <c r="O284" s="59" t="s">
        <v>4458</v>
      </c>
      <c r="P284" s="59" t="s">
        <v>6154</v>
      </c>
      <c r="Q284" s="59" t="str">
        <f t="shared" si="9"/>
        <v>DENTRO DEL TIEMPO</v>
      </c>
      <c r="R284" s="28"/>
    </row>
    <row r="285" spans="1:18" ht="48.75" x14ac:dyDescent="0.25">
      <c r="A285" s="86">
        <v>280</v>
      </c>
      <c r="B285" s="59" t="s">
        <v>6940</v>
      </c>
      <c r="C285" s="70">
        <v>44742</v>
      </c>
      <c r="D285" s="70">
        <v>44742</v>
      </c>
      <c r="E285" s="86">
        <v>2</v>
      </c>
      <c r="F285" s="87" t="s">
        <v>22</v>
      </c>
      <c r="G285" s="59" t="s">
        <v>30</v>
      </c>
      <c r="H285" s="55" t="s">
        <v>24</v>
      </c>
      <c r="I285" s="59" t="s">
        <v>30</v>
      </c>
      <c r="J285" s="70">
        <v>44746</v>
      </c>
      <c r="K285" s="70">
        <v>44746</v>
      </c>
      <c r="L285" s="88">
        <f t="shared" si="8"/>
        <v>2</v>
      </c>
      <c r="M285" s="59" t="s">
        <v>6941</v>
      </c>
      <c r="N285" s="59" t="s">
        <v>26</v>
      </c>
      <c r="O285" s="59" t="s">
        <v>4458</v>
      </c>
      <c r="P285" s="59" t="s">
        <v>6154</v>
      </c>
      <c r="Q285" s="59" t="str">
        <f t="shared" si="9"/>
        <v>DENTRO DEL TIEMPO</v>
      </c>
      <c r="R285" s="28"/>
    </row>
    <row r="286" spans="1:18" ht="48.75" x14ac:dyDescent="0.25">
      <c r="A286" s="86">
        <v>281</v>
      </c>
      <c r="B286" s="59" t="s">
        <v>6942</v>
      </c>
      <c r="C286" s="70">
        <v>44742</v>
      </c>
      <c r="D286" s="70">
        <v>44742</v>
      </c>
      <c r="E286" s="86">
        <v>2</v>
      </c>
      <c r="F286" s="87" t="s">
        <v>22</v>
      </c>
      <c r="G286" s="59" t="s">
        <v>30</v>
      </c>
      <c r="H286" s="55" t="s">
        <v>24</v>
      </c>
      <c r="I286" s="59" t="s">
        <v>30</v>
      </c>
      <c r="J286" s="70">
        <v>44743</v>
      </c>
      <c r="K286" s="70">
        <v>44743</v>
      </c>
      <c r="L286" s="88">
        <f t="shared" si="8"/>
        <v>1</v>
      </c>
      <c r="M286" s="59" t="s">
        <v>6943</v>
      </c>
      <c r="N286" s="59" t="s">
        <v>26</v>
      </c>
      <c r="O286" s="59" t="s">
        <v>6944</v>
      </c>
      <c r="P286" s="59" t="s">
        <v>6945</v>
      </c>
      <c r="Q286" s="59" t="str">
        <f t="shared" si="9"/>
        <v>DENTRO DEL TIEMPO</v>
      </c>
      <c r="R286" s="28"/>
    </row>
    <row r="287" spans="1:18" ht="48.75" x14ac:dyDescent="0.25">
      <c r="A287" s="86">
        <v>282</v>
      </c>
      <c r="B287" s="59" t="s">
        <v>6946</v>
      </c>
      <c r="C287" s="70">
        <v>44742</v>
      </c>
      <c r="D287" s="70">
        <v>44742</v>
      </c>
      <c r="E287" s="86">
        <v>2</v>
      </c>
      <c r="F287" s="87" t="s">
        <v>22</v>
      </c>
      <c r="G287" s="59" t="s">
        <v>30</v>
      </c>
      <c r="H287" s="55" t="s">
        <v>24</v>
      </c>
      <c r="I287" s="59" t="s">
        <v>30</v>
      </c>
      <c r="J287" s="70">
        <v>44746</v>
      </c>
      <c r="K287" s="70">
        <v>44746</v>
      </c>
      <c r="L287" s="88">
        <f t="shared" si="8"/>
        <v>2</v>
      </c>
      <c r="M287" s="59" t="s">
        <v>6947</v>
      </c>
      <c r="N287" s="59" t="s">
        <v>26</v>
      </c>
      <c r="O287" s="59" t="s">
        <v>4458</v>
      </c>
      <c r="P287" s="59" t="s">
        <v>6154</v>
      </c>
      <c r="Q287" s="59" t="str">
        <f t="shared" si="9"/>
        <v>DENTRO DEL TIEMPO</v>
      </c>
      <c r="R287" s="28"/>
    </row>
    <row r="288" spans="1:18" ht="48.75" x14ac:dyDescent="0.25">
      <c r="A288" s="86">
        <v>283</v>
      </c>
      <c r="B288" s="59" t="s">
        <v>6948</v>
      </c>
      <c r="C288" s="70">
        <v>44742</v>
      </c>
      <c r="D288" s="70">
        <v>44742</v>
      </c>
      <c r="E288" s="86">
        <v>2</v>
      </c>
      <c r="F288" s="87" t="s">
        <v>22</v>
      </c>
      <c r="G288" s="59" t="s">
        <v>30</v>
      </c>
      <c r="H288" s="55" t="s">
        <v>24</v>
      </c>
      <c r="I288" s="59" t="s">
        <v>30</v>
      </c>
      <c r="J288" s="70">
        <v>44746</v>
      </c>
      <c r="K288" s="70">
        <v>44746</v>
      </c>
      <c r="L288" s="88">
        <f t="shared" si="8"/>
        <v>2</v>
      </c>
      <c r="M288" s="59" t="s">
        <v>6949</v>
      </c>
      <c r="N288" s="59" t="s">
        <v>26</v>
      </c>
      <c r="O288" s="59" t="s">
        <v>4458</v>
      </c>
      <c r="P288" s="59" t="s">
        <v>6154</v>
      </c>
      <c r="Q288" s="59" t="str">
        <f t="shared" si="9"/>
        <v>DENTRO DEL TIEMPO</v>
      </c>
      <c r="R288" s="28"/>
    </row>
    <row r="289" spans="1:18" ht="48.75" x14ac:dyDescent="0.25">
      <c r="A289" s="86">
        <v>284</v>
      </c>
      <c r="B289" s="59" t="s">
        <v>6950</v>
      </c>
      <c r="C289" s="70">
        <v>44742</v>
      </c>
      <c r="D289" s="70">
        <v>44742</v>
      </c>
      <c r="E289" s="86">
        <v>13</v>
      </c>
      <c r="F289" s="87" t="s">
        <v>22</v>
      </c>
      <c r="G289" s="59" t="s">
        <v>23</v>
      </c>
      <c r="H289" s="55" t="s">
        <v>24</v>
      </c>
      <c r="I289" s="59" t="s">
        <v>23</v>
      </c>
      <c r="J289" s="70">
        <v>44746</v>
      </c>
      <c r="K289" s="70">
        <v>44746</v>
      </c>
      <c r="L289" s="88">
        <f t="shared" si="8"/>
        <v>2</v>
      </c>
      <c r="M289" s="59" t="s">
        <v>6951</v>
      </c>
      <c r="N289" s="59" t="s">
        <v>26</v>
      </c>
      <c r="O289" s="59" t="s">
        <v>6952</v>
      </c>
      <c r="P289" s="59" t="s">
        <v>6953</v>
      </c>
      <c r="Q289" s="59" t="str">
        <f t="shared" si="9"/>
        <v>DENTRO DEL TIEMPO</v>
      </c>
      <c r="R289" s="28"/>
    </row>
    <row r="290" spans="1:18" ht="48.75" x14ac:dyDescent="0.25">
      <c r="A290" s="86">
        <v>285</v>
      </c>
      <c r="B290" s="59" t="s">
        <v>6954</v>
      </c>
      <c r="C290" s="70">
        <v>44742</v>
      </c>
      <c r="D290" s="70">
        <v>44742</v>
      </c>
      <c r="E290" s="86">
        <v>2</v>
      </c>
      <c r="F290" s="87" t="s">
        <v>22</v>
      </c>
      <c r="G290" s="59" t="s">
        <v>30</v>
      </c>
      <c r="H290" s="55" t="s">
        <v>24</v>
      </c>
      <c r="I290" s="59" t="s">
        <v>30</v>
      </c>
      <c r="J290" s="70">
        <v>44746</v>
      </c>
      <c r="K290" s="70">
        <v>44746</v>
      </c>
      <c r="L290" s="88">
        <f t="shared" si="8"/>
        <v>2</v>
      </c>
      <c r="M290" s="59" t="s">
        <v>6955</v>
      </c>
      <c r="N290" s="59" t="s">
        <v>26</v>
      </c>
      <c r="O290" s="59" t="s">
        <v>3983</v>
      </c>
      <c r="P290" s="59" t="s">
        <v>6956</v>
      </c>
      <c r="Q290" s="59" t="str">
        <f t="shared" si="9"/>
        <v>DENTRO DEL TIEMPO</v>
      </c>
      <c r="R290" s="28"/>
    </row>
    <row r="291" spans="1:18" ht="48.75" x14ac:dyDescent="0.25">
      <c r="A291" s="86">
        <v>286</v>
      </c>
      <c r="B291" s="59" t="s">
        <v>6957</v>
      </c>
      <c r="C291" s="70">
        <v>44742</v>
      </c>
      <c r="D291" s="70">
        <v>44742</v>
      </c>
      <c r="E291" s="86">
        <v>7</v>
      </c>
      <c r="F291" s="87" t="s">
        <v>22</v>
      </c>
      <c r="G291" s="59" t="s">
        <v>23</v>
      </c>
      <c r="H291" s="55" t="s">
        <v>24</v>
      </c>
      <c r="I291" s="59" t="s">
        <v>23</v>
      </c>
      <c r="J291" s="70">
        <v>44750</v>
      </c>
      <c r="K291" s="70">
        <v>44750</v>
      </c>
      <c r="L291" s="88">
        <f t="shared" si="8"/>
        <v>6</v>
      </c>
      <c r="M291" s="59" t="s">
        <v>6958</v>
      </c>
      <c r="N291" s="59" t="s">
        <v>26</v>
      </c>
      <c r="O291" s="59" t="s">
        <v>6959</v>
      </c>
      <c r="P291" s="59" t="s">
        <v>6960</v>
      </c>
      <c r="Q291" s="59" t="str">
        <f t="shared" si="9"/>
        <v>DENTRO DEL TIEMPO</v>
      </c>
      <c r="R291" s="28"/>
    </row>
    <row r="292" spans="1:18" ht="48.75" x14ac:dyDescent="0.25">
      <c r="A292" s="86">
        <v>287</v>
      </c>
      <c r="B292" s="59" t="s">
        <v>6961</v>
      </c>
      <c r="C292" s="70">
        <v>44742</v>
      </c>
      <c r="D292" s="70">
        <v>44742</v>
      </c>
      <c r="E292" s="86">
        <v>2</v>
      </c>
      <c r="F292" s="87" t="s">
        <v>22</v>
      </c>
      <c r="G292" s="59" t="s">
        <v>23</v>
      </c>
      <c r="H292" s="55" t="s">
        <v>24</v>
      </c>
      <c r="I292" s="59" t="s">
        <v>23</v>
      </c>
      <c r="J292" s="70">
        <v>44747</v>
      </c>
      <c r="K292" s="70">
        <v>44747</v>
      </c>
      <c r="L292" s="88">
        <f t="shared" si="8"/>
        <v>3</v>
      </c>
      <c r="M292" s="59" t="s">
        <v>6962</v>
      </c>
      <c r="N292" s="59" t="s">
        <v>26</v>
      </c>
      <c r="O292" s="59" t="s">
        <v>6963</v>
      </c>
      <c r="P292" s="59" t="s">
        <v>6964</v>
      </c>
      <c r="Q292" s="59" t="str">
        <f t="shared" si="9"/>
        <v>DENTRO DEL TIEMPO</v>
      </c>
      <c r="R292" s="28"/>
    </row>
    <row r="293" spans="1:18" ht="48.75" x14ac:dyDescent="0.25">
      <c r="A293" s="86">
        <v>288</v>
      </c>
      <c r="B293" s="59" t="s">
        <v>6965</v>
      </c>
      <c r="C293" s="70">
        <v>44742</v>
      </c>
      <c r="D293" s="70">
        <v>44742</v>
      </c>
      <c r="E293" s="86">
        <v>2</v>
      </c>
      <c r="F293" s="87" t="s">
        <v>22</v>
      </c>
      <c r="G293" s="59" t="s">
        <v>30</v>
      </c>
      <c r="H293" s="55" t="s">
        <v>24</v>
      </c>
      <c r="I293" s="59" t="s">
        <v>30</v>
      </c>
      <c r="J293" s="70">
        <v>44743</v>
      </c>
      <c r="K293" s="70">
        <v>44743</v>
      </c>
      <c r="L293" s="88">
        <f t="shared" si="8"/>
        <v>1</v>
      </c>
      <c r="M293" s="59" t="s">
        <v>6966</v>
      </c>
      <c r="N293" s="59" t="s">
        <v>26</v>
      </c>
      <c r="O293" s="59" t="s">
        <v>6967</v>
      </c>
      <c r="P293" s="59" t="s">
        <v>6968</v>
      </c>
      <c r="Q293" s="59" t="str">
        <f t="shared" si="9"/>
        <v>DENTRO DEL TIEMPO</v>
      </c>
      <c r="R293" s="28"/>
    </row>
    <row r="294" spans="1:18" ht="48.75" x14ac:dyDescent="0.25">
      <c r="A294" s="86">
        <v>289</v>
      </c>
      <c r="B294" s="59" t="s">
        <v>6969</v>
      </c>
      <c r="C294" s="70">
        <v>44742</v>
      </c>
      <c r="D294" s="70">
        <v>44742</v>
      </c>
      <c r="E294" s="86">
        <v>2</v>
      </c>
      <c r="F294" s="87" t="s">
        <v>22</v>
      </c>
      <c r="G294" s="59" t="s">
        <v>6970</v>
      </c>
      <c r="H294" s="55" t="s">
        <v>6971</v>
      </c>
      <c r="I294" s="59" t="s">
        <v>6970</v>
      </c>
      <c r="J294" s="70">
        <v>44743</v>
      </c>
      <c r="K294" s="70">
        <v>44743</v>
      </c>
      <c r="L294" s="88">
        <f t="shared" si="8"/>
        <v>1</v>
      </c>
      <c r="M294" s="59" t="s">
        <v>6972</v>
      </c>
      <c r="N294" s="59" t="s">
        <v>26</v>
      </c>
      <c r="O294" s="59" t="s">
        <v>2602</v>
      </c>
      <c r="P294" s="59" t="s">
        <v>6973</v>
      </c>
      <c r="Q294" s="59" t="str">
        <f t="shared" si="9"/>
        <v>DENTRO DEL TIEMPO</v>
      </c>
      <c r="R294" s="28"/>
    </row>
    <row r="295" spans="1:18" ht="48.75" x14ac:dyDescent="0.25">
      <c r="A295" s="86">
        <v>290</v>
      </c>
      <c r="B295" s="59" t="s">
        <v>6974</v>
      </c>
      <c r="C295" s="70">
        <v>44742</v>
      </c>
      <c r="D295" s="70">
        <v>44742</v>
      </c>
      <c r="E295" s="86">
        <v>2</v>
      </c>
      <c r="F295" s="87" t="s">
        <v>22</v>
      </c>
      <c r="G295" s="59" t="s">
        <v>30</v>
      </c>
      <c r="H295" s="55" t="s">
        <v>24</v>
      </c>
      <c r="I295" s="59" t="s">
        <v>30</v>
      </c>
      <c r="J295" s="70">
        <v>44743</v>
      </c>
      <c r="K295" s="70">
        <v>44743</v>
      </c>
      <c r="L295" s="88">
        <f t="shared" si="8"/>
        <v>1</v>
      </c>
      <c r="M295" s="59" t="s">
        <v>6975</v>
      </c>
      <c r="N295" s="59" t="s">
        <v>26</v>
      </c>
      <c r="O295" s="59" t="s">
        <v>6976</v>
      </c>
      <c r="P295" s="59" t="s">
        <v>6977</v>
      </c>
      <c r="Q295" s="59" t="str">
        <f t="shared" si="9"/>
        <v>DENTRO DEL TIEMPO</v>
      </c>
      <c r="R295" s="28"/>
    </row>
    <row r="296" spans="1:18" ht="48.75" x14ac:dyDescent="0.25">
      <c r="A296" s="86">
        <v>291</v>
      </c>
      <c r="B296" s="59" t="s">
        <v>6978</v>
      </c>
      <c r="C296" s="70">
        <v>44742</v>
      </c>
      <c r="D296" s="70">
        <v>44742</v>
      </c>
      <c r="E296" s="86">
        <v>2</v>
      </c>
      <c r="F296" s="87" t="s">
        <v>22</v>
      </c>
      <c r="G296" s="59" t="s">
        <v>30</v>
      </c>
      <c r="H296" s="55" t="s">
        <v>24</v>
      </c>
      <c r="I296" s="59" t="s">
        <v>30</v>
      </c>
      <c r="J296" s="70">
        <v>44746</v>
      </c>
      <c r="K296" s="70">
        <v>44746</v>
      </c>
      <c r="L296" s="88">
        <f t="shared" si="8"/>
        <v>2</v>
      </c>
      <c r="M296" s="59" t="s">
        <v>6979</v>
      </c>
      <c r="N296" s="59" t="s">
        <v>26</v>
      </c>
      <c r="O296" s="59" t="s">
        <v>2327</v>
      </c>
      <c r="P296" s="59" t="s">
        <v>6980</v>
      </c>
      <c r="Q296" s="59" t="str">
        <f t="shared" si="9"/>
        <v>DENTRO DEL TIEMPO</v>
      </c>
      <c r="R296" s="28"/>
    </row>
    <row r="297" spans="1:18" ht="48.75" x14ac:dyDescent="0.25">
      <c r="A297" s="86">
        <v>292</v>
      </c>
      <c r="B297" s="59" t="s">
        <v>6981</v>
      </c>
      <c r="C297" s="29">
        <v>44722</v>
      </c>
      <c r="D297" s="29">
        <v>44722</v>
      </c>
      <c r="E297" s="86">
        <v>3</v>
      </c>
      <c r="F297" s="87" t="s">
        <v>22</v>
      </c>
      <c r="G297" s="59" t="s">
        <v>23</v>
      </c>
      <c r="H297" s="55" t="s">
        <v>24</v>
      </c>
      <c r="I297" s="59" t="s">
        <v>23</v>
      </c>
      <c r="J297" s="70">
        <v>44722</v>
      </c>
      <c r="K297" s="70">
        <v>44722</v>
      </c>
      <c r="L297" s="88">
        <f t="shared" si="8"/>
        <v>0</v>
      </c>
      <c r="M297" s="59" t="s">
        <v>6982</v>
      </c>
      <c r="N297" s="59" t="s">
        <v>26</v>
      </c>
      <c r="O297" s="59" t="s">
        <v>937</v>
      </c>
      <c r="P297" s="59" t="s">
        <v>6983</v>
      </c>
      <c r="Q297" s="59" t="str">
        <f t="shared" si="9"/>
        <v>DENTRO DEL TIEMPO</v>
      </c>
      <c r="R297" s="28"/>
    </row>
    <row r="298" spans="1:18" ht="48.75" x14ac:dyDescent="0.25">
      <c r="A298" s="86">
        <v>293</v>
      </c>
      <c r="B298" s="59" t="s">
        <v>6984</v>
      </c>
      <c r="C298" s="29">
        <v>44722</v>
      </c>
      <c r="D298" s="29">
        <v>44722</v>
      </c>
      <c r="E298" s="86">
        <v>61</v>
      </c>
      <c r="F298" s="87" t="s">
        <v>22</v>
      </c>
      <c r="G298" s="59" t="s">
        <v>23</v>
      </c>
      <c r="H298" s="55" t="s">
        <v>24</v>
      </c>
      <c r="I298" s="59" t="s">
        <v>23</v>
      </c>
      <c r="J298" s="70">
        <v>44722</v>
      </c>
      <c r="K298" s="70">
        <v>44722</v>
      </c>
      <c r="L298" s="88">
        <f t="shared" si="8"/>
        <v>0</v>
      </c>
      <c r="M298" s="59" t="s">
        <v>6985</v>
      </c>
      <c r="N298" s="59" t="s">
        <v>26</v>
      </c>
      <c r="O298" s="59" t="s">
        <v>937</v>
      </c>
      <c r="P298" s="59" t="s">
        <v>6983</v>
      </c>
      <c r="Q298" s="59" t="str">
        <f t="shared" si="9"/>
        <v>DENTRO DEL TIEMPO</v>
      </c>
      <c r="R298" s="28"/>
    </row>
    <row r="299" spans="1:18" ht="48.75" x14ac:dyDescent="0.25">
      <c r="A299" s="86">
        <v>294</v>
      </c>
      <c r="B299" s="59" t="s">
        <v>6986</v>
      </c>
      <c r="C299" s="29">
        <v>44722</v>
      </c>
      <c r="D299" s="29">
        <v>44722</v>
      </c>
      <c r="E299" s="86">
        <v>63</v>
      </c>
      <c r="F299" s="87" t="s">
        <v>22</v>
      </c>
      <c r="G299" s="59" t="s">
        <v>23</v>
      </c>
      <c r="H299" s="55" t="s">
        <v>24</v>
      </c>
      <c r="I299" s="59" t="s">
        <v>23</v>
      </c>
      <c r="J299" s="70">
        <v>44722</v>
      </c>
      <c r="K299" s="70">
        <v>44722</v>
      </c>
      <c r="L299" s="88">
        <f t="shared" si="8"/>
        <v>0</v>
      </c>
      <c r="M299" s="59" t="s">
        <v>6987</v>
      </c>
      <c r="N299" s="59" t="s">
        <v>26</v>
      </c>
      <c r="O299" s="59" t="s">
        <v>937</v>
      </c>
      <c r="P299" s="59" t="s">
        <v>6983</v>
      </c>
      <c r="Q299" s="59" t="str">
        <f t="shared" si="9"/>
        <v>DENTRO DEL TIEMPO</v>
      </c>
      <c r="R299" s="28"/>
    </row>
    <row r="300" spans="1:18" ht="48.75" x14ac:dyDescent="0.25">
      <c r="A300" s="86">
        <v>295</v>
      </c>
      <c r="B300" s="59" t="s">
        <v>6988</v>
      </c>
      <c r="C300" s="29">
        <v>44722</v>
      </c>
      <c r="D300" s="29">
        <v>44722</v>
      </c>
      <c r="E300" s="86">
        <v>37</v>
      </c>
      <c r="F300" s="87" t="s">
        <v>22</v>
      </c>
      <c r="G300" s="59" t="s">
        <v>23</v>
      </c>
      <c r="H300" s="55" t="s">
        <v>24</v>
      </c>
      <c r="I300" s="59" t="s">
        <v>23</v>
      </c>
      <c r="J300" s="70">
        <v>44722</v>
      </c>
      <c r="K300" s="70">
        <v>44722</v>
      </c>
      <c r="L300" s="88">
        <f t="shared" si="8"/>
        <v>0</v>
      </c>
      <c r="M300" s="59" t="s">
        <v>6989</v>
      </c>
      <c r="N300" s="59" t="s">
        <v>26</v>
      </c>
      <c r="O300" s="59" t="s">
        <v>937</v>
      </c>
      <c r="P300" s="59" t="s">
        <v>6983</v>
      </c>
      <c r="Q300" s="59" t="str">
        <f t="shared" si="9"/>
        <v>DENTRO DEL TIEMPO</v>
      </c>
      <c r="R300" s="28"/>
    </row>
    <row r="301" spans="1:18" ht="48.75" x14ac:dyDescent="0.25">
      <c r="A301" s="86">
        <v>296</v>
      </c>
      <c r="B301" s="59" t="s">
        <v>6990</v>
      </c>
      <c r="C301" s="29">
        <v>44726</v>
      </c>
      <c r="D301" s="29">
        <v>44726</v>
      </c>
      <c r="E301" s="86">
        <v>63</v>
      </c>
      <c r="F301" s="87" t="s">
        <v>22</v>
      </c>
      <c r="G301" s="59" t="s">
        <v>23</v>
      </c>
      <c r="H301" s="55" t="s">
        <v>24</v>
      </c>
      <c r="I301" s="59" t="s">
        <v>23</v>
      </c>
      <c r="J301" s="70">
        <v>44726</v>
      </c>
      <c r="K301" s="70">
        <v>44726</v>
      </c>
      <c r="L301" s="88">
        <f t="shared" si="8"/>
        <v>0</v>
      </c>
      <c r="M301" s="59" t="s">
        <v>6991</v>
      </c>
      <c r="N301" s="59" t="s">
        <v>26</v>
      </c>
      <c r="O301" s="59" t="s">
        <v>937</v>
      </c>
      <c r="P301" s="59" t="s">
        <v>6983</v>
      </c>
      <c r="Q301" s="59" t="str">
        <f t="shared" si="9"/>
        <v>DENTRO DEL TIEMPO</v>
      </c>
      <c r="R301" s="28"/>
    </row>
    <row r="302" spans="1:18" ht="48.75" x14ac:dyDescent="0.25">
      <c r="A302" s="86">
        <v>297</v>
      </c>
      <c r="B302" s="59" t="s">
        <v>6992</v>
      </c>
      <c r="C302" s="29">
        <v>44727</v>
      </c>
      <c r="D302" s="29">
        <v>44727</v>
      </c>
      <c r="E302" s="86">
        <v>97</v>
      </c>
      <c r="F302" s="87" t="s">
        <v>22</v>
      </c>
      <c r="G302" s="59" t="s">
        <v>23</v>
      </c>
      <c r="H302" s="55" t="s">
        <v>24</v>
      </c>
      <c r="I302" s="59" t="s">
        <v>23</v>
      </c>
      <c r="J302" s="70">
        <v>44727</v>
      </c>
      <c r="K302" s="70">
        <v>44727</v>
      </c>
      <c r="L302" s="88">
        <f t="shared" si="8"/>
        <v>0</v>
      </c>
      <c r="M302" s="59" t="s">
        <v>6993</v>
      </c>
      <c r="N302" s="59" t="s">
        <v>26</v>
      </c>
      <c r="O302" s="59" t="s">
        <v>6994</v>
      </c>
      <c r="P302" s="59" t="s">
        <v>6995</v>
      </c>
      <c r="Q302" s="59" t="str">
        <f t="shared" si="9"/>
        <v>DENTRO DEL TIEMPO</v>
      </c>
      <c r="R302" s="28"/>
    </row>
    <row r="303" spans="1:18" ht="48.75" x14ac:dyDescent="0.25">
      <c r="A303" s="86">
        <v>298</v>
      </c>
      <c r="B303" s="59" t="s">
        <v>6996</v>
      </c>
      <c r="C303" s="29">
        <v>44732</v>
      </c>
      <c r="D303" s="29">
        <v>44732</v>
      </c>
      <c r="E303" s="86">
        <v>47</v>
      </c>
      <c r="F303" s="87" t="s">
        <v>22</v>
      </c>
      <c r="G303" s="59" t="s">
        <v>23</v>
      </c>
      <c r="H303" s="55" t="s">
        <v>24</v>
      </c>
      <c r="I303" s="59" t="s">
        <v>23</v>
      </c>
      <c r="J303" s="70">
        <v>44732</v>
      </c>
      <c r="K303" s="70">
        <v>44732</v>
      </c>
      <c r="L303" s="88">
        <f t="shared" si="8"/>
        <v>0</v>
      </c>
      <c r="M303" s="59" t="s">
        <v>6997</v>
      </c>
      <c r="N303" s="59" t="s">
        <v>26</v>
      </c>
      <c r="O303" s="59" t="s">
        <v>937</v>
      </c>
      <c r="P303" s="59" t="s">
        <v>6983</v>
      </c>
      <c r="Q303" s="59" t="str">
        <f t="shared" si="9"/>
        <v>DENTRO DEL TIEMPO</v>
      </c>
      <c r="R303" s="28"/>
    </row>
    <row r="304" spans="1:18" ht="48.75" x14ac:dyDescent="0.25">
      <c r="A304" s="86">
        <v>299</v>
      </c>
      <c r="B304" s="59" t="s">
        <v>6998</v>
      </c>
      <c r="C304" s="29">
        <v>44733</v>
      </c>
      <c r="D304" s="29">
        <v>44733</v>
      </c>
      <c r="E304" s="86">
        <v>718</v>
      </c>
      <c r="F304" s="87" t="s">
        <v>22</v>
      </c>
      <c r="G304" s="59" t="s">
        <v>23</v>
      </c>
      <c r="H304" s="55" t="s">
        <v>24</v>
      </c>
      <c r="I304" s="59" t="s">
        <v>23</v>
      </c>
      <c r="J304" s="70">
        <v>44733</v>
      </c>
      <c r="K304" s="70">
        <v>44733</v>
      </c>
      <c r="L304" s="88">
        <f t="shared" si="8"/>
        <v>0</v>
      </c>
      <c r="M304" s="59" t="s">
        <v>6999</v>
      </c>
      <c r="N304" s="59" t="s">
        <v>26</v>
      </c>
      <c r="O304" s="59" t="s">
        <v>4672</v>
      </c>
      <c r="P304" s="59" t="s">
        <v>7000</v>
      </c>
      <c r="Q304" s="59" t="str">
        <f t="shared" si="9"/>
        <v>DENTRO DEL TIEMPO</v>
      </c>
      <c r="R304" s="28"/>
    </row>
    <row r="305" spans="1:18" ht="48.75" x14ac:dyDescent="0.25">
      <c r="A305" s="86">
        <v>300</v>
      </c>
      <c r="B305" s="59" t="s">
        <v>7001</v>
      </c>
      <c r="C305" s="29">
        <v>44734</v>
      </c>
      <c r="D305" s="29">
        <v>44734</v>
      </c>
      <c r="E305" s="86">
        <v>2</v>
      </c>
      <c r="F305" s="87" t="s">
        <v>22</v>
      </c>
      <c r="G305" s="59" t="s">
        <v>23</v>
      </c>
      <c r="H305" s="55" t="s">
        <v>24</v>
      </c>
      <c r="I305" s="59" t="s">
        <v>23</v>
      </c>
      <c r="J305" s="70">
        <v>44734</v>
      </c>
      <c r="K305" s="70">
        <v>44734</v>
      </c>
      <c r="L305" s="88">
        <f t="shared" si="8"/>
        <v>0</v>
      </c>
      <c r="M305" s="59" t="s">
        <v>7002</v>
      </c>
      <c r="N305" s="59" t="s">
        <v>26</v>
      </c>
      <c r="O305" s="59" t="s">
        <v>937</v>
      </c>
      <c r="P305" s="59" t="s">
        <v>6983</v>
      </c>
      <c r="Q305" s="59" t="str">
        <f t="shared" si="9"/>
        <v>DENTRO DEL TIEMPO</v>
      </c>
      <c r="R305" s="28"/>
    </row>
    <row r="306" spans="1:18" ht="48.75" x14ac:dyDescent="0.25">
      <c r="A306" s="86">
        <v>301</v>
      </c>
      <c r="B306" s="59" t="s">
        <v>7003</v>
      </c>
      <c r="C306" s="29">
        <v>44734</v>
      </c>
      <c r="D306" s="29">
        <v>44734</v>
      </c>
      <c r="E306" s="86">
        <v>319</v>
      </c>
      <c r="F306" s="87" t="s">
        <v>22</v>
      </c>
      <c r="G306" s="59" t="s">
        <v>23</v>
      </c>
      <c r="H306" s="55" t="s">
        <v>24</v>
      </c>
      <c r="I306" s="59" t="s">
        <v>23</v>
      </c>
      <c r="J306" s="70">
        <v>44734</v>
      </c>
      <c r="K306" s="70">
        <v>44734</v>
      </c>
      <c r="L306" s="88">
        <f t="shared" si="8"/>
        <v>0</v>
      </c>
      <c r="M306" s="59" t="s">
        <v>7004</v>
      </c>
      <c r="N306" s="59" t="s">
        <v>26</v>
      </c>
      <c r="O306" s="59" t="s">
        <v>937</v>
      </c>
      <c r="P306" s="59" t="s">
        <v>6983</v>
      </c>
      <c r="Q306" s="59" t="str">
        <f t="shared" si="9"/>
        <v>DENTRO DEL TIEMPO</v>
      </c>
      <c r="R306" s="28"/>
    </row>
    <row r="307" spans="1:18" ht="48.75" x14ac:dyDescent="0.25">
      <c r="A307" s="86">
        <v>302</v>
      </c>
      <c r="B307" s="59" t="s">
        <v>7005</v>
      </c>
      <c r="C307" s="29">
        <v>44735</v>
      </c>
      <c r="D307" s="29">
        <v>44735</v>
      </c>
      <c r="E307" s="86">
        <v>39</v>
      </c>
      <c r="F307" s="87" t="s">
        <v>22</v>
      </c>
      <c r="G307" s="59" t="s">
        <v>23</v>
      </c>
      <c r="H307" s="55" t="s">
        <v>24</v>
      </c>
      <c r="I307" s="59" t="s">
        <v>23</v>
      </c>
      <c r="J307" s="70">
        <v>44735</v>
      </c>
      <c r="K307" s="70">
        <v>44735</v>
      </c>
      <c r="L307" s="88">
        <f t="shared" si="8"/>
        <v>0</v>
      </c>
      <c r="M307" s="59" t="s">
        <v>7006</v>
      </c>
      <c r="N307" s="59" t="s">
        <v>26</v>
      </c>
      <c r="O307" s="59" t="s">
        <v>937</v>
      </c>
      <c r="P307" s="59" t="s">
        <v>6983</v>
      </c>
      <c r="Q307" s="59" t="str">
        <f t="shared" si="9"/>
        <v>DENTRO DEL TIEMPO</v>
      </c>
      <c r="R307" s="28"/>
    </row>
    <row r="308" spans="1:18" ht="48.75" x14ac:dyDescent="0.25">
      <c r="A308" s="86">
        <v>303</v>
      </c>
      <c r="B308" s="59" t="s">
        <v>7007</v>
      </c>
      <c r="C308" s="29">
        <v>44740</v>
      </c>
      <c r="D308" s="29">
        <v>44740</v>
      </c>
      <c r="E308" s="86">
        <v>53</v>
      </c>
      <c r="F308" s="87" t="s">
        <v>22</v>
      </c>
      <c r="G308" s="59" t="s">
        <v>23</v>
      </c>
      <c r="H308" s="55" t="s">
        <v>24</v>
      </c>
      <c r="I308" s="59" t="s">
        <v>23</v>
      </c>
      <c r="J308" s="70">
        <v>44740</v>
      </c>
      <c r="K308" s="70">
        <v>44740</v>
      </c>
      <c r="L308" s="88">
        <f t="shared" si="8"/>
        <v>0</v>
      </c>
      <c r="M308" s="59" t="s">
        <v>7008</v>
      </c>
      <c r="N308" s="59" t="s">
        <v>26</v>
      </c>
      <c r="O308" s="59" t="s">
        <v>937</v>
      </c>
      <c r="P308" s="59" t="s">
        <v>6983</v>
      </c>
      <c r="Q308" s="59" t="str">
        <f t="shared" si="9"/>
        <v>DENTRO DEL TIEMPO</v>
      </c>
      <c r="R308" s="28"/>
    </row>
    <row r="309" spans="1:18" ht="48.75" x14ac:dyDescent="0.25">
      <c r="A309" s="86">
        <v>304</v>
      </c>
      <c r="B309" s="59" t="s">
        <v>7009</v>
      </c>
      <c r="C309" s="29">
        <v>44741</v>
      </c>
      <c r="D309" s="29">
        <v>44741</v>
      </c>
      <c r="E309" s="86">
        <v>167</v>
      </c>
      <c r="F309" s="87" t="s">
        <v>22</v>
      </c>
      <c r="G309" s="59" t="s">
        <v>23</v>
      </c>
      <c r="H309" s="55" t="s">
        <v>24</v>
      </c>
      <c r="I309" s="59" t="s">
        <v>23</v>
      </c>
      <c r="J309" s="70">
        <v>44741</v>
      </c>
      <c r="K309" s="70">
        <v>44741</v>
      </c>
      <c r="L309" s="88">
        <f t="shared" si="8"/>
        <v>0</v>
      </c>
      <c r="M309" s="59" t="s">
        <v>7010</v>
      </c>
      <c r="N309" s="59" t="s">
        <v>26</v>
      </c>
      <c r="O309" s="59" t="s">
        <v>937</v>
      </c>
      <c r="P309" s="59" t="s">
        <v>6983</v>
      </c>
      <c r="Q309" s="59" t="str">
        <f t="shared" si="9"/>
        <v>DENTRO DEL TIEMPO</v>
      </c>
      <c r="R309" s="28"/>
    </row>
    <row r="310" spans="1:18" ht="40.5" x14ac:dyDescent="0.25">
      <c r="A310" s="86">
        <v>305</v>
      </c>
      <c r="B310" s="8" t="s">
        <v>7011</v>
      </c>
      <c r="C310" s="27">
        <v>44697</v>
      </c>
      <c r="D310" s="27">
        <v>44733</v>
      </c>
      <c r="E310" s="86">
        <v>6</v>
      </c>
      <c r="F310" s="87" t="s">
        <v>22</v>
      </c>
      <c r="G310" s="8" t="s">
        <v>49</v>
      </c>
      <c r="H310" s="4" t="s">
        <v>792</v>
      </c>
      <c r="I310" s="8" t="s">
        <v>49</v>
      </c>
      <c r="J310" s="70">
        <v>44742</v>
      </c>
      <c r="K310" s="70">
        <v>44742</v>
      </c>
      <c r="L310" s="88">
        <f t="shared" si="8"/>
        <v>7</v>
      </c>
      <c r="M310" s="8" t="s">
        <v>7012</v>
      </c>
      <c r="N310" s="59" t="s">
        <v>26</v>
      </c>
      <c r="O310" s="8" t="s">
        <v>7013</v>
      </c>
      <c r="P310" s="59" t="s">
        <v>7014</v>
      </c>
      <c r="Q310" s="59" t="str">
        <f t="shared" si="9"/>
        <v>DENTRO DEL TIEMPO</v>
      </c>
      <c r="R310" s="28"/>
    </row>
    <row r="311" spans="1:18" ht="40.5" x14ac:dyDescent="0.25">
      <c r="A311" s="86">
        <v>306</v>
      </c>
      <c r="B311" s="59" t="s">
        <v>7015</v>
      </c>
      <c r="C311" s="59" t="s">
        <v>7016</v>
      </c>
      <c r="D311" s="70">
        <v>44724</v>
      </c>
      <c r="E311" s="86">
        <v>6</v>
      </c>
      <c r="F311" s="87" t="s">
        <v>22</v>
      </c>
      <c r="G311" s="8" t="s">
        <v>49</v>
      </c>
      <c r="H311" s="55" t="s">
        <v>2592</v>
      </c>
      <c r="I311" s="8" t="s">
        <v>49</v>
      </c>
      <c r="J311" s="70">
        <v>44728</v>
      </c>
      <c r="K311" s="70">
        <v>44728</v>
      </c>
      <c r="L311" s="88">
        <f t="shared" si="8"/>
        <v>3</v>
      </c>
      <c r="M311" s="8" t="s">
        <v>7017</v>
      </c>
      <c r="N311" s="59" t="s">
        <v>26</v>
      </c>
      <c r="O311" s="8" t="s">
        <v>7018</v>
      </c>
      <c r="P311" s="59" t="s">
        <v>7019</v>
      </c>
      <c r="Q311" s="59" t="str">
        <f t="shared" si="9"/>
        <v>DENTRO DEL TIEMPO</v>
      </c>
      <c r="R311" s="28"/>
    </row>
    <row r="312" spans="1:18" ht="48.75" x14ac:dyDescent="0.25">
      <c r="A312" s="86">
        <v>307</v>
      </c>
      <c r="B312" s="59" t="s">
        <v>7020</v>
      </c>
      <c r="C312" s="59" t="s">
        <v>7021</v>
      </c>
      <c r="D312" s="70">
        <v>44725</v>
      </c>
      <c r="E312" s="86">
        <v>3</v>
      </c>
      <c r="F312" s="87" t="s">
        <v>22</v>
      </c>
      <c r="G312" s="59" t="s">
        <v>92</v>
      </c>
      <c r="H312" s="55" t="s">
        <v>24</v>
      </c>
      <c r="I312" s="59" t="s">
        <v>92</v>
      </c>
      <c r="J312" s="70">
        <v>44728</v>
      </c>
      <c r="K312" s="70">
        <v>44728</v>
      </c>
      <c r="L312" s="88">
        <f t="shared" si="8"/>
        <v>3</v>
      </c>
      <c r="M312" s="8" t="s">
        <v>7022</v>
      </c>
      <c r="N312" s="59" t="s">
        <v>26</v>
      </c>
      <c r="O312" s="59" t="s">
        <v>7023</v>
      </c>
      <c r="P312" s="59" t="s">
        <v>6656</v>
      </c>
      <c r="Q312" s="59" t="str">
        <f t="shared" si="9"/>
        <v>DENTRO DEL TIEMPO</v>
      </c>
      <c r="R312" s="28"/>
    </row>
    <row r="313" spans="1:18" ht="48.75" x14ac:dyDescent="0.25">
      <c r="A313" s="86">
        <v>308</v>
      </c>
      <c r="B313" s="59" t="s">
        <v>7024</v>
      </c>
      <c r="C313" s="59" t="s">
        <v>7025</v>
      </c>
      <c r="D313" s="70">
        <v>44733</v>
      </c>
      <c r="E313" s="86">
        <v>2</v>
      </c>
      <c r="F313" s="87" t="s">
        <v>22</v>
      </c>
      <c r="G313" s="59" t="s">
        <v>92</v>
      </c>
      <c r="H313" s="55" t="s">
        <v>24</v>
      </c>
      <c r="I313" s="59" t="s">
        <v>92</v>
      </c>
      <c r="J313" s="70">
        <v>44734</v>
      </c>
      <c r="K313" s="70">
        <v>44734</v>
      </c>
      <c r="L313" s="88">
        <f t="shared" si="8"/>
        <v>1</v>
      </c>
      <c r="M313" s="8" t="s">
        <v>7026</v>
      </c>
      <c r="N313" s="59" t="s">
        <v>26</v>
      </c>
      <c r="O313" s="59" t="s">
        <v>7027</v>
      </c>
      <c r="P313" s="59" t="s">
        <v>6435</v>
      </c>
      <c r="Q313" s="59" t="str">
        <f t="shared" si="9"/>
        <v>DENTRO DEL TIEMPO</v>
      </c>
      <c r="R313" s="28"/>
    </row>
    <row r="314" spans="1:18" ht="48.75" x14ac:dyDescent="0.25">
      <c r="A314" s="86">
        <v>309</v>
      </c>
      <c r="B314" s="59" t="s">
        <v>7028</v>
      </c>
      <c r="C314" s="29">
        <v>44676</v>
      </c>
      <c r="D314" s="29">
        <v>44713</v>
      </c>
      <c r="E314" s="86">
        <v>51</v>
      </c>
      <c r="F314" s="87" t="s">
        <v>22</v>
      </c>
      <c r="G314" s="8" t="s">
        <v>49</v>
      </c>
      <c r="H314" s="55" t="s">
        <v>24</v>
      </c>
      <c r="I314" s="8" t="s">
        <v>49</v>
      </c>
      <c r="J314" s="70">
        <v>44714</v>
      </c>
      <c r="K314" s="70">
        <v>44714</v>
      </c>
      <c r="L314" s="88">
        <f t="shared" si="8"/>
        <v>1</v>
      </c>
      <c r="M314" s="8" t="s">
        <v>7029</v>
      </c>
      <c r="N314" s="59" t="s">
        <v>26</v>
      </c>
      <c r="O314" s="59" t="s">
        <v>7030</v>
      </c>
      <c r="P314" s="59" t="s">
        <v>7031</v>
      </c>
      <c r="Q314" s="59" t="str">
        <f t="shared" si="9"/>
        <v>DENTRO DEL TIEMPO</v>
      </c>
      <c r="R314" s="28"/>
    </row>
    <row r="315" spans="1:18" ht="48.75" x14ac:dyDescent="0.25">
      <c r="A315" s="86">
        <v>310</v>
      </c>
      <c r="B315" s="59" t="s">
        <v>7032</v>
      </c>
      <c r="C315" s="70">
        <v>44676</v>
      </c>
      <c r="D315" s="29">
        <v>44713</v>
      </c>
      <c r="E315" s="86">
        <v>318</v>
      </c>
      <c r="F315" s="87" t="s">
        <v>22</v>
      </c>
      <c r="G315" s="8" t="s">
        <v>49</v>
      </c>
      <c r="H315" s="55" t="s">
        <v>24</v>
      </c>
      <c r="I315" s="8" t="s">
        <v>49</v>
      </c>
      <c r="J315" s="70">
        <v>44714</v>
      </c>
      <c r="K315" s="70">
        <v>44714</v>
      </c>
      <c r="L315" s="88">
        <f t="shared" si="8"/>
        <v>1</v>
      </c>
      <c r="M315" s="8" t="s">
        <v>7033</v>
      </c>
      <c r="N315" s="59" t="s">
        <v>26</v>
      </c>
      <c r="O315" s="59" t="s">
        <v>7034</v>
      </c>
      <c r="P315" s="59" t="s">
        <v>7035</v>
      </c>
      <c r="Q315" s="59" t="str">
        <f t="shared" si="9"/>
        <v>DENTRO DEL TIEMPO</v>
      </c>
      <c r="R315" s="28"/>
    </row>
    <row r="316" spans="1:18" ht="48.75" x14ac:dyDescent="0.25">
      <c r="A316" s="86">
        <v>311</v>
      </c>
      <c r="B316" s="59" t="s">
        <v>7036</v>
      </c>
      <c r="C316" s="29">
        <v>44715</v>
      </c>
      <c r="D316" s="29">
        <v>44715</v>
      </c>
      <c r="E316" s="86">
        <v>3</v>
      </c>
      <c r="F316" s="87" t="s">
        <v>22</v>
      </c>
      <c r="G316" s="8" t="s">
        <v>49</v>
      </c>
      <c r="H316" s="55" t="s">
        <v>24</v>
      </c>
      <c r="I316" s="8" t="s">
        <v>49</v>
      </c>
      <c r="J316" s="70">
        <v>44722</v>
      </c>
      <c r="K316" s="70">
        <v>44722</v>
      </c>
      <c r="L316" s="88">
        <f t="shared" si="8"/>
        <v>5</v>
      </c>
      <c r="M316" s="59" t="s">
        <v>6982</v>
      </c>
      <c r="N316" s="59" t="s">
        <v>26</v>
      </c>
      <c r="O316" s="59" t="s">
        <v>7037</v>
      </c>
      <c r="P316" s="59" t="s">
        <v>6983</v>
      </c>
      <c r="Q316" s="59" t="str">
        <f t="shared" si="9"/>
        <v>DENTRO DEL TIEMPO</v>
      </c>
      <c r="R316" s="28"/>
    </row>
    <row r="317" spans="1:18" ht="48.75" x14ac:dyDescent="0.25">
      <c r="A317" s="86">
        <v>312</v>
      </c>
      <c r="B317" s="59" t="s">
        <v>7038</v>
      </c>
      <c r="C317" s="29">
        <v>44687</v>
      </c>
      <c r="D317" s="29">
        <v>44722</v>
      </c>
      <c r="E317" s="86">
        <v>61</v>
      </c>
      <c r="F317" s="87" t="s">
        <v>22</v>
      </c>
      <c r="G317" s="8" t="s">
        <v>49</v>
      </c>
      <c r="H317" s="55" t="s">
        <v>24</v>
      </c>
      <c r="I317" s="8" t="s">
        <v>49</v>
      </c>
      <c r="J317" s="70">
        <v>44726</v>
      </c>
      <c r="K317" s="70">
        <v>44726</v>
      </c>
      <c r="L317" s="88">
        <f t="shared" si="8"/>
        <v>2</v>
      </c>
      <c r="M317" s="8" t="s">
        <v>7039</v>
      </c>
      <c r="N317" s="59" t="s">
        <v>26</v>
      </c>
      <c r="O317" s="59" t="s">
        <v>7040</v>
      </c>
      <c r="P317" s="59" t="s">
        <v>7041</v>
      </c>
      <c r="Q317" s="59" t="str">
        <f t="shared" si="9"/>
        <v>DENTRO DEL TIEMPO</v>
      </c>
      <c r="R317" s="28"/>
    </row>
    <row r="318" spans="1:18" ht="48.75" x14ac:dyDescent="0.25">
      <c r="A318" s="86">
        <v>313</v>
      </c>
      <c r="B318" s="59" t="s">
        <v>7042</v>
      </c>
      <c r="C318" s="29">
        <v>44722</v>
      </c>
      <c r="D318" s="29">
        <v>44722</v>
      </c>
      <c r="E318" s="86">
        <v>49</v>
      </c>
      <c r="F318" s="87" t="s">
        <v>22</v>
      </c>
      <c r="G318" s="8" t="s">
        <v>49</v>
      </c>
      <c r="H318" s="55" t="s">
        <v>24</v>
      </c>
      <c r="I318" s="8" t="s">
        <v>49</v>
      </c>
      <c r="J318" s="70">
        <v>44726</v>
      </c>
      <c r="K318" s="70">
        <v>44726</v>
      </c>
      <c r="L318" s="88">
        <f t="shared" si="8"/>
        <v>2</v>
      </c>
      <c r="M318" s="8" t="s">
        <v>7043</v>
      </c>
      <c r="N318" s="59" t="s">
        <v>26</v>
      </c>
      <c r="O318" s="59" t="s">
        <v>7044</v>
      </c>
      <c r="P318" s="59" t="s">
        <v>7045</v>
      </c>
      <c r="Q318" s="59" t="str">
        <f t="shared" si="9"/>
        <v>DENTRO DEL TIEMPO</v>
      </c>
      <c r="R318" s="28"/>
    </row>
    <row r="319" spans="1:18" ht="48.75" x14ac:dyDescent="0.25">
      <c r="A319" s="86">
        <v>314</v>
      </c>
      <c r="B319" s="59" t="s">
        <v>7046</v>
      </c>
      <c r="C319" s="29">
        <v>44725</v>
      </c>
      <c r="D319" s="29">
        <v>44725</v>
      </c>
      <c r="E319" s="86">
        <v>131</v>
      </c>
      <c r="F319" s="87" t="s">
        <v>22</v>
      </c>
      <c r="G319" s="8" t="s">
        <v>49</v>
      </c>
      <c r="H319" s="55" t="s">
        <v>24</v>
      </c>
      <c r="I319" s="8" t="s">
        <v>49</v>
      </c>
      <c r="J319" s="70">
        <v>44729</v>
      </c>
      <c r="K319" s="70">
        <v>44729</v>
      </c>
      <c r="L319" s="88">
        <f t="shared" si="8"/>
        <v>4</v>
      </c>
      <c r="M319" s="8" t="s">
        <v>7047</v>
      </c>
      <c r="N319" s="59" t="s">
        <v>26</v>
      </c>
      <c r="O319" s="59" t="s">
        <v>7048</v>
      </c>
      <c r="P319" s="59" t="s">
        <v>7049</v>
      </c>
      <c r="Q319" s="59" t="str">
        <f t="shared" si="9"/>
        <v>DENTRO DEL TIEMPO</v>
      </c>
      <c r="R319" s="28"/>
    </row>
    <row r="320" spans="1:18" ht="48.75" x14ac:dyDescent="0.25">
      <c r="A320" s="86">
        <v>315</v>
      </c>
      <c r="B320" s="59" t="s">
        <v>7050</v>
      </c>
      <c r="C320" s="29">
        <v>44726</v>
      </c>
      <c r="D320" s="29">
        <v>44726</v>
      </c>
      <c r="E320" s="86">
        <v>2</v>
      </c>
      <c r="F320" s="87" t="s">
        <v>22</v>
      </c>
      <c r="G320" s="59" t="s">
        <v>2064</v>
      </c>
      <c r="H320" s="55" t="s">
        <v>24</v>
      </c>
      <c r="I320" s="59" t="s">
        <v>2064</v>
      </c>
      <c r="J320" s="70">
        <v>44732</v>
      </c>
      <c r="K320" s="70">
        <v>44732</v>
      </c>
      <c r="L320" s="88">
        <f t="shared" si="8"/>
        <v>4</v>
      </c>
      <c r="M320" s="8" t="s">
        <v>7051</v>
      </c>
      <c r="N320" s="59" t="s">
        <v>26</v>
      </c>
      <c r="O320" s="59" t="s">
        <v>7052</v>
      </c>
      <c r="P320" s="59" t="s">
        <v>6475</v>
      </c>
      <c r="Q320" s="59" t="str">
        <f t="shared" si="9"/>
        <v>DENTRO DEL TIEMPO</v>
      </c>
      <c r="R320" s="28"/>
    </row>
    <row r="321" spans="1:18" ht="48.75" x14ac:dyDescent="0.25">
      <c r="A321" s="86">
        <v>316</v>
      </c>
      <c r="B321" s="59" t="s">
        <v>7053</v>
      </c>
      <c r="C321" s="29">
        <v>44726</v>
      </c>
      <c r="D321" s="29">
        <v>44726</v>
      </c>
      <c r="E321" s="86">
        <v>2</v>
      </c>
      <c r="F321" s="87" t="s">
        <v>22</v>
      </c>
      <c r="G321" s="59" t="s">
        <v>2064</v>
      </c>
      <c r="H321" s="55" t="s">
        <v>24</v>
      </c>
      <c r="I321" s="59" t="s">
        <v>2064</v>
      </c>
      <c r="J321" s="70">
        <v>44732</v>
      </c>
      <c r="K321" s="70">
        <v>44732</v>
      </c>
      <c r="L321" s="88">
        <f t="shared" si="8"/>
        <v>4</v>
      </c>
      <c r="M321" s="8" t="s">
        <v>7054</v>
      </c>
      <c r="N321" s="59" t="s">
        <v>26</v>
      </c>
      <c r="O321" s="59" t="s">
        <v>7052</v>
      </c>
      <c r="P321" s="59" t="s">
        <v>6475</v>
      </c>
      <c r="Q321" s="59" t="str">
        <f t="shared" si="9"/>
        <v>DENTRO DEL TIEMPO</v>
      </c>
      <c r="R321" s="28"/>
    </row>
    <row r="322" spans="1:18" ht="48.75" x14ac:dyDescent="0.25">
      <c r="A322" s="86">
        <v>317</v>
      </c>
      <c r="B322" s="59" t="s">
        <v>7055</v>
      </c>
      <c r="C322" s="29">
        <v>44726</v>
      </c>
      <c r="D322" s="29">
        <v>44726</v>
      </c>
      <c r="E322" s="86">
        <v>2</v>
      </c>
      <c r="F322" s="87" t="s">
        <v>22</v>
      </c>
      <c r="G322" s="59" t="s">
        <v>2064</v>
      </c>
      <c r="H322" s="55" t="s">
        <v>24</v>
      </c>
      <c r="I322" s="59" t="s">
        <v>2064</v>
      </c>
      <c r="J322" s="70">
        <v>44732</v>
      </c>
      <c r="K322" s="70">
        <v>44732</v>
      </c>
      <c r="L322" s="88">
        <f t="shared" si="8"/>
        <v>4</v>
      </c>
      <c r="M322" s="8" t="s">
        <v>7056</v>
      </c>
      <c r="N322" s="59" t="s">
        <v>26</v>
      </c>
      <c r="O322" s="59" t="s">
        <v>7052</v>
      </c>
      <c r="P322" s="59" t="s">
        <v>6475</v>
      </c>
      <c r="Q322" s="59" t="str">
        <f t="shared" si="9"/>
        <v>DENTRO DEL TIEMPO</v>
      </c>
      <c r="R322" s="28"/>
    </row>
    <row r="323" spans="1:18" ht="48.75" x14ac:dyDescent="0.25">
      <c r="A323" s="86">
        <v>318</v>
      </c>
      <c r="B323" s="59" t="s">
        <v>7057</v>
      </c>
      <c r="C323" s="29">
        <v>44726</v>
      </c>
      <c r="D323" s="29">
        <v>44726</v>
      </c>
      <c r="E323" s="86">
        <v>2</v>
      </c>
      <c r="F323" s="87" t="s">
        <v>22</v>
      </c>
      <c r="G323" s="59" t="s">
        <v>2064</v>
      </c>
      <c r="H323" s="55" t="s">
        <v>24</v>
      </c>
      <c r="I323" s="59" t="s">
        <v>2064</v>
      </c>
      <c r="J323" s="70">
        <v>44732</v>
      </c>
      <c r="K323" s="70">
        <v>44732</v>
      </c>
      <c r="L323" s="88">
        <f t="shared" si="8"/>
        <v>4</v>
      </c>
      <c r="M323" s="8" t="s">
        <v>7058</v>
      </c>
      <c r="N323" s="59" t="s">
        <v>26</v>
      </c>
      <c r="O323" s="59" t="s">
        <v>7052</v>
      </c>
      <c r="P323" s="59" t="s">
        <v>6475</v>
      </c>
      <c r="Q323" s="59" t="str">
        <f t="shared" si="9"/>
        <v>DENTRO DEL TIEMPO</v>
      </c>
      <c r="R323" s="28"/>
    </row>
    <row r="324" spans="1:18" ht="48.75" x14ac:dyDescent="0.25">
      <c r="A324" s="86">
        <v>319</v>
      </c>
      <c r="B324" s="59" t="s">
        <v>7059</v>
      </c>
      <c r="C324" s="29">
        <v>44726</v>
      </c>
      <c r="D324" s="29">
        <v>44726</v>
      </c>
      <c r="E324" s="86">
        <v>2</v>
      </c>
      <c r="F324" s="87" t="s">
        <v>22</v>
      </c>
      <c r="G324" s="59" t="s">
        <v>2064</v>
      </c>
      <c r="H324" s="55" t="s">
        <v>24</v>
      </c>
      <c r="I324" s="59" t="s">
        <v>2064</v>
      </c>
      <c r="J324" s="70">
        <v>44732</v>
      </c>
      <c r="K324" s="70">
        <v>44732</v>
      </c>
      <c r="L324" s="88">
        <f t="shared" si="8"/>
        <v>4</v>
      </c>
      <c r="M324" s="8" t="s">
        <v>7060</v>
      </c>
      <c r="N324" s="59" t="s">
        <v>26</v>
      </c>
      <c r="O324" s="59" t="s">
        <v>7052</v>
      </c>
      <c r="P324" s="59" t="s">
        <v>6475</v>
      </c>
      <c r="Q324" s="59" t="str">
        <f t="shared" si="9"/>
        <v>DENTRO DEL TIEMPO</v>
      </c>
      <c r="R324" s="28"/>
    </row>
    <row r="325" spans="1:18" ht="48.75" x14ac:dyDescent="0.25">
      <c r="A325" s="86">
        <v>320</v>
      </c>
      <c r="B325" s="59" t="s">
        <v>7061</v>
      </c>
      <c r="C325" s="29">
        <v>44726</v>
      </c>
      <c r="D325" s="29">
        <v>44726</v>
      </c>
      <c r="E325" s="86">
        <v>2</v>
      </c>
      <c r="F325" s="87" t="s">
        <v>22</v>
      </c>
      <c r="G325" s="59" t="s">
        <v>2064</v>
      </c>
      <c r="H325" s="55" t="s">
        <v>24</v>
      </c>
      <c r="I325" s="59" t="s">
        <v>2064</v>
      </c>
      <c r="J325" s="70">
        <v>44732</v>
      </c>
      <c r="K325" s="70">
        <v>44732</v>
      </c>
      <c r="L325" s="88">
        <f t="shared" si="8"/>
        <v>4</v>
      </c>
      <c r="M325" s="8" t="s">
        <v>7062</v>
      </c>
      <c r="N325" s="59" t="s">
        <v>26</v>
      </c>
      <c r="O325" s="59" t="s">
        <v>7052</v>
      </c>
      <c r="P325" s="59" t="s">
        <v>6475</v>
      </c>
      <c r="Q325" s="59" t="str">
        <f t="shared" si="9"/>
        <v>DENTRO DEL TIEMPO</v>
      </c>
      <c r="R325" s="28"/>
    </row>
    <row r="326" spans="1:18" ht="48.75" x14ac:dyDescent="0.25">
      <c r="A326" s="86">
        <v>321</v>
      </c>
      <c r="B326" s="59" t="s">
        <v>7063</v>
      </c>
      <c r="C326" s="29">
        <v>44726</v>
      </c>
      <c r="D326" s="29">
        <v>44726</v>
      </c>
      <c r="E326" s="86">
        <v>2</v>
      </c>
      <c r="F326" s="87" t="s">
        <v>22</v>
      </c>
      <c r="G326" s="59" t="s">
        <v>2064</v>
      </c>
      <c r="H326" s="55" t="s">
        <v>24</v>
      </c>
      <c r="I326" s="59" t="s">
        <v>2064</v>
      </c>
      <c r="J326" s="70">
        <v>44732</v>
      </c>
      <c r="K326" s="70">
        <v>44732</v>
      </c>
      <c r="L326" s="88">
        <f t="shared" si="8"/>
        <v>4</v>
      </c>
      <c r="M326" s="8" t="s">
        <v>7064</v>
      </c>
      <c r="N326" s="59" t="s">
        <v>26</v>
      </c>
      <c r="O326" s="59" t="s">
        <v>7052</v>
      </c>
      <c r="P326" s="59" t="s">
        <v>6475</v>
      </c>
      <c r="Q326" s="59" t="str">
        <f t="shared" si="9"/>
        <v>DENTRO DEL TIEMPO</v>
      </c>
      <c r="R326" s="28"/>
    </row>
    <row r="327" spans="1:18" ht="48.75" x14ac:dyDescent="0.25">
      <c r="A327" s="86">
        <v>322</v>
      </c>
      <c r="B327" s="59" t="s">
        <v>7065</v>
      </c>
      <c r="C327" s="29">
        <v>44711</v>
      </c>
      <c r="D327" s="29">
        <v>44733</v>
      </c>
      <c r="E327" s="86">
        <v>2</v>
      </c>
      <c r="F327" s="87" t="s">
        <v>22</v>
      </c>
      <c r="G327" s="8" t="s">
        <v>49</v>
      </c>
      <c r="H327" s="55" t="s">
        <v>24</v>
      </c>
      <c r="I327" s="8" t="s">
        <v>49</v>
      </c>
      <c r="J327" s="70">
        <v>44733</v>
      </c>
      <c r="K327" s="70">
        <v>44733</v>
      </c>
      <c r="L327" s="88">
        <f t="shared" ref="L327:L329" si="10">+NETWORKDAYS(D327,K327,$R$6:$R$9)-1</f>
        <v>0</v>
      </c>
      <c r="M327" s="8" t="s">
        <v>7066</v>
      </c>
      <c r="N327" s="59" t="s">
        <v>26</v>
      </c>
      <c r="O327" s="59" t="s">
        <v>7067</v>
      </c>
      <c r="P327" s="59" t="s">
        <v>7068</v>
      </c>
      <c r="Q327" s="59" t="str">
        <f t="shared" ref="Q327:Q390" si="11">IF(L327&gt;15,"FUERA DE TIEMPO","DENTRO DEL TIEMPO")</f>
        <v>DENTRO DEL TIEMPO</v>
      </c>
      <c r="R327" s="28"/>
    </row>
    <row r="328" spans="1:18" ht="48.75" x14ac:dyDescent="0.25">
      <c r="A328" s="86">
        <v>323</v>
      </c>
      <c r="B328" s="59" t="s">
        <v>7069</v>
      </c>
      <c r="C328" s="29">
        <v>44736</v>
      </c>
      <c r="D328" s="29">
        <v>44736</v>
      </c>
      <c r="E328" s="86">
        <v>2</v>
      </c>
      <c r="F328" s="87" t="s">
        <v>22</v>
      </c>
      <c r="G328" s="59" t="s">
        <v>2064</v>
      </c>
      <c r="H328" s="55" t="s">
        <v>24</v>
      </c>
      <c r="I328" s="59" t="s">
        <v>2064</v>
      </c>
      <c r="J328" s="70">
        <v>44739</v>
      </c>
      <c r="K328" s="70">
        <v>44739</v>
      </c>
      <c r="L328" s="88">
        <f t="shared" si="10"/>
        <v>1</v>
      </c>
      <c r="M328" s="8" t="s">
        <v>7070</v>
      </c>
      <c r="N328" s="59" t="s">
        <v>26</v>
      </c>
      <c r="O328" s="59" t="s">
        <v>7071</v>
      </c>
      <c r="P328" s="59" t="s">
        <v>7072</v>
      </c>
      <c r="Q328" s="59" t="str">
        <f t="shared" si="11"/>
        <v>DENTRO DEL TIEMPO</v>
      </c>
      <c r="R328" s="28"/>
    </row>
    <row r="329" spans="1:18" ht="39" x14ac:dyDescent="0.25">
      <c r="A329" s="86">
        <v>324</v>
      </c>
      <c r="B329" s="59" t="s">
        <v>4618</v>
      </c>
      <c r="C329" s="70">
        <v>44679</v>
      </c>
      <c r="D329" s="70">
        <v>44741</v>
      </c>
      <c r="E329" s="86">
        <v>11</v>
      </c>
      <c r="F329" s="87" t="s">
        <v>22</v>
      </c>
      <c r="G329" s="59" t="s">
        <v>49</v>
      </c>
      <c r="H329" s="55" t="s">
        <v>2592</v>
      </c>
      <c r="I329" s="59" t="s">
        <v>49</v>
      </c>
      <c r="J329" s="70">
        <v>44742</v>
      </c>
      <c r="K329" s="70">
        <v>44742</v>
      </c>
      <c r="L329" s="88">
        <f t="shared" si="10"/>
        <v>1</v>
      </c>
      <c r="M329" s="59" t="s">
        <v>7073</v>
      </c>
      <c r="N329" s="59" t="s">
        <v>26</v>
      </c>
      <c r="O329" s="59" t="s">
        <v>7074</v>
      </c>
      <c r="P329" s="59" t="s">
        <v>7068</v>
      </c>
      <c r="Q329" s="59" t="str">
        <f t="shared" si="11"/>
        <v>DENTRO DEL TIEMPO</v>
      </c>
      <c r="R329" s="28"/>
    </row>
    <row r="330" spans="1:18" ht="58.5" x14ac:dyDescent="0.25">
      <c r="A330" s="86">
        <v>325</v>
      </c>
      <c r="B330" s="59" t="s">
        <v>7075</v>
      </c>
      <c r="C330" s="70">
        <v>44663</v>
      </c>
      <c r="D330" s="70">
        <v>44713</v>
      </c>
      <c r="E330" s="86">
        <v>81</v>
      </c>
      <c r="F330" s="87" t="s">
        <v>22</v>
      </c>
      <c r="G330" s="59" t="s">
        <v>1101</v>
      </c>
      <c r="H330" s="55" t="s">
        <v>7076</v>
      </c>
      <c r="I330" s="59" t="s">
        <v>1101</v>
      </c>
      <c r="J330" s="70">
        <v>44721</v>
      </c>
      <c r="K330" s="70">
        <v>44721</v>
      </c>
      <c r="L330" s="88">
        <f t="shared" ref="L330:L391" si="12">+NETWORKDAYS(D330,K330)-1</f>
        <v>6</v>
      </c>
      <c r="M330" s="59" t="s">
        <v>7077</v>
      </c>
      <c r="N330" s="59" t="s">
        <v>1104</v>
      </c>
      <c r="O330" s="59" t="s">
        <v>1026</v>
      </c>
      <c r="P330" s="59" t="s">
        <v>7078</v>
      </c>
      <c r="Q330" s="59" t="str">
        <f t="shared" si="11"/>
        <v>DENTRO DEL TIEMPO</v>
      </c>
      <c r="R330" s="28"/>
    </row>
    <row r="331" spans="1:18" ht="58.5" x14ac:dyDescent="0.25">
      <c r="A331" s="86">
        <v>326</v>
      </c>
      <c r="B331" s="59" t="s">
        <v>7079</v>
      </c>
      <c r="C331" s="70">
        <v>44692</v>
      </c>
      <c r="D331" s="70">
        <v>44721</v>
      </c>
      <c r="E331" s="86">
        <v>1</v>
      </c>
      <c r="F331" s="87" t="s">
        <v>22</v>
      </c>
      <c r="G331" s="59" t="s">
        <v>1101</v>
      </c>
      <c r="H331" s="55" t="s">
        <v>7076</v>
      </c>
      <c r="I331" s="59" t="s">
        <v>1101</v>
      </c>
      <c r="J331" s="70">
        <v>44722</v>
      </c>
      <c r="K331" s="70">
        <v>44722</v>
      </c>
      <c r="L331" s="88">
        <f t="shared" si="12"/>
        <v>1</v>
      </c>
      <c r="M331" s="59" t="s">
        <v>7080</v>
      </c>
      <c r="N331" s="59" t="s">
        <v>1104</v>
      </c>
      <c r="O331" s="59" t="s">
        <v>1026</v>
      </c>
      <c r="P331" s="59" t="s">
        <v>7078</v>
      </c>
      <c r="Q331" s="59" t="str">
        <f t="shared" si="11"/>
        <v>DENTRO DEL TIEMPO</v>
      </c>
      <c r="R331" s="28"/>
    </row>
    <row r="332" spans="1:18" ht="58.5" x14ac:dyDescent="0.25">
      <c r="A332" s="86">
        <v>327</v>
      </c>
      <c r="B332" s="59" t="s">
        <v>7081</v>
      </c>
      <c r="C332" s="70">
        <v>44696</v>
      </c>
      <c r="D332" s="70">
        <v>44713</v>
      </c>
      <c r="E332" s="86">
        <v>72</v>
      </c>
      <c r="F332" s="87" t="s">
        <v>22</v>
      </c>
      <c r="G332" s="59" t="s">
        <v>1101</v>
      </c>
      <c r="H332" s="55" t="s">
        <v>7076</v>
      </c>
      <c r="I332" s="59" t="s">
        <v>1101</v>
      </c>
      <c r="J332" s="70">
        <v>44715</v>
      </c>
      <c r="K332" s="70">
        <v>44715</v>
      </c>
      <c r="L332" s="88">
        <f t="shared" si="12"/>
        <v>2</v>
      </c>
      <c r="M332" s="59" t="s">
        <v>7082</v>
      </c>
      <c r="N332" s="59" t="s">
        <v>1104</v>
      </c>
      <c r="O332" s="59" t="s">
        <v>1026</v>
      </c>
      <c r="P332" s="59" t="s">
        <v>7078</v>
      </c>
      <c r="Q332" s="59" t="str">
        <f t="shared" si="11"/>
        <v>DENTRO DEL TIEMPO</v>
      </c>
      <c r="R332" s="28"/>
    </row>
    <row r="333" spans="1:18" ht="58.5" x14ac:dyDescent="0.25">
      <c r="A333" s="86">
        <v>328</v>
      </c>
      <c r="B333" s="59" t="s">
        <v>7083</v>
      </c>
      <c r="C333" s="70">
        <v>44699</v>
      </c>
      <c r="D333" s="70">
        <v>44721</v>
      </c>
      <c r="E333" s="86">
        <v>1</v>
      </c>
      <c r="F333" s="87" t="s">
        <v>22</v>
      </c>
      <c r="G333" s="59" t="s">
        <v>1101</v>
      </c>
      <c r="H333" s="55" t="s">
        <v>7076</v>
      </c>
      <c r="I333" s="59" t="s">
        <v>1101</v>
      </c>
      <c r="J333" s="70">
        <v>44725</v>
      </c>
      <c r="K333" s="70">
        <v>44725</v>
      </c>
      <c r="L333" s="88">
        <f t="shared" si="12"/>
        <v>2</v>
      </c>
      <c r="M333" s="59" t="s">
        <v>7084</v>
      </c>
      <c r="N333" s="59" t="s">
        <v>1104</v>
      </c>
      <c r="O333" s="59" t="s">
        <v>1026</v>
      </c>
      <c r="P333" s="59" t="s">
        <v>7078</v>
      </c>
      <c r="Q333" s="59" t="str">
        <f t="shared" si="11"/>
        <v>DENTRO DEL TIEMPO</v>
      </c>
      <c r="R333" s="28"/>
    </row>
    <row r="334" spans="1:18" ht="58.5" x14ac:dyDescent="0.25">
      <c r="A334" s="86">
        <v>329</v>
      </c>
      <c r="B334" s="59" t="s">
        <v>7085</v>
      </c>
      <c r="C334" s="70">
        <v>44699</v>
      </c>
      <c r="D334" s="70">
        <v>44721</v>
      </c>
      <c r="E334" s="86">
        <v>7</v>
      </c>
      <c r="F334" s="87" t="s">
        <v>22</v>
      </c>
      <c r="G334" s="59" t="s">
        <v>1101</v>
      </c>
      <c r="H334" s="55" t="s">
        <v>7076</v>
      </c>
      <c r="I334" s="59" t="s">
        <v>1101</v>
      </c>
      <c r="J334" s="70">
        <v>44725</v>
      </c>
      <c r="K334" s="70">
        <v>44725</v>
      </c>
      <c r="L334" s="88">
        <f t="shared" si="12"/>
        <v>2</v>
      </c>
      <c r="M334" s="59" t="s">
        <v>7086</v>
      </c>
      <c r="N334" s="59" t="s">
        <v>1104</v>
      </c>
      <c r="O334" s="59" t="s">
        <v>1026</v>
      </c>
      <c r="P334" s="59" t="s">
        <v>7078</v>
      </c>
      <c r="Q334" s="59" t="str">
        <f t="shared" si="11"/>
        <v>DENTRO DEL TIEMPO</v>
      </c>
      <c r="R334" s="28"/>
    </row>
    <row r="335" spans="1:18" ht="58.5" x14ac:dyDescent="0.25">
      <c r="A335" s="86">
        <v>330</v>
      </c>
      <c r="B335" s="59" t="s">
        <v>7087</v>
      </c>
      <c r="C335" s="70">
        <v>44700</v>
      </c>
      <c r="D335" s="70">
        <v>44726</v>
      </c>
      <c r="E335" s="86">
        <v>1</v>
      </c>
      <c r="F335" s="87" t="s">
        <v>22</v>
      </c>
      <c r="G335" s="59" t="s">
        <v>1101</v>
      </c>
      <c r="H335" s="55" t="s">
        <v>7076</v>
      </c>
      <c r="I335" s="59" t="s">
        <v>1101</v>
      </c>
      <c r="J335" s="70">
        <v>44739</v>
      </c>
      <c r="K335" s="70">
        <v>44739</v>
      </c>
      <c r="L335" s="88">
        <f t="shared" si="12"/>
        <v>9</v>
      </c>
      <c r="M335" s="59" t="s">
        <v>7088</v>
      </c>
      <c r="N335" s="59" t="s">
        <v>1104</v>
      </c>
      <c r="O335" s="59" t="s">
        <v>1026</v>
      </c>
      <c r="P335" s="59" t="s">
        <v>7078</v>
      </c>
      <c r="Q335" s="59" t="str">
        <f t="shared" si="11"/>
        <v>DENTRO DEL TIEMPO</v>
      </c>
      <c r="R335" s="28"/>
    </row>
    <row r="336" spans="1:18" ht="58.5" x14ac:dyDescent="0.25">
      <c r="A336" s="86">
        <v>331</v>
      </c>
      <c r="B336" s="59" t="s">
        <v>7089</v>
      </c>
      <c r="C336" s="70">
        <v>44713</v>
      </c>
      <c r="D336" s="70">
        <v>44713</v>
      </c>
      <c r="E336" s="86">
        <v>1</v>
      </c>
      <c r="F336" s="87" t="s">
        <v>22</v>
      </c>
      <c r="G336" s="59" t="s">
        <v>1101</v>
      </c>
      <c r="H336" s="55" t="s">
        <v>7076</v>
      </c>
      <c r="I336" s="59" t="s">
        <v>1101</v>
      </c>
      <c r="J336" s="70">
        <v>44719</v>
      </c>
      <c r="K336" s="70">
        <v>44719</v>
      </c>
      <c r="L336" s="88">
        <f t="shared" si="12"/>
        <v>4</v>
      </c>
      <c r="M336" s="59" t="s">
        <v>7090</v>
      </c>
      <c r="N336" s="59" t="s">
        <v>1104</v>
      </c>
      <c r="O336" s="59" t="s">
        <v>1026</v>
      </c>
      <c r="P336" s="59" t="s">
        <v>7078</v>
      </c>
      <c r="Q336" s="59" t="str">
        <f t="shared" si="11"/>
        <v>DENTRO DEL TIEMPO</v>
      </c>
      <c r="R336" s="28"/>
    </row>
    <row r="337" spans="1:18" ht="58.5" x14ac:dyDescent="0.25">
      <c r="A337" s="86">
        <v>332</v>
      </c>
      <c r="B337" s="59" t="s">
        <v>7091</v>
      </c>
      <c r="C337" s="70">
        <v>44713</v>
      </c>
      <c r="D337" s="70">
        <v>44713</v>
      </c>
      <c r="E337" s="86">
        <v>1</v>
      </c>
      <c r="F337" s="87" t="s">
        <v>22</v>
      </c>
      <c r="G337" s="59" t="s">
        <v>1101</v>
      </c>
      <c r="H337" s="55" t="s">
        <v>7076</v>
      </c>
      <c r="I337" s="59" t="s">
        <v>1101</v>
      </c>
      <c r="J337" s="70">
        <v>44719</v>
      </c>
      <c r="K337" s="70">
        <v>44719</v>
      </c>
      <c r="L337" s="88">
        <f t="shared" si="12"/>
        <v>4</v>
      </c>
      <c r="M337" s="59" t="s">
        <v>7092</v>
      </c>
      <c r="N337" s="59" t="s">
        <v>1104</v>
      </c>
      <c r="O337" s="59" t="s">
        <v>1026</v>
      </c>
      <c r="P337" s="59" t="s">
        <v>7078</v>
      </c>
      <c r="Q337" s="59" t="str">
        <f t="shared" si="11"/>
        <v>DENTRO DEL TIEMPO</v>
      </c>
      <c r="R337" s="28"/>
    </row>
    <row r="338" spans="1:18" ht="58.5" x14ac:dyDescent="0.25">
      <c r="A338" s="86">
        <v>333</v>
      </c>
      <c r="B338" s="59" t="s">
        <v>7093</v>
      </c>
      <c r="C338" s="70">
        <v>44714</v>
      </c>
      <c r="D338" s="70">
        <v>44714</v>
      </c>
      <c r="E338" s="86">
        <v>1</v>
      </c>
      <c r="F338" s="87" t="s">
        <v>22</v>
      </c>
      <c r="G338" s="59" t="s">
        <v>1101</v>
      </c>
      <c r="H338" s="55" t="s">
        <v>7076</v>
      </c>
      <c r="I338" s="59" t="s">
        <v>1101</v>
      </c>
      <c r="J338" s="70">
        <v>44719</v>
      </c>
      <c r="K338" s="70">
        <v>44719</v>
      </c>
      <c r="L338" s="88">
        <f t="shared" si="12"/>
        <v>3</v>
      </c>
      <c r="M338" s="59" t="s">
        <v>7094</v>
      </c>
      <c r="N338" s="59" t="s">
        <v>1104</v>
      </c>
      <c r="O338" s="59" t="s">
        <v>1026</v>
      </c>
      <c r="P338" s="59" t="s">
        <v>7078</v>
      </c>
      <c r="Q338" s="59" t="str">
        <f t="shared" si="11"/>
        <v>DENTRO DEL TIEMPO</v>
      </c>
      <c r="R338" s="28"/>
    </row>
    <row r="339" spans="1:18" ht="58.5" x14ac:dyDescent="0.25">
      <c r="A339" s="86">
        <v>334</v>
      </c>
      <c r="B339" s="59" t="s">
        <v>7095</v>
      </c>
      <c r="C339" s="70">
        <v>44714</v>
      </c>
      <c r="D339" s="70">
        <v>44714</v>
      </c>
      <c r="E339" s="86">
        <v>2</v>
      </c>
      <c r="F339" s="87" t="s">
        <v>22</v>
      </c>
      <c r="G339" s="59" t="s">
        <v>1101</v>
      </c>
      <c r="H339" s="55" t="s">
        <v>7076</v>
      </c>
      <c r="I339" s="59" t="s">
        <v>1101</v>
      </c>
      <c r="J339" s="70">
        <v>44715</v>
      </c>
      <c r="K339" s="70">
        <v>44715</v>
      </c>
      <c r="L339" s="88">
        <f t="shared" si="12"/>
        <v>1</v>
      </c>
      <c r="M339" s="59" t="s">
        <v>7096</v>
      </c>
      <c r="N339" s="59" t="s">
        <v>1104</v>
      </c>
      <c r="O339" s="59" t="s">
        <v>1026</v>
      </c>
      <c r="P339" s="59" t="s">
        <v>7078</v>
      </c>
      <c r="Q339" s="59" t="str">
        <f t="shared" si="11"/>
        <v>DENTRO DEL TIEMPO</v>
      </c>
      <c r="R339" s="28"/>
    </row>
    <row r="340" spans="1:18" ht="58.5" x14ac:dyDescent="0.25">
      <c r="A340" s="86">
        <v>335</v>
      </c>
      <c r="B340" s="59" t="s">
        <v>7097</v>
      </c>
      <c r="C340" s="70">
        <v>44714</v>
      </c>
      <c r="D340" s="70">
        <v>44714</v>
      </c>
      <c r="E340" s="86">
        <v>1</v>
      </c>
      <c r="F340" s="87" t="s">
        <v>22</v>
      </c>
      <c r="G340" s="59" t="s">
        <v>1101</v>
      </c>
      <c r="H340" s="55" t="s">
        <v>7076</v>
      </c>
      <c r="I340" s="59" t="s">
        <v>1101</v>
      </c>
      <c r="J340" s="70">
        <v>44719</v>
      </c>
      <c r="K340" s="70">
        <v>44719</v>
      </c>
      <c r="L340" s="88">
        <f t="shared" si="12"/>
        <v>3</v>
      </c>
      <c r="M340" s="59" t="s">
        <v>7098</v>
      </c>
      <c r="N340" s="59" t="s">
        <v>1104</v>
      </c>
      <c r="O340" s="59" t="s">
        <v>1026</v>
      </c>
      <c r="P340" s="59" t="s">
        <v>7078</v>
      </c>
      <c r="Q340" s="59" t="str">
        <f t="shared" si="11"/>
        <v>DENTRO DEL TIEMPO</v>
      </c>
      <c r="R340" s="28"/>
    </row>
    <row r="341" spans="1:18" ht="58.5" x14ac:dyDescent="0.25">
      <c r="A341" s="86">
        <v>336</v>
      </c>
      <c r="B341" s="59" t="s">
        <v>7099</v>
      </c>
      <c r="C341" s="70">
        <v>44714</v>
      </c>
      <c r="D341" s="70">
        <v>44714</v>
      </c>
      <c r="E341" s="86">
        <v>7</v>
      </c>
      <c r="F341" s="87" t="s">
        <v>22</v>
      </c>
      <c r="G341" s="59" t="s">
        <v>1101</v>
      </c>
      <c r="H341" s="55" t="s">
        <v>7076</v>
      </c>
      <c r="I341" s="59" t="s">
        <v>1101</v>
      </c>
      <c r="J341" s="70">
        <v>44715</v>
      </c>
      <c r="K341" s="70">
        <v>44715</v>
      </c>
      <c r="L341" s="88">
        <f t="shared" si="12"/>
        <v>1</v>
      </c>
      <c r="M341" s="59" t="s">
        <v>7100</v>
      </c>
      <c r="N341" s="59" t="s">
        <v>1104</v>
      </c>
      <c r="O341" s="59" t="s">
        <v>1026</v>
      </c>
      <c r="P341" s="59" t="s">
        <v>7078</v>
      </c>
      <c r="Q341" s="59" t="str">
        <f t="shared" si="11"/>
        <v>DENTRO DEL TIEMPO</v>
      </c>
      <c r="R341" s="28"/>
    </row>
    <row r="342" spans="1:18" ht="58.5" x14ac:dyDescent="0.25">
      <c r="A342" s="86">
        <v>337</v>
      </c>
      <c r="B342" s="59" t="s">
        <v>7101</v>
      </c>
      <c r="C342" s="70">
        <v>44714</v>
      </c>
      <c r="D342" s="70">
        <v>44714</v>
      </c>
      <c r="E342" s="86">
        <v>43</v>
      </c>
      <c r="F342" s="87" t="s">
        <v>22</v>
      </c>
      <c r="G342" s="59" t="s">
        <v>1101</v>
      </c>
      <c r="H342" s="55" t="s">
        <v>7076</v>
      </c>
      <c r="I342" s="59" t="s">
        <v>1101</v>
      </c>
      <c r="J342" s="70">
        <v>44721</v>
      </c>
      <c r="K342" s="70">
        <v>44721</v>
      </c>
      <c r="L342" s="88">
        <f t="shared" si="12"/>
        <v>5</v>
      </c>
      <c r="M342" s="59" t="s">
        <v>7102</v>
      </c>
      <c r="N342" s="59" t="s">
        <v>1104</v>
      </c>
      <c r="O342" s="59" t="s">
        <v>1026</v>
      </c>
      <c r="P342" s="59" t="s">
        <v>7078</v>
      </c>
      <c r="Q342" s="59" t="str">
        <f t="shared" si="11"/>
        <v>DENTRO DEL TIEMPO</v>
      </c>
      <c r="R342" s="28"/>
    </row>
    <row r="343" spans="1:18" ht="58.5" x14ac:dyDescent="0.25">
      <c r="A343" s="86">
        <v>338</v>
      </c>
      <c r="B343" s="59" t="s">
        <v>7103</v>
      </c>
      <c r="C343" s="70">
        <v>44714</v>
      </c>
      <c r="D343" s="70">
        <v>44714</v>
      </c>
      <c r="E343" s="86">
        <v>54</v>
      </c>
      <c r="F343" s="87" t="s">
        <v>22</v>
      </c>
      <c r="G343" s="59" t="s">
        <v>1101</v>
      </c>
      <c r="H343" s="55" t="s">
        <v>7076</v>
      </c>
      <c r="I343" s="59" t="s">
        <v>1101</v>
      </c>
      <c r="J343" s="70">
        <v>44726</v>
      </c>
      <c r="K343" s="70">
        <v>44726</v>
      </c>
      <c r="L343" s="88">
        <f t="shared" si="12"/>
        <v>8</v>
      </c>
      <c r="M343" s="59" t="s">
        <v>7104</v>
      </c>
      <c r="N343" s="59" t="s">
        <v>1104</v>
      </c>
      <c r="O343" s="59" t="s">
        <v>1026</v>
      </c>
      <c r="P343" s="59" t="s">
        <v>7078</v>
      </c>
      <c r="Q343" s="59" t="str">
        <f t="shared" si="11"/>
        <v>DENTRO DEL TIEMPO</v>
      </c>
      <c r="R343" s="28"/>
    </row>
    <row r="344" spans="1:18" ht="58.5" x14ac:dyDescent="0.25">
      <c r="A344" s="86">
        <v>339</v>
      </c>
      <c r="B344" s="59" t="s">
        <v>7105</v>
      </c>
      <c r="C344" s="70">
        <v>44714</v>
      </c>
      <c r="D344" s="70">
        <v>44726</v>
      </c>
      <c r="E344" s="86">
        <v>1</v>
      </c>
      <c r="F344" s="87" t="s">
        <v>22</v>
      </c>
      <c r="G344" s="59" t="s">
        <v>1101</v>
      </c>
      <c r="H344" s="55" t="s">
        <v>7076</v>
      </c>
      <c r="I344" s="59" t="s">
        <v>1101</v>
      </c>
      <c r="J344" s="70">
        <v>44739</v>
      </c>
      <c r="K344" s="70">
        <v>44739</v>
      </c>
      <c r="L344" s="88">
        <f t="shared" si="12"/>
        <v>9</v>
      </c>
      <c r="M344" s="59" t="s">
        <v>7106</v>
      </c>
      <c r="N344" s="59" t="s">
        <v>1104</v>
      </c>
      <c r="O344" s="59" t="s">
        <v>1026</v>
      </c>
      <c r="P344" s="59" t="s">
        <v>7078</v>
      </c>
      <c r="Q344" s="59" t="str">
        <f t="shared" si="11"/>
        <v>DENTRO DEL TIEMPO</v>
      </c>
      <c r="R344" s="28"/>
    </row>
    <row r="345" spans="1:18" ht="58.5" x14ac:dyDescent="0.25">
      <c r="A345" s="86">
        <v>340</v>
      </c>
      <c r="B345" s="59" t="s">
        <v>7107</v>
      </c>
      <c r="C345" s="70">
        <v>44715</v>
      </c>
      <c r="D345" s="70">
        <v>44715</v>
      </c>
      <c r="E345" s="86">
        <v>1</v>
      </c>
      <c r="F345" s="87" t="s">
        <v>22</v>
      </c>
      <c r="G345" s="59" t="s">
        <v>1101</v>
      </c>
      <c r="H345" s="55" t="s">
        <v>7076</v>
      </c>
      <c r="I345" s="59" t="s">
        <v>1101</v>
      </c>
      <c r="J345" s="70">
        <v>44727</v>
      </c>
      <c r="K345" s="70">
        <v>44727</v>
      </c>
      <c r="L345" s="88">
        <f t="shared" si="12"/>
        <v>8</v>
      </c>
      <c r="M345" s="59" t="s">
        <v>7108</v>
      </c>
      <c r="N345" s="59" t="s">
        <v>1104</v>
      </c>
      <c r="O345" s="59" t="s">
        <v>1026</v>
      </c>
      <c r="P345" s="59" t="s">
        <v>7078</v>
      </c>
      <c r="Q345" s="59" t="str">
        <f t="shared" si="11"/>
        <v>DENTRO DEL TIEMPO</v>
      </c>
      <c r="R345" s="28"/>
    </row>
    <row r="346" spans="1:18" ht="58.5" x14ac:dyDescent="0.25">
      <c r="A346" s="86">
        <v>341</v>
      </c>
      <c r="B346" s="59" t="s">
        <v>7109</v>
      </c>
      <c r="C346" s="70">
        <v>44715</v>
      </c>
      <c r="D346" s="70">
        <v>44735</v>
      </c>
      <c r="E346" s="86">
        <v>35</v>
      </c>
      <c r="F346" s="87" t="s">
        <v>7110</v>
      </c>
      <c r="G346" s="59" t="s">
        <v>1101</v>
      </c>
      <c r="H346" s="55" t="s">
        <v>7076</v>
      </c>
      <c r="I346" s="59" t="s">
        <v>1101</v>
      </c>
      <c r="J346" s="70">
        <v>44735</v>
      </c>
      <c r="K346" s="70">
        <v>44735</v>
      </c>
      <c r="L346" s="88">
        <f t="shared" si="12"/>
        <v>0</v>
      </c>
      <c r="M346" s="59" t="s">
        <v>7111</v>
      </c>
      <c r="N346" s="59" t="s">
        <v>1104</v>
      </c>
      <c r="O346" s="59" t="s">
        <v>1026</v>
      </c>
      <c r="P346" s="59" t="s">
        <v>7078</v>
      </c>
      <c r="Q346" s="59" t="str">
        <f t="shared" si="11"/>
        <v>DENTRO DEL TIEMPO</v>
      </c>
      <c r="R346" s="28"/>
    </row>
    <row r="347" spans="1:18" ht="58.5" x14ac:dyDescent="0.25">
      <c r="A347" s="86">
        <v>342</v>
      </c>
      <c r="B347" s="59" t="s">
        <v>7112</v>
      </c>
      <c r="C347" s="70">
        <v>44718</v>
      </c>
      <c r="D347" s="70">
        <v>44718</v>
      </c>
      <c r="E347" s="86">
        <v>1</v>
      </c>
      <c r="F347" s="87" t="s">
        <v>22</v>
      </c>
      <c r="G347" s="59" t="s">
        <v>1101</v>
      </c>
      <c r="H347" s="55" t="s">
        <v>7076</v>
      </c>
      <c r="I347" s="59" t="s">
        <v>1101</v>
      </c>
      <c r="J347" s="70">
        <v>44720</v>
      </c>
      <c r="K347" s="70">
        <v>44720</v>
      </c>
      <c r="L347" s="88">
        <f t="shared" si="12"/>
        <v>2</v>
      </c>
      <c r="M347" s="59" t="s">
        <v>7113</v>
      </c>
      <c r="N347" s="59" t="s">
        <v>1104</v>
      </c>
      <c r="O347" s="59" t="s">
        <v>1026</v>
      </c>
      <c r="P347" s="59" t="s">
        <v>7078</v>
      </c>
      <c r="Q347" s="59" t="str">
        <f t="shared" si="11"/>
        <v>DENTRO DEL TIEMPO</v>
      </c>
      <c r="R347" s="28"/>
    </row>
    <row r="348" spans="1:18" ht="58.5" x14ac:dyDescent="0.25">
      <c r="A348" s="86">
        <v>343</v>
      </c>
      <c r="B348" s="59" t="s">
        <v>7114</v>
      </c>
      <c r="C348" s="70">
        <v>44718</v>
      </c>
      <c r="D348" s="70">
        <v>44718</v>
      </c>
      <c r="E348" s="86">
        <v>1</v>
      </c>
      <c r="F348" s="87" t="s">
        <v>22</v>
      </c>
      <c r="G348" s="59" t="s">
        <v>1101</v>
      </c>
      <c r="H348" s="55" t="s">
        <v>7076</v>
      </c>
      <c r="I348" s="59" t="s">
        <v>1101</v>
      </c>
      <c r="J348" s="70">
        <v>44720</v>
      </c>
      <c r="K348" s="70">
        <v>44720</v>
      </c>
      <c r="L348" s="88">
        <f t="shared" si="12"/>
        <v>2</v>
      </c>
      <c r="M348" s="59" t="s">
        <v>7115</v>
      </c>
      <c r="N348" s="59" t="s">
        <v>1104</v>
      </c>
      <c r="O348" s="59" t="s">
        <v>1026</v>
      </c>
      <c r="P348" s="59" t="s">
        <v>7078</v>
      </c>
      <c r="Q348" s="59" t="str">
        <f t="shared" si="11"/>
        <v>DENTRO DEL TIEMPO</v>
      </c>
      <c r="R348" s="28"/>
    </row>
    <row r="349" spans="1:18" ht="58.5" x14ac:dyDescent="0.25">
      <c r="A349" s="86">
        <v>344</v>
      </c>
      <c r="B349" s="59" t="s">
        <v>7116</v>
      </c>
      <c r="C349" s="70">
        <v>44718</v>
      </c>
      <c r="D349" s="70">
        <v>44718</v>
      </c>
      <c r="E349" s="86">
        <v>1</v>
      </c>
      <c r="F349" s="87" t="s">
        <v>22</v>
      </c>
      <c r="G349" s="59" t="s">
        <v>1101</v>
      </c>
      <c r="H349" s="55" t="s">
        <v>7076</v>
      </c>
      <c r="I349" s="59" t="s">
        <v>1101</v>
      </c>
      <c r="J349" s="70">
        <v>44727</v>
      </c>
      <c r="K349" s="70">
        <v>44727</v>
      </c>
      <c r="L349" s="88">
        <f t="shared" si="12"/>
        <v>7</v>
      </c>
      <c r="M349" s="59" t="s">
        <v>7117</v>
      </c>
      <c r="N349" s="59" t="s">
        <v>1104</v>
      </c>
      <c r="O349" s="59" t="s">
        <v>1026</v>
      </c>
      <c r="P349" s="59" t="s">
        <v>7078</v>
      </c>
      <c r="Q349" s="59" t="str">
        <f t="shared" si="11"/>
        <v>DENTRO DEL TIEMPO</v>
      </c>
      <c r="R349" s="28"/>
    </row>
    <row r="350" spans="1:18" ht="58.5" x14ac:dyDescent="0.25">
      <c r="A350" s="86">
        <v>345</v>
      </c>
      <c r="B350" s="59" t="s">
        <v>7118</v>
      </c>
      <c r="C350" s="70">
        <v>44719</v>
      </c>
      <c r="D350" s="70">
        <v>44719</v>
      </c>
      <c r="E350" s="86">
        <v>9</v>
      </c>
      <c r="F350" s="87" t="s">
        <v>22</v>
      </c>
      <c r="G350" s="59" t="s">
        <v>1101</v>
      </c>
      <c r="H350" s="55" t="s">
        <v>7076</v>
      </c>
      <c r="I350" s="59" t="s">
        <v>1101</v>
      </c>
      <c r="J350" s="70">
        <v>44720</v>
      </c>
      <c r="K350" s="70">
        <v>44720</v>
      </c>
      <c r="L350" s="88">
        <f t="shared" si="12"/>
        <v>1</v>
      </c>
      <c r="M350" s="59" t="s">
        <v>7119</v>
      </c>
      <c r="N350" s="59" t="s">
        <v>1104</v>
      </c>
      <c r="O350" s="59" t="s">
        <v>1026</v>
      </c>
      <c r="P350" s="59" t="s">
        <v>7078</v>
      </c>
      <c r="Q350" s="59" t="str">
        <f t="shared" si="11"/>
        <v>DENTRO DEL TIEMPO</v>
      </c>
      <c r="R350" s="28"/>
    </row>
    <row r="351" spans="1:18" ht="58.5" x14ac:dyDescent="0.25">
      <c r="A351" s="86">
        <v>346</v>
      </c>
      <c r="B351" s="59" t="s">
        <v>7120</v>
      </c>
      <c r="C351" s="70">
        <v>44719</v>
      </c>
      <c r="D351" s="70">
        <v>44719</v>
      </c>
      <c r="E351" s="86">
        <v>16</v>
      </c>
      <c r="F351" s="87" t="s">
        <v>22</v>
      </c>
      <c r="G351" s="59" t="s">
        <v>1101</v>
      </c>
      <c r="H351" s="55" t="s">
        <v>7076</v>
      </c>
      <c r="I351" s="59" t="s">
        <v>1101</v>
      </c>
      <c r="J351" s="70">
        <v>44726</v>
      </c>
      <c r="K351" s="70">
        <v>44726</v>
      </c>
      <c r="L351" s="88">
        <f t="shared" si="12"/>
        <v>5</v>
      </c>
      <c r="M351" s="59" t="s">
        <v>7121</v>
      </c>
      <c r="N351" s="59" t="s">
        <v>1104</v>
      </c>
      <c r="O351" s="59" t="s">
        <v>1026</v>
      </c>
      <c r="P351" s="59" t="s">
        <v>7078</v>
      </c>
      <c r="Q351" s="59" t="str">
        <f t="shared" si="11"/>
        <v>DENTRO DEL TIEMPO</v>
      </c>
      <c r="R351" s="28"/>
    </row>
    <row r="352" spans="1:18" ht="58.5" x14ac:dyDescent="0.25">
      <c r="A352" s="86">
        <v>347</v>
      </c>
      <c r="B352" s="59" t="s">
        <v>7122</v>
      </c>
      <c r="C352" s="70">
        <v>44719</v>
      </c>
      <c r="D352" s="70">
        <v>44739</v>
      </c>
      <c r="E352" s="86">
        <v>1</v>
      </c>
      <c r="F352" s="87" t="s">
        <v>22</v>
      </c>
      <c r="G352" s="59" t="s">
        <v>1101</v>
      </c>
      <c r="H352" s="55" t="s">
        <v>7076</v>
      </c>
      <c r="I352" s="59" t="s">
        <v>1101</v>
      </c>
      <c r="J352" s="70">
        <v>44739</v>
      </c>
      <c r="K352" s="70">
        <v>44739</v>
      </c>
      <c r="L352" s="88">
        <f t="shared" si="12"/>
        <v>0</v>
      </c>
      <c r="M352" s="59" t="s">
        <v>7090</v>
      </c>
      <c r="N352" s="59" t="s">
        <v>1104</v>
      </c>
      <c r="O352" s="59" t="s">
        <v>1026</v>
      </c>
      <c r="P352" s="59" t="s">
        <v>7078</v>
      </c>
      <c r="Q352" s="59" t="str">
        <f t="shared" si="11"/>
        <v>DENTRO DEL TIEMPO</v>
      </c>
      <c r="R352" s="28"/>
    </row>
    <row r="353" spans="1:18" ht="58.5" x14ac:dyDescent="0.25">
      <c r="A353" s="86">
        <v>348</v>
      </c>
      <c r="B353" s="59" t="s">
        <v>7123</v>
      </c>
      <c r="C353" s="70">
        <v>44720</v>
      </c>
      <c r="D353" s="70">
        <v>44720</v>
      </c>
      <c r="E353" s="86">
        <v>6</v>
      </c>
      <c r="F353" s="87" t="s">
        <v>22</v>
      </c>
      <c r="G353" s="59" t="s">
        <v>1101</v>
      </c>
      <c r="H353" s="55" t="s">
        <v>7076</v>
      </c>
      <c r="I353" s="59" t="s">
        <v>1101</v>
      </c>
      <c r="J353" s="70">
        <v>44727</v>
      </c>
      <c r="K353" s="70">
        <v>44727</v>
      </c>
      <c r="L353" s="88">
        <f t="shared" si="12"/>
        <v>5</v>
      </c>
      <c r="M353" s="59" t="s">
        <v>7124</v>
      </c>
      <c r="N353" s="59" t="s">
        <v>1104</v>
      </c>
      <c r="O353" s="59" t="s">
        <v>1026</v>
      </c>
      <c r="P353" s="59" t="s">
        <v>7078</v>
      </c>
      <c r="Q353" s="59" t="str">
        <f t="shared" si="11"/>
        <v>DENTRO DEL TIEMPO</v>
      </c>
      <c r="R353" s="28"/>
    </row>
    <row r="354" spans="1:18" ht="58.5" x14ac:dyDescent="0.25">
      <c r="A354" s="86">
        <v>349</v>
      </c>
      <c r="B354" s="59" t="s">
        <v>7125</v>
      </c>
      <c r="C354" s="70">
        <v>44720</v>
      </c>
      <c r="D354" s="70">
        <v>44720</v>
      </c>
      <c r="E354" s="86">
        <v>1</v>
      </c>
      <c r="F354" s="87" t="s">
        <v>22</v>
      </c>
      <c r="G354" s="59" t="s">
        <v>1101</v>
      </c>
      <c r="H354" s="55" t="s">
        <v>7076</v>
      </c>
      <c r="I354" s="59" t="s">
        <v>1101</v>
      </c>
      <c r="J354" s="70">
        <v>44729</v>
      </c>
      <c r="K354" s="70">
        <v>44729</v>
      </c>
      <c r="L354" s="88">
        <f t="shared" si="12"/>
        <v>7</v>
      </c>
      <c r="M354" s="59" t="s">
        <v>7126</v>
      </c>
      <c r="N354" s="59" t="s">
        <v>1104</v>
      </c>
      <c r="O354" s="59" t="s">
        <v>1026</v>
      </c>
      <c r="P354" s="59" t="s">
        <v>7078</v>
      </c>
      <c r="Q354" s="59" t="str">
        <f t="shared" si="11"/>
        <v>DENTRO DEL TIEMPO</v>
      </c>
      <c r="R354" s="28"/>
    </row>
    <row r="355" spans="1:18" ht="58.5" x14ac:dyDescent="0.25">
      <c r="A355" s="86">
        <v>350</v>
      </c>
      <c r="B355" s="59" t="s">
        <v>7127</v>
      </c>
      <c r="C355" s="70">
        <v>44720</v>
      </c>
      <c r="D355" s="70">
        <v>44727</v>
      </c>
      <c r="E355" s="86">
        <v>30</v>
      </c>
      <c r="F355" s="87" t="s">
        <v>22</v>
      </c>
      <c r="G355" s="59" t="s">
        <v>1101</v>
      </c>
      <c r="H355" s="55" t="s">
        <v>7076</v>
      </c>
      <c r="I355" s="59" t="s">
        <v>1101</v>
      </c>
      <c r="J355" s="70">
        <v>44740</v>
      </c>
      <c r="K355" s="70">
        <v>44740</v>
      </c>
      <c r="L355" s="88">
        <f t="shared" si="12"/>
        <v>9</v>
      </c>
      <c r="M355" s="59" t="s">
        <v>7128</v>
      </c>
      <c r="N355" s="59" t="s">
        <v>1104</v>
      </c>
      <c r="O355" s="59" t="s">
        <v>1026</v>
      </c>
      <c r="P355" s="59" t="s">
        <v>7078</v>
      </c>
      <c r="Q355" s="59" t="str">
        <f t="shared" si="11"/>
        <v>DENTRO DEL TIEMPO</v>
      </c>
      <c r="R355" s="28"/>
    </row>
    <row r="356" spans="1:18" ht="58.5" x14ac:dyDescent="0.25">
      <c r="A356" s="86">
        <v>351</v>
      </c>
      <c r="B356" s="59" t="s">
        <v>7129</v>
      </c>
      <c r="C356" s="70">
        <v>44722</v>
      </c>
      <c r="D356" s="70">
        <v>44722</v>
      </c>
      <c r="E356" s="86">
        <v>1</v>
      </c>
      <c r="F356" s="87" t="s">
        <v>22</v>
      </c>
      <c r="G356" s="59" t="s">
        <v>1101</v>
      </c>
      <c r="H356" s="55" t="s">
        <v>7076</v>
      </c>
      <c r="I356" s="59" t="s">
        <v>1101</v>
      </c>
      <c r="J356" s="70">
        <v>44726</v>
      </c>
      <c r="K356" s="70">
        <v>44726</v>
      </c>
      <c r="L356" s="88">
        <f t="shared" si="12"/>
        <v>2</v>
      </c>
      <c r="M356" s="59" t="s">
        <v>7130</v>
      </c>
      <c r="N356" s="59" t="s">
        <v>1104</v>
      </c>
      <c r="O356" s="59" t="s">
        <v>1026</v>
      </c>
      <c r="P356" s="59" t="s">
        <v>7078</v>
      </c>
      <c r="Q356" s="59" t="str">
        <f t="shared" si="11"/>
        <v>DENTRO DEL TIEMPO</v>
      </c>
      <c r="R356" s="28"/>
    </row>
    <row r="357" spans="1:18" ht="58.5" x14ac:dyDescent="0.25">
      <c r="A357" s="86">
        <v>352</v>
      </c>
      <c r="B357" s="59" t="s">
        <v>7131</v>
      </c>
      <c r="C357" s="70">
        <v>44722</v>
      </c>
      <c r="D357" s="70">
        <v>44722</v>
      </c>
      <c r="E357" s="86">
        <v>47</v>
      </c>
      <c r="F357" s="87" t="s">
        <v>22</v>
      </c>
      <c r="G357" s="59" t="s">
        <v>1101</v>
      </c>
      <c r="H357" s="55" t="s">
        <v>7076</v>
      </c>
      <c r="I357" s="59" t="s">
        <v>1101</v>
      </c>
      <c r="J357" s="70">
        <v>44735</v>
      </c>
      <c r="K357" s="70">
        <v>44735</v>
      </c>
      <c r="L357" s="88">
        <f t="shared" si="12"/>
        <v>9</v>
      </c>
      <c r="M357" s="59" t="s">
        <v>7132</v>
      </c>
      <c r="N357" s="59" t="s">
        <v>1104</v>
      </c>
      <c r="O357" s="59" t="s">
        <v>1026</v>
      </c>
      <c r="P357" s="59" t="s">
        <v>7078</v>
      </c>
      <c r="Q357" s="59" t="str">
        <f t="shared" si="11"/>
        <v>DENTRO DEL TIEMPO</v>
      </c>
      <c r="R357" s="28"/>
    </row>
    <row r="358" spans="1:18" ht="58.5" x14ac:dyDescent="0.25">
      <c r="A358" s="86">
        <v>353</v>
      </c>
      <c r="B358" s="59" t="s">
        <v>7133</v>
      </c>
      <c r="C358" s="70">
        <v>44725</v>
      </c>
      <c r="D358" s="70">
        <v>44725</v>
      </c>
      <c r="E358" s="86">
        <f>8*4</f>
        <v>32</v>
      </c>
      <c r="F358" s="87" t="s">
        <v>22</v>
      </c>
      <c r="G358" s="59" t="s">
        <v>1101</v>
      </c>
      <c r="H358" s="55" t="s">
        <v>7076</v>
      </c>
      <c r="I358" s="59" t="s">
        <v>1101</v>
      </c>
      <c r="J358" s="70">
        <v>44733</v>
      </c>
      <c r="K358" s="70">
        <v>44733</v>
      </c>
      <c r="L358" s="88">
        <f t="shared" si="12"/>
        <v>6</v>
      </c>
      <c r="M358" s="59" t="s">
        <v>7134</v>
      </c>
      <c r="N358" s="59" t="s">
        <v>1104</v>
      </c>
      <c r="O358" s="59" t="s">
        <v>1026</v>
      </c>
      <c r="P358" s="59" t="s">
        <v>7078</v>
      </c>
      <c r="Q358" s="59" t="str">
        <f t="shared" si="11"/>
        <v>DENTRO DEL TIEMPO</v>
      </c>
      <c r="R358" s="28"/>
    </row>
    <row r="359" spans="1:18" ht="58.5" x14ac:dyDescent="0.25">
      <c r="A359" s="86">
        <v>354</v>
      </c>
      <c r="B359" s="59" t="s">
        <v>7135</v>
      </c>
      <c r="C359" s="70">
        <v>44725</v>
      </c>
      <c r="D359" s="70">
        <v>44725</v>
      </c>
      <c r="E359" s="86">
        <v>1</v>
      </c>
      <c r="F359" s="87" t="s">
        <v>22</v>
      </c>
      <c r="G359" s="59" t="s">
        <v>1101</v>
      </c>
      <c r="H359" s="55" t="s">
        <v>7076</v>
      </c>
      <c r="I359" s="59" t="s">
        <v>1101</v>
      </c>
      <c r="J359" s="70">
        <v>44725</v>
      </c>
      <c r="K359" s="70">
        <v>44725</v>
      </c>
      <c r="L359" s="88">
        <f t="shared" si="12"/>
        <v>0</v>
      </c>
      <c r="M359" s="59" t="s">
        <v>7136</v>
      </c>
      <c r="N359" s="59" t="s">
        <v>1104</v>
      </c>
      <c r="O359" s="59" t="s">
        <v>1026</v>
      </c>
      <c r="P359" s="59" t="s">
        <v>7078</v>
      </c>
      <c r="Q359" s="59" t="str">
        <f t="shared" si="11"/>
        <v>DENTRO DEL TIEMPO</v>
      </c>
      <c r="R359" s="28"/>
    </row>
    <row r="360" spans="1:18" ht="58.5" x14ac:dyDescent="0.25">
      <c r="A360" s="86">
        <v>355</v>
      </c>
      <c r="B360" s="59" t="s">
        <v>7137</v>
      </c>
      <c r="C360" s="70">
        <v>44725</v>
      </c>
      <c r="D360" s="70">
        <v>44725</v>
      </c>
      <c r="E360" s="86">
        <v>1</v>
      </c>
      <c r="F360" s="87" t="s">
        <v>22</v>
      </c>
      <c r="G360" s="59" t="s">
        <v>1101</v>
      </c>
      <c r="H360" s="55" t="s">
        <v>7076</v>
      </c>
      <c r="I360" s="59" t="s">
        <v>1101</v>
      </c>
      <c r="J360" s="70">
        <v>44734</v>
      </c>
      <c r="K360" s="70">
        <v>44734</v>
      </c>
      <c r="L360" s="88">
        <f t="shared" si="12"/>
        <v>7</v>
      </c>
      <c r="M360" s="59" t="s">
        <v>7138</v>
      </c>
      <c r="N360" s="59" t="s">
        <v>1104</v>
      </c>
      <c r="O360" s="59" t="s">
        <v>1026</v>
      </c>
      <c r="P360" s="59" t="s">
        <v>7078</v>
      </c>
      <c r="Q360" s="59" t="str">
        <f t="shared" si="11"/>
        <v>DENTRO DEL TIEMPO</v>
      </c>
      <c r="R360" s="28"/>
    </row>
    <row r="361" spans="1:18" ht="58.5" x14ac:dyDescent="0.25">
      <c r="A361" s="86">
        <v>356</v>
      </c>
      <c r="B361" s="59" t="s">
        <v>7139</v>
      </c>
      <c r="C361" s="70">
        <v>44726</v>
      </c>
      <c r="D361" s="70">
        <v>44726</v>
      </c>
      <c r="E361" s="86">
        <v>1</v>
      </c>
      <c r="F361" s="87" t="s">
        <v>22</v>
      </c>
      <c r="G361" s="59" t="s">
        <v>1101</v>
      </c>
      <c r="H361" s="55" t="s">
        <v>7076</v>
      </c>
      <c r="I361" s="59" t="s">
        <v>1101</v>
      </c>
      <c r="J361" s="70">
        <v>44734</v>
      </c>
      <c r="K361" s="70">
        <v>44734</v>
      </c>
      <c r="L361" s="88">
        <f t="shared" si="12"/>
        <v>6</v>
      </c>
      <c r="M361" s="59" t="s">
        <v>7140</v>
      </c>
      <c r="N361" s="59" t="s">
        <v>1104</v>
      </c>
      <c r="O361" s="59" t="s">
        <v>1026</v>
      </c>
      <c r="P361" s="59" t="s">
        <v>7078</v>
      </c>
      <c r="Q361" s="59" t="str">
        <f t="shared" si="11"/>
        <v>DENTRO DEL TIEMPO</v>
      </c>
      <c r="R361" s="28"/>
    </row>
    <row r="362" spans="1:18" ht="58.5" x14ac:dyDescent="0.25">
      <c r="A362" s="86">
        <v>357</v>
      </c>
      <c r="B362" s="59" t="s">
        <v>7141</v>
      </c>
      <c r="C362" s="70">
        <v>44726</v>
      </c>
      <c r="D362" s="70">
        <v>44726</v>
      </c>
      <c r="E362" s="86">
        <v>1</v>
      </c>
      <c r="F362" s="87" t="s">
        <v>22</v>
      </c>
      <c r="G362" s="59" t="s">
        <v>1101</v>
      </c>
      <c r="H362" s="55" t="s">
        <v>7076</v>
      </c>
      <c r="I362" s="59" t="s">
        <v>1101</v>
      </c>
      <c r="J362" s="70">
        <v>44734</v>
      </c>
      <c r="K362" s="70">
        <v>44734</v>
      </c>
      <c r="L362" s="88">
        <f t="shared" si="12"/>
        <v>6</v>
      </c>
      <c r="M362" s="59" t="s">
        <v>7142</v>
      </c>
      <c r="N362" s="59" t="s">
        <v>1104</v>
      </c>
      <c r="O362" s="59" t="s">
        <v>1026</v>
      </c>
      <c r="P362" s="59" t="s">
        <v>7078</v>
      </c>
      <c r="Q362" s="59" t="str">
        <f t="shared" si="11"/>
        <v>DENTRO DEL TIEMPO</v>
      </c>
      <c r="R362" s="28"/>
    </row>
    <row r="363" spans="1:18" ht="58.5" x14ac:dyDescent="0.25">
      <c r="A363" s="86">
        <v>358</v>
      </c>
      <c r="B363" s="59" t="s">
        <v>7143</v>
      </c>
      <c r="C363" s="70">
        <v>44726</v>
      </c>
      <c r="D363" s="70">
        <v>44726</v>
      </c>
      <c r="E363" s="86">
        <v>27</v>
      </c>
      <c r="F363" s="87" t="s">
        <v>22</v>
      </c>
      <c r="G363" s="59" t="s">
        <v>1101</v>
      </c>
      <c r="H363" s="55" t="s">
        <v>7076</v>
      </c>
      <c r="I363" s="59" t="s">
        <v>1101</v>
      </c>
      <c r="J363" s="70">
        <v>44739</v>
      </c>
      <c r="K363" s="70">
        <v>44739</v>
      </c>
      <c r="L363" s="88">
        <f t="shared" si="12"/>
        <v>9</v>
      </c>
      <c r="M363" s="59" t="s">
        <v>7144</v>
      </c>
      <c r="N363" s="59" t="s">
        <v>1104</v>
      </c>
      <c r="O363" s="59" t="s">
        <v>1026</v>
      </c>
      <c r="P363" s="59" t="s">
        <v>7078</v>
      </c>
      <c r="Q363" s="59" t="str">
        <f t="shared" si="11"/>
        <v>DENTRO DEL TIEMPO</v>
      </c>
      <c r="R363" s="28"/>
    </row>
    <row r="364" spans="1:18" ht="58.5" x14ac:dyDescent="0.25">
      <c r="A364" s="86">
        <v>359</v>
      </c>
      <c r="B364" s="59" t="s">
        <v>7145</v>
      </c>
      <c r="C364" s="70">
        <v>44726</v>
      </c>
      <c r="D364" s="70">
        <v>44732</v>
      </c>
      <c r="E364" s="86">
        <v>47</v>
      </c>
      <c r="F364" s="87" t="s">
        <v>22</v>
      </c>
      <c r="G364" s="59" t="s">
        <v>1101</v>
      </c>
      <c r="H364" s="55" t="s">
        <v>7076</v>
      </c>
      <c r="I364" s="59" t="s">
        <v>1101</v>
      </c>
      <c r="J364" s="70">
        <v>44746</v>
      </c>
      <c r="K364" s="70">
        <v>44746</v>
      </c>
      <c r="L364" s="88">
        <f t="shared" si="12"/>
        <v>10</v>
      </c>
      <c r="M364" s="59" t="s">
        <v>7146</v>
      </c>
      <c r="N364" s="59" t="s">
        <v>1104</v>
      </c>
      <c r="O364" s="59" t="s">
        <v>1026</v>
      </c>
      <c r="P364" s="59" t="s">
        <v>7078</v>
      </c>
      <c r="Q364" s="59" t="str">
        <f t="shared" si="11"/>
        <v>DENTRO DEL TIEMPO</v>
      </c>
      <c r="R364" s="28"/>
    </row>
    <row r="365" spans="1:18" ht="58.5" x14ac:dyDescent="0.25">
      <c r="A365" s="86">
        <v>360</v>
      </c>
      <c r="B365" s="59" t="s">
        <v>7147</v>
      </c>
      <c r="C365" s="70">
        <v>44726</v>
      </c>
      <c r="D365" s="70">
        <v>44735</v>
      </c>
      <c r="E365" s="86">
        <v>5</v>
      </c>
      <c r="F365" s="87" t="s">
        <v>22</v>
      </c>
      <c r="G365" s="59" t="s">
        <v>1101</v>
      </c>
      <c r="H365" s="55" t="s">
        <v>7076</v>
      </c>
      <c r="I365" s="59" t="s">
        <v>1101</v>
      </c>
      <c r="J365" s="70">
        <v>44735</v>
      </c>
      <c r="K365" s="70">
        <v>44735</v>
      </c>
      <c r="L365" s="88">
        <f t="shared" si="12"/>
        <v>0</v>
      </c>
      <c r="M365" s="59" t="s">
        <v>7148</v>
      </c>
      <c r="N365" s="59" t="s">
        <v>1104</v>
      </c>
      <c r="O365" s="59" t="s">
        <v>1026</v>
      </c>
      <c r="P365" s="59" t="s">
        <v>7078</v>
      </c>
      <c r="Q365" s="59" t="str">
        <f t="shared" si="11"/>
        <v>DENTRO DEL TIEMPO</v>
      </c>
      <c r="R365" s="28"/>
    </row>
    <row r="366" spans="1:18" ht="58.5" x14ac:dyDescent="0.25">
      <c r="A366" s="86">
        <v>361</v>
      </c>
      <c r="B366" s="59" t="s">
        <v>7149</v>
      </c>
      <c r="C366" s="70">
        <v>44727</v>
      </c>
      <c r="D366" s="70">
        <v>44727</v>
      </c>
      <c r="E366" s="86">
        <v>3</v>
      </c>
      <c r="F366" s="87" t="s">
        <v>22</v>
      </c>
      <c r="G366" s="59" t="s">
        <v>1101</v>
      </c>
      <c r="H366" s="55" t="s">
        <v>7076</v>
      </c>
      <c r="I366" s="59" t="s">
        <v>1101</v>
      </c>
      <c r="J366" s="70">
        <v>44734</v>
      </c>
      <c r="K366" s="70">
        <v>44734</v>
      </c>
      <c r="L366" s="88">
        <f t="shared" si="12"/>
        <v>5</v>
      </c>
      <c r="M366" s="59" t="s">
        <v>7150</v>
      </c>
      <c r="N366" s="59" t="s">
        <v>1104</v>
      </c>
      <c r="O366" s="59" t="s">
        <v>1026</v>
      </c>
      <c r="P366" s="59" t="s">
        <v>7078</v>
      </c>
      <c r="Q366" s="59" t="str">
        <f t="shared" si="11"/>
        <v>DENTRO DEL TIEMPO</v>
      </c>
      <c r="R366" s="28"/>
    </row>
    <row r="367" spans="1:18" ht="58.5" x14ac:dyDescent="0.25">
      <c r="A367" s="86">
        <v>362</v>
      </c>
      <c r="B367" s="59" t="s">
        <v>7151</v>
      </c>
      <c r="C367" s="70">
        <v>44727</v>
      </c>
      <c r="D367" s="70">
        <v>44727</v>
      </c>
      <c r="E367" s="86">
        <v>5</v>
      </c>
      <c r="F367" s="87" t="s">
        <v>22</v>
      </c>
      <c r="G367" s="59" t="s">
        <v>1101</v>
      </c>
      <c r="H367" s="55" t="s">
        <v>7076</v>
      </c>
      <c r="I367" s="59" t="s">
        <v>1101</v>
      </c>
      <c r="J367" s="70">
        <v>44734</v>
      </c>
      <c r="K367" s="70">
        <v>44734</v>
      </c>
      <c r="L367" s="88">
        <f t="shared" si="12"/>
        <v>5</v>
      </c>
      <c r="M367" s="59" t="s">
        <v>7152</v>
      </c>
      <c r="N367" s="59" t="s">
        <v>1104</v>
      </c>
      <c r="O367" s="59" t="s">
        <v>1026</v>
      </c>
      <c r="P367" s="59" t="s">
        <v>7078</v>
      </c>
      <c r="Q367" s="59" t="str">
        <f t="shared" si="11"/>
        <v>DENTRO DEL TIEMPO</v>
      </c>
      <c r="R367" s="28"/>
    </row>
    <row r="368" spans="1:18" ht="58.5" x14ac:dyDescent="0.25">
      <c r="A368" s="86">
        <v>363</v>
      </c>
      <c r="B368" s="59" t="s">
        <v>7153</v>
      </c>
      <c r="C368" s="70">
        <v>44727</v>
      </c>
      <c r="D368" s="70">
        <v>44727</v>
      </c>
      <c r="E368" s="86">
        <v>1</v>
      </c>
      <c r="F368" s="87" t="s">
        <v>22</v>
      </c>
      <c r="G368" s="59" t="s">
        <v>1101</v>
      </c>
      <c r="H368" s="55" t="s">
        <v>7076</v>
      </c>
      <c r="I368" s="59" t="s">
        <v>1101</v>
      </c>
      <c r="J368" s="70">
        <v>44733</v>
      </c>
      <c r="K368" s="70">
        <v>44733</v>
      </c>
      <c r="L368" s="88">
        <f t="shared" si="12"/>
        <v>4</v>
      </c>
      <c r="M368" s="59" t="s">
        <v>7154</v>
      </c>
      <c r="N368" s="59" t="s">
        <v>1104</v>
      </c>
      <c r="O368" s="59" t="s">
        <v>1026</v>
      </c>
      <c r="P368" s="59" t="s">
        <v>7078</v>
      </c>
      <c r="Q368" s="59" t="str">
        <f t="shared" si="11"/>
        <v>DENTRO DEL TIEMPO</v>
      </c>
      <c r="R368" s="28"/>
    </row>
    <row r="369" spans="1:18" ht="58.5" x14ac:dyDescent="0.25">
      <c r="A369" s="86">
        <v>364</v>
      </c>
      <c r="B369" s="59" t="s">
        <v>7155</v>
      </c>
      <c r="C369" s="70">
        <v>44727</v>
      </c>
      <c r="D369" s="70">
        <v>44727</v>
      </c>
      <c r="E369" s="86">
        <v>9</v>
      </c>
      <c r="F369" s="87" t="s">
        <v>22</v>
      </c>
      <c r="G369" s="59" t="s">
        <v>1101</v>
      </c>
      <c r="H369" s="55" t="s">
        <v>7076</v>
      </c>
      <c r="I369" s="59" t="s">
        <v>1101</v>
      </c>
      <c r="J369" s="70">
        <v>44733</v>
      </c>
      <c r="K369" s="70">
        <v>44733</v>
      </c>
      <c r="L369" s="88">
        <f t="shared" si="12"/>
        <v>4</v>
      </c>
      <c r="M369" s="59" t="s">
        <v>7156</v>
      </c>
      <c r="N369" s="59" t="s">
        <v>1104</v>
      </c>
      <c r="O369" s="59" t="s">
        <v>1026</v>
      </c>
      <c r="P369" s="59" t="s">
        <v>7078</v>
      </c>
      <c r="Q369" s="59" t="str">
        <f t="shared" si="11"/>
        <v>DENTRO DEL TIEMPO</v>
      </c>
      <c r="R369" s="28"/>
    </row>
    <row r="370" spans="1:18" ht="58.5" x14ac:dyDescent="0.25">
      <c r="A370" s="86">
        <v>365</v>
      </c>
      <c r="B370" s="59" t="s">
        <v>7157</v>
      </c>
      <c r="C370" s="70">
        <v>44727</v>
      </c>
      <c r="D370" s="70">
        <v>44727</v>
      </c>
      <c r="E370" s="86">
        <v>1</v>
      </c>
      <c r="F370" s="87" t="s">
        <v>22</v>
      </c>
      <c r="G370" s="59" t="s">
        <v>1101</v>
      </c>
      <c r="H370" s="55" t="s">
        <v>7076</v>
      </c>
      <c r="I370" s="59" t="s">
        <v>1101</v>
      </c>
      <c r="J370" s="70">
        <v>44735</v>
      </c>
      <c r="K370" s="70">
        <v>44735</v>
      </c>
      <c r="L370" s="88">
        <f t="shared" si="12"/>
        <v>6</v>
      </c>
      <c r="M370" s="59" t="s">
        <v>7158</v>
      </c>
      <c r="N370" s="59" t="s">
        <v>1104</v>
      </c>
      <c r="O370" s="59" t="s">
        <v>1026</v>
      </c>
      <c r="P370" s="59" t="s">
        <v>7078</v>
      </c>
      <c r="Q370" s="59" t="str">
        <f t="shared" si="11"/>
        <v>DENTRO DEL TIEMPO</v>
      </c>
      <c r="R370" s="28"/>
    </row>
    <row r="371" spans="1:18" ht="58.5" x14ac:dyDescent="0.25">
      <c r="A371" s="86">
        <v>366</v>
      </c>
      <c r="B371" s="59" t="s">
        <v>7159</v>
      </c>
      <c r="C371" s="70">
        <v>44728</v>
      </c>
      <c r="D371" s="70">
        <v>44735</v>
      </c>
      <c r="E371" s="86">
        <v>28</v>
      </c>
      <c r="F371" s="87" t="s">
        <v>22</v>
      </c>
      <c r="G371" s="59" t="s">
        <v>1101</v>
      </c>
      <c r="H371" s="55" t="s">
        <v>7076</v>
      </c>
      <c r="I371" s="59" t="s">
        <v>1101</v>
      </c>
      <c r="J371" s="70">
        <v>44746</v>
      </c>
      <c r="K371" s="70">
        <v>44746</v>
      </c>
      <c r="L371" s="88">
        <f t="shared" si="12"/>
        <v>7</v>
      </c>
      <c r="M371" s="59" t="s">
        <v>7160</v>
      </c>
      <c r="N371" s="59" t="s">
        <v>1104</v>
      </c>
      <c r="O371" s="59" t="s">
        <v>1026</v>
      </c>
      <c r="P371" s="59" t="s">
        <v>7078</v>
      </c>
      <c r="Q371" s="59" t="str">
        <f t="shared" si="11"/>
        <v>DENTRO DEL TIEMPO</v>
      </c>
      <c r="R371" s="28"/>
    </row>
    <row r="372" spans="1:18" ht="58.5" x14ac:dyDescent="0.25">
      <c r="A372" s="86">
        <v>367</v>
      </c>
      <c r="B372" s="59" t="s">
        <v>7159</v>
      </c>
      <c r="C372" s="70">
        <v>44728</v>
      </c>
      <c r="D372" s="70">
        <v>44741</v>
      </c>
      <c r="E372" s="86">
        <v>28</v>
      </c>
      <c r="F372" s="87" t="s">
        <v>22</v>
      </c>
      <c r="G372" s="59" t="s">
        <v>1101</v>
      </c>
      <c r="H372" s="55" t="s">
        <v>7076</v>
      </c>
      <c r="I372" s="59" t="s">
        <v>1101</v>
      </c>
      <c r="J372" s="70">
        <v>44746</v>
      </c>
      <c r="K372" s="70">
        <v>44746</v>
      </c>
      <c r="L372" s="88">
        <f t="shared" si="12"/>
        <v>3</v>
      </c>
      <c r="M372" s="59" t="s">
        <v>7160</v>
      </c>
      <c r="N372" s="59" t="s">
        <v>1104</v>
      </c>
      <c r="O372" s="59" t="s">
        <v>1026</v>
      </c>
      <c r="P372" s="59" t="s">
        <v>7078</v>
      </c>
      <c r="Q372" s="59" t="str">
        <f t="shared" si="11"/>
        <v>DENTRO DEL TIEMPO</v>
      </c>
      <c r="R372" s="28"/>
    </row>
    <row r="373" spans="1:18" ht="58.5" x14ac:dyDescent="0.25">
      <c r="A373" s="86">
        <v>368</v>
      </c>
      <c r="B373" s="59" t="s">
        <v>7161</v>
      </c>
      <c r="C373" s="70">
        <v>44729</v>
      </c>
      <c r="D373" s="70">
        <v>44729</v>
      </c>
      <c r="E373" s="86">
        <v>1</v>
      </c>
      <c r="F373" s="87" t="s">
        <v>22</v>
      </c>
      <c r="G373" s="59" t="s">
        <v>1101</v>
      </c>
      <c r="H373" s="55" t="s">
        <v>7076</v>
      </c>
      <c r="I373" s="59" t="s">
        <v>1101</v>
      </c>
      <c r="J373" s="70">
        <v>44735</v>
      </c>
      <c r="K373" s="70">
        <v>44735</v>
      </c>
      <c r="L373" s="88">
        <f t="shared" si="12"/>
        <v>4</v>
      </c>
      <c r="M373" s="59" t="s">
        <v>7162</v>
      </c>
      <c r="N373" s="59" t="s">
        <v>1104</v>
      </c>
      <c r="O373" s="59" t="s">
        <v>1026</v>
      </c>
      <c r="P373" s="59" t="s">
        <v>7078</v>
      </c>
      <c r="Q373" s="59" t="str">
        <f t="shared" si="11"/>
        <v>DENTRO DEL TIEMPO</v>
      </c>
      <c r="R373" s="28"/>
    </row>
    <row r="374" spans="1:18" ht="58.5" x14ac:dyDescent="0.25">
      <c r="A374" s="86">
        <v>369</v>
      </c>
      <c r="B374" s="59" t="s">
        <v>7163</v>
      </c>
      <c r="C374" s="70">
        <v>44729</v>
      </c>
      <c r="D374" s="70">
        <v>44741</v>
      </c>
      <c r="E374" s="86">
        <v>0</v>
      </c>
      <c r="F374" s="87" t="s">
        <v>22</v>
      </c>
      <c r="G374" s="59" t="s">
        <v>1109</v>
      </c>
      <c r="H374" s="55" t="s">
        <v>7076</v>
      </c>
      <c r="I374" s="59" t="s">
        <v>1109</v>
      </c>
      <c r="J374" s="70">
        <v>44754</v>
      </c>
      <c r="K374" s="70">
        <v>44754</v>
      </c>
      <c r="L374" s="88">
        <f t="shared" si="12"/>
        <v>9</v>
      </c>
      <c r="M374" s="59" t="s">
        <v>7164</v>
      </c>
      <c r="N374" s="59" t="s">
        <v>1104</v>
      </c>
      <c r="O374" s="59" t="s">
        <v>1026</v>
      </c>
      <c r="P374" s="59" t="s">
        <v>7078</v>
      </c>
      <c r="Q374" s="59" t="str">
        <f t="shared" si="11"/>
        <v>DENTRO DEL TIEMPO</v>
      </c>
      <c r="R374" s="28"/>
    </row>
    <row r="375" spans="1:18" ht="58.5" x14ac:dyDescent="0.25">
      <c r="A375" s="86">
        <v>370</v>
      </c>
      <c r="B375" s="59" t="s">
        <v>7165</v>
      </c>
      <c r="C375" s="70">
        <v>44729</v>
      </c>
      <c r="D375" s="70">
        <v>44741</v>
      </c>
      <c r="E375" s="86">
        <v>0</v>
      </c>
      <c r="F375" s="87" t="s">
        <v>22</v>
      </c>
      <c r="G375" s="59" t="s">
        <v>1109</v>
      </c>
      <c r="H375" s="55" t="s">
        <v>7076</v>
      </c>
      <c r="I375" s="59" t="s">
        <v>1109</v>
      </c>
      <c r="J375" s="70">
        <v>44754</v>
      </c>
      <c r="K375" s="70">
        <v>44754</v>
      </c>
      <c r="L375" s="88">
        <f t="shared" si="12"/>
        <v>9</v>
      </c>
      <c r="M375" s="59" t="s">
        <v>7166</v>
      </c>
      <c r="N375" s="59" t="s">
        <v>1104</v>
      </c>
      <c r="O375" s="59" t="s">
        <v>1026</v>
      </c>
      <c r="P375" s="59" t="s">
        <v>7078</v>
      </c>
      <c r="Q375" s="59" t="str">
        <f t="shared" si="11"/>
        <v>DENTRO DEL TIEMPO</v>
      </c>
      <c r="R375" s="28"/>
    </row>
    <row r="376" spans="1:18" ht="58.5" x14ac:dyDescent="0.25">
      <c r="A376" s="86">
        <v>371</v>
      </c>
      <c r="B376" s="59" t="s">
        <v>7167</v>
      </c>
      <c r="C376" s="70">
        <v>44729</v>
      </c>
      <c r="D376" s="70">
        <v>44741</v>
      </c>
      <c r="E376" s="86">
        <v>0</v>
      </c>
      <c r="F376" s="87" t="s">
        <v>22</v>
      </c>
      <c r="G376" s="59" t="s">
        <v>1109</v>
      </c>
      <c r="H376" s="55" t="s">
        <v>7076</v>
      </c>
      <c r="I376" s="59" t="s">
        <v>1109</v>
      </c>
      <c r="J376" s="70">
        <v>44754</v>
      </c>
      <c r="K376" s="70">
        <v>44754</v>
      </c>
      <c r="L376" s="88">
        <f t="shared" si="12"/>
        <v>9</v>
      </c>
      <c r="M376" s="59" t="s">
        <v>7168</v>
      </c>
      <c r="N376" s="59" t="s">
        <v>1104</v>
      </c>
      <c r="O376" s="59" t="s">
        <v>1026</v>
      </c>
      <c r="P376" s="59" t="s">
        <v>7078</v>
      </c>
      <c r="Q376" s="59" t="str">
        <f t="shared" si="11"/>
        <v>DENTRO DEL TIEMPO</v>
      </c>
      <c r="R376" s="28"/>
    </row>
    <row r="377" spans="1:18" ht="58.5" x14ac:dyDescent="0.25">
      <c r="A377" s="86">
        <v>372</v>
      </c>
      <c r="B377" s="59" t="s">
        <v>7169</v>
      </c>
      <c r="C377" s="70">
        <v>44732</v>
      </c>
      <c r="D377" s="70">
        <v>44732</v>
      </c>
      <c r="E377" s="86">
        <v>1</v>
      </c>
      <c r="F377" s="87" t="s">
        <v>22</v>
      </c>
      <c r="G377" s="59" t="s">
        <v>1101</v>
      </c>
      <c r="H377" s="55" t="s">
        <v>7076</v>
      </c>
      <c r="I377" s="59" t="s">
        <v>1101</v>
      </c>
      <c r="J377" s="70">
        <v>44735</v>
      </c>
      <c r="K377" s="70">
        <v>44735</v>
      </c>
      <c r="L377" s="88">
        <f t="shared" si="12"/>
        <v>3</v>
      </c>
      <c r="M377" s="59" t="s">
        <v>7170</v>
      </c>
      <c r="N377" s="59" t="s">
        <v>1104</v>
      </c>
      <c r="O377" s="59" t="s">
        <v>1026</v>
      </c>
      <c r="P377" s="59" t="s">
        <v>7078</v>
      </c>
      <c r="Q377" s="59" t="str">
        <f t="shared" si="11"/>
        <v>DENTRO DEL TIEMPO</v>
      </c>
      <c r="R377" s="28"/>
    </row>
    <row r="378" spans="1:18" ht="58.5" x14ac:dyDescent="0.25">
      <c r="A378" s="86">
        <v>373</v>
      </c>
      <c r="B378" s="59" t="s">
        <v>7171</v>
      </c>
      <c r="C378" s="70">
        <v>44732</v>
      </c>
      <c r="D378" s="70">
        <v>44732</v>
      </c>
      <c r="E378" s="86">
        <v>1</v>
      </c>
      <c r="F378" s="87" t="s">
        <v>22</v>
      </c>
      <c r="G378" s="59" t="s">
        <v>1101</v>
      </c>
      <c r="H378" s="55" t="s">
        <v>7076</v>
      </c>
      <c r="I378" s="59" t="s">
        <v>1101</v>
      </c>
      <c r="J378" s="70">
        <v>44735</v>
      </c>
      <c r="K378" s="70">
        <v>44735</v>
      </c>
      <c r="L378" s="88">
        <f t="shared" si="12"/>
        <v>3</v>
      </c>
      <c r="M378" s="59" t="s">
        <v>7172</v>
      </c>
      <c r="N378" s="59" t="s">
        <v>1104</v>
      </c>
      <c r="O378" s="59" t="s">
        <v>1026</v>
      </c>
      <c r="P378" s="59" t="s">
        <v>7078</v>
      </c>
      <c r="Q378" s="59" t="str">
        <f t="shared" si="11"/>
        <v>DENTRO DEL TIEMPO</v>
      </c>
      <c r="R378" s="28"/>
    </row>
    <row r="379" spans="1:18" ht="58.5" x14ac:dyDescent="0.25">
      <c r="A379" s="86">
        <v>374</v>
      </c>
      <c r="B379" s="59" t="s">
        <v>7173</v>
      </c>
      <c r="C379" s="70">
        <v>44732</v>
      </c>
      <c r="D379" s="70">
        <v>44732</v>
      </c>
      <c r="E379" s="86">
        <v>1</v>
      </c>
      <c r="F379" s="87" t="s">
        <v>22</v>
      </c>
      <c r="G379" s="59" t="s">
        <v>1101</v>
      </c>
      <c r="H379" s="55" t="s">
        <v>7076</v>
      </c>
      <c r="I379" s="59" t="s">
        <v>1101</v>
      </c>
      <c r="J379" s="70">
        <v>44735</v>
      </c>
      <c r="K379" s="70">
        <v>44735</v>
      </c>
      <c r="L379" s="88">
        <f t="shared" si="12"/>
        <v>3</v>
      </c>
      <c r="M379" s="59" t="s">
        <v>7174</v>
      </c>
      <c r="N379" s="59" t="s">
        <v>1104</v>
      </c>
      <c r="O379" s="59" t="s">
        <v>1026</v>
      </c>
      <c r="P379" s="59" t="s">
        <v>7078</v>
      </c>
      <c r="Q379" s="59" t="str">
        <f t="shared" si="11"/>
        <v>DENTRO DEL TIEMPO</v>
      </c>
      <c r="R379" s="28"/>
    </row>
    <row r="380" spans="1:18" ht="58.5" x14ac:dyDescent="0.25">
      <c r="A380" s="86">
        <v>375</v>
      </c>
      <c r="B380" s="59" t="s">
        <v>7175</v>
      </c>
      <c r="C380" s="70">
        <v>44733</v>
      </c>
      <c r="D380" s="70">
        <v>44733</v>
      </c>
      <c r="E380" s="86">
        <v>1</v>
      </c>
      <c r="F380" s="87" t="s">
        <v>22</v>
      </c>
      <c r="G380" s="59" t="s">
        <v>1101</v>
      </c>
      <c r="H380" s="55" t="s">
        <v>7076</v>
      </c>
      <c r="I380" s="59" t="s">
        <v>1101</v>
      </c>
      <c r="J380" s="70">
        <v>44735</v>
      </c>
      <c r="K380" s="70">
        <v>44735</v>
      </c>
      <c r="L380" s="88">
        <f t="shared" si="12"/>
        <v>2</v>
      </c>
      <c r="M380" s="59" t="s">
        <v>7176</v>
      </c>
      <c r="N380" s="59" t="s">
        <v>1104</v>
      </c>
      <c r="O380" s="59" t="s">
        <v>1026</v>
      </c>
      <c r="P380" s="59" t="s">
        <v>7078</v>
      </c>
      <c r="Q380" s="59" t="str">
        <f t="shared" si="11"/>
        <v>DENTRO DEL TIEMPO</v>
      </c>
      <c r="R380" s="28"/>
    </row>
    <row r="381" spans="1:18" ht="58.5" x14ac:dyDescent="0.25">
      <c r="A381" s="86">
        <v>376</v>
      </c>
      <c r="B381" s="59" t="s">
        <v>7177</v>
      </c>
      <c r="C381" s="70">
        <v>44734</v>
      </c>
      <c r="D381" s="70">
        <v>44734</v>
      </c>
      <c r="E381" s="86">
        <v>1</v>
      </c>
      <c r="F381" s="87" t="s">
        <v>22</v>
      </c>
      <c r="G381" s="59" t="s">
        <v>1101</v>
      </c>
      <c r="H381" s="55" t="s">
        <v>7076</v>
      </c>
      <c r="I381" s="59" t="s">
        <v>1101</v>
      </c>
      <c r="J381" s="70">
        <v>44735</v>
      </c>
      <c r="K381" s="70">
        <v>44735</v>
      </c>
      <c r="L381" s="88">
        <f t="shared" si="12"/>
        <v>1</v>
      </c>
      <c r="M381" s="59" t="s">
        <v>7178</v>
      </c>
      <c r="N381" s="59" t="s">
        <v>1104</v>
      </c>
      <c r="O381" s="59" t="s">
        <v>1026</v>
      </c>
      <c r="P381" s="59" t="s">
        <v>7078</v>
      </c>
      <c r="Q381" s="59" t="str">
        <f t="shared" si="11"/>
        <v>DENTRO DEL TIEMPO</v>
      </c>
      <c r="R381" s="28"/>
    </row>
    <row r="382" spans="1:18" ht="58.5" x14ac:dyDescent="0.25">
      <c r="A382" s="86">
        <v>377</v>
      </c>
      <c r="B382" s="59" t="s">
        <v>7179</v>
      </c>
      <c r="C382" s="70">
        <v>44735</v>
      </c>
      <c r="D382" s="70">
        <v>44735</v>
      </c>
      <c r="E382" s="86">
        <v>1</v>
      </c>
      <c r="F382" s="87" t="s">
        <v>22</v>
      </c>
      <c r="G382" s="59" t="s">
        <v>1101</v>
      </c>
      <c r="H382" s="55" t="s">
        <v>7076</v>
      </c>
      <c r="I382" s="59" t="s">
        <v>1101</v>
      </c>
      <c r="J382" s="70">
        <v>44741</v>
      </c>
      <c r="K382" s="70">
        <v>44741</v>
      </c>
      <c r="L382" s="88">
        <f t="shared" si="12"/>
        <v>4</v>
      </c>
      <c r="M382" s="59" t="s">
        <v>7180</v>
      </c>
      <c r="N382" s="59" t="s">
        <v>1104</v>
      </c>
      <c r="O382" s="59" t="s">
        <v>1026</v>
      </c>
      <c r="P382" s="59" t="s">
        <v>7078</v>
      </c>
      <c r="Q382" s="59" t="str">
        <f t="shared" si="11"/>
        <v>DENTRO DEL TIEMPO</v>
      </c>
      <c r="R382" s="28"/>
    </row>
    <row r="383" spans="1:18" ht="58.5" x14ac:dyDescent="0.25">
      <c r="A383" s="86">
        <v>378</v>
      </c>
      <c r="B383" s="59" t="s">
        <v>7181</v>
      </c>
      <c r="C383" s="70">
        <v>44739</v>
      </c>
      <c r="D383" s="70">
        <v>44739</v>
      </c>
      <c r="E383" s="86">
        <f>4+4</f>
        <v>8</v>
      </c>
      <c r="F383" s="87" t="s">
        <v>22</v>
      </c>
      <c r="G383" s="59" t="s">
        <v>1101</v>
      </c>
      <c r="H383" s="55" t="s">
        <v>7076</v>
      </c>
      <c r="I383" s="59" t="s">
        <v>1101</v>
      </c>
      <c r="J383" s="70">
        <v>44741</v>
      </c>
      <c r="K383" s="70">
        <v>44741</v>
      </c>
      <c r="L383" s="88">
        <f t="shared" si="12"/>
        <v>2</v>
      </c>
      <c r="M383" s="59" t="s">
        <v>7182</v>
      </c>
      <c r="N383" s="59" t="s">
        <v>1104</v>
      </c>
      <c r="O383" s="59" t="s">
        <v>1026</v>
      </c>
      <c r="P383" s="59" t="s">
        <v>7078</v>
      </c>
      <c r="Q383" s="59" t="str">
        <f t="shared" si="11"/>
        <v>DENTRO DEL TIEMPO</v>
      </c>
      <c r="R383" s="28"/>
    </row>
    <row r="384" spans="1:18" ht="58.5" x14ac:dyDescent="0.25">
      <c r="A384" s="86">
        <v>379</v>
      </c>
      <c r="B384" s="59" t="s">
        <v>7183</v>
      </c>
      <c r="C384" s="70">
        <v>44739</v>
      </c>
      <c r="D384" s="70">
        <v>44739</v>
      </c>
      <c r="E384" s="86">
        <v>5</v>
      </c>
      <c r="F384" s="87" t="s">
        <v>22</v>
      </c>
      <c r="G384" s="59" t="s">
        <v>1101</v>
      </c>
      <c r="H384" s="55" t="s">
        <v>7076</v>
      </c>
      <c r="I384" s="59" t="s">
        <v>1101</v>
      </c>
      <c r="J384" s="70">
        <v>44741</v>
      </c>
      <c r="K384" s="70">
        <v>44741</v>
      </c>
      <c r="L384" s="88">
        <f t="shared" si="12"/>
        <v>2</v>
      </c>
      <c r="M384" s="59" t="s">
        <v>7184</v>
      </c>
      <c r="N384" s="59" t="s">
        <v>1104</v>
      </c>
      <c r="O384" s="59" t="s">
        <v>1026</v>
      </c>
      <c r="P384" s="59" t="s">
        <v>7078</v>
      </c>
      <c r="Q384" s="59" t="str">
        <f t="shared" si="11"/>
        <v>DENTRO DEL TIEMPO</v>
      </c>
      <c r="R384" s="28"/>
    </row>
    <row r="385" spans="1:18" ht="58.5" x14ac:dyDescent="0.25">
      <c r="A385" s="86">
        <v>380</v>
      </c>
      <c r="B385" s="59" t="s">
        <v>7185</v>
      </c>
      <c r="C385" s="70">
        <v>44739</v>
      </c>
      <c r="D385" s="70">
        <v>44739</v>
      </c>
      <c r="E385" s="86">
        <v>1</v>
      </c>
      <c r="F385" s="87" t="s">
        <v>22</v>
      </c>
      <c r="G385" s="59" t="s">
        <v>1101</v>
      </c>
      <c r="H385" s="55" t="s">
        <v>7076</v>
      </c>
      <c r="I385" s="59" t="s">
        <v>1101</v>
      </c>
      <c r="J385" s="70">
        <v>44741</v>
      </c>
      <c r="K385" s="70">
        <v>44741</v>
      </c>
      <c r="L385" s="88">
        <f t="shared" si="12"/>
        <v>2</v>
      </c>
      <c r="M385" s="59" t="s">
        <v>7186</v>
      </c>
      <c r="N385" s="59" t="s">
        <v>1104</v>
      </c>
      <c r="O385" s="59" t="s">
        <v>1026</v>
      </c>
      <c r="P385" s="59" t="s">
        <v>7078</v>
      </c>
      <c r="Q385" s="59" t="str">
        <f t="shared" si="11"/>
        <v>DENTRO DEL TIEMPO</v>
      </c>
      <c r="R385" s="28"/>
    </row>
    <row r="386" spans="1:18" ht="58.5" x14ac:dyDescent="0.25">
      <c r="A386" s="86">
        <v>381</v>
      </c>
      <c r="B386" s="59" t="s">
        <v>7187</v>
      </c>
      <c r="C386" s="70">
        <v>44739</v>
      </c>
      <c r="D386" s="70">
        <v>44741</v>
      </c>
      <c r="E386" s="86">
        <v>286</v>
      </c>
      <c r="F386" s="87" t="s">
        <v>22</v>
      </c>
      <c r="G386" s="59" t="s">
        <v>1101</v>
      </c>
      <c r="H386" s="55" t="s">
        <v>7076</v>
      </c>
      <c r="I386" s="59" t="s">
        <v>1101</v>
      </c>
      <c r="J386" s="70">
        <v>44747</v>
      </c>
      <c r="K386" s="70">
        <v>44747</v>
      </c>
      <c r="L386" s="88">
        <f t="shared" si="12"/>
        <v>4</v>
      </c>
      <c r="M386" s="59" t="s">
        <v>7188</v>
      </c>
      <c r="N386" s="59" t="s">
        <v>1104</v>
      </c>
      <c r="O386" s="59" t="s">
        <v>1026</v>
      </c>
      <c r="P386" s="59" t="s">
        <v>7078</v>
      </c>
      <c r="Q386" s="59" t="str">
        <f t="shared" si="11"/>
        <v>DENTRO DEL TIEMPO</v>
      </c>
      <c r="R386" s="28"/>
    </row>
    <row r="387" spans="1:18" ht="58.5" x14ac:dyDescent="0.25">
      <c r="A387" s="86">
        <v>382</v>
      </c>
      <c r="B387" s="59" t="s">
        <v>7189</v>
      </c>
      <c r="C387" s="70">
        <v>44740</v>
      </c>
      <c r="D387" s="70">
        <v>44740</v>
      </c>
      <c r="E387" s="86">
        <v>1</v>
      </c>
      <c r="F387" s="87" t="s">
        <v>22</v>
      </c>
      <c r="G387" s="59" t="s">
        <v>1101</v>
      </c>
      <c r="H387" s="55" t="s">
        <v>7076</v>
      </c>
      <c r="I387" s="59" t="s">
        <v>1101</v>
      </c>
      <c r="J387" s="70">
        <v>44741</v>
      </c>
      <c r="K387" s="70">
        <v>44741</v>
      </c>
      <c r="L387" s="88">
        <f t="shared" si="12"/>
        <v>1</v>
      </c>
      <c r="M387" s="59" t="s">
        <v>7190</v>
      </c>
      <c r="N387" s="59" t="s">
        <v>1104</v>
      </c>
      <c r="O387" s="59" t="s">
        <v>1026</v>
      </c>
      <c r="P387" s="59" t="s">
        <v>7078</v>
      </c>
      <c r="Q387" s="59" t="str">
        <f t="shared" si="11"/>
        <v>DENTRO DEL TIEMPO</v>
      </c>
      <c r="R387" s="28"/>
    </row>
    <row r="388" spans="1:18" ht="58.5" x14ac:dyDescent="0.25">
      <c r="A388" s="86">
        <v>383</v>
      </c>
      <c r="B388" s="59" t="s">
        <v>7191</v>
      </c>
      <c r="C388" s="70">
        <v>44740</v>
      </c>
      <c r="D388" s="70">
        <v>44740</v>
      </c>
      <c r="E388" s="86">
        <v>4</v>
      </c>
      <c r="F388" s="87" t="s">
        <v>22</v>
      </c>
      <c r="G388" s="59" t="s">
        <v>1101</v>
      </c>
      <c r="H388" s="55" t="s">
        <v>7076</v>
      </c>
      <c r="I388" s="59" t="s">
        <v>1101</v>
      </c>
      <c r="J388" s="70">
        <v>44742</v>
      </c>
      <c r="K388" s="70">
        <v>44742</v>
      </c>
      <c r="L388" s="88">
        <f t="shared" si="12"/>
        <v>2</v>
      </c>
      <c r="M388" s="59" t="s">
        <v>7192</v>
      </c>
      <c r="N388" s="59" t="s">
        <v>1104</v>
      </c>
      <c r="O388" s="59" t="s">
        <v>1026</v>
      </c>
      <c r="P388" s="59" t="s">
        <v>7078</v>
      </c>
      <c r="Q388" s="59" t="str">
        <f t="shared" si="11"/>
        <v>DENTRO DEL TIEMPO</v>
      </c>
      <c r="R388" s="28"/>
    </row>
    <row r="389" spans="1:18" ht="58.5" x14ac:dyDescent="0.25">
      <c r="A389" s="86">
        <v>384</v>
      </c>
      <c r="B389" s="59" t="s">
        <v>7193</v>
      </c>
      <c r="C389" s="70">
        <v>44740</v>
      </c>
      <c r="D389" s="70">
        <v>44740</v>
      </c>
      <c r="E389" s="86">
        <v>4</v>
      </c>
      <c r="F389" s="87" t="s">
        <v>22</v>
      </c>
      <c r="G389" s="59" t="s">
        <v>1101</v>
      </c>
      <c r="H389" s="55" t="s">
        <v>7076</v>
      </c>
      <c r="I389" s="59" t="s">
        <v>1101</v>
      </c>
      <c r="J389" s="70">
        <v>44742</v>
      </c>
      <c r="K389" s="70">
        <v>44742</v>
      </c>
      <c r="L389" s="88">
        <f t="shared" si="12"/>
        <v>2</v>
      </c>
      <c r="M389" s="59" t="s">
        <v>7194</v>
      </c>
      <c r="N389" s="59" t="s">
        <v>1104</v>
      </c>
      <c r="O389" s="59" t="s">
        <v>1026</v>
      </c>
      <c r="P389" s="59" t="s">
        <v>7078</v>
      </c>
      <c r="Q389" s="59" t="str">
        <f t="shared" si="11"/>
        <v>DENTRO DEL TIEMPO</v>
      </c>
      <c r="R389" s="28"/>
    </row>
    <row r="390" spans="1:18" ht="58.5" x14ac:dyDescent="0.25">
      <c r="A390" s="86">
        <v>385</v>
      </c>
      <c r="B390" s="59" t="s">
        <v>7195</v>
      </c>
      <c r="C390" s="70">
        <v>44740</v>
      </c>
      <c r="D390" s="70">
        <v>44740</v>
      </c>
      <c r="E390" s="86">
        <v>4</v>
      </c>
      <c r="F390" s="87" t="s">
        <v>22</v>
      </c>
      <c r="G390" s="59" t="s">
        <v>1101</v>
      </c>
      <c r="H390" s="55" t="s">
        <v>7076</v>
      </c>
      <c r="I390" s="59" t="s">
        <v>1101</v>
      </c>
      <c r="J390" s="70">
        <v>44742</v>
      </c>
      <c r="K390" s="70">
        <v>44742</v>
      </c>
      <c r="L390" s="88">
        <f t="shared" si="12"/>
        <v>2</v>
      </c>
      <c r="M390" s="59" t="s">
        <v>7196</v>
      </c>
      <c r="N390" s="59" t="s">
        <v>1104</v>
      </c>
      <c r="O390" s="59" t="s">
        <v>1026</v>
      </c>
      <c r="P390" s="59" t="s">
        <v>7078</v>
      </c>
      <c r="Q390" s="59" t="str">
        <f t="shared" si="11"/>
        <v>DENTRO DEL TIEMPO</v>
      </c>
      <c r="R390" s="28"/>
    </row>
    <row r="391" spans="1:18" ht="58.5" x14ac:dyDescent="0.25">
      <c r="A391" s="86">
        <v>386</v>
      </c>
      <c r="B391" s="59" t="s">
        <v>7197</v>
      </c>
      <c r="C391" s="70">
        <v>44740</v>
      </c>
      <c r="D391" s="70">
        <v>44740</v>
      </c>
      <c r="E391" s="86">
        <v>1</v>
      </c>
      <c r="F391" s="87" t="s">
        <v>22</v>
      </c>
      <c r="G391" s="59" t="s">
        <v>1101</v>
      </c>
      <c r="H391" s="55" t="s">
        <v>7076</v>
      </c>
      <c r="I391" s="59" t="s">
        <v>1101</v>
      </c>
      <c r="J391" s="70">
        <v>44746</v>
      </c>
      <c r="K391" s="70">
        <v>44746</v>
      </c>
      <c r="L391" s="88">
        <f t="shared" si="12"/>
        <v>4</v>
      </c>
      <c r="M391" s="59" t="s">
        <v>7198</v>
      </c>
      <c r="N391" s="59" t="s">
        <v>1104</v>
      </c>
      <c r="O391" s="59" t="s">
        <v>1026</v>
      </c>
      <c r="P391" s="59" t="s">
        <v>7078</v>
      </c>
      <c r="Q391" s="59" t="str">
        <f t="shared" ref="Q391:Q429" si="13">IF(L391&gt;15,"FUERA DE TIEMPO","DENTRO DEL TIEMPO")</f>
        <v>DENTRO DEL TIEMPO</v>
      </c>
      <c r="R391" s="28"/>
    </row>
    <row r="392" spans="1:18" ht="58.5" x14ac:dyDescent="0.25">
      <c r="A392" s="86">
        <v>387</v>
      </c>
      <c r="B392" s="59" t="s">
        <v>7199</v>
      </c>
      <c r="C392" s="70">
        <v>44729</v>
      </c>
      <c r="D392" s="70">
        <v>44740</v>
      </c>
      <c r="E392" s="86">
        <v>9</v>
      </c>
      <c r="F392" s="87" t="s">
        <v>22</v>
      </c>
      <c r="G392" s="59" t="s">
        <v>1238</v>
      </c>
      <c r="H392" s="55" t="s">
        <v>7200</v>
      </c>
      <c r="I392" s="59" t="s">
        <v>1240</v>
      </c>
      <c r="J392" s="70">
        <v>44740</v>
      </c>
      <c r="K392" s="70">
        <v>44740</v>
      </c>
      <c r="L392" s="88">
        <f>+NETWORKDAYS(D392,K392)-1</f>
        <v>0</v>
      </c>
      <c r="M392" s="59" t="s">
        <v>7201</v>
      </c>
      <c r="N392" s="59" t="s">
        <v>1242</v>
      </c>
      <c r="O392" s="59" t="s">
        <v>1026</v>
      </c>
      <c r="P392" s="59" t="s">
        <v>7078</v>
      </c>
      <c r="Q392" s="59" t="str">
        <f t="shared" si="13"/>
        <v>DENTRO DEL TIEMPO</v>
      </c>
      <c r="R392" s="28"/>
    </row>
    <row r="393" spans="1:18" ht="58.5" x14ac:dyDescent="0.25">
      <c r="A393" s="86">
        <v>388</v>
      </c>
      <c r="B393" s="59" t="s">
        <v>7202</v>
      </c>
      <c r="C393" s="70">
        <v>44732</v>
      </c>
      <c r="D393" s="70">
        <v>44734</v>
      </c>
      <c r="E393" s="86">
        <v>9</v>
      </c>
      <c r="F393" s="87" t="s">
        <v>22</v>
      </c>
      <c r="G393" s="59" t="s">
        <v>1246</v>
      </c>
      <c r="H393" s="55" t="s">
        <v>7200</v>
      </c>
      <c r="I393" s="59" t="s">
        <v>1240</v>
      </c>
      <c r="J393" s="70">
        <v>44742</v>
      </c>
      <c r="K393" s="70">
        <v>44742</v>
      </c>
      <c r="L393" s="88">
        <f>+NETWORKDAYS(D393,K393)-1</f>
        <v>6</v>
      </c>
      <c r="M393" s="59" t="s">
        <v>1250</v>
      </c>
      <c r="N393" s="59" t="s">
        <v>1242</v>
      </c>
      <c r="O393" s="59" t="s">
        <v>1026</v>
      </c>
      <c r="P393" s="59" t="s">
        <v>7078</v>
      </c>
      <c r="Q393" s="59" t="str">
        <f t="shared" si="13"/>
        <v>DENTRO DEL TIEMPO</v>
      </c>
      <c r="R393" s="28"/>
    </row>
    <row r="394" spans="1:18" ht="58.5" x14ac:dyDescent="0.25">
      <c r="A394" s="86">
        <v>389</v>
      </c>
      <c r="B394" s="59" t="s">
        <v>7203</v>
      </c>
      <c r="C394" s="70" t="s">
        <v>7204</v>
      </c>
      <c r="D394" s="70">
        <v>44734</v>
      </c>
      <c r="E394" s="86">
        <v>47</v>
      </c>
      <c r="F394" s="87" t="s">
        <v>22</v>
      </c>
      <c r="G394" s="59" t="s">
        <v>1246</v>
      </c>
      <c r="H394" s="55" t="s">
        <v>7200</v>
      </c>
      <c r="I394" s="59" t="s">
        <v>1240</v>
      </c>
      <c r="J394" s="70">
        <v>44742</v>
      </c>
      <c r="K394" s="70">
        <v>44742</v>
      </c>
      <c r="L394" s="88">
        <f>+NETWORKDAYS(D394,K394)-1</f>
        <v>6</v>
      </c>
      <c r="M394" s="59" t="s">
        <v>7205</v>
      </c>
      <c r="N394" s="59" t="s">
        <v>1242</v>
      </c>
      <c r="O394" s="59" t="s">
        <v>1026</v>
      </c>
      <c r="P394" s="59" t="s">
        <v>7078</v>
      </c>
      <c r="Q394" s="59" t="str">
        <f t="shared" si="13"/>
        <v>DENTRO DEL TIEMPO</v>
      </c>
      <c r="R394" s="28"/>
    </row>
    <row r="395" spans="1:18" ht="58.5" x14ac:dyDescent="0.25">
      <c r="A395" s="86">
        <v>390</v>
      </c>
      <c r="B395" s="59" t="s">
        <v>7206</v>
      </c>
      <c r="C395" s="70">
        <v>44732</v>
      </c>
      <c r="D395" s="70">
        <v>44734</v>
      </c>
      <c r="E395" s="86">
        <v>45</v>
      </c>
      <c r="F395" s="87" t="s">
        <v>22</v>
      </c>
      <c r="G395" s="59" t="s">
        <v>1246</v>
      </c>
      <c r="H395" s="55" t="s">
        <v>7200</v>
      </c>
      <c r="I395" s="59" t="s">
        <v>1240</v>
      </c>
      <c r="J395" s="70">
        <v>44742</v>
      </c>
      <c r="K395" s="70">
        <v>44742</v>
      </c>
      <c r="L395" s="88">
        <f>+NETWORKDAYS(D395,K395)-1</f>
        <v>6</v>
      </c>
      <c r="M395" s="59" t="s">
        <v>7207</v>
      </c>
      <c r="N395" s="59" t="s">
        <v>1242</v>
      </c>
      <c r="O395" s="59" t="s">
        <v>1026</v>
      </c>
      <c r="P395" s="59" t="s">
        <v>7078</v>
      </c>
      <c r="Q395" s="59" t="str">
        <f t="shared" si="13"/>
        <v>DENTRO DEL TIEMPO</v>
      </c>
      <c r="R395" s="28"/>
    </row>
    <row r="396" spans="1:18" ht="58.5" x14ac:dyDescent="0.25">
      <c r="A396" s="86">
        <v>391</v>
      </c>
      <c r="B396" s="59" t="s">
        <v>7208</v>
      </c>
      <c r="C396" s="70">
        <v>44732</v>
      </c>
      <c r="D396" s="70">
        <v>44734</v>
      </c>
      <c r="E396" s="86">
        <v>42</v>
      </c>
      <c r="F396" s="87" t="s">
        <v>22</v>
      </c>
      <c r="G396" s="59" t="s">
        <v>1246</v>
      </c>
      <c r="H396" s="55" t="s">
        <v>7200</v>
      </c>
      <c r="I396" s="59" t="s">
        <v>1240</v>
      </c>
      <c r="J396" s="70">
        <v>44742</v>
      </c>
      <c r="K396" s="70">
        <v>44742</v>
      </c>
      <c r="L396" s="88">
        <f>+NETWORKDAYS(D396,K396)-1</f>
        <v>6</v>
      </c>
      <c r="M396" s="59" t="s">
        <v>7209</v>
      </c>
      <c r="N396" s="59" t="s">
        <v>1242</v>
      </c>
      <c r="O396" s="59" t="s">
        <v>1026</v>
      </c>
      <c r="P396" s="59" t="s">
        <v>7078</v>
      </c>
      <c r="Q396" s="59" t="str">
        <f t="shared" si="13"/>
        <v>DENTRO DEL TIEMPO</v>
      </c>
      <c r="R396" s="28"/>
    </row>
    <row r="397" spans="1:18" ht="58.5" x14ac:dyDescent="0.25">
      <c r="A397" s="86">
        <v>392</v>
      </c>
      <c r="B397" s="59" t="s">
        <v>7210</v>
      </c>
      <c r="C397" s="70">
        <v>44732</v>
      </c>
      <c r="D397" s="70">
        <v>44734</v>
      </c>
      <c r="E397" s="86">
        <v>56</v>
      </c>
      <c r="F397" s="87" t="s">
        <v>22</v>
      </c>
      <c r="G397" s="59" t="s">
        <v>1246</v>
      </c>
      <c r="H397" s="55" t="s">
        <v>7200</v>
      </c>
      <c r="I397" s="59" t="s">
        <v>1240</v>
      </c>
      <c r="J397" s="70">
        <v>44742</v>
      </c>
      <c r="K397" s="70">
        <v>44742</v>
      </c>
      <c r="L397" s="88">
        <v>6</v>
      </c>
      <c r="M397" s="59" t="s">
        <v>7211</v>
      </c>
      <c r="N397" s="59" t="s">
        <v>1242</v>
      </c>
      <c r="O397" s="59" t="s">
        <v>1026</v>
      </c>
      <c r="P397" s="59" t="s">
        <v>7078</v>
      </c>
      <c r="Q397" s="59" t="str">
        <f t="shared" si="13"/>
        <v>DENTRO DEL TIEMPO</v>
      </c>
      <c r="R397" s="28"/>
    </row>
    <row r="398" spans="1:18" ht="58.5" x14ac:dyDescent="0.25">
      <c r="A398" s="86">
        <v>393</v>
      </c>
      <c r="B398" s="59" t="s">
        <v>7212</v>
      </c>
      <c r="C398" s="70">
        <v>44732</v>
      </c>
      <c r="D398" s="70">
        <v>44734</v>
      </c>
      <c r="E398" s="86">
        <v>49</v>
      </c>
      <c r="F398" s="87" t="s">
        <v>22</v>
      </c>
      <c r="G398" s="59" t="s">
        <v>1246</v>
      </c>
      <c r="H398" s="55" t="s">
        <v>7200</v>
      </c>
      <c r="I398" s="59" t="s">
        <v>1240</v>
      </c>
      <c r="J398" s="70">
        <v>44742</v>
      </c>
      <c r="K398" s="70">
        <v>44742</v>
      </c>
      <c r="L398" s="88">
        <v>6</v>
      </c>
      <c r="M398" s="59" t="s">
        <v>7213</v>
      </c>
      <c r="N398" s="59" t="s">
        <v>1242</v>
      </c>
      <c r="O398" s="59" t="s">
        <v>1026</v>
      </c>
      <c r="P398" s="59" t="s">
        <v>7078</v>
      </c>
      <c r="Q398" s="59" t="str">
        <f t="shared" si="13"/>
        <v>DENTRO DEL TIEMPO</v>
      </c>
      <c r="R398" s="28"/>
    </row>
    <row r="399" spans="1:18" ht="58.5" x14ac:dyDescent="0.25">
      <c r="A399" s="86">
        <v>394</v>
      </c>
      <c r="B399" s="59" t="s">
        <v>7214</v>
      </c>
      <c r="C399" s="70">
        <v>44735</v>
      </c>
      <c r="D399" s="70">
        <v>44740</v>
      </c>
      <c r="E399" s="86">
        <v>8</v>
      </c>
      <c r="F399" s="87" t="s">
        <v>22</v>
      </c>
      <c r="G399" s="59" t="s">
        <v>1246</v>
      </c>
      <c r="H399" s="55" t="s">
        <v>7200</v>
      </c>
      <c r="I399" s="59" t="s">
        <v>1240</v>
      </c>
      <c r="J399" s="70">
        <v>44740</v>
      </c>
      <c r="K399" s="70">
        <v>44740</v>
      </c>
      <c r="L399" s="88">
        <v>0</v>
      </c>
      <c r="M399" s="59" t="s">
        <v>3432</v>
      </c>
      <c r="N399" s="59" t="s">
        <v>1242</v>
      </c>
      <c r="O399" s="59" t="s">
        <v>1026</v>
      </c>
      <c r="P399" s="59" t="s">
        <v>7078</v>
      </c>
      <c r="Q399" s="59" t="str">
        <f t="shared" si="13"/>
        <v>DENTRO DEL TIEMPO</v>
      </c>
      <c r="R399" s="28"/>
    </row>
    <row r="400" spans="1:18" ht="58.5" x14ac:dyDescent="0.25">
      <c r="A400" s="86">
        <v>395</v>
      </c>
      <c r="B400" s="59" t="s">
        <v>7215</v>
      </c>
      <c r="C400" s="70">
        <v>44735</v>
      </c>
      <c r="D400" s="70">
        <v>44740</v>
      </c>
      <c r="E400" s="86">
        <v>6</v>
      </c>
      <c r="F400" s="87" t="s">
        <v>22</v>
      </c>
      <c r="G400" s="59" t="s">
        <v>1246</v>
      </c>
      <c r="H400" s="55" t="s">
        <v>7200</v>
      </c>
      <c r="I400" s="59" t="s">
        <v>1240</v>
      </c>
      <c r="J400" s="70">
        <v>44740</v>
      </c>
      <c r="K400" s="70">
        <v>44740</v>
      </c>
      <c r="L400" s="88">
        <v>0</v>
      </c>
      <c r="M400" s="59" t="s">
        <v>7216</v>
      </c>
      <c r="N400" s="59" t="s">
        <v>1242</v>
      </c>
      <c r="O400" s="59" t="s">
        <v>1026</v>
      </c>
      <c r="P400" s="59" t="s">
        <v>7078</v>
      </c>
      <c r="Q400" s="59" t="str">
        <f t="shared" si="13"/>
        <v>DENTRO DEL TIEMPO</v>
      </c>
      <c r="R400" s="28"/>
    </row>
    <row r="401" spans="1:18" ht="58.5" x14ac:dyDescent="0.25">
      <c r="A401" s="86">
        <v>396</v>
      </c>
      <c r="B401" s="59" t="s">
        <v>7217</v>
      </c>
      <c r="C401" s="70">
        <v>44713</v>
      </c>
      <c r="D401" s="70">
        <v>44713</v>
      </c>
      <c r="E401" s="86">
        <v>2</v>
      </c>
      <c r="F401" s="87" t="s">
        <v>22</v>
      </c>
      <c r="G401" s="59" t="s">
        <v>1072</v>
      </c>
      <c r="H401" s="55" t="s">
        <v>2255</v>
      </c>
      <c r="I401" s="59" t="s">
        <v>1072</v>
      </c>
      <c r="J401" s="70">
        <v>44713</v>
      </c>
      <c r="K401" s="70">
        <v>44713</v>
      </c>
      <c r="L401" s="88">
        <v>0</v>
      </c>
      <c r="M401" s="59" t="s">
        <v>7218</v>
      </c>
      <c r="N401" s="59" t="s">
        <v>1025</v>
      </c>
      <c r="O401" s="59" t="s">
        <v>1093</v>
      </c>
      <c r="P401" s="59" t="s">
        <v>1030</v>
      </c>
      <c r="Q401" s="59" t="str">
        <f t="shared" si="13"/>
        <v>DENTRO DEL TIEMPO</v>
      </c>
      <c r="R401" s="28"/>
    </row>
    <row r="402" spans="1:18" ht="58.5" x14ac:dyDescent="0.25">
      <c r="A402" s="86">
        <v>397</v>
      </c>
      <c r="B402" s="59" t="s">
        <v>7219</v>
      </c>
      <c r="C402" s="70">
        <v>44714</v>
      </c>
      <c r="D402" s="70">
        <v>44715</v>
      </c>
      <c r="E402" s="86">
        <v>1</v>
      </c>
      <c r="F402" s="87" t="s">
        <v>22</v>
      </c>
      <c r="G402" s="59" t="s">
        <v>1072</v>
      </c>
      <c r="H402" s="55" t="s">
        <v>2255</v>
      </c>
      <c r="I402" s="59" t="s">
        <v>1072</v>
      </c>
      <c r="J402" s="70">
        <v>44715</v>
      </c>
      <c r="K402" s="70">
        <v>44715</v>
      </c>
      <c r="L402" s="88">
        <v>0</v>
      </c>
      <c r="M402" s="59" t="s">
        <v>7220</v>
      </c>
      <c r="N402" s="59" t="s">
        <v>1025</v>
      </c>
      <c r="O402" s="59" t="s">
        <v>1026</v>
      </c>
      <c r="P402" s="59" t="s">
        <v>1030</v>
      </c>
      <c r="Q402" s="59" t="str">
        <f t="shared" si="13"/>
        <v>DENTRO DEL TIEMPO</v>
      </c>
      <c r="R402" s="28"/>
    </row>
    <row r="403" spans="1:18" ht="58.5" x14ac:dyDescent="0.25">
      <c r="A403" s="86">
        <v>398</v>
      </c>
      <c r="B403" s="59" t="s">
        <v>7221</v>
      </c>
      <c r="C403" s="70">
        <v>44718</v>
      </c>
      <c r="D403" s="70">
        <v>44718</v>
      </c>
      <c r="E403" s="86">
        <v>2</v>
      </c>
      <c r="F403" s="87" t="s">
        <v>22</v>
      </c>
      <c r="G403" s="59" t="s">
        <v>1072</v>
      </c>
      <c r="H403" s="55" t="s">
        <v>2255</v>
      </c>
      <c r="I403" s="59" t="s">
        <v>1072</v>
      </c>
      <c r="J403" s="70">
        <v>44718</v>
      </c>
      <c r="K403" s="70">
        <v>44718</v>
      </c>
      <c r="L403" s="88">
        <v>0</v>
      </c>
      <c r="M403" s="59" t="s">
        <v>7222</v>
      </c>
      <c r="N403" s="59"/>
      <c r="O403" s="59" t="s">
        <v>1026</v>
      </c>
      <c r="P403" s="59" t="s">
        <v>1030</v>
      </c>
      <c r="Q403" s="59" t="str">
        <f t="shared" si="13"/>
        <v>DENTRO DEL TIEMPO</v>
      </c>
      <c r="R403" s="28"/>
    </row>
    <row r="404" spans="1:18" ht="58.5" x14ac:dyDescent="0.25">
      <c r="A404" s="86">
        <v>399</v>
      </c>
      <c r="B404" s="59" t="s">
        <v>7223</v>
      </c>
      <c r="C404" s="70">
        <v>44720</v>
      </c>
      <c r="D404" s="70">
        <v>44720</v>
      </c>
      <c r="E404" s="86">
        <v>2</v>
      </c>
      <c r="F404" s="87" t="s">
        <v>22</v>
      </c>
      <c r="G404" s="59" t="s">
        <v>1072</v>
      </c>
      <c r="H404" s="55" t="s">
        <v>2255</v>
      </c>
      <c r="I404" s="59" t="s">
        <v>1072</v>
      </c>
      <c r="J404" s="70">
        <v>44720</v>
      </c>
      <c r="K404" s="70">
        <v>44720</v>
      </c>
      <c r="L404" s="88">
        <v>0</v>
      </c>
      <c r="M404" s="59" t="s">
        <v>7224</v>
      </c>
      <c r="N404" s="59" t="s">
        <v>1025</v>
      </c>
      <c r="O404" s="59" t="s">
        <v>1026</v>
      </c>
      <c r="P404" s="59" t="s">
        <v>1030</v>
      </c>
      <c r="Q404" s="59" t="str">
        <f t="shared" si="13"/>
        <v>DENTRO DEL TIEMPO</v>
      </c>
      <c r="R404" s="28"/>
    </row>
    <row r="405" spans="1:18" ht="58.5" x14ac:dyDescent="0.25">
      <c r="A405" s="86">
        <v>400</v>
      </c>
      <c r="B405" s="59" t="s">
        <v>7225</v>
      </c>
      <c r="C405" s="70">
        <v>44720</v>
      </c>
      <c r="D405" s="70">
        <v>44721</v>
      </c>
      <c r="E405" s="86">
        <v>2</v>
      </c>
      <c r="F405" s="87" t="s">
        <v>22</v>
      </c>
      <c r="G405" s="59" t="s">
        <v>1072</v>
      </c>
      <c r="H405" s="55" t="s">
        <v>2255</v>
      </c>
      <c r="I405" s="59" t="s">
        <v>1072</v>
      </c>
      <c r="J405" s="70">
        <v>44721</v>
      </c>
      <c r="K405" s="70">
        <v>44721</v>
      </c>
      <c r="L405" s="88">
        <v>0</v>
      </c>
      <c r="M405" s="59" t="s">
        <v>7226</v>
      </c>
      <c r="N405" s="59" t="s">
        <v>1025</v>
      </c>
      <c r="O405" s="59" t="s">
        <v>1047</v>
      </c>
      <c r="P405" s="59" t="s">
        <v>1030</v>
      </c>
      <c r="Q405" s="59" t="str">
        <f t="shared" si="13"/>
        <v>DENTRO DEL TIEMPO</v>
      </c>
      <c r="R405" s="28"/>
    </row>
    <row r="406" spans="1:18" ht="58.5" x14ac:dyDescent="0.25">
      <c r="A406" s="86">
        <v>401</v>
      </c>
      <c r="B406" s="59" t="s">
        <v>7227</v>
      </c>
      <c r="C406" s="70">
        <v>44726</v>
      </c>
      <c r="D406" s="70">
        <v>44726</v>
      </c>
      <c r="E406" s="86">
        <v>2</v>
      </c>
      <c r="F406" s="87" t="s">
        <v>22</v>
      </c>
      <c r="G406" s="59" t="s">
        <v>1072</v>
      </c>
      <c r="H406" s="55" t="s">
        <v>2255</v>
      </c>
      <c r="I406" s="59" t="s">
        <v>1072</v>
      </c>
      <c r="J406" s="70">
        <v>44726</v>
      </c>
      <c r="K406" s="70">
        <v>44726</v>
      </c>
      <c r="L406" s="88">
        <v>0</v>
      </c>
      <c r="M406" s="59" t="s">
        <v>7228</v>
      </c>
      <c r="N406" s="59" t="s">
        <v>1039</v>
      </c>
      <c r="O406" s="59" t="s">
        <v>1026</v>
      </c>
      <c r="P406" s="59" t="s">
        <v>1030</v>
      </c>
      <c r="Q406" s="59" t="str">
        <f t="shared" si="13"/>
        <v>DENTRO DEL TIEMPO</v>
      </c>
      <c r="R406" s="28"/>
    </row>
    <row r="407" spans="1:18" ht="58.5" x14ac:dyDescent="0.25">
      <c r="A407" s="86">
        <v>402</v>
      </c>
      <c r="B407" s="59" t="s">
        <v>7229</v>
      </c>
      <c r="C407" s="70">
        <v>44727</v>
      </c>
      <c r="D407" s="70">
        <v>44727</v>
      </c>
      <c r="E407" s="86">
        <v>2</v>
      </c>
      <c r="F407" s="87" t="s">
        <v>22</v>
      </c>
      <c r="G407" s="59" t="s">
        <v>1072</v>
      </c>
      <c r="H407" s="55" t="s">
        <v>2255</v>
      </c>
      <c r="I407" s="59" t="s">
        <v>1072</v>
      </c>
      <c r="J407" s="70">
        <v>44727</v>
      </c>
      <c r="K407" s="70">
        <v>44727</v>
      </c>
      <c r="L407" s="88">
        <v>0</v>
      </c>
      <c r="M407" s="59" t="s">
        <v>7230</v>
      </c>
      <c r="N407" s="59" t="s">
        <v>1025</v>
      </c>
      <c r="O407" s="59" t="s">
        <v>1026</v>
      </c>
      <c r="P407" s="59" t="s">
        <v>1030</v>
      </c>
      <c r="Q407" s="59" t="str">
        <f t="shared" si="13"/>
        <v>DENTRO DEL TIEMPO</v>
      </c>
      <c r="R407" s="28"/>
    </row>
    <row r="408" spans="1:18" ht="58.5" x14ac:dyDescent="0.25">
      <c r="A408" s="86">
        <v>403</v>
      </c>
      <c r="B408" s="59" t="s">
        <v>7231</v>
      </c>
      <c r="C408" s="70">
        <v>44728</v>
      </c>
      <c r="D408" s="70">
        <v>44729</v>
      </c>
      <c r="E408" s="86">
        <v>2</v>
      </c>
      <c r="F408" s="87" t="s">
        <v>22</v>
      </c>
      <c r="G408" s="59" t="s">
        <v>1072</v>
      </c>
      <c r="H408" s="55" t="s">
        <v>2255</v>
      </c>
      <c r="I408" s="59" t="s">
        <v>1072</v>
      </c>
      <c r="J408" s="70">
        <v>44729</v>
      </c>
      <c r="K408" s="70">
        <v>44729</v>
      </c>
      <c r="L408" s="88">
        <v>0</v>
      </c>
      <c r="M408" s="59" t="s">
        <v>7232</v>
      </c>
      <c r="N408" s="59" t="s">
        <v>1025</v>
      </c>
      <c r="O408" s="59" t="s">
        <v>1093</v>
      </c>
      <c r="P408" s="59" t="s">
        <v>1030</v>
      </c>
      <c r="Q408" s="59" t="str">
        <f t="shared" si="13"/>
        <v>DENTRO DEL TIEMPO</v>
      </c>
      <c r="R408" s="28"/>
    </row>
    <row r="409" spans="1:18" ht="58.5" x14ac:dyDescent="0.25">
      <c r="A409" s="86">
        <v>404</v>
      </c>
      <c r="B409" s="59" t="s">
        <v>7233</v>
      </c>
      <c r="C409" s="70">
        <v>44729</v>
      </c>
      <c r="D409" s="70">
        <v>44729</v>
      </c>
      <c r="E409" s="86">
        <v>2</v>
      </c>
      <c r="F409" s="87" t="s">
        <v>22</v>
      </c>
      <c r="G409" s="59" t="s">
        <v>1072</v>
      </c>
      <c r="H409" s="55" t="s">
        <v>2255</v>
      </c>
      <c r="I409" s="59" t="s">
        <v>1072</v>
      </c>
      <c r="J409" s="70">
        <v>44729</v>
      </c>
      <c r="K409" s="70">
        <v>44729</v>
      </c>
      <c r="L409" s="88">
        <v>0</v>
      </c>
      <c r="M409" s="59" t="s">
        <v>7234</v>
      </c>
      <c r="N409" s="59" t="s">
        <v>1025</v>
      </c>
      <c r="O409" s="59" t="s">
        <v>1093</v>
      </c>
      <c r="P409" s="59" t="s">
        <v>1030</v>
      </c>
      <c r="Q409" s="59" t="str">
        <f t="shared" si="13"/>
        <v>DENTRO DEL TIEMPO</v>
      </c>
      <c r="R409" s="28"/>
    </row>
    <row r="410" spans="1:18" ht="58.5" x14ac:dyDescent="0.25">
      <c r="A410" s="86">
        <v>405</v>
      </c>
      <c r="B410" s="59" t="s">
        <v>7235</v>
      </c>
      <c r="C410" s="70">
        <v>44729</v>
      </c>
      <c r="D410" s="70">
        <v>44729</v>
      </c>
      <c r="E410" s="86">
        <v>2</v>
      </c>
      <c r="F410" s="87" t="s">
        <v>22</v>
      </c>
      <c r="G410" s="59" t="s">
        <v>1072</v>
      </c>
      <c r="H410" s="55" t="s">
        <v>2255</v>
      </c>
      <c r="I410" s="59" t="s">
        <v>1072</v>
      </c>
      <c r="J410" s="70">
        <v>44729</v>
      </c>
      <c r="K410" s="70">
        <v>44729</v>
      </c>
      <c r="L410" s="88">
        <v>0</v>
      </c>
      <c r="M410" s="59" t="s">
        <v>7236</v>
      </c>
      <c r="N410" s="59" t="s">
        <v>1025</v>
      </c>
      <c r="O410" s="59" t="s">
        <v>1093</v>
      </c>
      <c r="P410" s="59" t="s">
        <v>1030</v>
      </c>
      <c r="Q410" s="59" t="str">
        <f t="shared" si="13"/>
        <v>DENTRO DEL TIEMPO</v>
      </c>
      <c r="R410" s="28"/>
    </row>
    <row r="411" spans="1:18" ht="58.5" x14ac:dyDescent="0.25">
      <c r="A411" s="86">
        <v>406</v>
      </c>
      <c r="B411" s="59" t="s">
        <v>7237</v>
      </c>
      <c r="C411" s="70">
        <v>44729</v>
      </c>
      <c r="D411" s="70">
        <v>44729</v>
      </c>
      <c r="E411" s="86">
        <v>2</v>
      </c>
      <c r="F411" s="87" t="s">
        <v>22</v>
      </c>
      <c r="G411" s="59" t="s">
        <v>1072</v>
      </c>
      <c r="H411" s="55" t="s">
        <v>2255</v>
      </c>
      <c r="I411" s="59" t="s">
        <v>1072</v>
      </c>
      <c r="J411" s="70">
        <v>44729</v>
      </c>
      <c r="K411" s="70">
        <v>44729</v>
      </c>
      <c r="L411" s="88">
        <v>0</v>
      </c>
      <c r="M411" s="59" t="s">
        <v>7238</v>
      </c>
      <c r="N411" s="59" t="s">
        <v>1025</v>
      </c>
      <c r="O411" s="59" t="s">
        <v>1026</v>
      </c>
      <c r="P411" s="59" t="s">
        <v>1030</v>
      </c>
      <c r="Q411" s="59" t="str">
        <f t="shared" si="13"/>
        <v>DENTRO DEL TIEMPO</v>
      </c>
      <c r="R411" s="28"/>
    </row>
    <row r="412" spans="1:18" ht="58.5" x14ac:dyDescent="0.25">
      <c r="A412" s="86">
        <v>407</v>
      </c>
      <c r="B412" s="59" t="s">
        <v>7239</v>
      </c>
      <c r="C412" s="70">
        <v>44732</v>
      </c>
      <c r="D412" s="70">
        <v>44733</v>
      </c>
      <c r="E412" s="86">
        <v>2</v>
      </c>
      <c r="F412" s="87" t="s">
        <v>22</v>
      </c>
      <c r="G412" s="59" t="s">
        <v>1072</v>
      </c>
      <c r="H412" s="55" t="s">
        <v>2255</v>
      </c>
      <c r="I412" s="59" t="s">
        <v>1072</v>
      </c>
      <c r="J412" s="70">
        <v>44732</v>
      </c>
      <c r="K412" s="70">
        <v>44732</v>
      </c>
      <c r="L412" s="88">
        <v>0</v>
      </c>
      <c r="M412" s="59" t="s">
        <v>7240</v>
      </c>
      <c r="N412" s="59" t="s">
        <v>1025</v>
      </c>
      <c r="O412" s="59" t="s">
        <v>1026</v>
      </c>
      <c r="P412" s="59" t="s">
        <v>1030</v>
      </c>
      <c r="Q412" s="59" t="str">
        <f t="shared" si="13"/>
        <v>DENTRO DEL TIEMPO</v>
      </c>
      <c r="R412" s="28"/>
    </row>
    <row r="413" spans="1:18" ht="58.5" x14ac:dyDescent="0.25">
      <c r="A413" s="86">
        <v>408</v>
      </c>
      <c r="B413" s="59" t="s">
        <v>7241</v>
      </c>
      <c r="C413" s="70">
        <v>44732</v>
      </c>
      <c r="D413" s="70">
        <v>44733</v>
      </c>
      <c r="E413" s="86">
        <v>17</v>
      </c>
      <c r="F413" s="87" t="s">
        <v>22</v>
      </c>
      <c r="G413" s="59" t="s">
        <v>1072</v>
      </c>
      <c r="H413" s="55" t="s">
        <v>2255</v>
      </c>
      <c r="I413" s="59" t="s">
        <v>1072</v>
      </c>
      <c r="J413" s="70">
        <v>44733</v>
      </c>
      <c r="K413" s="70">
        <v>44733</v>
      </c>
      <c r="L413" s="88">
        <v>0</v>
      </c>
      <c r="M413" s="59" t="s">
        <v>7242</v>
      </c>
      <c r="N413" s="59" t="s">
        <v>1025</v>
      </c>
      <c r="O413" s="59" t="s">
        <v>1026</v>
      </c>
      <c r="P413" s="59" t="s">
        <v>1030</v>
      </c>
      <c r="Q413" s="59" t="str">
        <f t="shared" si="13"/>
        <v>DENTRO DEL TIEMPO</v>
      </c>
      <c r="R413" s="28"/>
    </row>
    <row r="414" spans="1:18" ht="58.5" x14ac:dyDescent="0.25">
      <c r="A414" s="86">
        <v>409</v>
      </c>
      <c r="B414" s="59" t="s">
        <v>7243</v>
      </c>
      <c r="C414" s="70">
        <v>44733</v>
      </c>
      <c r="D414" s="70">
        <v>44733</v>
      </c>
      <c r="E414" s="86">
        <v>2</v>
      </c>
      <c r="F414" s="87" t="s">
        <v>22</v>
      </c>
      <c r="G414" s="59" t="s">
        <v>1072</v>
      </c>
      <c r="H414" s="55" t="s">
        <v>2255</v>
      </c>
      <c r="I414" s="59" t="s">
        <v>1072</v>
      </c>
      <c r="J414" s="70">
        <v>44733</v>
      </c>
      <c r="K414" s="70">
        <v>44733</v>
      </c>
      <c r="L414" s="88">
        <v>0</v>
      </c>
      <c r="M414" s="59" t="s">
        <v>7244</v>
      </c>
      <c r="N414" s="59" t="s">
        <v>1025</v>
      </c>
      <c r="O414" s="59" t="s">
        <v>1026</v>
      </c>
      <c r="P414" s="59" t="s">
        <v>1030</v>
      </c>
      <c r="Q414" s="59" t="str">
        <f t="shared" si="13"/>
        <v>DENTRO DEL TIEMPO</v>
      </c>
      <c r="R414" s="28"/>
    </row>
    <row r="415" spans="1:18" ht="58.5" x14ac:dyDescent="0.25">
      <c r="A415" s="86">
        <v>410</v>
      </c>
      <c r="B415" s="59" t="s">
        <v>7245</v>
      </c>
      <c r="C415" s="70">
        <v>44733</v>
      </c>
      <c r="D415" s="70">
        <v>44733</v>
      </c>
      <c r="E415" s="86">
        <v>2</v>
      </c>
      <c r="F415" s="87" t="s">
        <v>22</v>
      </c>
      <c r="G415" s="59" t="s">
        <v>1072</v>
      </c>
      <c r="H415" s="55" t="s">
        <v>2255</v>
      </c>
      <c r="I415" s="59" t="s">
        <v>1072</v>
      </c>
      <c r="J415" s="70">
        <v>44733</v>
      </c>
      <c r="K415" s="70">
        <v>44733</v>
      </c>
      <c r="L415" s="88">
        <v>0</v>
      </c>
      <c r="M415" s="59" t="s">
        <v>7246</v>
      </c>
      <c r="N415" s="59" t="s">
        <v>1025</v>
      </c>
      <c r="O415" s="59" t="s">
        <v>1026</v>
      </c>
      <c r="P415" s="59" t="s">
        <v>1030</v>
      </c>
      <c r="Q415" s="59" t="str">
        <f t="shared" si="13"/>
        <v>DENTRO DEL TIEMPO</v>
      </c>
      <c r="R415" s="28"/>
    </row>
    <row r="416" spans="1:18" ht="58.5" x14ac:dyDescent="0.25">
      <c r="A416" s="86">
        <v>411</v>
      </c>
      <c r="B416" s="59" t="s">
        <v>7247</v>
      </c>
      <c r="C416" s="70">
        <v>44733</v>
      </c>
      <c r="D416" s="70">
        <v>44734</v>
      </c>
      <c r="E416" s="86">
        <v>1</v>
      </c>
      <c r="F416" s="87" t="s">
        <v>22</v>
      </c>
      <c r="G416" s="59" t="s">
        <v>1072</v>
      </c>
      <c r="H416" s="55" t="s">
        <v>2255</v>
      </c>
      <c r="I416" s="59" t="s">
        <v>1072</v>
      </c>
      <c r="J416" s="70">
        <v>44734</v>
      </c>
      <c r="K416" s="70">
        <v>44734</v>
      </c>
      <c r="L416" s="88">
        <v>0</v>
      </c>
      <c r="M416" s="59" t="s">
        <v>7248</v>
      </c>
      <c r="N416" s="59" t="s">
        <v>1025</v>
      </c>
      <c r="O416" s="59" t="s">
        <v>1026</v>
      </c>
      <c r="P416" s="59" t="s">
        <v>1030</v>
      </c>
      <c r="Q416" s="59" t="str">
        <f t="shared" si="13"/>
        <v>DENTRO DEL TIEMPO</v>
      </c>
      <c r="R416" s="28"/>
    </row>
    <row r="417" spans="1:18" ht="58.5" x14ac:dyDescent="0.25">
      <c r="A417" s="86">
        <v>412</v>
      </c>
      <c r="B417" s="59" t="s">
        <v>7249</v>
      </c>
      <c r="C417" s="70">
        <v>44733</v>
      </c>
      <c r="D417" s="70">
        <v>44734</v>
      </c>
      <c r="E417" s="86">
        <v>2</v>
      </c>
      <c r="F417" s="87" t="s">
        <v>22</v>
      </c>
      <c r="G417" s="59" t="s">
        <v>1072</v>
      </c>
      <c r="H417" s="55" t="s">
        <v>2255</v>
      </c>
      <c r="I417" s="59" t="s">
        <v>1072</v>
      </c>
      <c r="J417" s="70">
        <v>44734</v>
      </c>
      <c r="K417" s="70">
        <v>44734</v>
      </c>
      <c r="L417" s="88">
        <v>0</v>
      </c>
      <c r="M417" s="59" t="s">
        <v>7250</v>
      </c>
      <c r="N417" s="59" t="s">
        <v>1025</v>
      </c>
      <c r="O417" s="59" t="s">
        <v>1093</v>
      </c>
      <c r="P417" s="59" t="s">
        <v>1030</v>
      </c>
      <c r="Q417" s="59" t="str">
        <f t="shared" si="13"/>
        <v>DENTRO DEL TIEMPO</v>
      </c>
      <c r="R417" s="28"/>
    </row>
    <row r="418" spans="1:18" ht="58.5" x14ac:dyDescent="0.25">
      <c r="A418" s="86">
        <v>413</v>
      </c>
      <c r="B418" s="59" t="s">
        <v>7251</v>
      </c>
      <c r="C418" s="70">
        <v>44734</v>
      </c>
      <c r="D418" s="70">
        <v>44735</v>
      </c>
      <c r="E418" s="86">
        <v>2</v>
      </c>
      <c r="F418" s="87" t="s">
        <v>22</v>
      </c>
      <c r="G418" s="59" t="s">
        <v>1072</v>
      </c>
      <c r="H418" s="55" t="s">
        <v>2255</v>
      </c>
      <c r="I418" s="59" t="s">
        <v>1072</v>
      </c>
      <c r="J418" s="70">
        <v>44735</v>
      </c>
      <c r="K418" s="70">
        <v>44735</v>
      </c>
      <c r="L418" s="88">
        <v>0</v>
      </c>
      <c r="M418" s="59" t="s">
        <v>7252</v>
      </c>
      <c r="N418" s="59" t="s">
        <v>1025</v>
      </c>
      <c r="O418" s="59" t="s">
        <v>1026</v>
      </c>
      <c r="P418" s="59" t="s">
        <v>1030</v>
      </c>
      <c r="Q418" s="59" t="str">
        <f t="shared" si="13"/>
        <v>DENTRO DEL TIEMPO</v>
      </c>
      <c r="R418" s="28"/>
    </row>
    <row r="419" spans="1:18" ht="58.5" x14ac:dyDescent="0.25">
      <c r="A419" s="86">
        <v>414</v>
      </c>
      <c r="B419" s="59" t="s">
        <v>7253</v>
      </c>
      <c r="C419" s="70">
        <v>44734</v>
      </c>
      <c r="D419" s="70">
        <v>44735</v>
      </c>
      <c r="E419" s="86">
        <v>2</v>
      </c>
      <c r="F419" s="87" t="s">
        <v>22</v>
      </c>
      <c r="G419" s="59" t="s">
        <v>1072</v>
      </c>
      <c r="H419" s="55" t="s">
        <v>2255</v>
      </c>
      <c r="I419" s="59" t="s">
        <v>1072</v>
      </c>
      <c r="J419" s="70">
        <v>44735</v>
      </c>
      <c r="K419" s="70">
        <v>44735</v>
      </c>
      <c r="L419" s="88">
        <v>0</v>
      </c>
      <c r="M419" s="59" t="s">
        <v>7254</v>
      </c>
      <c r="N419" s="59" t="s">
        <v>1025</v>
      </c>
      <c r="O419" s="59" t="s">
        <v>1093</v>
      </c>
      <c r="P419" s="59" t="s">
        <v>1030</v>
      </c>
      <c r="Q419" s="59" t="str">
        <f t="shared" si="13"/>
        <v>DENTRO DEL TIEMPO</v>
      </c>
      <c r="R419" s="28"/>
    </row>
    <row r="420" spans="1:18" ht="58.5" x14ac:dyDescent="0.25">
      <c r="A420" s="86">
        <v>415</v>
      </c>
      <c r="B420" s="59" t="s">
        <v>7255</v>
      </c>
      <c r="C420" s="70">
        <v>44735</v>
      </c>
      <c r="D420" s="70">
        <v>44735</v>
      </c>
      <c r="E420" s="86">
        <v>2</v>
      </c>
      <c r="F420" s="87" t="s">
        <v>22</v>
      </c>
      <c r="G420" s="59" t="s">
        <v>1072</v>
      </c>
      <c r="H420" s="55" t="s">
        <v>2255</v>
      </c>
      <c r="I420" s="59" t="s">
        <v>1072</v>
      </c>
      <c r="J420" s="70">
        <v>44735</v>
      </c>
      <c r="K420" s="70">
        <v>44735</v>
      </c>
      <c r="L420" s="88">
        <v>0</v>
      </c>
      <c r="M420" s="59" t="s">
        <v>7256</v>
      </c>
      <c r="N420" s="59" t="s">
        <v>1025</v>
      </c>
      <c r="O420" s="59" t="s">
        <v>1026</v>
      </c>
      <c r="P420" s="59" t="s">
        <v>1030</v>
      </c>
      <c r="Q420" s="59" t="str">
        <f t="shared" si="13"/>
        <v>DENTRO DEL TIEMPO</v>
      </c>
      <c r="R420" s="28"/>
    </row>
    <row r="421" spans="1:18" ht="58.5" x14ac:dyDescent="0.25">
      <c r="A421" s="86">
        <v>416</v>
      </c>
      <c r="B421" s="59" t="s">
        <v>7257</v>
      </c>
      <c r="C421" s="70">
        <v>44738</v>
      </c>
      <c r="D421" s="70">
        <v>44739</v>
      </c>
      <c r="E421" s="86">
        <v>2</v>
      </c>
      <c r="F421" s="87" t="s">
        <v>22</v>
      </c>
      <c r="G421" s="59" t="s">
        <v>1072</v>
      </c>
      <c r="H421" s="55" t="s">
        <v>2255</v>
      </c>
      <c r="I421" s="59" t="s">
        <v>1072</v>
      </c>
      <c r="J421" s="70">
        <v>44739</v>
      </c>
      <c r="K421" s="70">
        <v>44739</v>
      </c>
      <c r="L421" s="88">
        <v>0</v>
      </c>
      <c r="M421" s="59" t="s">
        <v>7258</v>
      </c>
      <c r="N421" s="59" t="s">
        <v>1025</v>
      </c>
      <c r="O421" s="59" t="s">
        <v>1093</v>
      </c>
      <c r="P421" s="59" t="s">
        <v>1030</v>
      </c>
      <c r="Q421" s="59" t="str">
        <f t="shared" si="13"/>
        <v>DENTRO DEL TIEMPO</v>
      </c>
      <c r="R421" s="28"/>
    </row>
    <row r="422" spans="1:18" ht="58.5" x14ac:dyDescent="0.25">
      <c r="A422" s="86">
        <v>417</v>
      </c>
      <c r="B422" s="59" t="s">
        <v>7259</v>
      </c>
      <c r="C422" s="70">
        <v>44738</v>
      </c>
      <c r="D422" s="70">
        <v>44739</v>
      </c>
      <c r="E422" s="86">
        <v>2</v>
      </c>
      <c r="F422" s="87" t="s">
        <v>22</v>
      </c>
      <c r="G422" s="59" t="s">
        <v>1072</v>
      </c>
      <c r="H422" s="55" t="s">
        <v>2255</v>
      </c>
      <c r="I422" s="59" t="s">
        <v>1072</v>
      </c>
      <c r="J422" s="70">
        <v>44739</v>
      </c>
      <c r="K422" s="70">
        <v>44739</v>
      </c>
      <c r="L422" s="88">
        <v>0</v>
      </c>
      <c r="M422" s="59" t="s">
        <v>7260</v>
      </c>
      <c r="N422" s="59" t="s">
        <v>1025</v>
      </c>
      <c r="O422" s="59" t="s">
        <v>1026</v>
      </c>
      <c r="P422" s="59" t="s">
        <v>1030</v>
      </c>
      <c r="Q422" s="59" t="str">
        <f t="shared" si="13"/>
        <v>DENTRO DEL TIEMPO</v>
      </c>
      <c r="R422" s="28"/>
    </row>
    <row r="423" spans="1:18" ht="58.5" x14ac:dyDescent="0.25">
      <c r="A423" s="86">
        <v>418</v>
      </c>
      <c r="B423" s="59" t="s">
        <v>7261</v>
      </c>
      <c r="C423" s="70">
        <v>44738</v>
      </c>
      <c r="D423" s="70">
        <v>44739</v>
      </c>
      <c r="E423" s="86">
        <v>2</v>
      </c>
      <c r="F423" s="87" t="s">
        <v>22</v>
      </c>
      <c r="G423" s="59" t="s">
        <v>1072</v>
      </c>
      <c r="H423" s="55" t="s">
        <v>2255</v>
      </c>
      <c r="I423" s="59" t="s">
        <v>1072</v>
      </c>
      <c r="J423" s="70">
        <v>44739</v>
      </c>
      <c r="K423" s="70">
        <v>44739</v>
      </c>
      <c r="L423" s="88">
        <v>0</v>
      </c>
      <c r="M423" s="59" t="s">
        <v>7262</v>
      </c>
      <c r="N423" s="59" t="s">
        <v>1025</v>
      </c>
      <c r="O423" s="59" t="s">
        <v>1093</v>
      </c>
      <c r="P423" s="59" t="s">
        <v>1030</v>
      </c>
      <c r="Q423" s="59" t="str">
        <f t="shared" si="13"/>
        <v>DENTRO DEL TIEMPO</v>
      </c>
      <c r="R423" s="28"/>
    </row>
    <row r="424" spans="1:18" ht="58.5" x14ac:dyDescent="0.25">
      <c r="A424" s="86">
        <v>419</v>
      </c>
      <c r="B424" s="59" t="s">
        <v>7263</v>
      </c>
      <c r="C424" s="70">
        <v>44739</v>
      </c>
      <c r="D424" s="70">
        <v>44740</v>
      </c>
      <c r="E424" s="86">
        <v>7</v>
      </c>
      <c r="F424" s="87" t="s">
        <v>22</v>
      </c>
      <c r="G424" s="59" t="s">
        <v>1072</v>
      </c>
      <c r="H424" s="55" t="s">
        <v>2255</v>
      </c>
      <c r="I424" s="59" t="s">
        <v>1072</v>
      </c>
      <c r="J424" s="70">
        <v>44740</v>
      </c>
      <c r="K424" s="70">
        <v>44740</v>
      </c>
      <c r="L424" s="88">
        <v>0</v>
      </c>
      <c r="M424" s="59" t="s">
        <v>6720</v>
      </c>
      <c r="N424" s="59" t="s">
        <v>1025</v>
      </c>
      <c r="O424" s="59" t="s">
        <v>1026</v>
      </c>
      <c r="P424" s="59" t="s">
        <v>1030</v>
      </c>
      <c r="Q424" s="59" t="str">
        <f t="shared" si="13"/>
        <v>DENTRO DEL TIEMPO</v>
      </c>
      <c r="R424" s="28"/>
    </row>
    <row r="425" spans="1:18" ht="58.5" x14ac:dyDescent="0.25">
      <c r="A425" s="86">
        <v>420</v>
      </c>
      <c r="B425" s="59" t="s">
        <v>7264</v>
      </c>
      <c r="C425" s="70">
        <v>44740</v>
      </c>
      <c r="D425" s="70">
        <v>44740</v>
      </c>
      <c r="E425" s="86">
        <v>2</v>
      </c>
      <c r="F425" s="87" t="s">
        <v>22</v>
      </c>
      <c r="G425" s="59" t="s">
        <v>1072</v>
      </c>
      <c r="H425" s="55" t="s">
        <v>2255</v>
      </c>
      <c r="I425" s="59" t="s">
        <v>1072</v>
      </c>
      <c r="J425" s="70">
        <v>44740</v>
      </c>
      <c r="K425" s="70" t="s">
        <v>7265</v>
      </c>
      <c r="L425" s="88">
        <v>0</v>
      </c>
      <c r="M425" s="59" t="s">
        <v>7266</v>
      </c>
      <c r="N425" s="59" t="s">
        <v>1025</v>
      </c>
      <c r="O425" s="59" t="s">
        <v>1026</v>
      </c>
      <c r="P425" s="59" t="s">
        <v>1030</v>
      </c>
      <c r="Q425" s="59" t="str">
        <f t="shared" si="13"/>
        <v>DENTRO DEL TIEMPO</v>
      </c>
      <c r="R425" s="28"/>
    </row>
    <row r="426" spans="1:18" ht="58.5" x14ac:dyDescent="0.25">
      <c r="A426" s="86">
        <v>421</v>
      </c>
      <c r="B426" s="59" t="s">
        <v>7267</v>
      </c>
      <c r="C426" s="70">
        <v>44740</v>
      </c>
      <c r="D426" s="70">
        <v>44741</v>
      </c>
      <c r="E426" s="86">
        <v>2</v>
      </c>
      <c r="F426" s="87" t="s">
        <v>22</v>
      </c>
      <c r="G426" s="59" t="s">
        <v>1072</v>
      </c>
      <c r="H426" s="55" t="s">
        <v>2255</v>
      </c>
      <c r="I426" s="59" t="s">
        <v>1072</v>
      </c>
      <c r="J426" s="70">
        <v>44741</v>
      </c>
      <c r="K426" s="70">
        <v>44741</v>
      </c>
      <c r="L426" s="88">
        <v>0</v>
      </c>
      <c r="M426" s="59" t="s">
        <v>7268</v>
      </c>
      <c r="N426" s="59" t="s">
        <v>1025</v>
      </c>
      <c r="O426" s="59" t="s">
        <v>1026</v>
      </c>
      <c r="P426" s="59" t="s">
        <v>1030</v>
      </c>
      <c r="Q426" s="59" t="str">
        <f t="shared" si="13"/>
        <v>DENTRO DEL TIEMPO</v>
      </c>
      <c r="R426" s="28"/>
    </row>
    <row r="427" spans="1:18" ht="58.5" x14ac:dyDescent="0.25">
      <c r="A427" s="86">
        <v>422</v>
      </c>
      <c r="B427" s="59" t="s">
        <v>7269</v>
      </c>
      <c r="C427" s="70">
        <v>44740</v>
      </c>
      <c r="D427" s="70">
        <v>44742</v>
      </c>
      <c r="E427" s="86">
        <v>1</v>
      </c>
      <c r="F427" s="87" t="s">
        <v>22</v>
      </c>
      <c r="G427" s="59" t="s">
        <v>1072</v>
      </c>
      <c r="H427" s="55" t="s">
        <v>2255</v>
      </c>
      <c r="I427" s="59" t="s">
        <v>1072</v>
      </c>
      <c r="J427" s="70">
        <v>44741</v>
      </c>
      <c r="K427" s="70">
        <v>44741</v>
      </c>
      <c r="L427" s="88">
        <v>0</v>
      </c>
      <c r="M427" s="59" t="s">
        <v>7270</v>
      </c>
      <c r="N427" s="59" t="s">
        <v>1025</v>
      </c>
      <c r="O427" s="59" t="s">
        <v>1047</v>
      </c>
      <c r="P427" s="59" t="s">
        <v>1030</v>
      </c>
      <c r="Q427" s="59" t="str">
        <f t="shared" si="13"/>
        <v>DENTRO DEL TIEMPO</v>
      </c>
      <c r="R427" s="28"/>
    </row>
    <row r="428" spans="1:18" ht="58.5" x14ac:dyDescent="0.25">
      <c r="A428" s="86">
        <v>423</v>
      </c>
      <c r="B428" s="59" t="s">
        <v>7271</v>
      </c>
      <c r="C428" s="70">
        <v>44740</v>
      </c>
      <c r="D428" s="70">
        <v>44743</v>
      </c>
      <c r="E428" s="86">
        <v>2</v>
      </c>
      <c r="F428" s="87" t="s">
        <v>22</v>
      </c>
      <c r="G428" s="59" t="s">
        <v>1072</v>
      </c>
      <c r="H428" s="55" t="s">
        <v>2255</v>
      </c>
      <c r="I428" s="59" t="s">
        <v>1072</v>
      </c>
      <c r="J428" s="70">
        <v>44741</v>
      </c>
      <c r="K428" s="70">
        <v>44741</v>
      </c>
      <c r="L428" s="88">
        <v>0</v>
      </c>
      <c r="M428" s="59" t="s">
        <v>7272</v>
      </c>
      <c r="N428" s="59" t="s">
        <v>1025</v>
      </c>
      <c r="O428" s="59" t="s">
        <v>1047</v>
      </c>
      <c r="P428" s="59" t="s">
        <v>1030</v>
      </c>
      <c r="Q428" s="59" t="str">
        <f t="shared" si="13"/>
        <v>DENTRO DEL TIEMPO</v>
      </c>
      <c r="R428" s="28"/>
    </row>
    <row r="429" spans="1:18" ht="58.5" x14ac:dyDescent="0.25">
      <c r="A429" s="86">
        <v>424</v>
      </c>
      <c r="B429" s="59" t="s">
        <v>7273</v>
      </c>
      <c r="C429" s="70">
        <v>44742</v>
      </c>
      <c r="D429" s="70">
        <v>44742</v>
      </c>
      <c r="E429" s="86">
        <v>2</v>
      </c>
      <c r="F429" s="87" t="s">
        <v>22</v>
      </c>
      <c r="G429" s="59" t="s">
        <v>1072</v>
      </c>
      <c r="H429" s="55" t="s">
        <v>2255</v>
      </c>
      <c r="I429" s="59" t="s">
        <v>1072</v>
      </c>
      <c r="J429" s="70">
        <v>44742</v>
      </c>
      <c r="K429" s="70">
        <v>44742</v>
      </c>
      <c r="L429" s="88">
        <v>0</v>
      </c>
      <c r="M429" s="59" t="s">
        <v>7274</v>
      </c>
      <c r="N429" s="59" t="s">
        <v>1025</v>
      </c>
      <c r="O429" s="59" t="s">
        <v>1093</v>
      </c>
      <c r="P429" s="59" t="s">
        <v>1030</v>
      </c>
      <c r="Q429" s="59" t="str">
        <f t="shared" si="13"/>
        <v>DENTRO DEL TIEMPO</v>
      </c>
      <c r="R429" s="28"/>
    </row>
  </sheetData>
  <autoFilter ref="A5:R429">
    <filterColumn colId="5">
      <filters>
        <filter val="ATENDIDO"/>
        <filter val="EN TRAMITE"/>
      </filters>
    </filterColumn>
  </autoFilter>
  <mergeCells count="3">
    <mergeCell ref="A1:R1"/>
    <mergeCell ref="A2:R2"/>
    <mergeCell ref="A3:R3"/>
  </mergeCells>
  <dataValidations count="1">
    <dataValidation type="list" allowBlank="1" showInputMessage="1" showErrorMessage="1" sqref="F392:F400">
      <formula1>#REF!</formula1>
    </dataValidation>
  </dataValidations>
  <pageMargins left="0.7" right="0.7" top="0.75" bottom="0.75" header="0.3" footer="0.3"/>
  <pageSetup orientation="portrait" horizontalDpi="4294967292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432"/>
  <sheetViews>
    <sheetView topLeftCell="A420" zoomScale="70" zoomScaleNormal="70" workbookViewId="0">
      <selection activeCell="C426" sqref="C426"/>
    </sheetView>
  </sheetViews>
  <sheetFormatPr baseColWidth="10" defaultRowHeight="15" x14ac:dyDescent="0.25"/>
  <cols>
    <col min="3" max="3" width="14.85546875" customWidth="1"/>
    <col min="4" max="4" width="14.140625" customWidth="1"/>
    <col min="8" max="8" width="14.42578125" customWidth="1"/>
    <col min="10" max="10" width="13.28515625" customWidth="1"/>
    <col min="11" max="11" width="13.85546875" customWidth="1"/>
    <col min="16" max="16" width="14.85546875" customWidth="1"/>
  </cols>
  <sheetData>
    <row r="1" spans="1:18" ht="18" x14ac:dyDescent="0.25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</row>
    <row r="2" spans="1:18" ht="18" x14ac:dyDescent="0.25">
      <c r="A2" s="103" t="s">
        <v>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</row>
    <row r="3" spans="1:18" ht="18" x14ac:dyDescent="0.25">
      <c r="A3" s="103" t="s">
        <v>4889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</row>
    <row r="5" spans="1:18" ht="45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</row>
    <row r="6" spans="1:18" ht="66.75" customHeight="1" x14ac:dyDescent="0.25">
      <c r="A6" s="89">
        <v>1</v>
      </c>
      <c r="B6" s="90" t="s">
        <v>7275</v>
      </c>
      <c r="C6" s="91">
        <v>44743</v>
      </c>
      <c r="D6" s="91">
        <v>44743</v>
      </c>
      <c r="E6" s="24">
        <v>2</v>
      </c>
      <c r="F6" s="92" t="s">
        <v>22</v>
      </c>
      <c r="G6" s="55" t="s">
        <v>30</v>
      </c>
      <c r="H6" s="55" t="s">
        <v>24</v>
      </c>
      <c r="I6" s="55" t="s">
        <v>92</v>
      </c>
      <c r="J6" s="91">
        <v>44746</v>
      </c>
      <c r="K6" s="91">
        <v>44746</v>
      </c>
      <c r="L6" s="93">
        <f>+NETWORKDAYS(D6,K6,$R$6:$R$9)-1</f>
        <v>1</v>
      </c>
      <c r="M6" s="55" t="s">
        <v>7276</v>
      </c>
      <c r="N6" s="90" t="s">
        <v>26</v>
      </c>
      <c r="O6" s="55" t="s">
        <v>2306</v>
      </c>
      <c r="P6" s="94" t="s">
        <v>1768</v>
      </c>
      <c r="Q6" s="90" t="str">
        <f>IF(L6&gt;15,"FUERA DE TIEMPO","DENTRO DEL TIEMPO")</f>
        <v>DENTRO DEL TIEMPO</v>
      </c>
      <c r="R6" s="24"/>
    </row>
    <row r="7" spans="1:18" ht="48.75" x14ac:dyDescent="0.25">
      <c r="A7" s="89">
        <v>2</v>
      </c>
      <c r="B7" s="90" t="s">
        <v>7277</v>
      </c>
      <c r="C7" s="91">
        <v>44743</v>
      </c>
      <c r="D7" s="91">
        <v>44743</v>
      </c>
      <c r="E7" s="24">
        <v>2</v>
      </c>
      <c r="F7" s="92" t="s">
        <v>22</v>
      </c>
      <c r="G7" s="55" t="s">
        <v>30</v>
      </c>
      <c r="H7" s="55" t="s">
        <v>24</v>
      </c>
      <c r="I7" s="55" t="s">
        <v>92</v>
      </c>
      <c r="J7" s="91">
        <v>44746</v>
      </c>
      <c r="K7" s="91">
        <v>44746</v>
      </c>
      <c r="L7" s="93">
        <f t="shared" ref="L7:L70" si="0">+NETWORKDAYS(D7,K7,$R$6:$R$9)-1</f>
        <v>1</v>
      </c>
      <c r="M7" s="55" t="s">
        <v>7278</v>
      </c>
      <c r="N7" s="90" t="s">
        <v>26</v>
      </c>
      <c r="O7" s="55" t="s">
        <v>2306</v>
      </c>
      <c r="P7" s="94" t="s">
        <v>1768</v>
      </c>
      <c r="Q7" s="90" t="str">
        <f t="shared" ref="Q7:Q70" si="1">IF(L7&gt;15,"FUERA DE TIEMPO","DENTRO DEL TIEMPO")</f>
        <v>DENTRO DEL TIEMPO</v>
      </c>
      <c r="R7" s="24"/>
    </row>
    <row r="8" spans="1:18" ht="48.75" x14ac:dyDescent="0.25">
      <c r="A8" s="89">
        <v>3</v>
      </c>
      <c r="B8" s="90" t="s">
        <v>7279</v>
      </c>
      <c r="C8" s="91">
        <v>44743</v>
      </c>
      <c r="D8" s="91">
        <v>44743</v>
      </c>
      <c r="E8" s="24">
        <v>2</v>
      </c>
      <c r="F8" s="92" t="s">
        <v>22</v>
      </c>
      <c r="G8" s="55" t="s">
        <v>30</v>
      </c>
      <c r="H8" s="55" t="s">
        <v>24</v>
      </c>
      <c r="I8" s="55" t="s">
        <v>92</v>
      </c>
      <c r="J8" s="91">
        <v>44747</v>
      </c>
      <c r="K8" s="91">
        <v>44747</v>
      </c>
      <c r="L8" s="93">
        <f t="shared" si="0"/>
        <v>2</v>
      </c>
      <c r="M8" s="55" t="s">
        <v>7280</v>
      </c>
      <c r="N8" s="90" t="s">
        <v>26</v>
      </c>
      <c r="O8" s="55" t="s">
        <v>2407</v>
      </c>
      <c r="P8" s="94" t="s">
        <v>3330</v>
      </c>
      <c r="Q8" s="90" t="str">
        <f t="shared" si="1"/>
        <v>DENTRO DEL TIEMPO</v>
      </c>
      <c r="R8" s="24"/>
    </row>
    <row r="9" spans="1:18" ht="48.75" x14ac:dyDescent="0.25">
      <c r="A9" s="89">
        <v>4</v>
      </c>
      <c r="B9" s="90" t="s">
        <v>7281</v>
      </c>
      <c r="C9" s="91">
        <v>44743</v>
      </c>
      <c r="D9" s="91">
        <v>44743</v>
      </c>
      <c r="E9" s="24">
        <v>2</v>
      </c>
      <c r="F9" s="92" t="s">
        <v>22</v>
      </c>
      <c r="G9" s="55" t="s">
        <v>30</v>
      </c>
      <c r="H9" s="55" t="s">
        <v>24</v>
      </c>
      <c r="I9" s="55" t="s">
        <v>92</v>
      </c>
      <c r="J9" s="91">
        <v>44747</v>
      </c>
      <c r="K9" s="91">
        <v>44747</v>
      </c>
      <c r="L9" s="93">
        <f t="shared" si="0"/>
        <v>2</v>
      </c>
      <c r="M9" s="55" t="s">
        <v>7282</v>
      </c>
      <c r="N9" s="90" t="s">
        <v>26</v>
      </c>
      <c r="O9" s="55" t="s">
        <v>2602</v>
      </c>
      <c r="P9" s="94" t="s">
        <v>7283</v>
      </c>
      <c r="Q9" s="90" t="str">
        <f t="shared" si="1"/>
        <v>DENTRO DEL TIEMPO</v>
      </c>
      <c r="R9" s="24"/>
    </row>
    <row r="10" spans="1:18" ht="48.75" x14ac:dyDescent="0.25">
      <c r="A10" s="89">
        <v>5</v>
      </c>
      <c r="B10" s="90" t="s">
        <v>7284</v>
      </c>
      <c r="C10" s="91">
        <v>44743</v>
      </c>
      <c r="D10" s="91">
        <v>44743</v>
      </c>
      <c r="E10" s="24">
        <v>2</v>
      </c>
      <c r="F10" s="92" t="s">
        <v>22</v>
      </c>
      <c r="G10" s="55" t="s">
        <v>30</v>
      </c>
      <c r="H10" s="55" t="s">
        <v>24</v>
      </c>
      <c r="I10" s="55" t="s">
        <v>92</v>
      </c>
      <c r="J10" s="91">
        <v>44747</v>
      </c>
      <c r="K10" s="91">
        <v>44747</v>
      </c>
      <c r="L10" s="93">
        <f t="shared" si="0"/>
        <v>2</v>
      </c>
      <c r="M10" s="55" t="s">
        <v>7285</v>
      </c>
      <c r="N10" s="90" t="s">
        <v>26</v>
      </c>
      <c r="O10" s="55" t="s">
        <v>2333</v>
      </c>
      <c r="P10" s="94" t="s">
        <v>1588</v>
      </c>
      <c r="Q10" s="90" t="str">
        <f t="shared" si="1"/>
        <v>DENTRO DEL TIEMPO</v>
      </c>
      <c r="R10" s="24"/>
    </row>
    <row r="11" spans="1:18" ht="48.75" x14ac:dyDescent="0.25">
      <c r="A11" s="89">
        <v>6</v>
      </c>
      <c r="B11" s="90" t="s">
        <v>7286</v>
      </c>
      <c r="C11" s="91">
        <v>44743</v>
      </c>
      <c r="D11" s="91">
        <v>44743</v>
      </c>
      <c r="E11" s="24">
        <v>2</v>
      </c>
      <c r="F11" s="92" t="s">
        <v>22</v>
      </c>
      <c r="G11" s="55" t="s">
        <v>30</v>
      </c>
      <c r="H11" s="55" t="s">
        <v>24</v>
      </c>
      <c r="I11" s="55" t="s">
        <v>92</v>
      </c>
      <c r="J11" s="91">
        <v>44747</v>
      </c>
      <c r="K11" s="91">
        <v>44747</v>
      </c>
      <c r="L11" s="93">
        <f t="shared" si="0"/>
        <v>2</v>
      </c>
      <c r="M11" s="55" t="s">
        <v>7287</v>
      </c>
      <c r="N11" s="90" t="s">
        <v>26</v>
      </c>
      <c r="O11" s="55" t="s">
        <v>2333</v>
      </c>
      <c r="P11" s="94" t="s">
        <v>1588</v>
      </c>
      <c r="Q11" s="90" t="str">
        <f t="shared" si="1"/>
        <v>DENTRO DEL TIEMPO</v>
      </c>
      <c r="R11" s="24"/>
    </row>
    <row r="12" spans="1:18" ht="48.75" x14ac:dyDescent="0.25">
      <c r="A12" s="89">
        <v>7</v>
      </c>
      <c r="B12" s="90" t="s">
        <v>7288</v>
      </c>
      <c r="C12" s="91">
        <v>44743</v>
      </c>
      <c r="D12" s="91">
        <v>44743</v>
      </c>
      <c r="E12" s="24">
        <v>2</v>
      </c>
      <c r="F12" s="92" t="s">
        <v>22</v>
      </c>
      <c r="G12" s="55" t="s">
        <v>30</v>
      </c>
      <c r="H12" s="55" t="s">
        <v>24</v>
      </c>
      <c r="I12" s="55" t="s">
        <v>92</v>
      </c>
      <c r="J12" s="91">
        <v>44747</v>
      </c>
      <c r="K12" s="91">
        <v>44747</v>
      </c>
      <c r="L12" s="93">
        <f t="shared" si="0"/>
        <v>2</v>
      </c>
      <c r="M12" s="55" t="s">
        <v>7289</v>
      </c>
      <c r="N12" s="90" t="s">
        <v>26</v>
      </c>
      <c r="O12" s="55" t="s">
        <v>2333</v>
      </c>
      <c r="P12" s="94" t="s">
        <v>1588</v>
      </c>
      <c r="Q12" s="90" t="str">
        <f t="shared" si="1"/>
        <v>DENTRO DEL TIEMPO</v>
      </c>
      <c r="R12" s="24"/>
    </row>
    <row r="13" spans="1:18" ht="48.75" x14ac:dyDescent="0.25">
      <c r="A13" s="89">
        <v>8</v>
      </c>
      <c r="B13" s="90" t="s">
        <v>7290</v>
      </c>
      <c r="C13" s="91">
        <v>44743</v>
      </c>
      <c r="D13" s="91">
        <v>44743</v>
      </c>
      <c r="E13" s="24">
        <v>2</v>
      </c>
      <c r="F13" s="92" t="s">
        <v>22</v>
      </c>
      <c r="G13" s="55" t="s">
        <v>30</v>
      </c>
      <c r="H13" s="55" t="s">
        <v>24</v>
      </c>
      <c r="I13" s="55" t="s">
        <v>92</v>
      </c>
      <c r="J13" s="91">
        <v>44747</v>
      </c>
      <c r="K13" s="91">
        <v>44747</v>
      </c>
      <c r="L13" s="93">
        <f t="shared" si="0"/>
        <v>2</v>
      </c>
      <c r="M13" s="55" t="s">
        <v>7291</v>
      </c>
      <c r="N13" s="90" t="s">
        <v>26</v>
      </c>
      <c r="O13" s="55" t="s">
        <v>7292</v>
      </c>
      <c r="P13" s="94" t="s">
        <v>2934</v>
      </c>
      <c r="Q13" s="90" t="str">
        <f t="shared" si="1"/>
        <v>DENTRO DEL TIEMPO</v>
      </c>
      <c r="R13" s="24"/>
    </row>
    <row r="14" spans="1:18" ht="48.75" x14ac:dyDescent="0.25">
      <c r="A14" s="89">
        <v>9</v>
      </c>
      <c r="B14" s="90" t="s">
        <v>7293</v>
      </c>
      <c r="C14" s="91">
        <v>44743</v>
      </c>
      <c r="D14" s="91">
        <v>44743</v>
      </c>
      <c r="E14" s="24">
        <v>2</v>
      </c>
      <c r="F14" s="92" t="s">
        <v>22</v>
      </c>
      <c r="G14" s="55" t="s">
        <v>30</v>
      </c>
      <c r="H14" s="55" t="s">
        <v>24</v>
      </c>
      <c r="I14" s="55" t="s">
        <v>92</v>
      </c>
      <c r="J14" s="91">
        <v>44747</v>
      </c>
      <c r="K14" s="91">
        <v>44747</v>
      </c>
      <c r="L14" s="93">
        <f t="shared" si="0"/>
        <v>2</v>
      </c>
      <c r="M14" s="55" t="s">
        <v>7294</v>
      </c>
      <c r="N14" s="90" t="s">
        <v>26</v>
      </c>
      <c r="O14" s="55" t="s">
        <v>7295</v>
      </c>
      <c r="P14" s="94" t="s">
        <v>1404</v>
      </c>
      <c r="Q14" s="90" t="str">
        <f t="shared" si="1"/>
        <v>DENTRO DEL TIEMPO</v>
      </c>
      <c r="R14" s="24"/>
    </row>
    <row r="15" spans="1:18" ht="39" hidden="1" x14ac:dyDescent="0.25">
      <c r="A15" s="89">
        <v>10</v>
      </c>
      <c r="B15" s="90" t="s">
        <v>7296</v>
      </c>
      <c r="C15" s="91">
        <v>44743</v>
      </c>
      <c r="D15" s="91">
        <v>44743</v>
      </c>
      <c r="E15" s="24">
        <v>0</v>
      </c>
      <c r="F15" s="92" t="s">
        <v>790</v>
      </c>
      <c r="G15" s="55" t="s">
        <v>7297</v>
      </c>
      <c r="H15" s="55" t="s">
        <v>2592</v>
      </c>
      <c r="I15" s="55" t="s">
        <v>7298</v>
      </c>
      <c r="J15" s="91"/>
      <c r="K15" s="91"/>
      <c r="L15" s="93">
        <f t="shared" si="0"/>
        <v>-31961</v>
      </c>
      <c r="M15" s="55"/>
      <c r="N15" s="90" t="s">
        <v>26</v>
      </c>
      <c r="O15" s="55" t="s">
        <v>3080</v>
      </c>
      <c r="P15" s="94" t="s">
        <v>7299</v>
      </c>
      <c r="Q15" s="90" t="str">
        <f t="shared" si="1"/>
        <v>DENTRO DEL TIEMPO</v>
      </c>
      <c r="R15" s="24"/>
    </row>
    <row r="16" spans="1:18" ht="48.75" x14ac:dyDescent="0.25">
      <c r="A16" s="89">
        <v>11</v>
      </c>
      <c r="B16" s="90" t="s">
        <v>7300</v>
      </c>
      <c r="C16" s="91">
        <v>44743</v>
      </c>
      <c r="D16" s="91">
        <v>44743</v>
      </c>
      <c r="E16" s="24">
        <v>2</v>
      </c>
      <c r="F16" s="92" t="s">
        <v>22</v>
      </c>
      <c r="G16" s="55" t="s">
        <v>30</v>
      </c>
      <c r="H16" s="55" t="s">
        <v>24</v>
      </c>
      <c r="I16" s="55" t="s">
        <v>92</v>
      </c>
      <c r="J16" s="91">
        <v>44747</v>
      </c>
      <c r="K16" s="91">
        <v>44747</v>
      </c>
      <c r="L16" s="93">
        <f t="shared" si="0"/>
        <v>2</v>
      </c>
      <c r="M16" s="55" t="s">
        <v>7301</v>
      </c>
      <c r="N16" s="90" t="s">
        <v>26</v>
      </c>
      <c r="O16" s="55" t="s">
        <v>2743</v>
      </c>
      <c r="P16" s="94" t="s">
        <v>1784</v>
      </c>
      <c r="Q16" s="90" t="str">
        <f t="shared" si="1"/>
        <v>DENTRO DEL TIEMPO</v>
      </c>
      <c r="R16" s="24"/>
    </row>
    <row r="17" spans="1:18" ht="48.75" x14ac:dyDescent="0.25">
      <c r="A17" s="89">
        <v>12</v>
      </c>
      <c r="B17" s="90" t="s">
        <v>7302</v>
      </c>
      <c r="C17" s="91">
        <v>44743</v>
      </c>
      <c r="D17" s="91">
        <v>44743</v>
      </c>
      <c r="E17" s="24">
        <v>120</v>
      </c>
      <c r="F17" s="92" t="s">
        <v>22</v>
      </c>
      <c r="G17" s="55" t="s">
        <v>23</v>
      </c>
      <c r="H17" s="55" t="s">
        <v>24</v>
      </c>
      <c r="I17" s="55" t="s">
        <v>49</v>
      </c>
      <c r="J17" s="91">
        <v>44748</v>
      </c>
      <c r="K17" s="91">
        <v>44748</v>
      </c>
      <c r="L17" s="93">
        <f t="shared" si="0"/>
        <v>3</v>
      </c>
      <c r="M17" s="55" t="s">
        <v>7303</v>
      </c>
      <c r="N17" s="90" t="s">
        <v>26</v>
      </c>
      <c r="O17" s="55" t="s">
        <v>7304</v>
      </c>
      <c r="P17" s="94" t="s">
        <v>7305</v>
      </c>
      <c r="Q17" s="90" t="str">
        <f t="shared" si="1"/>
        <v>DENTRO DEL TIEMPO</v>
      </c>
      <c r="R17" s="24"/>
    </row>
    <row r="18" spans="1:18" ht="48.75" x14ac:dyDescent="0.25">
      <c r="A18" s="89">
        <v>13</v>
      </c>
      <c r="B18" s="90" t="s">
        <v>7306</v>
      </c>
      <c r="C18" s="91">
        <v>44743</v>
      </c>
      <c r="D18" s="91">
        <v>44743</v>
      </c>
      <c r="E18" s="24">
        <v>2</v>
      </c>
      <c r="F18" s="92" t="s">
        <v>22</v>
      </c>
      <c r="G18" s="55" t="s">
        <v>30</v>
      </c>
      <c r="H18" s="55" t="s">
        <v>24</v>
      </c>
      <c r="I18" s="55" t="s">
        <v>92</v>
      </c>
      <c r="J18" s="91">
        <v>44747</v>
      </c>
      <c r="K18" s="91">
        <v>44747</v>
      </c>
      <c r="L18" s="93">
        <f t="shared" si="0"/>
        <v>2</v>
      </c>
      <c r="M18" s="55" t="s">
        <v>7307</v>
      </c>
      <c r="N18" s="90" t="s">
        <v>26</v>
      </c>
      <c r="O18" s="55" t="s">
        <v>2602</v>
      </c>
      <c r="P18" s="94" t="s">
        <v>7308</v>
      </c>
      <c r="Q18" s="90" t="str">
        <f t="shared" si="1"/>
        <v>DENTRO DEL TIEMPO</v>
      </c>
      <c r="R18" s="24"/>
    </row>
    <row r="19" spans="1:18" ht="48.75" x14ac:dyDescent="0.25">
      <c r="A19" s="89">
        <v>14</v>
      </c>
      <c r="B19" s="90" t="s">
        <v>7309</v>
      </c>
      <c r="C19" s="91">
        <v>44746</v>
      </c>
      <c r="D19" s="91">
        <v>44746</v>
      </c>
      <c r="E19" s="24">
        <v>20</v>
      </c>
      <c r="F19" s="92" t="s">
        <v>22</v>
      </c>
      <c r="G19" s="55" t="s">
        <v>23</v>
      </c>
      <c r="H19" s="55" t="s">
        <v>24</v>
      </c>
      <c r="I19" s="55" t="s">
        <v>49</v>
      </c>
      <c r="J19" s="91">
        <v>44748</v>
      </c>
      <c r="K19" s="91">
        <v>44748</v>
      </c>
      <c r="L19" s="93">
        <f t="shared" si="0"/>
        <v>2</v>
      </c>
      <c r="M19" s="55" t="s">
        <v>7310</v>
      </c>
      <c r="N19" s="90" t="s">
        <v>26</v>
      </c>
      <c r="O19" s="55" t="s">
        <v>7311</v>
      </c>
      <c r="P19" s="94" t="s">
        <v>7312</v>
      </c>
      <c r="Q19" s="90" t="str">
        <f t="shared" si="1"/>
        <v>DENTRO DEL TIEMPO</v>
      </c>
      <c r="R19" s="24"/>
    </row>
    <row r="20" spans="1:18" ht="48.75" x14ac:dyDescent="0.25">
      <c r="A20" s="89">
        <v>15</v>
      </c>
      <c r="B20" s="90" t="s">
        <v>7313</v>
      </c>
      <c r="C20" s="91">
        <v>44746</v>
      </c>
      <c r="D20" s="91">
        <v>44746</v>
      </c>
      <c r="E20" s="24">
        <v>2</v>
      </c>
      <c r="F20" s="92" t="s">
        <v>22</v>
      </c>
      <c r="G20" s="55" t="s">
        <v>30</v>
      </c>
      <c r="H20" s="55" t="s">
        <v>24</v>
      </c>
      <c r="I20" s="55" t="s">
        <v>92</v>
      </c>
      <c r="J20" s="91">
        <v>44747</v>
      </c>
      <c r="K20" s="91">
        <v>44747</v>
      </c>
      <c r="L20" s="93">
        <f t="shared" si="0"/>
        <v>1</v>
      </c>
      <c r="M20" s="55" t="s">
        <v>7314</v>
      </c>
      <c r="N20" s="90" t="s">
        <v>26</v>
      </c>
      <c r="O20" s="55" t="s">
        <v>6252</v>
      </c>
      <c r="P20" s="94" t="s">
        <v>1296</v>
      </c>
      <c r="Q20" s="90" t="str">
        <f t="shared" si="1"/>
        <v>DENTRO DEL TIEMPO</v>
      </c>
      <c r="R20" s="24"/>
    </row>
    <row r="21" spans="1:18" ht="48.75" x14ac:dyDescent="0.25">
      <c r="A21" s="89">
        <v>16</v>
      </c>
      <c r="B21" s="90" t="s">
        <v>7315</v>
      </c>
      <c r="C21" s="91">
        <v>44746</v>
      </c>
      <c r="D21" s="91">
        <v>44746</v>
      </c>
      <c r="E21" s="24">
        <v>2</v>
      </c>
      <c r="F21" s="92" t="s">
        <v>22</v>
      </c>
      <c r="G21" s="55" t="s">
        <v>30</v>
      </c>
      <c r="H21" s="55" t="s">
        <v>24</v>
      </c>
      <c r="I21" s="55" t="s">
        <v>92</v>
      </c>
      <c r="J21" s="91">
        <v>44747</v>
      </c>
      <c r="K21" s="91">
        <v>44747</v>
      </c>
      <c r="L21" s="93">
        <f t="shared" si="0"/>
        <v>1</v>
      </c>
      <c r="M21" s="55" t="s">
        <v>7316</v>
      </c>
      <c r="N21" s="90" t="s">
        <v>26</v>
      </c>
      <c r="O21" s="55" t="s">
        <v>6246</v>
      </c>
      <c r="P21" s="94" t="s">
        <v>1296</v>
      </c>
      <c r="Q21" s="90" t="str">
        <f t="shared" si="1"/>
        <v>DENTRO DEL TIEMPO</v>
      </c>
      <c r="R21" s="24"/>
    </row>
    <row r="22" spans="1:18" ht="48.75" x14ac:dyDescent="0.25">
      <c r="A22" s="89">
        <v>17</v>
      </c>
      <c r="B22" s="90" t="s">
        <v>7317</v>
      </c>
      <c r="C22" s="91">
        <v>44746</v>
      </c>
      <c r="D22" s="91">
        <v>44746</v>
      </c>
      <c r="E22" s="24">
        <v>2</v>
      </c>
      <c r="F22" s="92" t="s">
        <v>22</v>
      </c>
      <c r="G22" s="55" t="s">
        <v>30</v>
      </c>
      <c r="H22" s="55" t="s">
        <v>24</v>
      </c>
      <c r="I22" s="55" t="s">
        <v>92</v>
      </c>
      <c r="J22" s="91">
        <v>44747</v>
      </c>
      <c r="K22" s="91">
        <v>44747</v>
      </c>
      <c r="L22" s="93">
        <f t="shared" si="0"/>
        <v>1</v>
      </c>
      <c r="M22" s="55" t="s">
        <v>7318</v>
      </c>
      <c r="N22" s="90" t="s">
        <v>26</v>
      </c>
      <c r="O22" s="55" t="s">
        <v>7319</v>
      </c>
      <c r="P22" s="94" t="s">
        <v>1296</v>
      </c>
      <c r="Q22" s="90" t="str">
        <f t="shared" si="1"/>
        <v>DENTRO DEL TIEMPO</v>
      </c>
      <c r="R22" s="24"/>
    </row>
    <row r="23" spans="1:18" ht="48.75" x14ac:dyDescent="0.25">
      <c r="A23" s="89">
        <v>18</v>
      </c>
      <c r="B23" s="90" t="s">
        <v>7320</v>
      </c>
      <c r="C23" s="91">
        <v>44746</v>
      </c>
      <c r="D23" s="91">
        <v>44746</v>
      </c>
      <c r="E23" s="24">
        <v>2</v>
      </c>
      <c r="F23" s="92" t="s">
        <v>22</v>
      </c>
      <c r="G23" s="55" t="s">
        <v>30</v>
      </c>
      <c r="H23" s="55" t="s">
        <v>24</v>
      </c>
      <c r="I23" s="55" t="s">
        <v>92</v>
      </c>
      <c r="J23" s="91">
        <v>44747</v>
      </c>
      <c r="K23" s="91">
        <v>44747</v>
      </c>
      <c r="L23" s="93">
        <f t="shared" si="0"/>
        <v>1</v>
      </c>
      <c r="M23" s="55" t="s">
        <v>7321</v>
      </c>
      <c r="N23" s="90" t="s">
        <v>26</v>
      </c>
      <c r="O23" s="55" t="s">
        <v>6246</v>
      </c>
      <c r="P23" s="94" t="s">
        <v>1296</v>
      </c>
      <c r="Q23" s="90" t="str">
        <f t="shared" si="1"/>
        <v>DENTRO DEL TIEMPO</v>
      </c>
      <c r="R23" s="24"/>
    </row>
    <row r="24" spans="1:18" ht="48.75" x14ac:dyDescent="0.25">
      <c r="A24" s="89">
        <v>19</v>
      </c>
      <c r="B24" s="90" t="s">
        <v>7322</v>
      </c>
      <c r="C24" s="91">
        <v>44746</v>
      </c>
      <c r="D24" s="91">
        <v>44746</v>
      </c>
      <c r="E24" s="24">
        <v>2</v>
      </c>
      <c r="F24" s="92" t="s">
        <v>22</v>
      </c>
      <c r="G24" s="55" t="s">
        <v>30</v>
      </c>
      <c r="H24" s="55" t="s">
        <v>24</v>
      </c>
      <c r="I24" s="55" t="s">
        <v>92</v>
      </c>
      <c r="J24" s="91">
        <v>44748</v>
      </c>
      <c r="K24" s="91">
        <v>44748</v>
      </c>
      <c r="L24" s="93">
        <f t="shared" si="0"/>
        <v>2</v>
      </c>
      <c r="M24" s="55" t="s">
        <v>7323</v>
      </c>
      <c r="N24" s="90" t="s">
        <v>26</v>
      </c>
      <c r="O24" s="55" t="s">
        <v>6246</v>
      </c>
      <c r="P24" s="94" t="s">
        <v>1296</v>
      </c>
      <c r="Q24" s="90" t="str">
        <f t="shared" si="1"/>
        <v>DENTRO DEL TIEMPO</v>
      </c>
      <c r="R24" s="24"/>
    </row>
    <row r="25" spans="1:18" ht="48.75" x14ac:dyDescent="0.25">
      <c r="A25" s="89">
        <v>20</v>
      </c>
      <c r="B25" s="90" t="s">
        <v>7324</v>
      </c>
      <c r="C25" s="91">
        <v>44746</v>
      </c>
      <c r="D25" s="91">
        <v>44746</v>
      </c>
      <c r="E25" s="24">
        <v>2</v>
      </c>
      <c r="F25" s="92" t="s">
        <v>22</v>
      </c>
      <c r="G25" s="55" t="s">
        <v>30</v>
      </c>
      <c r="H25" s="55" t="s">
        <v>24</v>
      </c>
      <c r="I25" s="55" t="s">
        <v>92</v>
      </c>
      <c r="J25" s="91">
        <v>44748</v>
      </c>
      <c r="K25" s="91">
        <v>44748</v>
      </c>
      <c r="L25" s="93">
        <f t="shared" si="0"/>
        <v>2</v>
      </c>
      <c r="M25" s="55" t="s">
        <v>7325</v>
      </c>
      <c r="N25" s="90" t="s">
        <v>26</v>
      </c>
      <c r="O25" s="55" t="s">
        <v>2333</v>
      </c>
      <c r="P25" s="94" t="s">
        <v>1487</v>
      </c>
      <c r="Q25" s="90" t="str">
        <f t="shared" si="1"/>
        <v>DENTRO DEL TIEMPO</v>
      </c>
      <c r="R25" s="24"/>
    </row>
    <row r="26" spans="1:18" ht="33.75" hidden="1" x14ac:dyDescent="0.25">
      <c r="A26" s="89">
        <v>21</v>
      </c>
      <c r="B26" s="90" t="s">
        <v>7326</v>
      </c>
      <c r="C26" s="91">
        <v>44746</v>
      </c>
      <c r="D26" s="91">
        <v>44755</v>
      </c>
      <c r="E26" s="24">
        <v>0</v>
      </c>
      <c r="F26" s="92" t="s">
        <v>790</v>
      </c>
      <c r="G26" s="55" t="s">
        <v>7327</v>
      </c>
      <c r="H26" s="55" t="s">
        <v>3278</v>
      </c>
      <c r="I26" s="55" t="s">
        <v>7328</v>
      </c>
      <c r="J26" s="91">
        <v>44755</v>
      </c>
      <c r="K26" s="91">
        <v>44755</v>
      </c>
      <c r="L26" s="93">
        <f t="shared" si="0"/>
        <v>0</v>
      </c>
      <c r="M26" s="55" t="s">
        <v>7329</v>
      </c>
      <c r="N26" s="90" t="s">
        <v>26</v>
      </c>
      <c r="O26" s="55" t="s">
        <v>7330</v>
      </c>
      <c r="P26" s="94" t="s">
        <v>1370</v>
      </c>
      <c r="Q26" s="90" t="str">
        <f t="shared" si="1"/>
        <v>DENTRO DEL TIEMPO</v>
      </c>
      <c r="R26" s="24"/>
    </row>
    <row r="27" spans="1:18" ht="48.75" x14ac:dyDescent="0.25">
      <c r="A27" s="89">
        <v>22</v>
      </c>
      <c r="B27" s="90" t="s">
        <v>7331</v>
      </c>
      <c r="C27" s="91">
        <v>44746</v>
      </c>
      <c r="D27" s="91">
        <v>44746</v>
      </c>
      <c r="E27" s="24">
        <v>2</v>
      </c>
      <c r="F27" s="92" t="s">
        <v>22</v>
      </c>
      <c r="G27" s="55" t="s">
        <v>30</v>
      </c>
      <c r="H27" s="55" t="s">
        <v>24</v>
      </c>
      <c r="I27" s="55" t="s">
        <v>92</v>
      </c>
      <c r="J27" s="91">
        <v>44748</v>
      </c>
      <c r="K27" s="91">
        <v>44748</v>
      </c>
      <c r="L27" s="93">
        <f t="shared" si="0"/>
        <v>2</v>
      </c>
      <c r="M27" s="55" t="s">
        <v>7332</v>
      </c>
      <c r="N27" s="90" t="s">
        <v>26</v>
      </c>
      <c r="O27" s="55" t="s">
        <v>2982</v>
      </c>
      <c r="P27" s="94" t="s">
        <v>2965</v>
      </c>
      <c r="Q27" s="90" t="str">
        <f t="shared" si="1"/>
        <v>DENTRO DEL TIEMPO</v>
      </c>
      <c r="R27" s="24"/>
    </row>
    <row r="28" spans="1:18" ht="48.75" x14ac:dyDescent="0.25">
      <c r="A28" s="89">
        <v>23</v>
      </c>
      <c r="B28" s="90" t="s">
        <v>7333</v>
      </c>
      <c r="C28" s="91">
        <v>44746</v>
      </c>
      <c r="D28" s="91">
        <v>44746</v>
      </c>
      <c r="E28" s="24">
        <v>2</v>
      </c>
      <c r="F28" s="92" t="s">
        <v>22</v>
      </c>
      <c r="G28" s="55" t="s">
        <v>30</v>
      </c>
      <c r="H28" s="55" t="s">
        <v>24</v>
      </c>
      <c r="I28" s="55" t="s">
        <v>92</v>
      </c>
      <c r="J28" s="91">
        <v>44748</v>
      </c>
      <c r="K28" s="91">
        <v>44748</v>
      </c>
      <c r="L28" s="93">
        <f t="shared" si="0"/>
        <v>2</v>
      </c>
      <c r="M28" s="55" t="s">
        <v>7334</v>
      </c>
      <c r="N28" s="90" t="s">
        <v>26</v>
      </c>
      <c r="O28" s="55" t="s">
        <v>7335</v>
      </c>
      <c r="P28" s="94" t="s">
        <v>2005</v>
      </c>
      <c r="Q28" s="90" t="str">
        <f t="shared" si="1"/>
        <v>DENTRO DEL TIEMPO</v>
      </c>
      <c r="R28" s="24"/>
    </row>
    <row r="29" spans="1:18" ht="33.75" hidden="1" x14ac:dyDescent="0.25">
      <c r="A29" s="89">
        <v>24</v>
      </c>
      <c r="B29" s="90" t="s">
        <v>7336</v>
      </c>
      <c r="C29" s="91">
        <v>44747</v>
      </c>
      <c r="D29" s="91">
        <v>44764</v>
      </c>
      <c r="E29" s="24">
        <v>0</v>
      </c>
      <c r="F29" s="92" t="s">
        <v>790</v>
      </c>
      <c r="G29" s="55" t="s">
        <v>7337</v>
      </c>
      <c r="H29" s="55" t="s">
        <v>2956</v>
      </c>
      <c r="I29" s="55" t="s">
        <v>7338</v>
      </c>
      <c r="J29" s="91">
        <v>44764</v>
      </c>
      <c r="K29" s="91">
        <v>44764</v>
      </c>
      <c r="L29" s="93">
        <f t="shared" si="0"/>
        <v>0</v>
      </c>
      <c r="M29" s="55" t="s">
        <v>7339</v>
      </c>
      <c r="N29" s="90" t="s">
        <v>26</v>
      </c>
      <c r="O29" s="55" t="s">
        <v>7340</v>
      </c>
      <c r="P29" s="94" t="s">
        <v>7341</v>
      </c>
      <c r="Q29" s="90" t="str">
        <f t="shared" si="1"/>
        <v>DENTRO DEL TIEMPO</v>
      </c>
      <c r="R29" s="24"/>
    </row>
    <row r="30" spans="1:18" ht="48.75" x14ac:dyDescent="0.25">
      <c r="A30" s="89">
        <v>25</v>
      </c>
      <c r="B30" s="90" t="s">
        <v>7342</v>
      </c>
      <c r="C30" s="91">
        <v>44747</v>
      </c>
      <c r="D30" s="91">
        <v>44747</v>
      </c>
      <c r="E30" s="24">
        <v>2</v>
      </c>
      <c r="F30" s="92" t="s">
        <v>22</v>
      </c>
      <c r="G30" s="55" t="s">
        <v>30</v>
      </c>
      <c r="H30" s="55" t="s">
        <v>24</v>
      </c>
      <c r="I30" s="55" t="s">
        <v>92</v>
      </c>
      <c r="J30" s="91">
        <v>44748</v>
      </c>
      <c r="K30" s="91">
        <v>44748</v>
      </c>
      <c r="L30" s="93">
        <f t="shared" si="0"/>
        <v>1</v>
      </c>
      <c r="M30" s="55" t="s">
        <v>7343</v>
      </c>
      <c r="N30" s="90" t="s">
        <v>26</v>
      </c>
      <c r="O30" s="55" t="s">
        <v>7344</v>
      </c>
      <c r="P30" s="94" t="s">
        <v>7345</v>
      </c>
      <c r="Q30" s="90" t="str">
        <f t="shared" si="1"/>
        <v>DENTRO DEL TIEMPO</v>
      </c>
      <c r="R30" s="24"/>
    </row>
    <row r="31" spans="1:18" ht="48.75" x14ac:dyDescent="0.25">
      <c r="A31" s="89">
        <v>26</v>
      </c>
      <c r="B31" s="90" t="s">
        <v>7346</v>
      </c>
      <c r="C31" s="91">
        <v>44747</v>
      </c>
      <c r="D31" s="91">
        <v>44747</v>
      </c>
      <c r="E31" s="24">
        <v>2</v>
      </c>
      <c r="F31" s="92" t="s">
        <v>22</v>
      </c>
      <c r="G31" s="55" t="s">
        <v>30</v>
      </c>
      <c r="H31" s="55" t="s">
        <v>24</v>
      </c>
      <c r="I31" s="55" t="s">
        <v>92</v>
      </c>
      <c r="J31" s="91">
        <v>44748</v>
      </c>
      <c r="K31" s="91">
        <v>44748</v>
      </c>
      <c r="L31" s="93">
        <f t="shared" si="0"/>
        <v>1</v>
      </c>
      <c r="M31" s="55" t="s">
        <v>7347</v>
      </c>
      <c r="N31" s="90" t="s">
        <v>26</v>
      </c>
      <c r="O31" s="55" t="s">
        <v>7348</v>
      </c>
      <c r="P31" s="94" t="s">
        <v>7349</v>
      </c>
      <c r="Q31" s="90" t="str">
        <f t="shared" si="1"/>
        <v>DENTRO DEL TIEMPO</v>
      </c>
      <c r="R31" s="24"/>
    </row>
    <row r="32" spans="1:18" ht="48.75" x14ac:dyDescent="0.25">
      <c r="A32" s="89">
        <v>27</v>
      </c>
      <c r="B32" s="90" t="s">
        <v>7350</v>
      </c>
      <c r="C32" s="91">
        <v>44747</v>
      </c>
      <c r="D32" s="91">
        <v>44747</v>
      </c>
      <c r="E32" s="24">
        <v>2</v>
      </c>
      <c r="F32" s="92" t="s">
        <v>22</v>
      </c>
      <c r="G32" s="55" t="s">
        <v>23</v>
      </c>
      <c r="H32" s="55" t="s">
        <v>24</v>
      </c>
      <c r="I32" s="55" t="s">
        <v>49</v>
      </c>
      <c r="J32" s="91">
        <v>44747</v>
      </c>
      <c r="K32" s="91">
        <v>44747</v>
      </c>
      <c r="L32" s="93">
        <f t="shared" si="0"/>
        <v>0</v>
      </c>
      <c r="M32" s="55" t="s">
        <v>7351</v>
      </c>
      <c r="N32" s="90" t="s">
        <v>26</v>
      </c>
      <c r="O32" s="55" t="s">
        <v>6111</v>
      </c>
      <c r="P32" s="94" t="s">
        <v>7352</v>
      </c>
      <c r="Q32" s="90" t="str">
        <f t="shared" si="1"/>
        <v>DENTRO DEL TIEMPO</v>
      </c>
      <c r="R32" s="24"/>
    </row>
    <row r="33" spans="1:18" ht="48.75" x14ac:dyDescent="0.25">
      <c r="A33" s="89">
        <v>28</v>
      </c>
      <c r="B33" s="90" t="s">
        <v>7353</v>
      </c>
      <c r="C33" s="91">
        <v>44747</v>
      </c>
      <c r="D33" s="91">
        <v>44747</v>
      </c>
      <c r="E33" s="24">
        <v>2</v>
      </c>
      <c r="F33" s="92" t="s">
        <v>22</v>
      </c>
      <c r="G33" s="55" t="s">
        <v>23</v>
      </c>
      <c r="H33" s="55" t="s">
        <v>24</v>
      </c>
      <c r="I33" s="55" t="s">
        <v>49</v>
      </c>
      <c r="J33" s="91">
        <v>44747</v>
      </c>
      <c r="K33" s="91">
        <v>44747</v>
      </c>
      <c r="L33" s="93">
        <f t="shared" si="0"/>
        <v>0</v>
      </c>
      <c r="M33" s="55" t="s">
        <v>7354</v>
      </c>
      <c r="N33" s="90" t="s">
        <v>26</v>
      </c>
      <c r="O33" s="55" t="s">
        <v>7355</v>
      </c>
      <c r="P33" s="94" t="s">
        <v>7356</v>
      </c>
      <c r="Q33" s="90" t="str">
        <f t="shared" si="1"/>
        <v>DENTRO DEL TIEMPO</v>
      </c>
      <c r="R33" s="24"/>
    </row>
    <row r="34" spans="1:18" ht="48.75" x14ac:dyDescent="0.25">
      <c r="A34" s="89">
        <v>29</v>
      </c>
      <c r="B34" s="90" t="s">
        <v>7357</v>
      </c>
      <c r="C34" s="91">
        <v>44747</v>
      </c>
      <c r="D34" s="91">
        <v>44747</v>
      </c>
      <c r="E34" s="24">
        <v>2</v>
      </c>
      <c r="F34" s="92" t="s">
        <v>22</v>
      </c>
      <c r="G34" s="55" t="s">
        <v>30</v>
      </c>
      <c r="H34" s="55" t="s">
        <v>24</v>
      </c>
      <c r="I34" s="55" t="s">
        <v>92</v>
      </c>
      <c r="J34" s="91">
        <v>44749</v>
      </c>
      <c r="K34" s="91">
        <v>44749</v>
      </c>
      <c r="L34" s="93">
        <f t="shared" si="0"/>
        <v>2</v>
      </c>
      <c r="M34" s="55" t="s">
        <v>7358</v>
      </c>
      <c r="N34" s="90" t="s">
        <v>26</v>
      </c>
      <c r="O34" s="55" t="s">
        <v>2290</v>
      </c>
      <c r="P34" s="94" t="s">
        <v>7359</v>
      </c>
      <c r="Q34" s="90" t="str">
        <f t="shared" si="1"/>
        <v>DENTRO DEL TIEMPO</v>
      </c>
      <c r="R34" s="24"/>
    </row>
    <row r="35" spans="1:18" ht="48.75" x14ac:dyDescent="0.25">
      <c r="A35" s="89">
        <v>30</v>
      </c>
      <c r="B35" s="90" t="s">
        <v>7360</v>
      </c>
      <c r="C35" s="91">
        <v>44747</v>
      </c>
      <c r="D35" s="91">
        <v>44747</v>
      </c>
      <c r="E35" s="24">
        <v>2</v>
      </c>
      <c r="F35" s="92" t="s">
        <v>22</v>
      </c>
      <c r="G35" s="55" t="s">
        <v>30</v>
      </c>
      <c r="H35" s="55" t="s">
        <v>24</v>
      </c>
      <c r="I35" s="55" t="s">
        <v>92</v>
      </c>
      <c r="J35" s="91">
        <v>44748</v>
      </c>
      <c r="K35" s="91">
        <v>44748</v>
      </c>
      <c r="L35" s="93">
        <f t="shared" si="0"/>
        <v>1</v>
      </c>
      <c r="M35" s="55" t="s">
        <v>7361</v>
      </c>
      <c r="N35" s="90" t="s">
        <v>26</v>
      </c>
      <c r="O35" s="55" t="s">
        <v>2826</v>
      </c>
      <c r="P35" s="94" t="s">
        <v>1673</v>
      </c>
      <c r="Q35" s="90" t="str">
        <f t="shared" si="1"/>
        <v>DENTRO DEL TIEMPO</v>
      </c>
      <c r="R35" s="24"/>
    </row>
    <row r="36" spans="1:18" ht="48.75" x14ac:dyDescent="0.25">
      <c r="A36" s="89">
        <v>31</v>
      </c>
      <c r="B36" s="90" t="s">
        <v>7362</v>
      </c>
      <c r="C36" s="91">
        <v>44747</v>
      </c>
      <c r="D36" s="91">
        <v>44747</v>
      </c>
      <c r="E36" s="24">
        <v>2</v>
      </c>
      <c r="F36" s="92" t="s">
        <v>22</v>
      </c>
      <c r="G36" s="55" t="s">
        <v>30</v>
      </c>
      <c r="H36" s="55" t="s">
        <v>24</v>
      </c>
      <c r="I36" s="55" t="s">
        <v>92</v>
      </c>
      <c r="J36" s="91">
        <v>44748</v>
      </c>
      <c r="K36" s="91">
        <v>44748</v>
      </c>
      <c r="L36" s="93">
        <f t="shared" si="0"/>
        <v>1</v>
      </c>
      <c r="M36" s="55" t="s">
        <v>7363</v>
      </c>
      <c r="N36" s="90" t="s">
        <v>26</v>
      </c>
      <c r="O36" s="55" t="s">
        <v>2826</v>
      </c>
      <c r="P36" s="94" t="s">
        <v>1673</v>
      </c>
      <c r="Q36" s="90" t="str">
        <f t="shared" si="1"/>
        <v>DENTRO DEL TIEMPO</v>
      </c>
      <c r="R36" s="24"/>
    </row>
    <row r="37" spans="1:18" ht="48.75" x14ac:dyDescent="0.25">
      <c r="A37" s="89">
        <v>32</v>
      </c>
      <c r="B37" s="90" t="s">
        <v>7364</v>
      </c>
      <c r="C37" s="91">
        <v>44747</v>
      </c>
      <c r="D37" s="91">
        <v>44747</v>
      </c>
      <c r="E37" s="24">
        <v>2</v>
      </c>
      <c r="F37" s="92" t="s">
        <v>22</v>
      </c>
      <c r="G37" s="55" t="s">
        <v>30</v>
      </c>
      <c r="H37" s="55" t="s">
        <v>24</v>
      </c>
      <c r="I37" s="55" t="s">
        <v>92</v>
      </c>
      <c r="J37" s="91">
        <v>44748</v>
      </c>
      <c r="K37" s="91">
        <v>44748</v>
      </c>
      <c r="L37" s="93">
        <f t="shared" si="0"/>
        <v>1</v>
      </c>
      <c r="M37" s="55" t="s">
        <v>7365</v>
      </c>
      <c r="N37" s="90" t="s">
        <v>26</v>
      </c>
      <c r="O37" s="55" t="s">
        <v>2826</v>
      </c>
      <c r="P37" s="94" t="s">
        <v>1673</v>
      </c>
      <c r="Q37" s="90" t="str">
        <f t="shared" si="1"/>
        <v>DENTRO DEL TIEMPO</v>
      </c>
      <c r="R37" s="24"/>
    </row>
    <row r="38" spans="1:18" ht="48.75" x14ac:dyDescent="0.25">
      <c r="A38" s="89">
        <v>33</v>
      </c>
      <c r="B38" s="90" t="s">
        <v>7366</v>
      </c>
      <c r="C38" s="91">
        <v>44747</v>
      </c>
      <c r="D38" s="91">
        <v>44747</v>
      </c>
      <c r="E38" s="24">
        <v>2</v>
      </c>
      <c r="F38" s="92" t="s">
        <v>22</v>
      </c>
      <c r="G38" s="55" t="s">
        <v>30</v>
      </c>
      <c r="H38" s="55" t="s">
        <v>24</v>
      </c>
      <c r="I38" s="55" t="s">
        <v>92</v>
      </c>
      <c r="J38" s="91">
        <v>44749</v>
      </c>
      <c r="K38" s="91">
        <v>44749</v>
      </c>
      <c r="L38" s="93">
        <f t="shared" si="0"/>
        <v>2</v>
      </c>
      <c r="M38" s="55" t="s">
        <v>7367</v>
      </c>
      <c r="N38" s="90" t="s">
        <v>26</v>
      </c>
      <c r="O38" s="55" t="s">
        <v>7368</v>
      </c>
      <c r="P38" s="94" t="s">
        <v>7369</v>
      </c>
      <c r="Q38" s="90" t="str">
        <f t="shared" si="1"/>
        <v>DENTRO DEL TIEMPO</v>
      </c>
      <c r="R38" s="24"/>
    </row>
    <row r="39" spans="1:18" ht="48.75" x14ac:dyDescent="0.25">
      <c r="A39" s="89">
        <v>34</v>
      </c>
      <c r="B39" s="90" t="s">
        <v>7370</v>
      </c>
      <c r="C39" s="91">
        <v>44747</v>
      </c>
      <c r="D39" s="91">
        <v>44747</v>
      </c>
      <c r="E39" s="24">
        <v>2</v>
      </c>
      <c r="F39" s="92" t="s">
        <v>22</v>
      </c>
      <c r="G39" s="55" t="s">
        <v>30</v>
      </c>
      <c r="H39" s="55" t="s">
        <v>24</v>
      </c>
      <c r="I39" s="55" t="s">
        <v>92</v>
      </c>
      <c r="J39" s="91">
        <v>44749</v>
      </c>
      <c r="K39" s="91">
        <v>44749</v>
      </c>
      <c r="L39" s="93">
        <f t="shared" si="0"/>
        <v>2</v>
      </c>
      <c r="M39" s="55" t="s">
        <v>7371</v>
      </c>
      <c r="N39" s="90" t="s">
        <v>26</v>
      </c>
      <c r="O39" s="55" t="s">
        <v>7372</v>
      </c>
      <c r="P39" s="94" t="s">
        <v>7373</v>
      </c>
      <c r="Q39" s="90" t="str">
        <f t="shared" si="1"/>
        <v>DENTRO DEL TIEMPO</v>
      </c>
      <c r="R39" s="24"/>
    </row>
    <row r="40" spans="1:18" ht="48.75" x14ac:dyDescent="0.25">
      <c r="A40" s="89">
        <v>35</v>
      </c>
      <c r="B40" s="90" t="s">
        <v>7374</v>
      </c>
      <c r="C40" s="91">
        <v>44748</v>
      </c>
      <c r="D40" s="91">
        <v>44748</v>
      </c>
      <c r="E40" s="24">
        <v>96</v>
      </c>
      <c r="F40" s="92" t="s">
        <v>22</v>
      </c>
      <c r="G40" s="55" t="s">
        <v>23</v>
      </c>
      <c r="H40" s="55" t="s">
        <v>24</v>
      </c>
      <c r="I40" s="55" t="s">
        <v>49</v>
      </c>
      <c r="J40" s="91">
        <v>44748</v>
      </c>
      <c r="K40" s="91">
        <v>44748</v>
      </c>
      <c r="L40" s="93">
        <f t="shared" si="0"/>
        <v>0</v>
      </c>
      <c r="M40" s="55" t="s">
        <v>7375</v>
      </c>
      <c r="N40" s="90" t="s">
        <v>26</v>
      </c>
      <c r="O40" s="55" t="s">
        <v>7376</v>
      </c>
      <c r="P40" s="94" t="s">
        <v>7377</v>
      </c>
      <c r="Q40" s="90" t="str">
        <f t="shared" si="1"/>
        <v>DENTRO DEL TIEMPO</v>
      </c>
      <c r="R40" s="24"/>
    </row>
    <row r="41" spans="1:18" ht="48.75" x14ac:dyDescent="0.25">
      <c r="A41" s="89">
        <v>36</v>
      </c>
      <c r="B41" s="90" t="s">
        <v>7378</v>
      </c>
      <c r="C41" s="91">
        <v>44748</v>
      </c>
      <c r="D41" s="91">
        <v>44748</v>
      </c>
      <c r="E41" s="24">
        <v>5</v>
      </c>
      <c r="F41" s="92" t="s">
        <v>22</v>
      </c>
      <c r="G41" s="55" t="s">
        <v>23</v>
      </c>
      <c r="H41" s="55" t="s">
        <v>24</v>
      </c>
      <c r="I41" s="55" t="s">
        <v>49</v>
      </c>
      <c r="J41" s="91">
        <v>44754</v>
      </c>
      <c r="K41" s="91">
        <v>44754</v>
      </c>
      <c r="L41" s="93">
        <f t="shared" si="0"/>
        <v>4</v>
      </c>
      <c r="M41" s="55" t="s">
        <v>7379</v>
      </c>
      <c r="N41" s="90" t="s">
        <v>26</v>
      </c>
      <c r="O41" s="55" t="s">
        <v>6205</v>
      </c>
      <c r="P41" s="94" t="s">
        <v>7380</v>
      </c>
      <c r="Q41" s="90" t="str">
        <f t="shared" si="1"/>
        <v>DENTRO DEL TIEMPO</v>
      </c>
      <c r="R41" s="24"/>
    </row>
    <row r="42" spans="1:18" ht="48.75" x14ac:dyDescent="0.25">
      <c r="A42" s="89">
        <v>37</v>
      </c>
      <c r="B42" s="90" t="s">
        <v>7381</v>
      </c>
      <c r="C42" s="91">
        <v>44748</v>
      </c>
      <c r="D42" s="91">
        <v>44748</v>
      </c>
      <c r="E42" s="24">
        <v>2</v>
      </c>
      <c r="F42" s="92" t="s">
        <v>22</v>
      </c>
      <c r="G42" s="55" t="s">
        <v>23</v>
      </c>
      <c r="H42" s="55" t="s">
        <v>24</v>
      </c>
      <c r="I42" s="55" t="s">
        <v>49</v>
      </c>
      <c r="J42" s="91">
        <v>44748</v>
      </c>
      <c r="K42" s="91">
        <v>44748</v>
      </c>
      <c r="L42" s="93">
        <f t="shared" si="0"/>
        <v>0</v>
      </c>
      <c r="M42" s="55" t="s">
        <v>7382</v>
      </c>
      <c r="N42" s="90" t="s">
        <v>26</v>
      </c>
      <c r="O42" s="55" t="s">
        <v>7383</v>
      </c>
      <c r="P42" s="94" t="s">
        <v>7384</v>
      </c>
      <c r="Q42" s="90" t="str">
        <f t="shared" si="1"/>
        <v>DENTRO DEL TIEMPO</v>
      </c>
      <c r="R42" s="24"/>
    </row>
    <row r="43" spans="1:18" ht="48.75" x14ac:dyDescent="0.25">
      <c r="A43" s="89">
        <v>38</v>
      </c>
      <c r="B43" s="90" t="s">
        <v>7385</v>
      </c>
      <c r="C43" s="91">
        <v>44748</v>
      </c>
      <c r="D43" s="91">
        <v>44748</v>
      </c>
      <c r="E43" s="24">
        <v>2</v>
      </c>
      <c r="F43" s="92" t="s">
        <v>22</v>
      </c>
      <c r="G43" s="55" t="s">
        <v>30</v>
      </c>
      <c r="H43" s="55" t="s">
        <v>24</v>
      </c>
      <c r="I43" s="55" t="s">
        <v>92</v>
      </c>
      <c r="J43" s="91">
        <v>44749</v>
      </c>
      <c r="K43" s="91">
        <v>44749</v>
      </c>
      <c r="L43" s="93">
        <f t="shared" si="0"/>
        <v>1</v>
      </c>
      <c r="M43" s="55" t="s">
        <v>7386</v>
      </c>
      <c r="N43" s="90" t="s">
        <v>26</v>
      </c>
      <c r="O43" s="55" t="s">
        <v>7387</v>
      </c>
      <c r="P43" s="94" t="s">
        <v>2393</v>
      </c>
      <c r="Q43" s="90" t="str">
        <f t="shared" si="1"/>
        <v>DENTRO DEL TIEMPO</v>
      </c>
      <c r="R43" s="24"/>
    </row>
    <row r="44" spans="1:18" ht="48.75" x14ac:dyDescent="0.25">
      <c r="A44" s="89">
        <v>39</v>
      </c>
      <c r="B44" s="90" t="s">
        <v>7388</v>
      </c>
      <c r="C44" s="91">
        <v>44748</v>
      </c>
      <c r="D44" s="91">
        <v>44748</v>
      </c>
      <c r="E44" s="24">
        <v>2</v>
      </c>
      <c r="F44" s="92" t="s">
        <v>22</v>
      </c>
      <c r="G44" s="55" t="s">
        <v>30</v>
      </c>
      <c r="H44" s="55" t="s">
        <v>24</v>
      </c>
      <c r="I44" s="55" t="s">
        <v>92</v>
      </c>
      <c r="J44" s="91">
        <v>44749</v>
      </c>
      <c r="K44" s="91">
        <v>44749</v>
      </c>
      <c r="L44" s="93">
        <f t="shared" si="0"/>
        <v>1</v>
      </c>
      <c r="M44" s="55" t="s">
        <v>7389</v>
      </c>
      <c r="N44" s="90" t="s">
        <v>26</v>
      </c>
      <c r="O44" s="55" t="s">
        <v>7390</v>
      </c>
      <c r="P44" s="94" t="s">
        <v>7391</v>
      </c>
      <c r="Q44" s="90" t="str">
        <f t="shared" si="1"/>
        <v>DENTRO DEL TIEMPO</v>
      </c>
      <c r="R44" s="24"/>
    </row>
    <row r="45" spans="1:18" ht="48.75" x14ac:dyDescent="0.25">
      <c r="A45" s="89">
        <v>40</v>
      </c>
      <c r="B45" s="90" t="s">
        <v>7392</v>
      </c>
      <c r="C45" s="91">
        <v>44748</v>
      </c>
      <c r="D45" s="91">
        <v>44748</v>
      </c>
      <c r="E45" s="24">
        <v>2</v>
      </c>
      <c r="F45" s="92" t="s">
        <v>22</v>
      </c>
      <c r="G45" s="55" t="s">
        <v>30</v>
      </c>
      <c r="H45" s="55" t="s">
        <v>24</v>
      </c>
      <c r="I45" s="55" t="s">
        <v>92</v>
      </c>
      <c r="J45" s="91">
        <v>44749</v>
      </c>
      <c r="K45" s="91">
        <v>44749</v>
      </c>
      <c r="L45" s="93">
        <f t="shared" si="0"/>
        <v>1</v>
      </c>
      <c r="M45" s="55" t="s">
        <v>7393</v>
      </c>
      <c r="N45" s="90" t="s">
        <v>26</v>
      </c>
      <c r="O45" s="55" t="s">
        <v>2940</v>
      </c>
      <c r="P45" s="94" t="s">
        <v>7394</v>
      </c>
      <c r="Q45" s="90" t="str">
        <f t="shared" si="1"/>
        <v>DENTRO DEL TIEMPO</v>
      </c>
      <c r="R45" s="24"/>
    </row>
    <row r="46" spans="1:18" ht="48.75" x14ac:dyDescent="0.25">
      <c r="A46" s="89">
        <v>41</v>
      </c>
      <c r="B46" s="90" t="s">
        <v>7395</v>
      </c>
      <c r="C46" s="91">
        <v>44748</v>
      </c>
      <c r="D46" s="91">
        <v>44748</v>
      </c>
      <c r="E46" s="24">
        <v>2</v>
      </c>
      <c r="F46" s="92" t="s">
        <v>22</v>
      </c>
      <c r="G46" s="55" t="s">
        <v>30</v>
      </c>
      <c r="H46" s="55" t="s">
        <v>24</v>
      </c>
      <c r="I46" s="55" t="s">
        <v>92</v>
      </c>
      <c r="J46" s="91">
        <v>44749</v>
      </c>
      <c r="K46" s="91">
        <v>44749</v>
      </c>
      <c r="L46" s="93">
        <f t="shared" si="0"/>
        <v>1</v>
      </c>
      <c r="M46" s="55" t="s">
        <v>7396</v>
      </c>
      <c r="N46" s="90" t="s">
        <v>26</v>
      </c>
      <c r="O46" s="55" t="s">
        <v>4458</v>
      </c>
      <c r="P46" s="94" t="s">
        <v>1404</v>
      </c>
      <c r="Q46" s="90" t="str">
        <f t="shared" si="1"/>
        <v>DENTRO DEL TIEMPO</v>
      </c>
      <c r="R46" s="24"/>
    </row>
    <row r="47" spans="1:18" ht="48.75" x14ac:dyDescent="0.25">
      <c r="A47" s="89">
        <v>42</v>
      </c>
      <c r="B47" s="90" t="s">
        <v>7397</v>
      </c>
      <c r="C47" s="91">
        <v>44748</v>
      </c>
      <c r="D47" s="91">
        <v>44748</v>
      </c>
      <c r="E47" s="24">
        <v>2</v>
      </c>
      <c r="F47" s="92" t="s">
        <v>22</v>
      </c>
      <c r="G47" s="55" t="s">
        <v>30</v>
      </c>
      <c r="H47" s="55" t="s">
        <v>24</v>
      </c>
      <c r="I47" s="55" t="s">
        <v>92</v>
      </c>
      <c r="J47" s="91">
        <v>44749</v>
      </c>
      <c r="K47" s="91">
        <v>44749</v>
      </c>
      <c r="L47" s="93">
        <f t="shared" si="0"/>
        <v>1</v>
      </c>
      <c r="M47" s="55" t="s">
        <v>7398</v>
      </c>
      <c r="N47" s="90" t="s">
        <v>26</v>
      </c>
      <c r="O47" s="55" t="s">
        <v>4458</v>
      </c>
      <c r="P47" s="94" t="s">
        <v>1404</v>
      </c>
      <c r="Q47" s="90" t="str">
        <f t="shared" si="1"/>
        <v>DENTRO DEL TIEMPO</v>
      </c>
      <c r="R47" s="24"/>
    </row>
    <row r="48" spans="1:18" ht="48.75" x14ac:dyDescent="0.25">
      <c r="A48" s="89">
        <v>43</v>
      </c>
      <c r="B48" s="90" t="s">
        <v>7399</v>
      </c>
      <c r="C48" s="91">
        <v>44748</v>
      </c>
      <c r="D48" s="91">
        <v>44748</v>
      </c>
      <c r="E48" s="24">
        <v>2</v>
      </c>
      <c r="F48" s="92" t="s">
        <v>22</v>
      </c>
      <c r="G48" s="55" t="s">
        <v>30</v>
      </c>
      <c r="H48" s="55" t="s">
        <v>24</v>
      </c>
      <c r="I48" s="55" t="s">
        <v>92</v>
      </c>
      <c r="J48" s="91">
        <v>44750</v>
      </c>
      <c r="K48" s="91">
        <v>44750</v>
      </c>
      <c r="L48" s="93">
        <f t="shared" si="0"/>
        <v>2</v>
      </c>
      <c r="M48" s="55" t="s">
        <v>7400</v>
      </c>
      <c r="N48" s="90" t="s">
        <v>26</v>
      </c>
      <c r="O48" s="55" t="s">
        <v>7401</v>
      </c>
      <c r="P48" s="94" t="s">
        <v>7402</v>
      </c>
      <c r="Q48" s="90" t="str">
        <f t="shared" si="1"/>
        <v>DENTRO DEL TIEMPO</v>
      </c>
      <c r="R48" s="24"/>
    </row>
    <row r="49" spans="1:18" ht="48.75" x14ac:dyDescent="0.25">
      <c r="A49" s="89">
        <v>44</v>
      </c>
      <c r="B49" s="90" t="s">
        <v>7403</v>
      </c>
      <c r="C49" s="91">
        <v>44748</v>
      </c>
      <c r="D49" s="91">
        <v>44748</v>
      </c>
      <c r="E49" s="24">
        <v>2</v>
      </c>
      <c r="F49" s="92" t="s">
        <v>22</v>
      </c>
      <c r="G49" s="55" t="s">
        <v>30</v>
      </c>
      <c r="H49" s="55" t="s">
        <v>24</v>
      </c>
      <c r="I49" s="55" t="s">
        <v>92</v>
      </c>
      <c r="J49" s="91">
        <v>44750</v>
      </c>
      <c r="K49" s="91">
        <v>44750</v>
      </c>
      <c r="L49" s="93">
        <f t="shared" si="0"/>
        <v>2</v>
      </c>
      <c r="M49" s="55" t="s">
        <v>7404</v>
      </c>
      <c r="N49" s="90" t="s">
        <v>26</v>
      </c>
      <c r="O49" s="55" t="s">
        <v>7405</v>
      </c>
      <c r="P49" s="94" t="s">
        <v>7406</v>
      </c>
      <c r="Q49" s="90" t="str">
        <f t="shared" si="1"/>
        <v>DENTRO DEL TIEMPO</v>
      </c>
      <c r="R49" s="24"/>
    </row>
    <row r="50" spans="1:18" ht="48.75" x14ac:dyDescent="0.25">
      <c r="A50" s="89">
        <v>45</v>
      </c>
      <c r="B50" s="90" t="s">
        <v>7407</v>
      </c>
      <c r="C50" s="91">
        <v>44748</v>
      </c>
      <c r="D50" s="91">
        <v>44748</v>
      </c>
      <c r="E50" s="24">
        <v>2</v>
      </c>
      <c r="F50" s="92" t="s">
        <v>22</v>
      </c>
      <c r="G50" s="55" t="s">
        <v>30</v>
      </c>
      <c r="H50" s="55" t="s">
        <v>24</v>
      </c>
      <c r="I50" s="55" t="s">
        <v>92</v>
      </c>
      <c r="J50" s="91">
        <v>44750</v>
      </c>
      <c r="K50" s="91">
        <v>44750</v>
      </c>
      <c r="L50" s="93">
        <f t="shared" si="0"/>
        <v>2</v>
      </c>
      <c r="M50" s="55" t="s">
        <v>7408</v>
      </c>
      <c r="N50" s="90" t="s">
        <v>26</v>
      </c>
      <c r="O50" s="55" t="s">
        <v>7409</v>
      </c>
      <c r="P50" s="94" t="s">
        <v>7410</v>
      </c>
      <c r="Q50" s="90" t="str">
        <f t="shared" si="1"/>
        <v>DENTRO DEL TIEMPO</v>
      </c>
      <c r="R50" s="24"/>
    </row>
    <row r="51" spans="1:18" ht="48.75" x14ac:dyDescent="0.25">
      <c r="A51" s="89">
        <v>46</v>
      </c>
      <c r="B51" s="90" t="s">
        <v>7411</v>
      </c>
      <c r="C51" s="91">
        <v>44748</v>
      </c>
      <c r="D51" s="91">
        <v>44748</v>
      </c>
      <c r="E51" s="24">
        <v>2</v>
      </c>
      <c r="F51" s="92" t="s">
        <v>22</v>
      </c>
      <c r="G51" s="55" t="s">
        <v>23</v>
      </c>
      <c r="H51" s="55" t="s">
        <v>24</v>
      </c>
      <c r="I51" s="55" t="s">
        <v>49</v>
      </c>
      <c r="J51" s="91">
        <v>44750</v>
      </c>
      <c r="K51" s="91">
        <v>44750</v>
      </c>
      <c r="L51" s="93">
        <f t="shared" si="0"/>
        <v>2</v>
      </c>
      <c r="M51" s="55" t="s">
        <v>7412</v>
      </c>
      <c r="N51" s="90" t="s">
        <v>26</v>
      </c>
      <c r="O51" s="55" t="s">
        <v>7413</v>
      </c>
      <c r="P51" s="94" t="s">
        <v>7414</v>
      </c>
      <c r="Q51" s="90" t="str">
        <f t="shared" si="1"/>
        <v>DENTRO DEL TIEMPO</v>
      </c>
      <c r="R51" s="24"/>
    </row>
    <row r="52" spans="1:18" ht="48.75" x14ac:dyDescent="0.25">
      <c r="A52" s="89">
        <v>47</v>
      </c>
      <c r="B52" s="90" t="s">
        <v>7415</v>
      </c>
      <c r="C52" s="91">
        <v>44748</v>
      </c>
      <c r="D52" s="91">
        <v>44748</v>
      </c>
      <c r="E52" s="24">
        <v>2</v>
      </c>
      <c r="F52" s="92" t="s">
        <v>22</v>
      </c>
      <c r="G52" s="55" t="s">
        <v>30</v>
      </c>
      <c r="H52" s="55" t="s">
        <v>24</v>
      </c>
      <c r="I52" s="55" t="s">
        <v>92</v>
      </c>
      <c r="J52" s="91">
        <v>44750</v>
      </c>
      <c r="K52" s="91">
        <v>44750</v>
      </c>
      <c r="L52" s="93">
        <f t="shared" si="0"/>
        <v>2</v>
      </c>
      <c r="M52" s="55" t="s">
        <v>7416</v>
      </c>
      <c r="N52" s="90" t="s">
        <v>26</v>
      </c>
      <c r="O52" s="55" t="s">
        <v>4458</v>
      </c>
      <c r="P52" s="94" t="s">
        <v>1404</v>
      </c>
      <c r="Q52" s="90" t="str">
        <f t="shared" si="1"/>
        <v>DENTRO DEL TIEMPO</v>
      </c>
      <c r="R52" s="24"/>
    </row>
    <row r="53" spans="1:18" ht="48.75" x14ac:dyDescent="0.25">
      <c r="A53" s="89">
        <v>48</v>
      </c>
      <c r="B53" s="90" t="s">
        <v>7417</v>
      </c>
      <c r="C53" s="91">
        <v>44748</v>
      </c>
      <c r="D53" s="91">
        <v>44748</v>
      </c>
      <c r="E53" s="24">
        <v>2</v>
      </c>
      <c r="F53" s="92" t="s">
        <v>22</v>
      </c>
      <c r="G53" s="55" t="s">
        <v>30</v>
      </c>
      <c r="H53" s="55" t="s">
        <v>24</v>
      </c>
      <c r="I53" s="55" t="s">
        <v>92</v>
      </c>
      <c r="J53" s="91">
        <v>44750</v>
      </c>
      <c r="K53" s="91">
        <v>44750</v>
      </c>
      <c r="L53" s="93">
        <f t="shared" si="0"/>
        <v>2</v>
      </c>
      <c r="M53" s="55" t="s">
        <v>7418</v>
      </c>
      <c r="N53" s="90" t="s">
        <v>26</v>
      </c>
      <c r="O53" s="55" t="s">
        <v>4458</v>
      </c>
      <c r="P53" s="94" t="s">
        <v>1404</v>
      </c>
      <c r="Q53" s="90" t="str">
        <f t="shared" si="1"/>
        <v>DENTRO DEL TIEMPO</v>
      </c>
      <c r="R53" s="24"/>
    </row>
    <row r="54" spans="1:18" ht="48.75" x14ac:dyDescent="0.25">
      <c r="A54" s="89">
        <v>49</v>
      </c>
      <c r="B54" s="90" t="s">
        <v>7419</v>
      </c>
      <c r="C54" s="91">
        <v>44748</v>
      </c>
      <c r="D54" s="91">
        <v>44748</v>
      </c>
      <c r="E54" s="24">
        <v>2</v>
      </c>
      <c r="F54" s="92" t="s">
        <v>22</v>
      </c>
      <c r="G54" s="55" t="s">
        <v>30</v>
      </c>
      <c r="H54" s="55" t="s">
        <v>24</v>
      </c>
      <c r="I54" s="55" t="s">
        <v>92</v>
      </c>
      <c r="J54" s="91">
        <v>44750</v>
      </c>
      <c r="K54" s="91">
        <v>44750</v>
      </c>
      <c r="L54" s="93">
        <f t="shared" si="0"/>
        <v>2</v>
      </c>
      <c r="M54" s="55" t="s">
        <v>7420</v>
      </c>
      <c r="N54" s="90" t="s">
        <v>26</v>
      </c>
      <c r="O54" s="55" t="s">
        <v>4458</v>
      </c>
      <c r="P54" s="94" t="s">
        <v>1404</v>
      </c>
      <c r="Q54" s="90" t="str">
        <f t="shared" si="1"/>
        <v>DENTRO DEL TIEMPO</v>
      </c>
      <c r="R54" s="24"/>
    </row>
    <row r="55" spans="1:18" ht="48.75" x14ac:dyDescent="0.25">
      <c r="A55" s="89">
        <v>50</v>
      </c>
      <c r="B55" s="90" t="s">
        <v>7421</v>
      </c>
      <c r="C55" s="91">
        <v>44748</v>
      </c>
      <c r="D55" s="91">
        <v>44748</v>
      </c>
      <c r="E55" s="24">
        <v>2</v>
      </c>
      <c r="F55" s="92" t="s">
        <v>22</v>
      </c>
      <c r="G55" s="55" t="s">
        <v>30</v>
      </c>
      <c r="H55" s="55" t="s">
        <v>24</v>
      </c>
      <c r="I55" s="55" t="s">
        <v>92</v>
      </c>
      <c r="J55" s="91">
        <v>44750</v>
      </c>
      <c r="K55" s="91">
        <v>44750</v>
      </c>
      <c r="L55" s="93">
        <f t="shared" si="0"/>
        <v>2</v>
      </c>
      <c r="M55" s="55" t="s">
        <v>7422</v>
      </c>
      <c r="N55" s="90" t="s">
        <v>26</v>
      </c>
      <c r="O55" s="55" t="s">
        <v>4458</v>
      </c>
      <c r="P55" s="94" t="s">
        <v>1404</v>
      </c>
      <c r="Q55" s="90" t="str">
        <f t="shared" si="1"/>
        <v>DENTRO DEL TIEMPO</v>
      </c>
      <c r="R55" s="24"/>
    </row>
    <row r="56" spans="1:18" ht="48.75" x14ac:dyDescent="0.25">
      <c r="A56" s="89">
        <v>51</v>
      </c>
      <c r="B56" s="90" t="s">
        <v>7423</v>
      </c>
      <c r="C56" s="91">
        <v>44748</v>
      </c>
      <c r="D56" s="91">
        <v>44748</v>
      </c>
      <c r="E56" s="24">
        <v>2</v>
      </c>
      <c r="F56" s="92" t="s">
        <v>22</v>
      </c>
      <c r="G56" s="55" t="s">
        <v>30</v>
      </c>
      <c r="H56" s="55" t="s">
        <v>24</v>
      </c>
      <c r="I56" s="55" t="s">
        <v>92</v>
      </c>
      <c r="J56" s="91">
        <v>44750</v>
      </c>
      <c r="K56" s="91">
        <v>44750</v>
      </c>
      <c r="L56" s="93">
        <f t="shared" si="0"/>
        <v>2</v>
      </c>
      <c r="M56" s="55" t="s">
        <v>7424</v>
      </c>
      <c r="N56" s="90" t="s">
        <v>26</v>
      </c>
      <c r="O56" s="55" t="s">
        <v>2683</v>
      </c>
      <c r="P56" s="94" t="s">
        <v>1404</v>
      </c>
      <c r="Q56" s="90" t="str">
        <f t="shared" si="1"/>
        <v>DENTRO DEL TIEMPO</v>
      </c>
      <c r="R56" s="24"/>
    </row>
    <row r="57" spans="1:18" ht="48.75" x14ac:dyDescent="0.25">
      <c r="A57" s="89">
        <v>52</v>
      </c>
      <c r="B57" s="90" t="s">
        <v>7425</v>
      </c>
      <c r="C57" s="91">
        <v>44748</v>
      </c>
      <c r="D57" s="91">
        <v>44748</v>
      </c>
      <c r="E57" s="24">
        <v>2</v>
      </c>
      <c r="F57" s="92" t="s">
        <v>22</v>
      </c>
      <c r="G57" s="55" t="s">
        <v>30</v>
      </c>
      <c r="H57" s="55" t="s">
        <v>24</v>
      </c>
      <c r="I57" s="55" t="s">
        <v>92</v>
      </c>
      <c r="J57" s="91">
        <v>44750</v>
      </c>
      <c r="K57" s="91">
        <v>44750</v>
      </c>
      <c r="L57" s="93">
        <f t="shared" si="0"/>
        <v>2</v>
      </c>
      <c r="M57" s="55" t="s">
        <v>7426</v>
      </c>
      <c r="N57" s="90" t="s">
        <v>26</v>
      </c>
      <c r="O57" s="55" t="s">
        <v>2614</v>
      </c>
      <c r="P57" s="94" t="s">
        <v>7427</v>
      </c>
      <c r="Q57" s="90" t="str">
        <f t="shared" si="1"/>
        <v>DENTRO DEL TIEMPO</v>
      </c>
      <c r="R57" s="24"/>
    </row>
    <row r="58" spans="1:18" ht="48.75" x14ac:dyDescent="0.25">
      <c r="A58" s="89">
        <v>53</v>
      </c>
      <c r="B58" s="90" t="s">
        <v>7428</v>
      </c>
      <c r="C58" s="91">
        <v>44748</v>
      </c>
      <c r="D58" s="91">
        <v>44748</v>
      </c>
      <c r="E58" s="24">
        <v>2</v>
      </c>
      <c r="F58" s="92" t="s">
        <v>22</v>
      </c>
      <c r="G58" s="55" t="s">
        <v>30</v>
      </c>
      <c r="H58" s="55" t="s">
        <v>24</v>
      </c>
      <c r="I58" s="55" t="s">
        <v>92</v>
      </c>
      <c r="J58" s="91">
        <v>44750</v>
      </c>
      <c r="K58" s="91">
        <v>44750</v>
      </c>
      <c r="L58" s="93">
        <f t="shared" si="0"/>
        <v>2</v>
      </c>
      <c r="M58" s="55" t="s">
        <v>7429</v>
      </c>
      <c r="N58" s="90" t="s">
        <v>26</v>
      </c>
      <c r="O58" s="55" t="s">
        <v>2683</v>
      </c>
      <c r="P58" s="94" t="s">
        <v>1404</v>
      </c>
      <c r="Q58" s="90" t="str">
        <f t="shared" si="1"/>
        <v>DENTRO DEL TIEMPO</v>
      </c>
      <c r="R58" s="24"/>
    </row>
    <row r="59" spans="1:18" ht="48.75" x14ac:dyDescent="0.25">
      <c r="A59" s="89">
        <v>54</v>
      </c>
      <c r="B59" s="90" t="s">
        <v>7430</v>
      </c>
      <c r="C59" s="91">
        <v>44748</v>
      </c>
      <c r="D59" s="91">
        <v>44748</v>
      </c>
      <c r="E59" s="24">
        <v>2</v>
      </c>
      <c r="F59" s="92" t="s">
        <v>22</v>
      </c>
      <c r="G59" s="55" t="s">
        <v>30</v>
      </c>
      <c r="H59" s="55" t="s">
        <v>24</v>
      </c>
      <c r="I59" s="55" t="s">
        <v>92</v>
      </c>
      <c r="J59" s="91">
        <v>44750</v>
      </c>
      <c r="K59" s="91">
        <v>44750</v>
      </c>
      <c r="L59" s="93">
        <f t="shared" si="0"/>
        <v>2</v>
      </c>
      <c r="M59" s="55" t="s">
        <v>7431</v>
      </c>
      <c r="N59" s="90" t="s">
        <v>26</v>
      </c>
      <c r="O59" s="55" t="s">
        <v>2683</v>
      </c>
      <c r="P59" s="94" t="s">
        <v>1404</v>
      </c>
      <c r="Q59" s="90" t="str">
        <f t="shared" si="1"/>
        <v>DENTRO DEL TIEMPO</v>
      </c>
      <c r="R59" s="24"/>
    </row>
    <row r="60" spans="1:18" ht="48.75" x14ac:dyDescent="0.25">
      <c r="A60" s="89">
        <v>55</v>
      </c>
      <c r="B60" s="90" t="s">
        <v>7432</v>
      </c>
      <c r="C60" s="91">
        <v>44748</v>
      </c>
      <c r="D60" s="91">
        <v>44748</v>
      </c>
      <c r="E60" s="24">
        <v>2</v>
      </c>
      <c r="F60" s="92" t="s">
        <v>22</v>
      </c>
      <c r="G60" s="55" t="s">
        <v>30</v>
      </c>
      <c r="H60" s="55" t="s">
        <v>24</v>
      </c>
      <c r="I60" s="55" t="s">
        <v>92</v>
      </c>
      <c r="J60" s="91">
        <v>44750</v>
      </c>
      <c r="K60" s="91">
        <v>44750</v>
      </c>
      <c r="L60" s="93">
        <f t="shared" si="0"/>
        <v>2</v>
      </c>
      <c r="M60" s="55" t="s">
        <v>7433</v>
      </c>
      <c r="N60" s="90" t="s">
        <v>26</v>
      </c>
      <c r="O60" s="55" t="s">
        <v>2683</v>
      </c>
      <c r="P60" s="94" t="s">
        <v>1404</v>
      </c>
      <c r="Q60" s="90" t="str">
        <f t="shared" si="1"/>
        <v>DENTRO DEL TIEMPO</v>
      </c>
      <c r="R60" s="24"/>
    </row>
    <row r="61" spans="1:18" ht="48.75" x14ac:dyDescent="0.25">
      <c r="A61" s="89">
        <v>56</v>
      </c>
      <c r="B61" s="90" t="s">
        <v>7434</v>
      </c>
      <c r="C61" s="91">
        <v>44748</v>
      </c>
      <c r="D61" s="91">
        <v>44748</v>
      </c>
      <c r="E61" s="24">
        <v>2</v>
      </c>
      <c r="F61" s="92" t="s">
        <v>22</v>
      </c>
      <c r="G61" s="55" t="s">
        <v>30</v>
      </c>
      <c r="H61" s="55" t="s">
        <v>24</v>
      </c>
      <c r="I61" s="55" t="s">
        <v>92</v>
      </c>
      <c r="J61" s="91">
        <v>44750</v>
      </c>
      <c r="K61" s="91">
        <v>44750</v>
      </c>
      <c r="L61" s="93">
        <f t="shared" si="0"/>
        <v>2</v>
      </c>
      <c r="M61" s="55" t="s">
        <v>7435</v>
      </c>
      <c r="N61" s="90" t="s">
        <v>26</v>
      </c>
      <c r="O61" s="55" t="s">
        <v>2683</v>
      </c>
      <c r="P61" s="94" t="s">
        <v>1404</v>
      </c>
      <c r="Q61" s="90" t="str">
        <f t="shared" si="1"/>
        <v>DENTRO DEL TIEMPO</v>
      </c>
      <c r="R61" s="24"/>
    </row>
    <row r="62" spans="1:18" ht="48.75" x14ac:dyDescent="0.25">
      <c r="A62" s="89">
        <v>57</v>
      </c>
      <c r="B62" s="90" t="s">
        <v>7436</v>
      </c>
      <c r="C62" s="91">
        <v>44748</v>
      </c>
      <c r="D62" s="91">
        <v>44748</v>
      </c>
      <c r="E62" s="24">
        <v>2</v>
      </c>
      <c r="F62" s="92" t="s">
        <v>22</v>
      </c>
      <c r="G62" s="55" t="s">
        <v>30</v>
      </c>
      <c r="H62" s="55" t="s">
        <v>24</v>
      </c>
      <c r="I62" s="55" t="s">
        <v>92</v>
      </c>
      <c r="J62" s="91">
        <v>44750</v>
      </c>
      <c r="K62" s="91">
        <v>44750</v>
      </c>
      <c r="L62" s="93">
        <f t="shared" si="0"/>
        <v>2</v>
      </c>
      <c r="M62" s="55" t="s">
        <v>7437</v>
      </c>
      <c r="N62" s="90" t="s">
        <v>26</v>
      </c>
      <c r="O62" s="55" t="s">
        <v>2683</v>
      </c>
      <c r="P62" s="94" t="s">
        <v>1404</v>
      </c>
      <c r="Q62" s="90" t="str">
        <f t="shared" si="1"/>
        <v>DENTRO DEL TIEMPO</v>
      </c>
      <c r="R62" s="24"/>
    </row>
    <row r="63" spans="1:18" ht="48.75" x14ac:dyDescent="0.25">
      <c r="A63" s="89">
        <v>58</v>
      </c>
      <c r="B63" s="90" t="s">
        <v>7438</v>
      </c>
      <c r="C63" s="91">
        <v>44748</v>
      </c>
      <c r="D63" s="91">
        <v>44748</v>
      </c>
      <c r="E63" s="24">
        <v>2</v>
      </c>
      <c r="F63" s="92" t="s">
        <v>22</v>
      </c>
      <c r="G63" s="55" t="s">
        <v>30</v>
      </c>
      <c r="H63" s="55" t="s">
        <v>24</v>
      </c>
      <c r="I63" s="55" t="s">
        <v>92</v>
      </c>
      <c r="J63" s="91">
        <v>44750</v>
      </c>
      <c r="K63" s="91">
        <v>44750</v>
      </c>
      <c r="L63" s="93">
        <f t="shared" si="0"/>
        <v>2</v>
      </c>
      <c r="M63" s="55" t="s">
        <v>7439</v>
      </c>
      <c r="N63" s="90" t="s">
        <v>26</v>
      </c>
      <c r="O63" s="55" t="s">
        <v>2313</v>
      </c>
      <c r="P63" s="94" t="s">
        <v>1033</v>
      </c>
      <c r="Q63" s="90" t="str">
        <f t="shared" si="1"/>
        <v>DENTRO DEL TIEMPO</v>
      </c>
      <c r="R63" s="24"/>
    </row>
    <row r="64" spans="1:18" ht="48.75" x14ac:dyDescent="0.25">
      <c r="A64" s="89">
        <v>59</v>
      </c>
      <c r="B64" s="90" t="s">
        <v>7440</v>
      </c>
      <c r="C64" s="91">
        <v>44748</v>
      </c>
      <c r="D64" s="91">
        <v>44748</v>
      </c>
      <c r="E64" s="24">
        <v>2</v>
      </c>
      <c r="F64" s="92" t="s">
        <v>22</v>
      </c>
      <c r="G64" s="55" t="s">
        <v>30</v>
      </c>
      <c r="H64" s="55" t="s">
        <v>24</v>
      </c>
      <c r="I64" s="55" t="s">
        <v>92</v>
      </c>
      <c r="J64" s="91">
        <v>44750</v>
      </c>
      <c r="K64" s="91">
        <v>44750</v>
      </c>
      <c r="L64" s="93">
        <f t="shared" si="0"/>
        <v>2</v>
      </c>
      <c r="M64" s="55" t="s">
        <v>7441</v>
      </c>
      <c r="N64" s="90" t="s">
        <v>26</v>
      </c>
      <c r="O64" s="55" t="s">
        <v>2602</v>
      </c>
      <c r="P64" s="94" t="s">
        <v>1033</v>
      </c>
      <c r="Q64" s="90" t="str">
        <f t="shared" si="1"/>
        <v>DENTRO DEL TIEMPO</v>
      </c>
      <c r="R64" s="24"/>
    </row>
    <row r="65" spans="1:18" ht="48.75" x14ac:dyDescent="0.25">
      <c r="A65" s="89">
        <v>60</v>
      </c>
      <c r="B65" s="90" t="s">
        <v>7442</v>
      </c>
      <c r="C65" s="91">
        <v>44748</v>
      </c>
      <c r="D65" s="91">
        <v>44748</v>
      </c>
      <c r="E65" s="24">
        <v>2</v>
      </c>
      <c r="F65" s="92" t="s">
        <v>22</v>
      </c>
      <c r="G65" s="55" t="s">
        <v>30</v>
      </c>
      <c r="H65" s="55" t="s">
        <v>24</v>
      </c>
      <c r="I65" s="55" t="s">
        <v>92</v>
      </c>
      <c r="J65" s="91">
        <v>44750</v>
      </c>
      <c r="K65" s="91">
        <v>44750</v>
      </c>
      <c r="L65" s="93">
        <f t="shared" si="0"/>
        <v>2</v>
      </c>
      <c r="M65" s="55" t="s">
        <v>7443</v>
      </c>
      <c r="N65" s="90" t="s">
        <v>26</v>
      </c>
      <c r="O65" s="55" t="s">
        <v>2557</v>
      </c>
      <c r="P65" s="94" t="s">
        <v>1033</v>
      </c>
      <c r="Q65" s="90" t="str">
        <f t="shared" si="1"/>
        <v>DENTRO DEL TIEMPO</v>
      </c>
      <c r="R65" s="24"/>
    </row>
    <row r="66" spans="1:18" ht="48.75" x14ac:dyDescent="0.25">
      <c r="A66" s="89">
        <v>61</v>
      </c>
      <c r="B66" s="90" t="s">
        <v>7444</v>
      </c>
      <c r="C66" s="91">
        <v>44748</v>
      </c>
      <c r="D66" s="91">
        <v>44748</v>
      </c>
      <c r="E66" s="24">
        <v>2</v>
      </c>
      <c r="F66" s="92" t="s">
        <v>22</v>
      </c>
      <c r="G66" s="55" t="s">
        <v>30</v>
      </c>
      <c r="H66" s="55" t="s">
        <v>24</v>
      </c>
      <c r="I66" s="55" t="s">
        <v>92</v>
      </c>
      <c r="J66" s="91">
        <v>44750</v>
      </c>
      <c r="K66" s="91">
        <v>44750</v>
      </c>
      <c r="L66" s="93">
        <f t="shared" si="0"/>
        <v>2</v>
      </c>
      <c r="M66" s="55" t="s">
        <v>7445</v>
      </c>
      <c r="N66" s="90" t="s">
        <v>26</v>
      </c>
      <c r="O66" s="55" t="s">
        <v>7372</v>
      </c>
      <c r="P66" s="94" t="s">
        <v>7373</v>
      </c>
      <c r="Q66" s="90" t="str">
        <f t="shared" si="1"/>
        <v>DENTRO DEL TIEMPO</v>
      </c>
      <c r="R66" s="24"/>
    </row>
    <row r="67" spans="1:18" ht="48.75" x14ac:dyDescent="0.25">
      <c r="A67" s="89">
        <v>62</v>
      </c>
      <c r="B67" s="90" t="s">
        <v>7446</v>
      </c>
      <c r="C67" s="91">
        <v>44748</v>
      </c>
      <c r="D67" s="91">
        <v>44748</v>
      </c>
      <c r="E67" s="24">
        <v>2</v>
      </c>
      <c r="F67" s="92" t="s">
        <v>22</v>
      </c>
      <c r="G67" s="55" t="s">
        <v>30</v>
      </c>
      <c r="H67" s="55" t="s">
        <v>24</v>
      </c>
      <c r="I67" s="55" t="s">
        <v>92</v>
      </c>
      <c r="J67" s="91">
        <v>44750</v>
      </c>
      <c r="K67" s="91">
        <v>44750</v>
      </c>
      <c r="L67" s="93">
        <f t="shared" si="0"/>
        <v>2</v>
      </c>
      <c r="M67" s="55" t="s">
        <v>7447</v>
      </c>
      <c r="N67" s="90" t="s">
        <v>26</v>
      </c>
      <c r="O67" s="55" t="s">
        <v>2396</v>
      </c>
      <c r="P67" s="94" t="s">
        <v>1315</v>
      </c>
      <c r="Q67" s="90" t="str">
        <f t="shared" si="1"/>
        <v>DENTRO DEL TIEMPO</v>
      </c>
      <c r="R67" s="24"/>
    </row>
    <row r="68" spans="1:18" ht="48.75" x14ac:dyDescent="0.25">
      <c r="A68" s="89">
        <v>63</v>
      </c>
      <c r="B68" s="90" t="s">
        <v>7448</v>
      </c>
      <c r="C68" s="91">
        <v>44748</v>
      </c>
      <c r="D68" s="91">
        <v>44748</v>
      </c>
      <c r="E68" s="24">
        <v>2</v>
      </c>
      <c r="F68" s="92" t="s">
        <v>22</v>
      </c>
      <c r="G68" s="55" t="s">
        <v>30</v>
      </c>
      <c r="H68" s="55" t="s">
        <v>24</v>
      </c>
      <c r="I68" s="55" t="s">
        <v>92</v>
      </c>
      <c r="J68" s="91">
        <v>44750</v>
      </c>
      <c r="K68" s="91">
        <v>44750</v>
      </c>
      <c r="L68" s="93">
        <f t="shared" si="0"/>
        <v>2</v>
      </c>
      <c r="M68" s="55" t="s">
        <v>7449</v>
      </c>
      <c r="N68" s="90" t="s">
        <v>26</v>
      </c>
      <c r="O68" s="55" t="s">
        <v>2396</v>
      </c>
      <c r="P68" s="94" t="s">
        <v>1315</v>
      </c>
      <c r="Q68" s="90" t="str">
        <f t="shared" si="1"/>
        <v>DENTRO DEL TIEMPO</v>
      </c>
      <c r="R68" s="24"/>
    </row>
    <row r="69" spans="1:18" ht="48.75" x14ac:dyDescent="0.25">
      <c r="A69" s="89">
        <v>64</v>
      </c>
      <c r="B69" s="90" t="s">
        <v>7450</v>
      </c>
      <c r="C69" s="91">
        <v>44748</v>
      </c>
      <c r="D69" s="91">
        <v>44748</v>
      </c>
      <c r="E69" s="24">
        <v>2</v>
      </c>
      <c r="F69" s="92" t="s">
        <v>22</v>
      </c>
      <c r="G69" s="55" t="s">
        <v>30</v>
      </c>
      <c r="H69" s="55" t="s">
        <v>24</v>
      </c>
      <c r="I69" s="55" t="s">
        <v>92</v>
      </c>
      <c r="J69" s="91">
        <v>44750</v>
      </c>
      <c r="K69" s="91">
        <v>44750</v>
      </c>
      <c r="L69" s="93">
        <f t="shared" si="0"/>
        <v>2</v>
      </c>
      <c r="M69" s="55" t="s">
        <v>7451</v>
      </c>
      <c r="N69" s="90" t="s">
        <v>26</v>
      </c>
      <c r="O69" s="55" t="s">
        <v>2396</v>
      </c>
      <c r="P69" s="94" t="s">
        <v>1315</v>
      </c>
      <c r="Q69" s="90" t="str">
        <f t="shared" si="1"/>
        <v>DENTRO DEL TIEMPO</v>
      </c>
      <c r="R69" s="24"/>
    </row>
    <row r="70" spans="1:18" ht="48.75" x14ac:dyDescent="0.25">
      <c r="A70" s="89">
        <v>65</v>
      </c>
      <c r="B70" s="90" t="s">
        <v>7452</v>
      </c>
      <c r="C70" s="91">
        <v>44748</v>
      </c>
      <c r="D70" s="91">
        <v>44748</v>
      </c>
      <c r="E70" s="24">
        <v>2</v>
      </c>
      <c r="F70" s="92" t="s">
        <v>22</v>
      </c>
      <c r="G70" s="55" t="s">
        <v>30</v>
      </c>
      <c r="H70" s="55" t="s">
        <v>24</v>
      </c>
      <c r="I70" s="55" t="s">
        <v>92</v>
      </c>
      <c r="J70" s="91">
        <v>44750</v>
      </c>
      <c r="K70" s="91">
        <v>44750</v>
      </c>
      <c r="L70" s="93">
        <f t="shared" si="0"/>
        <v>2</v>
      </c>
      <c r="M70" s="55" t="s">
        <v>7453</v>
      </c>
      <c r="N70" s="90" t="s">
        <v>26</v>
      </c>
      <c r="O70" s="55" t="s">
        <v>2396</v>
      </c>
      <c r="P70" s="94" t="s">
        <v>1315</v>
      </c>
      <c r="Q70" s="90" t="str">
        <f t="shared" si="1"/>
        <v>DENTRO DEL TIEMPO</v>
      </c>
      <c r="R70" s="24"/>
    </row>
    <row r="71" spans="1:18" ht="48.75" x14ac:dyDescent="0.25">
      <c r="A71" s="89">
        <v>66</v>
      </c>
      <c r="B71" s="90" t="s">
        <v>7454</v>
      </c>
      <c r="C71" s="91">
        <v>44748</v>
      </c>
      <c r="D71" s="91">
        <v>44748</v>
      </c>
      <c r="E71" s="24">
        <v>2</v>
      </c>
      <c r="F71" s="92" t="s">
        <v>22</v>
      </c>
      <c r="G71" s="55" t="s">
        <v>30</v>
      </c>
      <c r="H71" s="55" t="s">
        <v>24</v>
      </c>
      <c r="I71" s="55" t="s">
        <v>92</v>
      </c>
      <c r="J71" s="91">
        <v>44753</v>
      </c>
      <c r="K71" s="91">
        <v>44753</v>
      </c>
      <c r="L71" s="93">
        <f t="shared" ref="L71:L134" si="2">+NETWORKDAYS(D71,K71,$R$6:$R$9)-1</f>
        <v>3</v>
      </c>
      <c r="M71" s="55" t="s">
        <v>7455</v>
      </c>
      <c r="N71" s="90" t="s">
        <v>26</v>
      </c>
      <c r="O71" s="55" t="s">
        <v>4151</v>
      </c>
      <c r="P71" s="94" t="s">
        <v>7456</v>
      </c>
      <c r="Q71" s="90" t="str">
        <f t="shared" ref="Q71:Q134" si="3">IF(L71&gt;15,"FUERA DE TIEMPO","DENTRO DEL TIEMPO")</f>
        <v>DENTRO DEL TIEMPO</v>
      </c>
      <c r="R71" s="24"/>
    </row>
    <row r="72" spans="1:18" ht="48.75" x14ac:dyDescent="0.25">
      <c r="A72" s="89">
        <v>67</v>
      </c>
      <c r="B72" s="90" t="s">
        <v>7457</v>
      </c>
      <c r="C72" s="91">
        <v>44748</v>
      </c>
      <c r="D72" s="91">
        <v>44748</v>
      </c>
      <c r="E72" s="24">
        <v>2</v>
      </c>
      <c r="F72" s="92" t="s">
        <v>22</v>
      </c>
      <c r="G72" s="55" t="s">
        <v>30</v>
      </c>
      <c r="H72" s="55" t="s">
        <v>24</v>
      </c>
      <c r="I72" s="55" t="s">
        <v>92</v>
      </c>
      <c r="J72" s="91">
        <v>44753</v>
      </c>
      <c r="K72" s="91">
        <v>44753</v>
      </c>
      <c r="L72" s="93">
        <f t="shared" si="2"/>
        <v>3</v>
      </c>
      <c r="M72" s="55" t="s">
        <v>7458</v>
      </c>
      <c r="N72" s="90" t="s">
        <v>26</v>
      </c>
      <c r="O72" s="55" t="s">
        <v>7459</v>
      </c>
      <c r="P72" s="94" t="s">
        <v>7460</v>
      </c>
      <c r="Q72" s="90" t="str">
        <f t="shared" si="3"/>
        <v>DENTRO DEL TIEMPO</v>
      </c>
      <c r="R72" s="24"/>
    </row>
    <row r="73" spans="1:18" ht="48.75" x14ac:dyDescent="0.25">
      <c r="A73" s="89">
        <v>68</v>
      </c>
      <c r="B73" s="90" t="s">
        <v>7461</v>
      </c>
      <c r="C73" s="91">
        <v>44748</v>
      </c>
      <c r="D73" s="91">
        <v>44748</v>
      </c>
      <c r="E73" s="24">
        <v>2</v>
      </c>
      <c r="F73" s="92" t="s">
        <v>22</v>
      </c>
      <c r="G73" s="55" t="s">
        <v>30</v>
      </c>
      <c r="H73" s="55" t="s">
        <v>24</v>
      </c>
      <c r="I73" s="55" t="s">
        <v>92</v>
      </c>
      <c r="J73" s="91">
        <v>44753</v>
      </c>
      <c r="K73" s="91">
        <v>44753</v>
      </c>
      <c r="L73" s="93">
        <f t="shared" si="2"/>
        <v>3</v>
      </c>
      <c r="M73" s="55" t="s">
        <v>7462</v>
      </c>
      <c r="N73" s="90" t="s">
        <v>26</v>
      </c>
      <c r="O73" s="55" t="s">
        <v>7463</v>
      </c>
      <c r="P73" s="94" t="s">
        <v>1518</v>
      </c>
      <c r="Q73" s="90" t="str">
        <f t="shared" si="3"/>
        <v>DENTRO DEL TIEMPO</v>
      </c>
      <c r="R73" s="24"/>
    </row>
    <row r="74" spans="1:18" ht="48.75" x14ac:dyDescent="0.25">
      <c r="A74" s="89">
        <v>69</v>
      </c>
      <c r="B74" s="90" t="s">
        <v>7464</v>
      </c>
      <c r="C74" s="91">
        <v>44748</v>
      </c>
      <c r="D74" s="91">
        <v>44748</v>
      </c>
      <c r="E74" s="24">
        <v>2</v>
      </c>
      <c r="F74" s="92" t="s">
        <v>22</v>
      </c>
      <c r="G74" s="55" t="s">
        <v>30</v>
      </c>
      <c r="H74" s="55" t="s">
        <v>24</v>
      </c>
      <c r="I74" s="55" t="s">
        <v>92</v>
      </c>
      <c r="J74" s="91">
        <v>44753</v>
      </c>
      <c r="K74" s="91">
        <v>44753</v>
      </c>
      <c r="L74" s="93">
        <f t="shared" si="2"/>
        <v>3</v>
      </c>
      <c r="M74" s="55" t="s">
        <v>7465</v>
      </c>
      <c r="N74" s="90" t="s">
        <v>26</v>
      </c>
      <c r="O74" s="55" t="s">
        <v>2683</v>
      </c>
      <c r="P74" s="94" t="s">
        <v>1404</v>
      </c>
      <c r="Q74" s="90" t="str">
        <f t="shared" si="3"/>
        <v>DENTRO DEL TIEMPO</v>
      </c>
      <c r="R74" s="24"/>
    </row>
    <row r="75" spans="1:18" ht="48.75" x14ac:dyDescent="0.25">
      <c r="A75" s="89">
        <v>70</v>
      </c>
      <c r="B75" s="90" t="s">
        <v>7466</v>
      </c>
      <c r="C75" s="91">
        <v>44748</v>
      </c>
      <c r="D75" s="91">
        <v>44748</v>
      </c>
      <c r="E75" s="24">
        <v>2</v>
      </c>
      <c r="F75" s="92" t="s">
        <v>22</v>
      </c>
      <c r="G75" s="55" t="s">
        <v>30</v>
      </c>
      <c r="H75" s="55" t="s">
        <v>24</v>
      </c>
      <c r="I75" s="55" t="s">
        <v>92</v>
      </c>
      <c r="J75" s="91">
        <v>44753</v>
      </c>
      <c r="K75" s="91">
        <v>44753</v>
      </c>
      <c r="L75" s="93">
        <f t="shared" si="2"/>
        <v>3</v>
      </c>
      <c r="M75" s="55" t="s">
        <v>7467</v>
      </c>
      <c r="N75" s="90" t="s">
        <v>26</v>
      </c>
      <c r="O75" s="55" t="s">
        <v>2683</v>
      </c>
      <c r="P75" s="94" t="s">
        <v>1404</v>
      </c>
      <c r="Q75" s="90" t="str">
        <f t="shared" si="3"/>
        <v>DENTRO DEL TIEMPO</v>
      </c>
      <c r="R75" s="24"/>
    </row>
    <row r="76" spans="1:18" ht="48.75" x14ac:dyDescent="0.25">
      <c r="A76" s="89">
        <v>71</v>
      </c>
      <c r="B76" s="90" t="s">
        <v>7468</v>
      </c>
      <c r="C76" s="91">
        <v>44749</v>
      </c>
      <c r="D76" s="91">
        <v>44749</v>
      </c>
      <c r="E76" s="24">
        <v>2</v>
      </c>
      <c r="F76" s="92" t="s">
        <v>22</v>
      </c>
      <c r="G76" s="55" t="s">
        <v>30</v>
      </c>
      <c r="H76" s="55" t="s">
        <v>24</v>
      </c>
      <c r="I76" s="55" t="s">
        <v>92</v>
      </c>
      <c r="J76" s="91">
        <v>44753</v>
      </c>
      <c r="K76" s="91">
        <v>44753</v>
      </c>
      <c r="L76" s="93">
        <f t="shared" si="2"/>
        <v>2</v>
      </c>
      <c r="M76" s="55" t="s">
        <v>7469</v>
      </c>
      <c r="N76" s="90" t="s">
        <v>26</v>
      </c>
      <c r="O76" s="55" t="s">
        <v>2826</v>
      </c>
      <c r="P76" s="94" t="s">
        <v>1673</v>
      </c>
      <c r="Q76" s="90" t="str">
        <f t="shared" si="3"/>
        <v>DENTRO DEL TIEMPO</v>
      </c>
      <c r="R76" s="24"/>
    </row>
    <row r="77" spans="1:18" ht="48.75" x14ac:dyDescent="0.25">
      <c r="A77" s="89">
        <v>72</v>
      </c>
      <c r="B77" s="90" t="s">
        <v>7470</v>
      </c>
      <c r="C77" s="91">
        <v>44749</v>
      </c>
      <c r="D77" s="91">
        <v>44749</v>
      </c>
      <c r="E77" s="24">
        <v>2</v>
      </c>
      <c r="F77" s="92" t="s">
        <v>22</v>
      </c>
      <c r="G77" s="55" t="s">
        <v>30</v>
      </c>
      <c r="H77" s="55" t="s">
        <v>24</v>
      </c>
      <c r="I77" s="55" t="s">
        <v>92</v>
      </c>
      <c r="J77" s="91">
        <v>44753</v>
      </c>
      <c r="K77" s="91">
        <v>44753</v>
      </c>
      <c r="L77" s="93">
        <f t="shared" si="2"/>
        <v>2</v>
      </c>
      <c r="M77" s="55" t="s">
        <v>7471</v>
      </c>
      <c r="N77" s="90" t="s">
        <v>26</v>
      </c>
      <c r="O77" s="55" t="s">
        <v>7472</v>
      </c>
      <c r="P77" s="94" t="s">
        <v>7473</v>
      </c>
      <c r="Q77" s="90" t="str">
        <f t="shared" si="3"/>
        <v>DENTRO DEL TIEMPO</v>
      </c>
      <c r="R77" s="24"/>
    </row>
    <row r="78" spans="1:18" ht="48.75" x14ac:dyDescent="0.25">
      <c r="A78" s="89">
        <v>73</v>
      </c>
      <c r="B78" s="90" t="s">
        <v>7474</v>
      </c>
      <c r="C78" s="91">
        <v>44749</v>
      </c>
      <c r="D78" s="91">
        <v>44749</v>
      </c>
      <c r="E78" s="24">
        <v>2</v>
      </c>
      <c r="F78" s="92" t="s">
        <v>22</v>
      </c>
      <c r="G78" s="55" t="s">
        <v>30</v>
      </c>
      <c r="H78" s="55" t="s">
        <v>24</v>
      </c>
      <c r="I78" s="55" t="s">
        <v>92</v>
      </c>
      <c r="J78" s="91">
        <v>44753</v>
      </c>
      <c r="K78" s="91">
        <v>44753</v>
      </c>
      <c r="L78" s="93">
        <f t="shared" si="2"/>
        <v>2</v>
      </c>
      <c r="M78" s="55" t="s">
        <v>7475</v>
      </c>
      <c r="N78" s="90" t="s">
        <v>26</v>
      </c>
      <c r="O78" s="55" t="s">
        <v>2683</v>
      </c>
      <c r="P78" s="94" t="s">
        <v>1404</v>
      </c>
      <c r="Q78" s="90" t="str">
        <f t="shared" si="3"/>
        <v>DENTRO DEL TIEMPO</v>
      </c>
      <c r="R78" s="24"/>
    </row>
    <row r="79" spans="1:18" ht="48.75" x14ac:dyDescent="0.25">
      <c r="A79" s="89">
        <v>74</v>
      </c>
      <c r="B79" s="90" t="s">
        <v>7476</v>
      </c>
      <c r="C79" s="91">
        <v>44749</v>
      </c>
      <c r="D79" s="91">
        <v>44749</v>
      </c>
      <c r="E79" s="24">
        <v>2</v>
      </c>
      <c r="F79" s="92" t="s">
        <v>22</v>
      </c>
      <c r="G79" s="55" t="s">
        <v>30</v>
      </c>
      <c r="H79" s="55" t="s">
        <v>24</v>
      </c>
      <c r="I79" s="55" t="s">
        <v>92</v>
      </c>
      <c r="J79" s="91">
        <v>44753</v>
      </c>
      <c r="K79" s="91">
        <v>44753</v>
      </c>
      <c r="L79" s="93">
        <f t="shared" si="2"/>
        <v>2</v>
      </c>
      <c r="M79" s="55" t="s">
        <v>7477</v>
      </c>
      <c r="N79" s="90" t="s">
        <v>26</v>
      </c>
      <c r="O79" s="55" t="s">
        <v>2683</v>
      </c>
      <c r="P79" s="94" t="s">
        <v>1404</v>
      </c>
      <c r="Q79" s="90" t="str">
        <f t="shared" si="3"/>
        <v>DENTRO DEL TIEMPO</v>
      </c>
      <c r="R79" s="24"/>
    </row>
    <row r="80" spans="1:18" ht="48.75" x14ac:dyDescent="0.25">
      <c r="A80" s="89">
        <v>75</v>
      </c>
      <c r="B80" s="90" t="s">
        <v>7478</v>
      </c>
      <c r="C80" s="91">
        <v>44749</v>
      </c>
      <c r="D80" s="91">
        <v>44749</v>
      </c>
      <c r="E80" s="24">
        <v>2</v>
      </c>
      <c r="F80" s="92" t="s">
        <v>22</v>
      </c>
      <c r="G80" s="55" t="s">
        <v>30</v>
      </c>
      <c r="H80" s="55" t="s">
        <v>24</v>
      </c>
      <c r="I80" s="55" t="s">
        <v>92</v>
      </c>
      <c r="J80" s="91">
        <v>44753</v>
      </c>
      <c r="K80" s="91">
        <v>44753</v>
      </c>
      <c r="L80" s="93">
        <f t="shared" si="2"/>
        <v>2</v>
      </c>
      <c r="M80" s="55" t="s">
        <v>7479</v>
      </c>
      <c r="N80" s="90" t="s">
        <v>26</v>
      </c>
      <c r="O80" s="55" t="s">
        <v>2683</v>
      </c>
      <c r="P80" s="94" t="s">
        <v>1404</v>
      </c>
      <c r="Q80" s="90" t="str">
        <f t="shared" si="3"/>
        <v>DENTRO DEL TIEMPO</v>
      </c>
      <c r="R80" s="24"/>
    </row>
    <row r="81" spans="1:18" ht="48.75" x14ac:dyDescent="0.25">
      <c r="A81" s="89">
        <v>76</v>
      </c>
      <c r="B81" s="90" t="s">
        <v>7480</v>
      </c>
      <c r="C81" s="91">
        <v>44749</v>
      </c>
      <c r="D81" s="91">
        <v>44749</v>
      </c>
      <c r="E81" s="24">
        <v>2</v>
      </c>
      <c r="F81" s="92" t="s">
        <v>22</v>
      </c>
      <c r="G81" s="55" t="s">
        <v>30</v>
      </c>
      <c r="H81" s="55" t="s">
        <v>24</v>
      </c>
      <c r="I81" s="55" t="s">
        <v>92</v>
      </c>
      <c r="J81" s="91">
        <v>44753</v>
      </c>
      <c r="K81" s="91">
        <v>44753</v>
      </c>
      <c r="L81" s="93">
        <f t="shared" si="2"/>
        <v>2</v>
      </c>
      <c r="M81" s="55" t="s">
        <v>7481</v>
      </c>
      <c r="N81" s="90" t="s">
        <v>26</v>
      </c>
      <c r="O81" s="55" t="s">
        <v>2683</v>
      </c>
      <c r="P81" s="94" t="s">
        <v>1404</v>
      </c>
      <c r="Q81" s="90" t="str">
        <f t="shared" si="3"/>
        <v>DENTRO DEL TIEMPO</v>
      </c>
      <c r="R81" s="24"/>
    </row>
    <row r="82" spans="1:18" ht="48.75" x14ac:dyDescent="0.25">
      <c r="A82" s="89">
        <v>77</v>
      </c>
      <c r="B82" s="90" t="s">
        <v>7482</v>
      </c>
      <c r="C82" s="91">
        <v>44749</v>
      </c>
      <c r="D82" s="91">
        <v>44749</v>
      </c>
      <c r="E82" s="24">
        <v>2</v>
      </c>
      <c r="F82" s="92" t="s">
        <v>22</v>
      </c>
      <c r="G82" s="55" t="s">
        <v>30</v>
      </c>
      <c r="H82" s="55" t="s">
        <v>24</v>
      </c>
      <c r="I82" s="55" t="s">
        <v>92</v>
      </c>
      <c r="J82" s="91">
        <v>44753</v>
      </c>
      <c r="K82" s="91">
        <v>44753</v>
      </c>
      <c r="L82" s="93">
        <f t="shared" si="2"/>
        <v>2</v>
      </c>
      <c r="M82" s="55" t="s">
        <v>7483</v>
      </c>
      <c r="N82" s="90" t="s">
        <v>26</v>
      </c>
      <c r="O82" s="55" t="s">
        <v>4458</v>
      </c>
      <c r="P82" s="94" t="s">
        <v>1404</v>
      </c>
      <c r="Q82" s="90" t="str">
        <f t="shared" si="3"/>
        <v>DENTRO DEL TIEMPO</v>
      </c>
      <c r="R82" s="24"/>
    </row>
    <row r="83" spans="1:18" ht="48.75" x14ac:dyDescent="0.25">
      <c r="A83" s="89">
        <v>78</v>
      </c>
      <c r="B83" s="90" t="s">
        <v>7484</v>
      </c>
      <c r="C83" s="91">
        <v>44749</v>
      </c>
      <c r="D83" s="91">
        <v>44749</v>
      </c>
      <c r="E83" s="24">
        <v>2</v>
      </c>
      <c r="F83" s="92" t="s">
        <v>22</v>
      </c>
      <c r="G83" s="55" t="s">
        <v>30</v>
      </c>
      <c r="H83" s="55" t="s">
        <v>24</v>
      </c>
      <c r="I83" s="55" t="s">
        <v>92</v>
      </c>
      <c r="J83" s="91">
        <v>44753</v>
      </c>
      <c r="K83" s="91">
        <v>44753</v>
      </c>
      <c r="L83" s="93">
        <f t="shared" si="2"/>
        <v>2</v>
      </c>
      <c r="M83" s="55" t="s">
        <v>7485</v>
      </c>
      <c r="N83" s="90" t="s">
        <v>26</v>
      </c>
      <c r="O83" s="55" t="s">
        <v>2683</v>
      </c>
      <c r="P83" s="94" t="s">
        <v>1404</v>
      </c>
      <c r="Q83" s="90" t="str">
        <f t="shared" si="3"/>
        <v>DENTRO DEL TIEMPO</v>
      </c>
      <c r="R83" s="24"/>
    </row>
    <row r="84" spans="1:18" ht="48.75" x14ac:dyDescent="0.25">
      <c r="A84" s="89">
        <v>79</v>
      </c>
      <c r="B84" s="90" t="s">
        <v>7486</v>
      </c>
      <c r="C84" s="91">
        <v>44749</v>
      </c>
      <c r="D84" s="91">
        <v>44749</v>
      </c>
      <c r="E84" s="24">
        <v>2</v>
      </c>
      <c r="F84" s="92" t="s">
        <v>22</v>
      </c>
      <c r="G84" s="55" t="s">
        <v>30</v>
      </c>
      <c r="H84" s="55" t="s">
        <v>24</v>
      </c>
      <c r="I84" s="55" t="s">
        <v>92</v>
      </c>
      <c r="J84" s="91">
        <v>44753</v>
      </c>
      <c r="K84" s="91">
        <v>44753</v>
      </c>
      <c r="L84" s="93">
        <f t="shared" si="2"/>
        <v>2</v>
      </c>
      <c r="M84" s="55" t="s">
        <v>7487</v>
      </c>
      <c r="N84" s="90" t="s">
        <v>26</v>
      </c>
      <c r="O84" s="55" t="s">
        <v>2683</v>
      </c>
      <c r="P84" s="94" t="s">
        <v>1404</v>
      </c>
      <c r="Q84" s="90" t="str">
        <f t="shared" si="3"/>
        <v>DENTRO DEL TIEMPO</v>
      </c>
      <c r="R84" s="24"/>
    </row>
    <row r="85" spans="1:18" ht="48.75" x14ac:dyDescent="0.25">
      <c r="A85" s="89">
        <v>80</v>
      </c>
      <c r="B85" s="90" t="s">
        <v>7488</v>
      </c>
      <c r="C85" s="91">
        <v>44749</v>
      </c>
      <c r="D85" s="91">
        <v>44749</v>
      </c>
      <c r="E85" s="24">
        <v>2</v>
      </c>
      <c r="F85" s="92" t="s">
        <v>22</v>
      </c>
      <c r="G85" s="55" t="s">
        <v>30</v>
      </c>
      <c r="H85" s="55" t="s">
        <v>24</v>
      </c>
      <c r="I85" s="55" t="s">
        <v>92</v>
      </c>
      <c r="J85" s="91">
        <v>44753</v>
      </c>
      <c r="K85" s="91">
        <v>44753</v>
      </c>
      <c r="L85" s="93">
        <f t="shared" si="2"/>
        <v>2</v>
      </c>
      <c r="M85" s="55" t="s">
        <v>7489</v>
      </c>
      <c r="N85" s="90" t="s">
        <v>26</v>
      </c>
      <c r="O85" s="55" t="s">
        <v>2683</v>
      </c>
      <c r="P85" s="94" t="s">
        <v>1404</v>
      </c>
      <c r="Q85" s="90" t="str">
        <f t="shared" si="3"/>
        <v>DENTRO DEL TIEMPO</v>
      </c>
      <c r="R85" s="24"/>
    </row>
    <row r="86" spans="1:18" ht="48.75" x14ac:dyDescent="0.25">
      <c r="A86" s="89">
        <v>81</v>
      </c>
      <c r="B86" s="90" t="s">
        <v>7490</v>
      </c>
      <c r="C86" s="91">
        <v>44749</v>
      </c>
      <c r="D86" s="91">
        <v>44749</v>
      </c>
      <c r="E86" s="24">
        <v>2</v>
      </c>
      <c r="F86" s="92" t="s">
        <v>22</v>
      </c>
      <c r="G86" s="55" t="s">
        <v>30</v>
      </c>
      <c r="H86" s="55" t="s">
        <v>24</v>
      </c>
      <c r="I86" s="55" t="s">
        <v>92</v>
      </c>
      <c r="J86" s="91">
        <v>44753</v>
      </c>
      <c r="K86" s="91">
        <v>44753</v>
      </c>
      <c r="L86" s="93">
        <f t="shared" si="2"/>
        <v>2</v>
      </c>
      <c r="M86" s="55" t="s">
        <v>7491</v>
      </c>
      <c r="N86" s="90" t="s">
        <v>26</v>
      </c>
      <c r="O86" s="55" t="s">
        <v>2683</v>
      </c>
      <c r="P86" s="94" t="s">
        <v>1404</v>
      </c>
      <c r="Q86" s="90" t="str">
        <f t="shared" si="3"/>
        <v>DENTRO DEL TIEMPO</v>
      </c>
      <c r="R86" s="24"/>
    </row>
    <row r="87" spans="1:18" ht="48.75" x14ac:dyDescent="0.25">
      <c r="A87" s="89">
        <v>82</v>
      </c>
      <c r="B87" s="90" t="s">
        <v>7492</v>
      </c>
      <c r="C87" s="91">
        <v>44749</v>
      </c>
      <c r="D87" s="91">
        <v>44749</v>
      </c>
      <c r="E87" s="24">
        <v>2</v>
      </c>
      <c r="F87" s="92" t="s">
        <v>22</v>
      </c>
      <c r="G87" s="55" t="s">
        <v>30</v>
      </c>
      <c r="H87" s="55" t="s">
        <v>24</v>
      </c>
      <c r="I87" s="55" t="s">
        <v>92</v>
      </c>
      <c r="J87" s="91">
        <v>44753</v>
      </c>
      <c r="K87" s="91">
        <v>44753</v>
      </c>
      <c r="L87" s="93">
        <f t="shared" si="2"/>
        <v>2</v>
      </c>
      <c r="M87" s="55" t="s">
        <v>7491</v>
      </c>
      <c r="N87" s="90" t="s">
        <v>26</v>
      </c>
      <c r="O87" s="55" t="s">
        <v>2683</v>
      </c>
      <c r="P87" s="94" t="s">
        <v>1404</v>
      </c>
      <c r="Q87" s="90" t="str">
        <f t="shared" si="3"/>
        <v>DENTRO DEL TIEMPO</v>
      </c>
      <c r="R87" s="24"/>
    </row>
    <row r="88" spans="1:18" ht="48.75" x14ac:dyDescent="0.25">
      <c r="A88" s="89">
        <v>83</v>
      </c>
      <c r="B88" s="90" t="s">
        <v>7493</v>
      </c>
      <c r="C88" s="91">
        <v>44749</v>
      </c>
      <c r="D88" s="91">
        <v>44749</v>
      </c>
      <c r="E88" s="24">
        <v>2</v>
      </c>
      <c r="F88" s="92" t="s">
        <v>22</v>
      </c>
      <c r="G88" s="55" t="s">
        <v>30</v>
      </c>
      <c r="H88" s="55" t="s">
        <v>24</v>
      </c>
      <c r="I88" s="55" t="s">
        <v>92</v>
      </c>
      <c r="J88" s="91">
        <v>44753</v>
      </c>
      <c r="K88" s="91">
        <v>44753</v>
      </c>
      <c r="L88" s="93">
        <f t="shared" si="2"/>
        <v>2</v>
      </c>
      <c r="M88" s="55" t="s">
        <v>7494</v>
      </c>
      <c r="N88" s="90" t="s">
        <v>26</v>
      </c>
      <c r="O88" s="55" t="s">
        <v>2320</v>
      </c>
      <c r="P88" s="94" t="s">
        <v>1487</v>
      </c>
      <c r="Q88" s="90" t="str">
        <f t="shared" si="3"/>
        <v>DENTRO DEL TIEMPO</v>
      </c>
      <c r="R88" s="24"/>
    </row>
    <row r="89" spans="1:18" ht="48.75" x14ac:dyDescent="0.25">
      <c r="A89" s="89">
        <v>84</v>
      </c>
      <c r="B89" s="90" t="s">
        <v>7495</v>
      </c>
      <c r="C89" s="91">
        <v>44749</v>
      </c>
      <c r="D89" s="91">
        <v>44749</v>
      </c>
      <c r="E89" s="24">
        <v>2</v>
      </c>
      <c r="F89" s="92" t="s">
        <v>22</v>
      </c>
      <c r="G89" s="55" t="s">
        <v>30</v>
      </c>
      <c r="H89" s="55" t="s">
        <v>24</v>
      </c>
      <c r="I89" s="55" t="s">
        <v>92</v>
      </c>
      <c r="J89" s="91">
        <v>44753</v>
      </c>
      <c r="K89" s="91">
        <v>44753</v>
      </c>
      <c r="L89" s="93">
        <f t="shared" si="2"/>
        <v>2</v>
      </c>
      <c r="M89" s="55" t="s">
        <v>7496</v>
      </c>
      <c r="N89" s="90" t="s">
        <v>26</v>
      </c>
      <c r="O89" s="55" t="s">
        <v>7497</v>
      </c>
      <c r="P89" s="94" t="s">
        <v>2027</v>
      </c>
      <c r="Q89" s="90" t="str">
        <f t="shared" si="3"/>
        <v>DENTRO DEL TIEMPO</v>
      </c>
      <c r="R89" s="24"/>
    </row>
    <row r="90" spans="1:18" ht="48.75" x14ac:dyDescent="0.25">
      <c r="A90" s="89">
        <v>85</v>
      </c>
      <c r="B90" s="90" t="s">
        <v>7498</v>
      </c>
      <c r="C90" s="91">
        <v>44749</v>
      </c>
      <c r="D90" s="91">
        <v>44749</v>
      </c>
      <c r="E90" s="24">
        <v>2</v>
      </c>
      <c r="F90" s="92" t="s">
        <v>22</v>
      </c>
      <c r="G90" s="55" t="s">
        <v>23</v>
      </c>
      <c r="H90" s="55" t="s">
        <v>24</v>
      </c>
      <c r="I90" s="55" t="s">
        <v>49</v>
      </c>
      <c r="J90" s="91">
        <v>44755</v>
      </c>
      <c r="K90" s="91">
        <v>44755</v>
      </c>
      <c r="L90" s="93">
        <f t="shared" si="2"/>
        <v>4</v>
      </c>
      <c r="M90" s="55" t="s">
        <v>7499</v>
      </c>
      <c r="N90" s="90" t="s">
        <v>26</v>
      </c>
      <c r="O90" s="55" t="s">
        <v>7500</v>
      </c>
      <c r="P90" s="94" t="s">
        <v>7501</v>
      </c>
      <c r="Q90" s="90" t="str">
        <f t="shared" si="3"/>
        <v>DENTRO DEL TIEMPO</v>
      </c>
      <c r="R90" s="24"/>
    </row>
    <row r="91" spans="1:18" ht="48.75" x14ac:dyDescent="0.25">
      <c r="A91" s="89">
        <v>86</v>
      </c>
      <c r="B91" s="90" t="s">
        <v>7502</v>
      </c>
      <c r="C91" s="91">
        <v>44749</v>
      </c>
      <c r="D91" s="91">
        <v>44749</v>
      </c>
      <c r="E91" s="24">
        <v>1309</v>
      </c>
      <c r="F91" s="92" t="s">
        <v>22</v>
      </c>
      <c r="G91" s="55" t="s">
        <v>23</v>
      </c>
      <c r="H91" s="55" t="s">
        <v>24</v>
      </c>
      <c r="I91" s="55" t="s">
        <v>49</v>
      </c>
      <c r="J91" s="91">
        <v>44754</v>
      </c>
      <c r="K91" s="91">
        <v>44754</v>
      </c>
      <c r="L91" s="93">
        <f t="shared" si="2"/>
        <v>3</v>
      </c>
      <c r="M91" s="55" t="s">
        <v>7503</v>
      </c>
      <c r="N91" s="90" t="s">
        <v>26</v>
      </c>
      <c r="O91" s="55" t="s">
        <v>6540</v>
      </c>
      <c r="P91" s="94" t="s">
        <v>7504</v>
      </c>
      <c r="Q91" s="90" t="str">
        <f t="shared" si="3"/>
        <v>DENTRO DEL TIEMPO</v>
      </c>
      <c r="R91" s="24"/>
    </row>
    <row r="92" spans="1:18" ht="48.75" x14ac:dyDescent="0.25">
      <c r="A92" s="89">
        <v>87</v>
      </c>
      <c r="B92" s="90" t="s">
        <v>7505</v>
      </c>
      <c r="C92" s="91">
        <v>44749</v>
      </c>
      <c r="D92" s="91">
        <v>44749</v>
      </c>
      <c r="E92" s="24">
        <v>2</v>
      </c>
      <c r="F92" s="92" t="s">
        <v>22</v>
      </c>
      <c r="G92" s="55" t="s">
        <v>30</v>
      </c>
      <c r="H92" s="55" t="s">
        <v>24</v>
      </c>
      <c r="I92" s="55" t="s">
        <v>92</v>
      </c>
      <c r="J92" s="91">
        <v>44753</v>
      </c>
      <c r="K92" s="91">
        <v>44753</v>
      </c>
      <c r="L92" s="93">
        <f t="shared" si="2"/>
        <v>2</v>
      </c>
      <c r="M92" s="55" t="s">
        <v>7506</v>
      </c>
      <c r="N92" s="90" t="s">
        <v>26</v>
      </c>
      <c r="O92" s="55" t="s">
        <v>7507</v>
      </c>
      <c r="P92" s="94" t="s">
        <v>7508</v>
      </c>
      <c r="Q92" s="90" t="str">
        <f t="shared" si="3"/>
        <v>DENTRO DEL TIEMPO</v>
      </c>
      <c r="R92" s="24"/>
    </row>
    <row r="93" spans="1:18" ht="48.75" x14ac:dyDescent="0.25">
      <c r="A93" s="89">
        <v>88</v>
      </c>
      <c r="B93" s="90" t="s">
        <v>7509</v>
      </c>
      <c r="C93" s="91">
        <v>44749</v>
      </c>
      <c r="D93" s="91">
        <v>44749</v>
      </c>
      <c r="E93" s="24">
        <v>877</v>
      </c>
      <c r="F93" s="92" t="s">
        <v>22</v>
      </c>
      <c r="G93" s="55" t="s">
        <v>23</v>
      </c>
      <c r="H93" s="55" t="s">
        <v>24</v>
      </c>
      <c r="I93" s="55" t="s">
        <v>49</v>
      </c>
      <c r="J93" s="91">
        <v>44754</v>
      </c>
      <c r="K93" s="91">
        <v>44754</v>
      </c>
      <c r="L93" s="93">
        <f t="shared" si="2"/>
        <v>3</v>
      </c>
      <c r="M93" s="55" t="s">
        <v>7510</v>
      </c>
      <c r="N93" s="90" t="s">
        <v>26</v>
      </c>
      <c r="O93" s="55" t="s">
        <v>7511</v>
      </c>
      <c r="P93" s="94" t="s">
        <v>7512</v>
      </c>
      <c r="Q93" s="90" t="str">
        <f t="shared" si="3"/>
        <v>DENTRO DEL TIEMPO</v>
      </c>
      <c r="R93" s="24"/>
    </row>
    <row r="94" spans="1:18" ht="48.75" x14ac:dyDescent="0.25">
      <c r="A94" s="89">
        <v>89</v>
      </c>
      <c r="B94" s="90" t="s">
        <v>7513</v>
      </c>
      <c r="C94" s="91">
        <v>44749</v>
      </c>
      <c r="D94" s="91">
        <v>44749</v>
      </c>
      <c r="E94" s="24">
        <v>2</v>
      </c>
      <c r="F94" s="92" t="s">
        <v>22</v>
      </c>
      <c r="G94" s="55" t="s">
        <v>30</v>
      </c>
      <c r="H94" s="55" t="s">
        <v>24</v>
      </c>
      <c r="I94" s="55" t="s">
        <v>92</v>
      </c>
      <c r="J94" s="91">
        <v>44753</v>
      </c>
      <c r="K94" s="91">
        <v>44753</v>
      </c>
      <c r="L94" s="93">
        <f t="shared" si="2"/>
        <v>2</v>
      </c>
      <c r="M94" s="55" t="s">
        <v>7514</v>
      </c>
      <c r="N94" s="90" t="s">
        <v>26</v>
      </c>
      <c r="O94" s="55" t="s">
        <v>7515</v>
      </c>
      <c r="P94" s="94" t="s">
        <v>7516</v>
      </c>
      <c r="Q94" s="90" t="str">
        <f t="shared" si="3"/>
        <v>DENTRO DEL TIEMPO</v>
      </c>
      <c r="R94" s="24"/>
    </row>
    <row r="95" spans="1:18" ht="48.75" x14ac:dyDescent="0.25">
      <c r="A95" s="89">
        <v>90</v>
      </c>
      <c r="B95" s="90" t="s">
        <v>7517</v>
      </c>
      <c r="C95" s="91">
        <v>44749</v>
      </c>
      <c r="D95" s="91">
        <v>44749</v>
      </c>
      <c r="E95" s="24">
        <v>2</v>
      </c>
      <c r="F95" s="92" t="s">
        <v>22</v>
      </c>
      <c r="G95" s="55" t="s">
        <v>30</v>
      </c>
      <c r="H95" s="55" t="s">
        <v>24</v>
      </c>
      <c r="I95" s="55" t="s">
        <v>92</v>
      </c>
      <c r="J95" s="91">
        <v>44753</v>
      </c>
      <c r="K95" s="91">
        <v>44753</v>
      </c>
      <c r="L95" s="93">
        <f t="shared" si="2"/>
        <v>2</v>
      </c>
      <c r="M95" s="55" t="s">
        <v>7518</v>
      </c>
      <c r="N95" s="90" t="s">
        <v>26</v>
      </c>
      <c r="O95" s="55" t="s">
        <v>6246</v>
      </c>
      <c r="P95" s="94" t="s">
        <v>7519</v>
      </c>
      <c r="Q95" s="90" t="str">
        <f t="shared" si="3"/>
        <v>DENTRO DEL TIEMPO</v>
      </c>
      <c r="R95" s="24"/>
    </row>
    <row r="96" spans="1:18" ht="48.75" x14ac:dyDescent="0.25">
      <c r="A96" s="89">
        <v>91</v>
      </c>
      <c r="B96" s="90" t="s">
        <v>7520</v>
      </c>
      <c r="C96" s="91">
        <v>44750</v>
      </c>
      <c r="D96" s="91">
        <v>44750</v>
      </c>
      <c r="E96" s="24">
        <v>2</v>
      </c>
      <c r="F96" s="92" t="s">
        <v>22</v>
      </c>
      <c r="G96" s="55" t="s">
        <v>30</v>
      </c>
      <c r="H96" s="55" t="s">
        <v>24</v>
      </c>
      <c r="I96" s="55" t="s">
        <v>92</v>
      </c>
      <c r="J96" s="91">
        <v>44753</v>
      </c>
      <c r="K96" s="91">
        <v>44753</v>
      </c>
      <c r="L96" s="93">
        <f t="shared" si="2"/>
        <v>1</v>
      </c>
      <c r="M96" s="55" t="s">
        <v>7521</v>
      </c>
      <c r="N96" s="90" t="s">
        <v>26</v>
      </c>
      <c r="O96" s="55" t="s">
        <v>2683</v>
      </c>
      <c r="P96" s="94" t="s">
        <v>1404</v>
      </c>
      <c r="Q96" s="90" t="str">
        <f t="shared" si="3"/>
        <v>DENTRO DEL TIEMPO</v>
      </c>
      <c r="R96" s="24"/>
    </row>
    <row r="97" spans="1:18" ht="48.75" x14ac:dyDescent="0.25">
      <c r="A97" s="89">
        <v>92</v>
      </c>
      <c r="B97" s="90" t="s">
        <v>7522</v>
      </c>
      <c r="C97" s="91">
        <v>44750</v>
      </c>
      <c r="D97" s="91">
        <v>44750</v>
      </c>
      <c r="E97" s="24">
        <v>2</v>
      </c>
      <c r="F97" s="92" t="s">
        <v>22</v>
      </c>
      <c r="G97" s="55" t="s">
        <v>30</v>
      </c>
      <c r="H97" s="55" t="s">
        <v>24</v>
      </c>
      <c r="I97" s="55" t="s">
        <v>92</v>
      </c>
      <c r="J97" s="91">
        <v>44753</v>
      </c>
      <c r="K97" s="91">
        <v>44753</v>
      </c>
      <c r="L97" s="93">
        <f t="shared" si="2"/>
        <v>1</v>
      </c>
      <c r="M97" s="55" t="s">
        <v>7523</v>
      </c>
      <c r="N97" s="90" t="s">
        <v>26</v>
      </c>
      <c r="O97" s="55" t="s">
        <v>2683</v>
      </c>
      <c r="P97" s="94" t="s">
        <v>1404</v>
      </c>
      <c r="Q97" s="90" t="str">
        <f t="shared" si="3"/>
        <v>DENTRO DEL TIEMPO</v>
      </c>
      <c r="R97" s="24"/>
    </row>
    <row r="98" spans="1:18" ht="48.75" x14ac:dyDescent="0.25">
      <c r="A98" s="89">
        <v>93</v>
      </c>
      <c r="B98" s="90" t="s">
        <v>7524</v>
      </c>
      <c r="C98" s="91">
        <v>44750</v>
      </c>
      <c r="D98" s="91">
        <v>44750</v>
      </c>
      <c r="E98" s="24">
        <v>2</v>
      </c>
      <c r="F98" s="92" t="s">
        <v>22</v>
      </c>
      <c r="G98" s="55" t="s">
        <v>30</v>
      </c>
      <c r="H98" s="55" t="s">
        <v>24</v>
      </c>
      <c r="I98" s="55" t="s">
        <v>92</v>
      </c>
      <c r="J98" s="91">
        <v>44753</v>
      </c>
      <c r="K98" s="91">
        <v>44753</v>
      </c>
      <c r="L98" s="93">
        <f t="shared" si="2"/>
        <v>1</v>
      </c>
      <c r="M98" s="55" t="s">
        <v>7525</v>
      </c>
      <c r="N98" s="90" t="s">
        <v>26</v>
      </c>
      <c r="O98" s="55" t="s">
        <v>2683</v>
      </c>
      <c r="P98" s="94" t="s">
        <v>1404</v>
      </c>
      <c r="Q98" s="90" t="str">
        <f t="shared" si="3"/>
        <v>DENTRO DEL TIEMPO</v>
      </c>
      <c r="R98" s="24"/>
    </row>
    <row r="99" spans="1:18" ht="48.75" x14ac:dyDescent="0.25">
      <c r="A99" s="89">
        <v>94</v>
      </c>
      <c r="B99" s="90" t="s">
        <v>7526</v>
      </c>
      <c r="C99" s="91">
        <v>44750</v>
      </c>
      <c r="D99" s="91">
        <v>44750</v>
      </c>
      <c r="E99" s="24">
        <v>2</v>
      </c>
      <c r="F99" s="92" t="s">
        <v>22</v>
      </c>
      <c r="G99" s="55" t="s">
        <v>30</v>
      </c>
      <c r="H99" s="55" t="s">
        <v>24</v>
      </c>
      <c r="I99" s="55" t="s">
        <v>92</v>
      </c>
      <c r="J99" s="91">
        <v>44753</v>
      </c>
      <c r="K99" s="91">
        <v>44753</v>
      </c>
      <c r="L99" s="93">
        <f t="shared" si="2"/>
        <v>1</v>
      </c>
      <c r="M99" s="55" t="s">
        <v>7527</v>
      </c>
      <c r="N99" s="90" t="s">
        <v>26</v>
      </c>
      <c r="O99" s="55" t="s">
        <v>2683</v>
      </c>
      <c r="P99" s="94" t="s">
        <v>1404</v>
      </c>
      <c r="Q99" s="90" t="str">
        <f t="shared" si="3"/>
        <v>DENTRO DEL TIEMPO</v>
      </c>
      <c r="R99" s="24"/>
    </row>
    <row r="100" spans="1:18" ht="48.75" x14ac:dyDescent="0.25">
      <c r="A100" s="89">
        <v>95</v>
      </c>
      <c r="B100" s="90" t="s">
        <v>7528</v>
      </c>
      <c r="C100" s="91">
        <v>44750</v>
      </c>
      <c r="D100" s="91">
        <v>44750</v>
      </c>
      <c r="E100" s="24">
        <v>2</v>
      </c>
      <c r="F100" s="92" t="s">
        <v>22</v>
      </c>
      <c r="G100" s="55" t="s">
        <v>30</v>
      </c>
      <c r="H100" s="55" t="s">
        <v>24</v>
      </c>
      <c r="I100" s="55" t="s">
        <v>92</v>
      </c>
      <c r="J100" s="91">
        <v>44753</v>
      </c>
      <c r="K100" s="91">
        <v>44753</v>
      </c>
      <c r="L100" s="93">
        <f t="shared" si="2"/>
        <v>1</v>
      </c>
      <c r="M100" s="55" t="s">
        <v>7529</v>
      </c>
      <c r="N100" s="90" t="s">
        <v>26</v>
      </c>
      <c r="O100" s="55" t="s">
        <v>2683</v>
      </c>
      <c r="P100" s="94" t="s">
        <v>1404</v>
      </c>
      <c r="Q100" s="90" t="str">
        <f t="shared" si="3"/>
        <v>DENTRO DEL TIEMPO</v>
      </c>
      <c r="R100" s="24"/>
    </row>
    <row r="101" spans="1:18" ht="48.75" x14ac:dyDescent="0.25">
      <c r="A101" s="89">
        <v>96</v>
      </c>
      <c r="B101" s="90" t="s">
        <v>7530</v>
      </c>
      <c r="C101" s="91">
        <v>44750</v>
      </c>
      <c r="D101" s="91">
        <v>44750</v>
      </c>
      <c r="E101" s="24">
        <v>2</v>
      </c>
      <c r="F101" s="92" t="s">
        <v>22</v>
      </c>
      <c r="G101" s="55" t="s">
        <v>30</v>
      </c>
      <c r="H101" s="55" t="s">
        <v>24</v>
      </c>
      <c r="I101" s="55" t="s">
        <v>92</v>
      </c>
      <c r="J101" s="91">
        <v>44754</v>
      </c>
      <c r="K101" s="91">
        <v>44754</v>
      </c>
      <c r="L101" s="93">
        <f t="shared" si="2"/>
        <v>2</v>
      </c>
      <c r="M101" s="55" t="s">
        <v>7531</v>
      </c>
      <c r="N101" s="90" t="s">
        <v>26</v>
      </c>
      <c r="O101" s="55" t="s">
        <v>2683</v>
      </c>
      <c r="P101" s="94" t="s">
        <v>1404</v>
      </c>
      <c r="Q101" s="90" t="str">
        <f t="shared" si="3"/>
        <v>DENTRO DEL TIEMPO</v>
      </c>
      <c r="R101" s="24"/>
    </row>
    <row r="102" spans="1:18" ht="48.75" x14ac:dyDescent="0.25">
      <c r="A102" s="89">
        <v>97</v>
      </c>
      <c r="B102" s="90" t="s">
        <v>7532</v>
      </c>
      <c r="C102" s="91">
        <v>44750</v>
      </c>
      <c r="D102" s="91">
        <v>44750</v>
      </c>
      <c r="E102" s="24">
        <v>2</v>
      </c>
      <c r="F102" s="92" t="s">
        <v>22</v>
      </c>
      <c r="G102" s="55" t="s">
        <v>30</v>
      </c>
      <c r="H102" s="55" t="s">
        <v>24</v>
      </c>
      <c r="I102" s="55" t="s">
        <v>92</v>
      </c>
      <c r="J102" s="91">
        <v>44754</v>
      </c>
      <c r="K102" s="91">
        <v>44754</v>
      </c>
      <c r="L102" s="93">
        <f t="shared" si="2"/>
        <v>2</v>
      </c>
      <c r="M102" s="55" t="s">
        <v>7533</v>
      </c>
      <c r="N102" s="90" t="s">
        <v>26</v>
      </c>
      <c r="O102" s="55" t="s">
        <v>2683</v>
      </c>
      <c r="P102" s="94" t="s">
        <v>1404</v>
      </c>
      <c r="Q102" s="90" t="str">
        <f t="shared" si="3"/>
        <v>DENTRO DEL TIEMPO</v>
      </c>
      <c r="R102" s="24"/>
    </row>
    <row r="103" spans="1:18" ht="48.75" x14ac:dyDescent="0.25">
      <c r="A103" s="89">
        <v>98</v>
      </c>
      <c r="B103" s="90" t="s">
        <v>7534</v>
      </c>
      <c r="C103" s="91">
        <v>44750</v>
      </c>
      <c r="D103" s="91">
        <v>44750</v>
      </c>
      <c r="E103" s="24">
        <v>2</v>
      </c>
      <c r="F103" s="92" t="s">
        <v>22</v>
      </c>
      <c r="G103" s="55" t="s">
        <v>30</v>
      </c>
      <c r="H103" s="55" t="s">
        <v>24</v>
      </c>
      <c r="I103" s="55" t="s">
        <v>92</v>
      </c>
      <c r="J103" s="91">
        <v>44754</v>
      </c>
      <c r="K103" s="91">
        <v>44754</v>
      </c>
      <c r="L103" s="93">
        <f t="shared" si="2"/>
        <v>2</v>
      </c>
      <c r="M103" s="55" t="s">
        <v>7535</v>
      </c>
      <c r="N103" s="90" t="s">
        <v>26</v>
      </c>
      <c r="O103" s="55" t="s">
        <v>2683</v>
      </c>
      <c r="P103" s="94" t="s">
        <v>1404</v>
      </c>
      <c r="Q103" s="90" t="str">
        <f t="shared" si="3"/>
        <v>DENTRO DEL TIEMPO</v>
      </c>
      <c r="R103" s="24"/>
    </row>
    <row r="104" spans="1:18" ht="48.75" x14ac:dyDescent="0.25">
      <c r="A104" s="89">
        <v>99</v>
      </c>
      <c r="B104" s="90" t="s">
        <v>7536</v>
      </c>
      <c r="C104" s="91">
        <v>44750</v>
      </c>
      <c r="D104" s="91">
        <v>44750</v>
      </c>
      <c r="E104" s="24">
        <v>2</v>
      </c>
      <c r="F104" s="92" t="s">
        <v>22</v>
      </c>
      <c r="G104" s="55" t="s">
        <v>23</v>
      </c>
      <c r="H104" s="55" t="s">
        <v>24</v>
      </c>
      <c r="I104" s="55" t="s">
        <v>49</v>
      </c>
      <c r="J104" s="91">
        <v>44750</v>
      </c>
      <c r="K104" s="91">
        <v>44750</v>
      </c>
      <c r="L104" s="93">
        <f t="shared" si="2"/>
        <v>0</v>
      </c>
      <c r="M104" s="55" t="s">
        <v>7537</v>
      </c>
      <c r="N104" s="90" t="s">
        <v>26</v>
      </c>
      <c r="O104" s="55" t="s">
        <v>7538</v>
      </c>
      <c r="P104" s="94" t="s">
        <v>7539</v>
      </c>
      <c r="Q104" s="90" t="str">
        <f t="shared" si="3"/>
        <v>DENTRO DEL TIEMPO</v>
      </c>
      <c r="R104" s="24"/>
    </row>
    <row r="105" spans="1:18" ht="48.75" x14ac:dyDescent="0.25">
      <c r="A105" s="89">
        <v>100</v>
      </c>
      <c r="B105" s="90" t="s">
        <v>7540</v>
      </c>
      <c r="C105" s="91">
        <v>44750</v>
      </c>
      <c r="D105" s="91">
        <v>44750</v>
      </c>
      <c r="E105" s="24">
        <v>2</v>
      </c>
      <c r="F105" s="92" t="s">
        <v>22</v>
      </c>
      <c r="G105" s="55" t="s">
        <v>30</v>
      </c>
      <c r="H105" s="55" t="s">
        <v>24</v>
      </c>
      <c r="I105" s="55" t="s">
        <v>92</v>
      </c>
      <c r="J105" s="91">
        <v>44754</v>
      </c>
      <c r="K105" s="91">
        <v>44754</v>
      </c>
      <c r="L105" s="93">
        <f t="shared" si="2"/>
        <v>2</v>
      </c>
      <c r="M105" s="55" t="s">
        <v>7541</v>
      </c>
      <c r="N105" s="90" t="s">
        <v>26</v>
      </c>
      <c r="O105" s="55" t="s">
        <v>2350</v>
      </c>
      <c r="P105" s="94" t="s">
        <v>1423</v>
      </c>
      <c r="Q105" s="90" t="str">
        <f t="shared" si="3"/>
        <v>DENTRO DEL TIEMPO</v>
      </c>
      <c r="R105" s="24"/>
    </row>
    <row r="106" spans="1:18" ht="48.75" x14ac:dyDescent="0.25">
      <c r="A106" s="89">
        <v>101</v>
      </c>
      <c r="B106" s="90" t="s">
        <v>7542</v>
      </c>
      <c r="C106" s="91">
        <v>44750</v>
      </c>
      <c r="D106" s="91">
        <v>44750</v>
      </c>
      <c r="E106" s="24">
        <v>2</v>
      </c>
      <c r="F106" s="92" t="s">
        <v>22</v>
      </c>
      <c r="G106" s="55" t="s">
        <v>30</v>
      </c>
      <c r="H106" s="55" t="s">
        <v>24</v>
      </c>
      <c r="I106" s="55" t="s">
        <v>92</v>
      </c>
      <c r="J106" s="91">
        <v>44754</v>
      </c>
      <c r="K106" s="91">
        <v>44754</v>
      </c>
      <c r="L106" s="93">
        <f t="shared" si="2"/>
        <v>2</v>
      </c>
      <c r="M106" s="55" t="s">
        <v>7543</v>
      </c>
      <c r="N106" s="90" t="s">
        <v>26</v>
      </c>
      <c r="O106" s="55" t="s">
        <v>2350</v>
      </c>
      <c r="P106" s="94" t="s">
        <v>1423</v>
      </c>
      <c r="Q106" s="90" t="str">
        <f t="shared" si="3"/>
        <v>DENTRO DEL TIEMPO</v>
      </c>
      <c r="R106" s="24"/>
    </row>
    <row r="107" spans="1:18" ht="48.75" x14ac:dyDescent="0.25">
      <c r="A107" s="89">
        <v>102</v>
      </c>
      <c r="B107" s="90" t="s">
        <v>7544</v>
      </c>
      <c r="C107" s="91">
        <v>44750</v>
      </c>
      <c r="D107" s="91">
        <v>44750</v>
      </c>
      <c r="E107" s="24">
        <v>2</v>
      </c>
      <c r="F107" s="92" t="s">
        <v>22</v>
      </c>
      <c r="G107" s="55" t="s">
        <v>30</v>
      </c>
      <c r="H107" s="55" t="s">
        <v>24</v>
      </c>
      <c r="I107" s="55" t="s">
        <v>92</v>
      </c>
      <c r="J107" s="91">
        <v>44754</v>
      </c>
      <c r="K107" s="91">
        <v>44754</v>
      </c>
      <c r="L107" s="93">
        <f t="shared" si="2"/>
        <v>2</v>
      </c>
      <c r="M107" s="55" t="s">
        <v>7545</v>
      </c>
      <c r="N107" s="90" t="s">
        <v>26</v>
      </c>
      <c r="O107" s="55" t="s">
        <v>2683</v>
      </c>
      <c r="P107" s="94" t="s">
        <v>1404</v>
      </c>
      <c r="Q107" s="90" t="str">
        <f t="shared" si="3"/>
        <v>DENTRO DEL TIEMPO</v>
      </c>
      <c r="R107" s="24"/>
    </row>
    <row r="108" spans="1:18" ht="48.75" x14ac:dyDescent="0.25">
      <c r="A108" s="89">
        <v>103</v>
      </c>
      <c r="B108" s="90" t="s">
        <v>7546</v>
      </c>
      <c r="C108" s="91">
        <v>44750</v>
      </c>
      <c r="D108" s="91">
        <v>44750</v>
      </c>
      <c r="E108" s="24">
        <v>2</v>
      </c>
      <c r="F108" s="92" t="s">
        <v>22</v>
      </c>
      <c r="G108" s="55" t="s">
        <v>30</v>
      </c>
      <c r="H108" s="55" t="s">
        <v>24</v>
      </c>
      <c r="I108" s="55" t="s">
        <v>92</v>
      </c>
      <c r="J108" s="91">
        <v>44754</v>
      </c>
      <c r="K108" s="91">
        <v>44754</v>
      </c>
      <c r="L108" s="93">
        <f t="shared" si="2"/>
        <v>2</v>
      </c>
      <c r="M108" s="55" t="s">
        <v>7547</v>
      </c>
      <c r="N108" s="90" t="s">
        <v>26</v>
      </c>
      <c r="O108" s="55" t="s">
        <v>2683</v>
      </c>
      <c r="P108" s="94" t="s">
        <v>1404</v>
      </c>
      <c r="Q108" s="90" t="str">
        <f t="shared" si="3"/>
        <v>DENTRO DEL TIEMPO</v>
      </c>
      <c r="R108" s="24"/>
    </row>
    <row r="109" spans="1:18" ht="48.75" x14ac:dyDescent="0.25">
      <c r="A109" s="89">
        <v>104</v>
      </c>
      <c r="B109" s="90" t="s">
        <v>7548</v>
      </c>
      <c r="C109" s="91">
        <v>44750</v>
      </c>
      <c r="D109" s="91">
        <v>44750</v>
      </c>
      <c r="E109" s="24">
        <v>2</v>
      </c>
      <c r="F109" s="92" t="s">
        <v>22</v>
      </c>
      <c r="G109" s="55" t="s">
        <v>30</v>
      </c>
      <c r="H109" s="55" t="s">
        <v>24</v>
      </c>
      <c r="I109" s="55" t="s">
        <v>92</v>
      </c>
      <c r="J109" s="91">
        <v>44754</v>
      </c>
      <c r="K109" s="91">
        <v>44754</v>
      </c>
      <c r="L109" s="93">
        <f t="shared" si="2"/>
        <v>2</v>
      </c>
      <c r="M109" s="55" t="s">
        <v>7549</v>
      </c>
      <c r="N109" s="90" t="s">
        <v>26</v>
      </c>
      <c r="O109" s="55" t="s">
        <v>2683</v>
      </c>
      <c r="P109" s="94" t="s">
        <v>1404</v>
      </c>
      <c r="Q109" s="90" t="str">
        <f t="shared" si="3"/>
        <v>DENTRO DEL TIEMPO</v>
      </c>
      <c r="R109" s="24"/>
    </row>
    <row r="110" spans="1:18" ht="48.75" x14ac:dyDescent="0.25">
      <c r="A110" s="89">
        <v>105</v>
      </c>
      <c r="B110" s="90" t="s">
        <v>7550</v>
      </c>
      <c r="C110" s="91">
        <v>44750</v>
      </c>
      <c r="D110" s="91">
        <v>44750</v>
      </c>
      <c r="E110" s="24">
        <v>2</v>
      </c>
      <c r="F110" s="92" t="s">
        <v>22</v>
      </c>
      <c r="G110" s="55" t="s">
        <v>30</v>
      </c>
      <c r="H110" s="55" t="s">
        <v>24</v>
      </c>
      <c r="I110" s="55" t="s">
        <v>92</v>
      </c>
      <c r="J110" s="91">
        <v>44754</v>
      </c>
      <c r="K110" s="91">
        <v>44754</v>
      </c>
      <c r="L110" s="93">
        <f t="shared" si="2"/>
        <v>2</v>
      </c>
      <c r="M110" s="55" t="s">
        <v>7551</v>
      </c>
      <c r="N110" s="90" t="s">
        <v>26</v>
      </c>
      <c r="O110" s="55" t="s">
        <v>2683</v>
      </c>
      <c r="P110" s="94" t="s">
        <v>1404</v>
      </c>
      <c r="Q110" s="90" t="str">
        <f t="shared" si="3"/>
        <v>DENTRO DEL TIEMPO</v>
      </c>
      <c r="R110" s="24"/>
    </row>
    <row r="111" spans="1:18" ht="48.75" x14ac:dyDescent="0.25">
      <c r="A111" s="89">
        <v>106</v>
      </c>
      <c r="B111" s="90" t="s">
        <v>7552</v>
      </c>
      <c r="C111" s="91">
        <v>44750</v>
      </c>
      <c r="D111" s="91">
        <v>44750</v>
      </c>
      <c r="E111" s="24">
        <v>2</v>
      </c>
      <c r="F111" s="92" t="s">
        <v>22</v>
      </c>
      <c r="G111" s="55" t="s">
        <v>23</v>
      </c>
      <c r="H111" s="55" t="s">
        <v>24</v>
      </c>
      <c r="I111" s="55" t="s">
        <v>49</v>
      </c>
      <c r="J111" s="91">
        <v>44750</v>
      </c>
      <c r="K111" s="91">
        <v>44750</v>
      </c>
      <c r="L111" s="93">
        <f t="shared" si="2"/>
        <v>0</v>
      </c>
      <c r="M111" s="55" t="s">
        <v>7553</v>
      </c>
      <c r="N111" s="90" t="s">
        <v>26</v>
      </c>
      <c r="O111" s="55" t="s">
        <v>7554</v>
      </c>
      <c r="P111" s="94" t="s">
        <v>7555</v>
      </c>
      <c r="Q111" s="90" t="str">
        <f t="shared" si="3"/>
        <v>DENTRO DEL TIEMPO</v>
      </c>
      <c r="R111" s="24"/>
    </row>
    <row r="112" spans="1:18" ht="48.75" x14ac:dyDescent="0.25">
      <c r="A112" s="89">
        <v>107</v>
      </c>
      <c r="B112" s="90" t="s">
        <v>7556</v>
      </c>
      <c r="C112" s="91">
        <v>44750</v>
      </c>
      <c r="D112" s="91">
        <v>44750</v>
      </c>
      <c r="E112" s="24">
        <v>2</v>
      </c>
      <c r="F112" s="92" t="s">
        <v>22</v>
      </c>
      <c r="G112" s="55" t="s">
        <v>30</v>
      </c>
      <c r="H112" s="55" t="s">
        <v>24</v>
      </c>
      <c r="I112" s="55" t="s">
        <v>92</v>
      </c>
      <c r="J112" s="91">
        <v>44754</v>
      </c>
      <c r="K112" s="91">
        <v>44754</v>
      </c>
      <c r="L112" s="93">
        <f t="shared" si="2"/>
        <v>2</v>
      </c>
      <c r="M112" s="55" t="s">
        <v>7557</v>
      </c>
      <c r="N112" s="90" t="s">
        <v>26</v>
      </c>
      <c r="O112" s="55" t="s">
        <v>2683</v>
      </c>
      <c r="P112" s="94" t="s">
        <v>1404</v>
      </c>
      <c r="Q112" s="90" t="str">
        <f t="shared" si="3"/>
        <v>DENTRO DEL TIEMPO</v>
      </c>
      <c r="R112" s="24"/>
    </row>
    <row r="113" spans="1:18" ht="48.75" x14ac:dyDescent="0.25">
      <c r="A113" s="89">
        <v>108</v>
      </c>
      <c r="B113" s="90" t="s">
        <v>7558</v>
      </c>
      <c r="C113" s="91">
        <v>44750</v>
      </c>
      <c r="D113" s="91">
        <v>44750</v>
      </c>
      <c r="E113" s="24">
        <v>2</v>
      </c>
      <c r="F113" s="92" t="s">
        <v>22</v>
      </c>
      <c r="G113" s="55" t="s">
        <v>30</v>
      </c>
      <c r="H113" s="55" t="s">
        <v>24</v>
      </c>
      <c r="I113" s="55" t="s">
        <v>92</v>
      </c>
      <c r="J113" s="91">
        <v>44754</v>
      </c>
      <c r="K113" s="91">
        <v>44754</v>
      </c>
      <c r="L113" s="93">
        <f t="shared" si="2"/>
        <v>2</v>
      </c>
      <c r="M113" s="55" t="s">
        <v>7559</v>
      </c>
      <c r="N113" s="90" t="s">
        <v>26</v>
      </c>
      <c r="O113" s="55" t="s">
        <v>6246</v>
      </c>
      <c r="P113" s="94" t="s">
        <v>1296</v>
      </c>
      <c r="Q113" s="90" t="str">
        <f t="shared" si="3"/>
        <v>DENTRO DEL TIEMPO</v>
      </c>
      <c r="R113" s="24"/>
    </row>
    <row r="114" spans="1:18" ht="48.75" x14ac:dyDescent="0.25">
      <c r="A114" s="89">
        <v>109</v>
      </c>
      <c r="B114" s="90" t="s">
        <v>7560</v>
      </c>
      <c r="C114" s="91">
        <v>44750</v>
      </c>
      <c r="D114" s="91">
        <v>44750</v>
      </c>
      <c r="E114" s="24">
        <v>2</v>
      </c>
      <c r="F114" s="92" t="s">
        <v>22</v>
      </c>
      <c r="G114" s="55" t="s">
        <v>30</v>
      </c>
      <c r="H114" s="55" t="s">
        <v>24</v>
      </c>
      <c r="I114" s="55" t="s">
        <v>92</v>
      </c>
      <c r="J114" s="91">
        <v>44754</v>
      </c>
      <c r="K114" s="91">
        <v>44754</v>
      </c>
      <c r="L114" s="93">
        <f t="shared" si="2"/>
        <v>2</v>
      </c>
      <c r="M114" s="55" t="s">
        <v>7561</v>
      </c>
      <c r="N114" s="90" t="s">
        <v>26</v>
      </c>
      <c r="O114" s="55" t="s">
        <v>2652</v>
      </c>
      <c r="P114" s="94" t="s">
        <v>7562</v>
      </c>
      <c r="Q114" s="90" t="str">
        <f t="shared" si="3"/>
        <v>DENTRO DEL TIEMPO</v>
      </c>
      <c r="R114" s="24"/>
    </row>
    <row r="115" spans="1:18" ht="48.75" x14ac:dyDescent="0.25">
      <c r="A115" s="89">
        <v>110</v>
      </c>
      <c r="B115" s="90" t="s">
        <v>7563</v>
      </c>
      <c r="C115" s="91">
        <v>44750</v>
      </c>
      <c r="D115" s="91">
        <v>44750</v>
      </c>
      <c r="E115" s="24">
        <v>2</v>
      </c>
      <c r="F115" s="92" t="s">
        <v>22</v>
      </c>
      <c r="G115" s="55" t="s">
        <v>23</v>
      </c>
      <c r="H115" s="55" t="s">
        <v>24</v>
      </c>
      <c r="I115" s="55" t="s">
        <v>49</v>
      </c>
      <c r="J115" s="91">
        <v>44750</v>
      </c>
      <c r="K115" s="91">
        <v>44750</v>
      </c>
      <c r="L115" s="93">
        <f t="shared" si="2"/>
        <v>0</v>
      </c>
      <c r="M115" s="55" t="s">
        <v>7564</v>
      </c>
      <c r="N115" s="90" t="s">
        <v>26</v>
      </c>
      <c r="O115" s="55" t="s">
        <v>7565</v>
      </c>
      <c r="P115" s="94" t="s">
        <v>7566</v>
      </c>
      <c r="Q115" s="90" t="str">
        <f t="shared" si="3"/>
        <v>DENTRO DEL TIEMPO</v>
      </c>
      <c r="R115" s="24"/>
    </row>
    <row r="116" spans="1:18" ht="48.75" x14ac:dyDescent="0.25">
      <c r="A116" s="89">
        <v>111</v>
      </c>
      <c r="B116" s="90" t="s">
        <v>7567</v>
      </c>
      <c r="C116" s="91">
        <v>44750</v>
      </c>
      <c r="D116" s="91">
        <v>44750</v>
      </c>
      <c r="E116" s="24">
        <v>2</v>
      </c>
      <c r="F116" s="92" t="s">
        <v>22</v>
      </c>
      <c r="G116" s="55" t="s">
        <v>30</v>
      </c>
      <c r="H116" s="55" t="s">
        <v>24</v>
      </c>
      <c r="I116" s="55" t="s">
        <v>92</v>
      </c>
      <c r="J116" s="91">
        <v>44754</v>
      </c>
      <c r="K116" s="91">
        <v>44754</v>
      </c>
      <c r="L116" s="93">
        <f t="shared" si="2"/>
        <v>2</v>
      </c>
      <c r="M116" s="55" t="s">
        <v>7568</v>
      </c>
      <c r="N116" s="90" t="s">
        <v>26</v>
      </c>
      <c r="O116" s="55" t="s">
        <v>4331</v>
      </c>
      <c r="P116" s="94" t="s">
        <v>3022</v>
      </c>
      <c r="Q116" s="90" t="str">
        <f t="shared" si="3"/>
        <v>DENTRO DEL TIEMPO</v>
      </c>
      <c r="R116" s="24"/>
    </row>
    <row r="117" spans="1:18" ht="48.75" x14ac:dyDescent="0.25">
      <c r="A117" s="89">
        <v>112</v>
      </c>
      <c r="B117" s="90" t="s">
        <v>7569</v>
      </c>
      <c r="C117" s="91">
        <v>44750</v>
      </c>
      <c r="D117" s="91">
        <v>44750</v>
      </c>
      <c r="E117" s="24">
        <v>2</v>
      </c>
      <c r="F117" s="92" t="s">
        <v>22</v>
      </c>
      <c r="G117" s="55" t="s">
        <v>30</v>
      </c>
      <c r="H117" s="55" t="s">
        <v>24</v>
      </c>
      <c r="I117" s="55" t="s">
        <v>92</v>
      </c>
      <c r="J117" s="91">
        <v>44754</v>
      </c>
      <c r="K117" s="91">
        <v>44754</v>
      </c>
      <c r="L117" s="93">
        <f t="shared" si="2"/>
        <v>2</v>
      </c>
      <c r="M117" s="55" t="s">
        <v>7570</v>
      </c>
      <c r="N117" s="90" t="s">
        <v>26</v>
      </c>
      <c r="O117" s="55" t="s">
        <v>7571</v>
      </c>
      <c r="P117" s="94" t="s">
        <v>3022</v>
      </c>
      <c r="Q117" s="90" t="str">
        <f t="shared" si="3"/>
        <v>DENTRO DEL TIEMPO</v>
      </c>
      <c r="R117" s="24"/>
    </row>
    <row r="118" spans="1:18" ht="48.75" x14ac:dyDescent="0.25">
      <c r="A118" s="89">
        <v>113</v>
      </c>
      <c r="B118" s="90" t="s">
        <v>7572</v>
      </c>
      <c r="C118" s="91">
        <v>44750</v>
      </c>
      <c r="D118" s="91">
        <v>44750</v>
      </c>
      <c r="E118" s="24">
        <v>2</v>
      </c>
      <c r="F118" s="92" t="s">
        <v>22</v>
      </c>
      <c r="G118" s="55" t="s">
        <v>30</v>
      </c>
      <c r="H118" s="55" t="s">
        <v>24</v>
      </c>
      <c r="I118" s="55" t="s">
        <v>92</v>
      </c>
      <c r="J118" s="91">
        <v>44754</v>
      </c>
      <c r="K118" s="91">
        <v>44754</v>
      </c>
      <c r="L118" s="93">
        <f t="shared" si="2"/>
        <v>2</v>
      </c>
      <c r="M118" s="55" t="s">
        <v>7573</v>
      </c>
      <c r="N118" s="90" t="s">
        <v>26</v>
      </c>
      <c r="O118" s="55" t="s">
        <v>2320</v>
      </c>
      <c r="P118" s="94" t="s">
        <v>3022</v>
      </c>
      <c r="Q118" s="90" t="str">
        <f t="shared" si="3"/>
        <v>DENTRO DEL TIEMPO</v>
      </c>
      <c r="R118" s="24"/>
    </row>
    <row r="119" spans="1:18" ht="48.75" x14ac:dyDescent="0.25">
      <c r="A119" s="89">
        <v>114</v>
      </c>
      <c r="B119" s="90" t="s">
        <v>7574</v>
      </c>
      <c r="C119" s="91">
        <v>44750</v>
      </c>
      <c r="D119" s="91">
        <v>44750</v>
      </c>
      <c r="E119" s="24">
        <v>2</v>
      </c>
      <c r="F119" s="92" t="s">
        <v>22</v>
      </c>
      <c r="G119" s="55" t="s">
        <v>30</v>
      </c>
      <c r="H119" s="55" t="s">
        <v>24</v>
      </c>
      <c r="I119" s="55" t="s">
        <v>92</v>
      </c>
      <c r="J119" s="91">
        <v>44753</v>
      </c>
      <c r="K119" s="91">
        <v>44753</v>
      </c>
      <c r="L119" s="93">
        <f t="shared" si="2"/>
        <v>1</v>
      </c>
      <c r="M119" s="55" t="s">
        <v>7575</v>
      </c>
      <c r="N119" s="90" t="s">
        <v>26</v>
      </c>
      <c r="O119" s="55" t="s">
        <v>7576</v>
      </c>
      <c r="P119" s="94" t="s">
        <v>2665</v>
      </c>
      <c r="Q119" s="90" t="str">
        <f t="shared" si="3"/>
        <v>DENTRO DEL TIEMPO</v>
      </c>
      <c r="R119" s="24"/>
    </row>
    <row r="120" spans="1:18" ht="48.75" x14ac:dyDescent="0.25">
      <c r="A120" s="89">
        <v>115</v>
      </c>
      <c r="B120" s="90" t="s">
        <v>7577</v>
      </c>
      <c r="C120" s="91">
        <v>44753</v>
      </c>
      <c r="D120" s="91">
        <v>44753</v>
      </c>
      <c r="E120" s="24">
        <v>2</v>
      </c>
      <c r="F120" s="92" t="s">
        <v>22</v>
      </c>
      <c r="G120" s="55" t="s">
        <v>23</v>
      </c>
      <c r="H120" s="55" t="s">
        <v>24</v>
      </c>
      <c r="I120" s="55" t="s">
        <v>49</v>
      </c>
      <c r="J120" s="91">
        <v>44754</v>
      </c>
      <c r="K120" s="91">
        <v>44754</v>
      </c>
      <c r="L120" s="93">
        <f t="shared" si="2"/>
        <v>1</v>
      </c>
      <c r="M120" s="55" t="s">
        <v>7578</v>
      </c>
      <c r="N120" s="90" t="s">
        <v>26</v>
      </c>
      <c r="O120" s="55" t="s">
        <v>7579</v>
      </c>
      <c r="P120" s="94" t="s">
        <v>7580</v>
      </c>
      <c r="Q120" s="90" t="str">
        <f t="shared" si="3"/>
        <v>DENTRO DEL TIEMPO</v>
      </c>
      <c r="R120" s="24"/>
    </row>
    <row r="121" spans="1:18" ht="48.75" x14ac:dyDescent="0.25">
      <c r="A121" s="89">
        <v>116</v>
      </c>
      <c r="B121" s="90" t="s">
        <v>7581</v>
      </c>
      <c r="C121" s="91">
        <v>44753</v>
      </c>
      <c r="D121" s="91">
        <v>44753</v>
      </c>
      <c r="E121" s="24">
        <v>2</v>
      </c>
      <c r="F121" s="92" t="s">
        <v>22</v>
      </c>
      <c r="G121" s="55" t="s">
        <v>23</v>
      </c>
      <c r="H121" s="55" t="s">
        <v>24</v>
      </c>
      <c r="I121" s="55" t="s">
        <v>49</v>
      </c>
      <c r="J121" s="91">
        <v>44754</v>
      </c>
      <c r="K121" s="91">
        <v>44754</v>
      </c>
      <c r="L121" s="93">
        <f t="shared" si="2"/>
        <v>1</v>
      </c>
      <c r="M121" s="55" t="s">
        <v>7582</v>
      </c>
      <c r="N121" s="90" t="s">
        <v>26</v>
      </c>
      <c r="O121" s="55" t="s">
        <v>7583</v>
      </c>
      <c r="P121" s="94" t="s">
        <v>7584</v>
      </c>
      <c r="Q121" s="90" t="str">
        <f t="shared" si="3"/>
        <v>DENTRO DEL TIEMPO</v>
      </c>
      <c r="R121" s="24"/>
    </row>
    <row r="122" spans="1:18" ht="48.75" x14ac:dyDescent="0.25">
      <c r="A122" s="89">
        <v>117</v>
      </c>
      <c r="B122" s="90" t="s">
        <v>7585</v>
      </c>
      <c r="C122" s="91">
        <v>44753</v>
      </c>
      <c r="D122" s="91">
        <v>44753</v>
      </c>
      <c r="E122" s="24">
        <v>2</v>
      </c>
      <c r="F122" s="92" t="s">
        <v>22</v>
      </c>
      <c r="G122" s="55" t="s">
        <v>23</v>
      </c>
      <c r="H122" s="55" t="s">
        <v>24</v>
      </c>
      <c r="I122" s="55" t="s">
        <v>49</v>
      </c>
      <c r="J122" s="91">
        <v>44754</v>
      </c>
      <c r="K122" s="91">
        <v>44754</v>
      </c>
      <c r="L122" s="93">
        <f t="shared" si="2"/>
        <v>1</v>
      </c>
      <c r="M122" s="55" t="s">
        <v>7586</v>
      </c>
      <c r="N122" s="90" t="s">
        <v>26</v>
      </c>
      <c r="O122" s="55" t="s">
        <v>7587</v>
      </c>
      <c r="P122" s="94" t="s">
        <v>7588</v>
      </c>
      <c r="Q122" s="90" t="str">
        <f t="shared" si="3"/>
        <v>DENTRO DEL TIEMPO</v>
      </c>
      <c r="R122" s="24"/>
    </row>
    <row r="123" spans="1:18" ht="48.75" x14ac:dyDescent="0.25">
      <c r="A123" s="89">
        <v>118</v>
      </c>
      <c r="B123" s="90" t="s">
        <v>7589</v>
      </c>
      <c r="C123" s="91">
        <v>44753</v>
      </c>
      <c r="D123" s="91">
        <v>44753</v>
      </c>
      <c r="E123" s="24">
        <v>2</v>
      </c>
      <c r="F123" s="92" t="s">
        <v>22</v>
      </c>
      <c r="G123" s="55" t="s">
        <v>30</v>
      </c>
      <c r="H123" s="55" t="s">
        <v>24</v>
      </c>
      <c r="I123" s="55" t="s">
        <v>92</v>
      </c>
      <c r="J123" s="91">
        <v>44754</v>
      </c>
      <c r="K123" s="91">
        <v>44754</v>
      </c>
      <c r="L123" s="93">
        <f t="shared" si="2"/>
        <v>1</v>
      </c>
      <c r="M123" s="55" t="s">
        <v>7590</v>
      </c>
      <c r="N123" s="90" t="s">
        <v>26</v>
      </c>
      <c r="O123" s="55" t="s">
        <v>7591</v>
      </c>
      <c r="P123" s="94" t="s">
        <v>7592</v>
      </c>
      <c r="Q123" s="90" t="str">
        <f t="shared" si="3"/>
        <v>DENTRO DEL TIEMPO</v>
      </c>
      <c r="R123" s="24"/>
    </row>
    <row r="124" spans="1:18" ht="48.75" x14ac:dyDescent="0.25">
      <c r="A124" s="89">
        <v>119</v>
      </c>
      <c r="B124" s="90" t="s">
        <v>7593</v>
      </c>
      <c r="C124" s="91">
        <v>44753</v>
      </c>
      <c r="D124" s="91">
        <v>44753</v>
      </c>
      <c r="E124" s="24">
        <v>2</v>
      </c>
      <c r="F124" s="92" t="s">
        <v>22</v>
      </c>
      <c r="G124" s="55" t="s">
        <v>23</v>
      </c>
      <c r="H124" s="55" t="s">
        <v>24</v>
      </c>
      <c r="I124" s="55" t="s">
        <v>49</v>
      </c>
      <c r="J124" s="91">
        <v>44754</v>
      </c>
      <c r="K124" s="91">
        <v>44754</v>
      </c>
      <c r="L124" s="93">
        <f t="shared" si="2"/>
        <v>1</v>
      </c>
      <c r="M124" s="55" t="s">
        <v>7594</v>
      </c>
      <c r="N124" s="90" t="s">
        <v>26</v>
      </c>
      <c r="O124" s="55" t="s">
        <v>7595</v>
      </c>
      <c r="P124" s="94" t="s">
        <v>7596</v>
      </c>
      <c r="Q124" s="90" t="str">
        <f t="shared" si="3"/>
        <v>DENTRO DEL TIEMPO</v>
      </c>
      <c r="R124" s="24"/>
    </row>
    <row r="125" spans="1:18" ht="48.75" x14ac:dyDescent="0.25">
      <c r="A125" s="89">
        <v>120</v>
      </c>
      <c r="B125" s="90" t="s">
        <v>7597</v>
      </c>
      <c r="C125" s="91">
        <v>44753</v>
      </c>
      <c r="D125" s="91">
        <v>44753</v>
      </c>
      <c r="E125" s="24">
        <v>2</v>
      </c>
      <c r="F125" s="92" t="s">
        <v>22</v>
      </c>
      <c r="G125" s="55" t="s">
        <v>23</v>
      </c>
      <c r="H125" s="55" t="s">
        <v>24</v>
      </c>
      <c r="I125" s="55" t="s">
        <v>49</v>
      </c>
      <c r="J125" s="91">
        <v>44754</v>
      </c>
      <c r="K125" s="91">
        <v>44754</v>
      </c>
      <c r="L125" s="93">
        <f t="shared" si="2"/>
        <v>1</v>
      </c>
      <c r="M125" s="55" t="s">
        <v>7598</v>
      </c>
      <c r="N125" s="90" t="s">
        <v>26</v>
      </c>
      <c r="O125" s="55" t="s">
        <v>7599</v>
      </c>
      <c r="P125" s="94" t="s">
        <v>7600</v>
      </c>
      <c r="Q125" s="90" t="str">
        <f t="shared" si="3"/>
        <v>DENTRO DEL TIEMPO</v>
      </c>
      <c r="R125" s="24"/>
    </row>
    <row r="126" spans="1:18" ht="48.75" x14ac:dyDescent="0.25">
      <c r="A126" s="89">
        <v>121</v>
      </c>
      <c r="B126" s="90" t="s">
        <v>7601</v>
      </c>
      <c r="C126" s="91">
        <v>44753</v>
      </c>
      <c r="D126" s="91">
        <v>44753</v>
      </c>
      <c r="E126" s="24">
        <v>2</v>
      </c>
      <c r="F126" s="92" t="s">
        <v>22</v>
      </c>
      <c r="G126" s="55" t="s">
        <v>30</v>
      </c>
      <c r="H126" s="55" t="s">
        <v>24</v>
      </c>
      <c r="I126" s="55" t="s">
        <v>92</v>
      </c>
      <c r="J126" s="91">
        <v>44754</v>
      </c>
      <c r="K126" s="91">
        <v>44754</v>
      </c>
      <c r="L126" s="93">
        <f t="shared" si="2"/>
        <v>1</v>
      </c>
      <c r="M126" s="55" t="s">
        <v>7602</v>
      </c>
      <c r="N126" s="90" t="s">
        <v>26</v>
      </c>
      <c r="O126" s="55" t="s">
        <v>7603</v>
      </c>
      <c r="P126" s="94" t="s">
        <v>7604</v>
      </c>
      <c r="Q126" s="90" t="str">
        <f t="shared" si="3"/>
        <v>DENTRO DEL TIEMPO</v>
      </c>
      <c r="R126" s="24"/>
    </row>
    <row r="127" spans="1:18" ht="48.75" x14ac:dyDescent="0.25">
      <c r="A127" s="89">
        <v>122</v>
      </c>
      <c r="B127" s="90" t="s">
        <v>7605</v>
      </c>
      <c r="C127" s="91">
        <v>44753</v>
      </c>
      <c r="D127" s="91">
        <v>44753</v>
      </c>
      <c r="E127" s="24">
        <v>2</v>
      </c>
      <c r="F127" s="92" t="s">
        <v>22</v>
      </c>
      <c r="G127" s="55" t="s">
        <v>30</v>
      </c>
      <c r="H127" s="55" t="s">
        <v>24</v>
      </c>
      <c r="I127" s="55" t="s">
        <v>92</v>
      </c>
      <c r="J127" s="91">
        <v>44754</v>
      </c>
      <c r="K127" s="91">
        <v>44754</v>
      </c>
      <c r="L127" s="93">
        <f t="shared" si="2"/>
        <v>1</v>
      </c>
      <c r="M127" s="55" t="s">
        <v>7606</v>
      </c>
      <c r="N127" s="90" t="s">
        <v>26</v>
      </c>
      <c r="O127" s="55" t="s">
        <v>7607</v>
      </c>
      <c r="P127" s="94" t="s">
        <v>7608</v>
      </c>
      <c r="Q127" s="90" t="str">
        <f t="shared" si="3"/>
        <v>DENTRO DEL TIEMPO</v>
      </c>
      <c r="R127" s="24"/>
    </row>
    <row r="128" spans="1:18" ht="48.75" x14ac:dyDescent="0.25">
      <c r="A128" s="89">
        <v>123</v>
      </c>
      <c r="B128" s="90" t="s">
        <v>7609</v>
      </c>
      <c r="C128" s="91">
        <v>44753</v>
      </c>
      <c r="D128" s="91">
        <v>44753</v>
      </c>
      <c r="E128" s="24">
        <v>2</v>
      </c>
      <c r="F128" s="92" t="s">
        <v>22</v>
      </c>
      <c r="G128" s="55" t="s">
        <v>23</v>
      </c>
      <c r="H128" s="55" t="s">
        <v>24</v>
      </c>
      <c r="I128" s="55" t="s">
        <v>49</v>
      </c>
      <c r="J128" s="91">
        <v>44754</v>
      </c>
      <c r="K128" s="91">
        <v>44754</v>
      </c>
      <c r="L128" s="93">
        <f t="shared" si="2"/>
        <v>1</v>
      </c>
      <c r="M128" s="55" t="s">
        <v>7610</v>
      </c>
      <c r="N128" s="90" t="s">
        <v>26</v>
      </c>
      <c r="O128" s="55" t="s">
        <v>7611</v>
      </c>
      <c r="P128" s="94" t="s">
        <v>7612</v>
      </c>
      <c r="Q128" s="90" t="str">
        <f t="shared" si="3"/>
        <v>DENTRO DEL TIEMPO</v>
      </c>
      <c r="R128" s="24"/>
    </row>
    <row r="129" spans="1:18" ht="48.75" x14ac:dyDescent="0.25">
      <c r="A129" s="89">
        <v>124</v>
      </c>
      <c r="B129" s="90" t="s">
        <v>7613</v>
      </c>
      <c r="C129" s="91">
        <v>44753</v>
      </c>
      <c r="D129" s="91">
        <v>44753</v>
      </c>
      <c r="E129" s="24">
        <v>2</v>
      </c>
      <c r="F129" s="92" t="s">
        <v>22</v>
      </c>
      <c r="G129" s="55" t="s">
        <v>23</v>
      </c>
      <c r="H129" s="55" t="s">
        <v>24</v>
      </c>
      <c r="I129" s="55" t="s">
        <v>49</v>
      </c>
      <c r="J129" s="91">
        <v>44754</v>
      </c>
      <c r="K129" s="91">
        <v>44754</v>
      </c>
      <c r="L129" s="93">
        <f t="shared" si="2"/>
        <v>1</v>
      </c>
      <c r="M129" s="55" t="s">
        <v>7614</v>
      </c>
      <c r="N129" s="90" t="s">
        <v>26</v>
      </c>
      <c r="O129" s="55" t="s">
        <v>7311</v>
      </c>
      <c r="P129" s="94" t="s">
        <v>7615</v>
      </c>
      <c r="Q129" s="90" t="str">
        <f t="shared" si="3"/>
        <v>DENTRO DEL TIEMPO</v>
      </c>
      <c r="R129" s="24"/>
    </row>
    <row r="130" spans="1:18" ht="48.75" x14ac:dyDescent="0.25">
      <c r="A130" s="89">
        <v>125</v>
      </c>
      <c r="B130" s="90" t="s">
        <v>7616</v>
      </c>
      <c r="C130" s="91">
        <v>44753</v>
      </c>
      <c r="D130" s="91">
        <v>44753</v>
      </c>
      <c r="E130" s="24">
        <v>2</v>
      </c>
      <c r="F130" s="92" t="s">
        <v>22</v>
      </c>
      <c r="G130" s="55" t="s">
        <v>30</v>
      </c>
      <c r="H130" s="55" t="s">
        <v>24</v>
      </c>
      <c r="I130" s="55" t="s">
        <v>92</v>
      </c>
      <c r="J130" s="91">
        <v>44754</v>
      </c>
      <c r="K130" s="91">
        <v>44754</v>
      </c>
      <c r="L130" s="93">
        <f t="shared" si="2"/>
        <v>1</v>
      </c>
      <c r="M130" s="55" t="s">
        <v>7617</v>
      </c>
      <c r="N130" s="90" t="s">
        <v>26</v>
      </c>
      <c r="O130" s="55" t="s">
        <v>2407</v>
      </c>
      <c r="P130" s="94" t="s">
        <v>1033</v>
      </c>
      <c r="Q130" s="90" t="str">
        <f t="shared" si="3"/>
        <v>DENTRO DEL TIEMPO</v>
      </c>
      <c r="R130" s="24"/>
    </row>
    <row r="131" spans="1:18" ht="48.75" x14ac:dyDescent="0.25">
      <c r="A131" s="89">
        <v>126</v>
      </c>
      <c r="B131" s="90" t="s">
        <v>7618</v>
      </c>
      <c r="C131" s="91">
        <v>44753</v>
      </c>
      <c r="D131" s="91">
        <v>44753</v>
      </c>
      <c r="E131" s="24">
        <v>2</v>
      </c>
      <c r="F131" s="92" t="s">
        <v>22</v>
      </c>
      <c r="G131" s="55" t="s">
        <v>30</v>
      </c>
      <c r="H131" s="55" t="s">
        <v>24</v>
      </c>
      <c r="I131" s="55" t="s">
        <v>92</v>
      </c>
      <c r="J131" s="91">
        <v>44754</v>
      </c>
      <c r="K131" s="91">
        <v>44754</v>
      </c>
      <c r="L131" s="93">
        <f t="shared" si="2"/>
        <v>1</v>
      </c>
      <c r="M131" s="55" t="s">
        <v>7619</v>
      </c>
      <c r="N131" s="90" t="s">
        <v>26</v>
      </c>
      <c r="O131" s="55" t="s">
        <v>2306</v>
      </c>
      <c r="P131" s="94" t="s">
        <v>1768</v>
      </c>
      <c r="Q131" s="90" t="str">
        <f t="shared" si="3"/>
        <v>DENTRO DEL TIEMPO</v>
      </c>
      <c r="R131" s="24"/>
    </row>
    <row r="132" spans="1:18" ht="48.75" x14ac:dyDescent="0.25">
      <c r="A132" s="89">
        <v>127</v>
      </c>
      <c r="B132" s="90" t="s">
        <v>7620</v>
      </c>
      <c r="C132" s="91">
        <v>44753</v>
      </c>
      <c r="D132" s="91">
        <v>44753</v>
      </c>
      <c r="E132" s="24">
        <v>2</v>
      </c>
      <c r="F132" s="92" t="s">
        <v>22</v>
      </c>
      <c r="G132" s="55" t="s">
        <v>30</v>
      </c>
      <c r="H132" s="55" t="s">
        <v>24</v>
      </c>
      <c r="I132" s="55" t="s">
        <v>92</v>
      </c>
      <c r="J132" s="91">
        <v>44754</v>
      </c>
      <c r="K132" s="91">
        <v>44754</v>
      </c>
      <c r="L132" s="93">
        <f t="shared" si="2"/>
        <v>1</v>
      </c>
      <c r="M132" s="55" t="s">
        <v>7621</v>
      </c>
      <c r="N132" s="90" t="s">
        <v>26</v>
      </c>
      <c r="O132" s="55" t="s">
        <v>2306</v>
      </c>
      <c r="P132" s="94" t="s">
        <v>1768</v>
      </c>
      <c r="Q132" s="90" t="str">
        <f t="shared" si="3"/>
        <v>DENTRO DEL TIEMPO</v>
      </c>
      <c r="R132" s="24"/>
    </row>
    <row r="133" spans="1:18" ht="48.75" x14ac:dyDescent="0.25">
      <c r="A133" s="89">
        <v>128</v>
      </c>
      <c r="B133" s="90" t="s">
        <v>7622</v>
      </c>
      <c r="C133" s="91">
        <v>44753</v>
      </c>
      <c r="D133" s="91">
        <v>44753</v>
      </c>
      <c r="E133" s="24">
        <v>2</v>
      </c>
      <c r="F133" s="92" t="s">
        <v>22</v>
      </c>
      <c r="G133" s="55" t="s">
        <v>23</v>
      </c>
      <c r="H133" s="55" t="s">
        <v>24</v>
      </c>
      <c r="I133" s="55" t="s">
        <v>49</v>
      </c>
      <c r="J133" s="91">
        <v>44754</v>
      </c>
      <c r="K133" s="91">
        <v>44754</v>
      </c>
      <c r="L133" s="93">
        <f t="shared" si="2"/>
        <v>1</v>
      </c>
      <c r="M133" s="55" t="s">
        <v>7623</v>
      </c>
      <c r="N133" s="90" t="s">
        <v>26</v>
      </c>
      <c r="O133" s="55" t="s">
        <v>7624</v>
      </c>
      <c r="P133" s="94" t="s">
        <v>7625</v>
      </c>
      <c r="Q133" s="90" t="str">
        <f t="shared" si="3"/>
        <v>DENTRO DEL TIEMPO</v>
      </c>
      <c r="R133" s="24"/>
    </row>
    <row r="134" spans="1:18" ht="48.75" x14ac:dyDescent="0.25">
      <c r="A134" s="89">
        <v>129</v>
      </c>
      <c r="B134" s="90" t="s">
        <v>7626</v>
      </c>
      <c r="C134" s="91">
        <v>44753</v>
      </c>
      <c r="D134" s="91">
        <v>44769</v>
      </c>
      <c r="E134" s="24">
        <v>30</v>
      </c>
      <c r="F134" s="92" t="s">
        <v>22</v>
      </c>
      <c r="G134" s="55" t="s">
        <v>23</v>
      </c>
      <c r="H134" s="55" t="s">
        <v>24</v>
      </c>
      <c r="I134" s="55" t="s">
        <v>49</v>
      </c>
      <c r="J134" s="91">
        <v>44770</v>
      </c>
      <c r="K134" s="91">
        <v>44770</v>
      </c>
      <c r="L134" s="93">
        <f t="shared" si="2"/>
        <v>1</v>
      </c>
      <c r="M134" s="55" t="s">
        <v>7627</v>
      </c>
      <c r="N134" s="90" t="s">
        <v>26</v>
      </c>
      <c r="O134" s="55" t="s">
        <v>7628</v>
      </c>
      <c r="P134" s="94" t="s">
        <v>7629</v>
      </c>
      <c r="Q134" s="90" t="str">
        <f t="shared" si="3"/>
        <v>DENTRO DEL TIEMPO</v>
      </c>
      <c r="R134" s="24"/>
    </row>
    <row r="135" spans="1:18" ht="48.75" x14ac:dyDescent="0.25">
      <c r="A135" s="89">
        <v>130</v>
      </c>
      <c r="B135" s="90" t="s">
        <v>7630</v>
      </c>
      <c r="C135" s="91">
        <v>44753</v>
      </c>
      <c r="D135" s="91">
        <v>44753</v>
      </c>
      <c r="E135" s="24">
        <v>2</v>
      </c>
      <c r="F135" s="92" t="s">
        <v>22</v>
      </c>
      <c r="G135" s="55" t="s">
        <v>30</v>
      </c>
      <c r="H135" s="55" t="s">
        <v>24</v>
      </c>
      <c r="I135" s="55" t="s">
        <v>92</v>
      </c>
      <c r="J135" s="91">
        <v>44757</v>
      </c>
      <c r="K135" s="91">
        <v>44757</v>
      </c>
      <c r="L135" s="93">
        <f t="shared" ref="L135:L198" si="4">+NETWORKDAYS(D135,K135,$R$6:$R$9)-1</f>
        <v>4</v>
      </c>
      <c r="M135" s="55" t="s">
        <v>7631</v>
      </c>
      <c r="N135" s="90" t="s">
        <v>26</v>
      </c>
      <c r="O135" s="55" t="s">
        <v>2407</v>
      </c>
      <c r="P135" s="94" t="s">
        <v>7308</v>
      </c>
      <c r="Q135" s="90" t="str">
        <f t="shared" ref="Q135:Q198" si="5">IF(L135&gt;15,"FUERA DE TIEMPO","DENTRO DEL TIEMPO")</f>
        <v>DENTRO DEL TIEMPO</v>
      </c>
      <c r="R135" s="24"/>
    </row>
    <row r="136" spans="1:18" ht="48.75" x14ac:dyDescent="0.25">
      <c r="A136" s="89">
        <v>131</v>
      </c>
      <c r="B136" s="90" t="s">
        <v>7632</v>
      </c>
      <c r="C136" s="91">
        <v>44753</v>
      </c>
      <c r="D136" s="91">
        <v>44753</v>
      </c>
      <c r="E136" s="24">
        <v>2</v>
      </c>
      <c r="F136" s="92" t="s">
        <v>22</v>
      </c>
      <c r="G136" s="55" t="s">
        <v>30</v>
      </c>
      <c r="H136" s="55" t="s">
        <v>24</v>
      </c>
      <c r="I136" s="55" t="s">
        <v>92</v>
      </c>
      <c r="J136" s="91">
        <v>44754</v>
      </c>
      <c r="K136" s="91">
        <v>44754</v>
      </c>
      <c r="L136" s="93">
        <f t="shared" si="4"/>
        <v>1</v>
      </c>
      <c r="M136" s="55" t="s">
        <v>7633</v>
      </c>
      <c r="N136" s="90" t="s">
        <v>26</v>
      </c>
      <c r="O136" s="55" t="s">
        <v>7634</v>
      </c>
      <c r="P136" s="94" t="s">
        <v>7635</v>
      </c>
      <c r="Q136" s="90" t="str">
        <f t="shared" si="5"/>
        <v>DENTRO DEL TIEMPO</v>
      </c>
      <c r="R136" s="24"/>
    </row>
    <row r="137" spans="1:18" ht="48.75" x14ac:dyDescent="0.25">
      <c r="A137" s="89">
        <v>132</v>
      </c>
      <c r="B137" s="90" t="s">
        <v>7636</v>
      </c>
      <c r="C137" s="91">
        <v>44754</v>
      </c>
      <c r="D137" s="91">
        <v>44754</v>
      </c>
      <c r="E137" s="24">
        <v>2</v>
      </c>
      <c r="F137" s="92" t="s">
        <v>22</v>
      </c>
      <c r="G137" s="55" t="s">
        <v>23</v>
      </c>
      <c r="H137" s="55" t="s">
        <v>24</v>
      </c>
      <c r="I137" s="55" t="s">
        <v>49</v>
      </c>
      <c r="J137" s="91">
        <v>44754</v>
      </c>
      <c r="K137" s="91">
        <v>44754</v>
      </c>
      <c r="L137" s="93">
        <f t="shared" si="4"/>
        <v>0</v>
      </c>
      <c r="M137" s="55" t="s">
        <v>7637</v>
      </c>
      <c r="N137" s="90" t="s">
        <v>26</v>
      </c>
      <c r="O137" s="55" t="s">
        <v>7638</v>
      </c>
      <c r="P137" s="94" t="s">
        <v>7639</v>
      </c>
      <c r="Q137" s="90" t="str">
        <f t="shared" si="5"/>
        <v>DENTRO DEL TIEMPO</v>
      </c>
      <c r="R137" s="24"/>
    </row>
    <row r="138" spans="1:18" ht="48.75" x14ac:dyDescent="0.25">
      <c r="A138" s="89">
        <v>133</v>
      </c>
      <c r="B138" s="90" t="s">
        <v>7640</v>
      </c>
      <c r="C138" s="91">
        <v>44754</v>
      </c>
      <c r="D138" s="91">
        <v>44754</v>
      </c>
      <c r="E138" s="24">
        <v>2</v>
      </c>
      <c r="F138" s="92" t="s">
        <v>22</v>
      </c>
      <c r="G138" s="55" t="s">
        <v>23</v>
      </c>
      <c r="H138" s="55" t="s">
        <v>24</v>
      </c>
      <c r="I138" s="55" t="s">
        <v>49</v>
      </c>
      <c r="J138" s="91">
        <v>44754</v>
      </c>
      <c r="K138" s="91">
        <v>44754</v>
      </c>
      <c r="L138" s="93">
        <f t="shared" si="4"/>
        <v>0</v>
      </c>
      <c r="M138" s="55" t="s">
        <v>7641</v>
      </c>
      <c r="N138" s="90" t="s">
        <v>26</v>
      </c>
      <c r="O138" s="55" t="s">
        <v>7642</v>
      </c>
      <c r="P138" s="94" t="s">
        <v>7643</v>
      </c>
      <c r="Q138" s="90" t="str">
        <f t="shared" si="5"/>
        <v>DENTRO DEL TIEMPO</v>
      </c>
      <c r="R138" s="24"/>
    </row>
    <row r="139" spans="1:18" ht="39" hidden="1" x14ac:dyDescent="0.25">
      <c r="A139" s="89">
        <v>134</v>
      </c>
      <c r="B139" s="90" t="s">
        <v>7644</v>
      </c>
      <c r="C139" s="91">
        <v>44754</v>
      </c>
      <c r="D139" s="91">
        <v>44754</v>
      </c>
      <c r="E139" s="24">
        <v>0</v>
      </c>
      <c r="F139" s="92" t="s">
        <v>790</v>
      </c>
      <c r="G139" s="55" t="s">
        <v>4505</v>
      </c>
      <c r="H139" s="55" t="s">
        <v>2592</v>
      </c>
      <c r="I139" s="55" t="s">
        <v>7645</v>
      </c>
      <c r="J139" s="91"/>
      <c r="K139" s="91"/>
      <c r="L139" s="93">
        <f t="shared" si="4"/>
        <v>-31968</v>
      </c>
      <c r="M139" s="55"/>
      <c r="N139" s="90" t="s">
        <v>26</v>
      </c>
      <c r="O139" s="55" t="s">
        <v>6452</v>
      </c>
      <c r="P139" s="94" t="s">
        <v>1720</v>
      </c>
      <c r="Q139" s="90" t="str">
        <f t="shared" si="5"/>
        <v>DENTRO DEL TIEMPO</v>
      </c>
      <c r="R139" s="24"/>
    </row>
    <row r="140" spans="1:18" ht="48.75" x14ac:dyDescent="0.25">
      <c r="A140" s="89">
        <v>135</v>
      </c>
      <c r="B140" s="90" t="s">
        <v>7646</v>
      </c>
      <c r="C140" s="91">
        <v>44754</v>
      </c>
      <c r="D140" s="91">
        <v>44754</v>
      </c>
      <c r="E140" s="24">
        <v>2</v>
      </c>
      <c r="F140" s="92" t="s">
        <v>22</v>
      </c>
      <c r="G140" s="55" t="s">
        <v>23</v>
      </c>
      <c r="H140" s="55" t="s">
        <v>24</v>
      </c>
      <c r="I140" s="55" t="s">
        <v>49</v>
      </c>
      <c r="J140" s="91">
        <v>44754</v>
      </c>
      <c r="K140" s="91">
        <v>44754</v>
      </c>
      <c r="L140" s="93">
        <f t="shared" si="4"/>
        <v>0</v>
      </c>
      <c r="M140" s="55" t="s">
        <v>7647</v>
      </c>
      <c r="N140" s="90" t="s">
        <v>26</v>
      </c>
      <c r="O140" s="55" t="s">
        <v>7648</v>
      </c>
      <c r="P140" s="94" t="s">
        <v>7649</v>
      </c>
      <c r="Q140" s="90" t="str">
        <f t="shared" si="5"/>
        <v>DENTRO DEL TIEMPO</v>
      </c>
      <c r="R140" s="24"/>
    </row>
    <row r="141" spans="1:18" ht="33.75" hidden="1" x14ac:dyDescent="0.25">
      <c r="A141" s="89">
        <v>136</v>
      </c>
      <c r="B141" s="90" t="s">
        <v>7650</v>
      </c>
      <c r="C141" s="91">
        <v>44754</v>
      </c>
      <c r="D141" s="91">
        <v>44754</v>
      </c>
      <c r="E141" s="24">
        <v>0</v>
      </c>
      <c r="F141" s="92" t="s">
        <v>790</v>
      </c>
      <c r="G141" s="55" t="s">
        <v>7651</v>
      </c>
      <c r="H141" s="55" t="s">
        <v>3278</v>
      </c>
      <c r="I141" s="55" t="s">
        <v>7652</v>
      </c>
      <c r="J141" s="91"/>
      <c r="K141" s="91"/>
      <c r="L141" s="93">
        <f t="shared" si="4"/>
        <v>-31968</v>
      </c>
      <c r="M141" s="55"/>
      <c r="N141" s="90" t="s">
        <v>26</v>
      </c>
      <c r="O141" s="55" t="s">
        <v>7653</v>
      </c>
      <c r="P141" s="94" t="s">
        <v>7654</v>
      </c>
      <c r="Q141" s="90" t="str">
        <f t="shared" si="5"/>
        <v>DENTRO DEL TIEMPO</v>
      </c>
      <c r="R141" s="24"/>
    </row>
    <row r="142" spans="1:18" ht="48.75" x14ac:dyDescent="0.25">
      <c r="A142" s="89">
        <v>137</v>
      </c>
      <c r="B142" s="90" t="s">
        <v>7655</v>
      </c>
      <c r="C142" s="91">
        <v>44754</v>
      </c>
      <c r="D142" s="91">
        <v>44754</v>
      </c>
      <c r="E142" s="24">
        <v>2</v>
      </c>
      <c r="F142" s="92" t="s">
        <v>22</v>
      </c>
      <c r="G142" s="55" t="s">
        <v>30</v>
      </c>
      <c r="H142" s="55" t="s">
        <v>24</v>
      </c>
      <c r="I142" s="55" t="s">
        <v>92</v>
      </c>
      <c r="J142" s="91">
        <v>44755</v>
      </c>
      <c r="K142" s="91">
        <v>44755</v>
      </c>
      <c r="L142" s="93">
        <f t="shared" si="4"/>
        <v>1</v>
      </c>
      <c r="M142" s="55" t="s">
        <v>7656</v>
      </c>
      <c r="N142" s="90" t="s">
        <v>26</v>
      </c>
      <c r="O142" s="55" t="s">
        <v>7657</v>
      </c>
      <c r="P142" s="94" t="s">
        <v>7658</v>
      </c>
      <c r="Q142" s="90" t="str">
        <f t="shared" si="5"/>
        <v>DENTRO DEL TIEMPO</v>
      </c>
      <c r="R142" s="24"/>
    </row>
    <row r="143" spans="1:18" ht="48.75" x14ac:dyDescent="0.25">
      <c r="A143" s="89">
        <v>138</v>
      </c>
      <c r="B143" s="90" t="s">
        <v>7659</v>
      </c>
      <c r="C143" s="91">
        <v>44754</v>
      </c>
      <c r="D143" s="91">
        <v>44754</v>
      </c>
      <c r="E143" s="24">
        <v>2</v>
      </c>
      <c r="F143" s="92" t="s">
        <v>22</v>
      </c>
      <c r="G143" s="55" t="s">
        <v>30</v>
      </c>
      <c r="H143" s="55" t="s">
        <v>24</v>
      </c>
      <c r="I143" s="55" t="s">
        <v>92</v>
      </c>
      <c r="J143" s="91">
        <v>44755</v>
      </c>
      <c r="K143" s="91">
        <v>44755</v>
      </c>
      <c r="L143" s="93">
        <f t="shared" si="4"/>
        <v>1</v>
      </c>
      <c r="M143" s="55" t="s">
        <v>7660</v>
      </c>
      <c r="N143" s="90" t="s">
        <v>26</v>
      </c>
      <c r="O143" s="55" t="s">
        <v>2614</v>
      </c>
      <c r="P143" s="94" t="s">
        <v>7661</v>
      </c>
      <c r="Q143" s="90" t="str">
        <f t="shared" si="5"/>
        <v>DENTRO DEL TIEMPO</v>
      </c>
      <c r="R143" s="24"/>
    </row>
    <row r="144" spans="1:18" ht="48.75" x14ac:dyDescent="0.25">
      <c r="A144" s="89">
        <v>139</v>
      </c>
      <c r="B144" s="90" t="s">
        <v>7662</v>
      </c>
      <c r="C144" s="91">
        <v>44754</v>
      </c>
      <c r="D144" s="91">
        <v>44754</v>
      </c>
      <c r="E144" s="24">
        <v>2</v>
      </c>
      <c r="F144" s="92" t="s">
        <v>22</v>
      </c>
      <c r="G144" s="55" t="s">
        <v>23</v>
      </c>
      <c r="H144" s="55" t="s">
        <v>24</v>
      </c>
      <c r="I144" s="55" t="s">
        <v>49</v>
      </c>
      <c r="J144" s="91">
        <v>44754</v>
      </c>
      <c r="K144" s="91">
        <v>44754</v>
      </c>
      <c r="L144" s="93">
        <f t="shared" si="4"/>
        <v>0</v>
      </c>
      <c r="M144" s="55" t="s">
        <v>7663</v>
      </c>
      <c r="N144" s="90" t="s">
        <v>26</v>
      </c>
      <c r="O144" s="55" t="s">
        <v>7664</v>
      </c>
      <c r="P144" s="94" t="s">
        <v>7665</v>
      </c>
      <c r="Q144" s="90" t="str">
        <f t="shared" si="5"/>
        <v>DENTRO DEL TIEMPO</v>
      </c>
      <c r="R144" s="24"/>
    </row>
    <row r="145" spans="1:18" ht="48.75" x14ac:dyDescent="0.25">
      <c r="A145" s="89">
        <v>140</v>
      </c>
      <c r="B145" s="90" t="s">
        <v>7666</v>
      </c>
      <c r="C145" s="91">
        <v>44754</v>
      </c>
      <c r="D145" s="91">
        <v>44754</v>
      </c>
      <c r="E145" s="24">
        <v>2</v>
      </c>
      <c r="F145" s="92" t="s">
        <v>22</v>
      </c>
      <c r="G145" s="55" t="s">
        <v>30</v>
      </c>
      <c r="H145" s="55" t="s">
        <v>24</v>
      </c>
      <c r="I145" s="55" t="s">
        <v>92</v>
      </c>
      <c r="J145" s="91">
        <v>44755</v>
      </c>
      <c r="K145" s="91">
        <v>44755</v>
      </c>
      <c r="L145" s="93">
        <f t="shared" si="4"/>
        <v>1</v>
      </c>
      <c r="M145" s="55" t="s">
        <v>7667</v>
      </c>
      <c r="N145" s="90" t="s">
        <v>26</v>
      </c>
      <c r="O145" s="55" t="s">
        <v>2434</v>
      </c>
      <c r="P145" s="94" t="s">
        <v>1619</v>
      </c>
      <c r="Q145" s="90" t="str">
        <f t="shared" si="5"/>
        <v>DENTRO DEL TIEMPO</v>
      </c>
      <c r="R145" s="24"/>
    </row>
    <row r="146" spans="1:18" ht="48.75" x14ac:dyDescent="0.25">
      <c r="A146" s="89">
        <v>141</v>
      </c>
      <c r="B146" s="90" t="s">
        <v>7668</v>
      </c>
      <c r="C146" s="91">
        <v>44754</v>
      </c>
      <c r="D146" s="91">
        <v>44754</v>
      </c>
      <c r="E146" s="24">
        <v>2</v>
      </c>
      <c r="F146" s="92" t="s">
        <v>22</v>
      </c>
      <c r="G146" s="55" t="s">
        <v>30</v>
      </c>
      <c r="H146" s="55" t="s">
        <v>24</v>
      </c>
      <c r="I146" s="55" t="s">
        <v>92</v>
      </c>
      <c r="J146" s="91">
        <v>44755</v>
      </c>
      <c r="K146" s="91">
        <v>44755</v>
      </c>
      <c r="L146" s="93">
        <f t="shared" si="4"/>
        <v>1</v>
      </c>
      <c r="M146" s="55" t="s">
        <v>7669</v>
      </c>
      <c r="N146" s="90" t="s">
        <v>26</v>
      </c>
      <c r="O146" s="55" t="s">
        <v>6205</v>
      </c>
      <c r="P146" s="94" t="s">
        <v>1551</v>
      </c>
      <c r="Q146" s="90" t="str">
        <f t="shared" si="5"/>
        <v>DENTRO DEL TIEMPO</v>
      </c>
      <c r="R146" s="24"/>
    </row>
    <row r="147" spans="1:18" ht="48.75" x14ac:dyDescent="0.25">
      <c r="A147" s="89">
        <v>142</v>
      </c>
      <c r="B147" s="90" t="s">
        <v>7670</v>
      </c>
      <c r="C147" s="91">
        <v>44754</v>
      </c>
      <c r="D147" s="91">
        <v>44754</v>
      </c>
      <c r="E147" s="24">
        <v>2</v>
      </c>
      <c r="F147" s="92" t="s">
        <v>22</v>
      </c>
      <c r="G147" s="55" t="s">
        <v>30</v>
      </c>
      <c r="H147" s="55" t="s">
        <v>24</v>
      </c>
      <c r="I147" s="55" t="s">
        <v>92</v>
      </c>
      <c r="J147" s="91">
        <v>44755</v>
      </c>
      <c r="K147" s="91">
        <v>44755</v>
      </c>
      <c r="L147" s="93">
        <f t="shared" si="4"/>
        <v>1</v>
      </c>
      <c r="M147" s="55" t="s">
        <v>7671</v>
      </c>
      <c r="N147" s="90" t="s">
        <v>26</v>
      </c>
      <c r="O147" s="55" t="s">
        <v>6205</v>
      </c>
      <c r="P147" s="94" t="s">
        <v>1551</v>
      </c>
      <c r="Q147" s="90" t="str">
        <f t="shared" si="5"/>
        <v>DENTRO DEL TIEMPO</v>
      </c>
      <c r="R147" s="24"/>
    </row>
    <row r="148" spans="1:18" ht="48.75" x14ac:dyDescent="0.25">
      <c r="A148" s="89">
        <v>143</v>
      </c>
      <c r="B148" s="90" t="s">
        <v>7672</v>
      </c>
      <c r="C148" s="91">
        <v>44754</v>
      </c>
      <c r="D148" s="91">
        <v>44754</v>
      </c>
      <c r="E148" s="24">
        <v>2</v>
      </c>
      <c r="F148" s="92" t="s">
        <v>22</v>
      </c>
      <c r="G148" s="55" t="s">
        <v>30</v>
      </c>
      <c r="H148" s="55" t="s">
        <v>24</v>
      </c>
      <c r="I148" s="55" t="s">
        <v>92</v>
      </c>
      <c r="J148" s="91">
        <v>44755</v>
      </c>
      <c r="K148" s="91">
        <v>44755</v>
      </c>
      <c r="L148" s="93">
        <f t="shared" si="4"/>
        <v>1</v>
      </c>
      <c r="M148" s="55" t="s">
        <v>7673</v>
      </c>
      <c r="N148" s="90" t="s">
        <v>26</v>
      </c>
      <c r="O148" s="55" t="s">
        <v>6205</v>
      </c>
      <c r="P148" s="94" t="s">
        <v>1551</v>
      </c>
      <c r="Q148" s="90" t="str">
        <f t="shared" si="5"/>
        <v>DENTRO DEL TIEMPO</v>
      </c>
      <c r="R148" s="24"/>
    </row>
    <row r="149" spans="1:18" ht="48.75" x14ac:dyDescent="0.25">
      <c r="A149" s="89">
        <v>144</v>
      </c>
      <c r="B149" s="90" t="s">
        <v>7674</v>
      </c>
      <c r="C149" s="91">
        <v>44754</v>
      </c>
      <c r="D149" s="91">
        <v>44754</v>
      </c>
      <c r="E149" s="24">
        <v>2</v>
      </c>
      <c r="F149" s="92" t="s">
        <v>22</v>
      </c>
      <c r="G149" s="55" t="s">
        <v>30</v>
      </c>
      <c r="H149" s="55" t="s">
        <v>24</v>
      </c>
      <c r="I149" s="55" t="s">
        <v>92</v>
      </c>
      <c r="J149" s="91">
        <v>44755</v>
      </c>
      <c r="K149" s="91">
        <v>44755</v>
      </c>
      <c r="L149" s="93">
        <f t="shared" si="4"/>
        <v>1</v>
      </c>
      <c r="M149" s="55" t="s">
        <v>7675</v>
      </c>
      <c r="N149" s="90" t="s">
        <v>26</v>
      </c>
      <c r="O149" s="55" t="s">
        <v>3716</v>
      </c>
      <c r="P149" s="94" t="s">
        <v>7676</v>
      </c>
      <c r="Q149" s="90" t="str">
        <f t="shared" si="5"/>
        <v>DENTRO DEL TIEMPO</v>
      </c>
      <c r="R149" s="24"/>
    </row>
    <row r="150" spans="1:18" ht="48.75" x14ac:dyDescent="0.25">
      <c r="A150" s="89">
        <v>145</v>
      </c>
      <c r="B150" s="90" t="s">
        <v>7677</v>
      </c>
      <c r="C150" s="91">
        <v>44754</v>
      </c>
      <c r="D150" s="91">
        <v>44767</v>
      </c>
      <c r="E150" s="24">
        <v>2</v>
      </c>
      <c r="F150" s="92" t="s">
        <v>22</v>
      </c>
      <c r="G150" s="55" t="s">
        <v>23</v>
      </c>
      <c r="H150" s="55" t="s">
        <v>24</v>
      </c>
      <c r="I150" s="55" t="s">
        <v>49</v>
      </c>
      <c r="J150" s="91">
        <v>44768</v>
      </c>
      <c r="K150" s="91">
        <v>44768</v>
      </c>
      <c r="L150" s="93">
        <f t="shared" si="4"/>
        <v>1</v>
      </c>
      <c r="M150" s="55" t="s">
        <v>7678</v>
      </c>
      <c r="N150" s="90" t="s">
        <v>26</v>
      </c>
      <c r="O150" s="55" t="s">
        <v>7679</v>
      </c>
      <c r="P150" s="94" t="s">
        <v>7680</v>
      </c>
      <c r="Q150" s="90" t="str">
        <f t="shared" si="5"/>
        <v>DENTRO DEL TIEMPO</v>
      </c>
      <c r="R150" s="24"/>
    </row>
    <row r="151" spans="1:18" ht="48.75" x14ac:dyDescent="0.25">
      <c r="A151" s="89">
        <v>146</v>
      </c>
      <c r="B151" s="90" t="s">
        <v>7681</v>
      </c>
      <c r="C151" s="91">
        <v>44754</v>
      </c>
      <c r="D151" s="91">
        <v>44754</v>
      </c>
      <c r="E151" s="24">
        <v>2</v>
      </c>
      <c r="F151" s="92" t="s">
        <v>22</v>
      </c>
      <c r="G151" s="55" t="s">
        <v>23</v>
      </c>
      <c r="H151" s="55" t="s">
        <v>24</v>
      </c>
      <c r="I151" s="55" t="s">
        <v>49</v>
      </c>
      <c r="J151" s="91">
        <v>44754</v>
      </c>
      <c r="K151" s="91">
        <v>44754</v>
      </c>
      <c r="L151" s="93">
        <f t="shared" si="4"/>
        <v>0</v>
      </c>
      <c r="M151" s="55" t="s">
        <v>7682</v>
      </c>
      <c r="N151" s="90" t="s">
        <v>26</v>
      </c>
      <c r="O151" s="55" t="s">
        <v>7683</v>
      </c>
      <c r="P151" s="94" t="s">
        <v>1480</v>
      </c>
      <c r="Q151" s="90" t="str">
        <f t="shared" si="5"/>
        <v>DENTRO DEL TIEMPO</v>
      </c>
      <c r="R151" s="24"/>
    </row>
    <row r="152" spans="1:18" ht="48.75" x14ac:dyDescent="0.25">
      <c r="A152" s="89">
        <v>147</v>
      </c>
      <c r="B152" s="90" t="s">
        <v>7684</v>
      </c>
      <c r="C152" s="91">
        <v>44754</v>
      </c>
      <c r="D152" s="91">
        <v>44754</v>
      </c>
      <c r="E152" s="24">
        <v>2</v>
      </c>
      <c r="F152" s="92" t="s">
        <v>22</v>
      </c>
      <c r="G152" s="55" t="s">
        <v>30</v>
      </c>
      <c r="H152" s="55" t="s">
        <v>24</v>
      </c>
      <c r="I152" s="55" t="s">
        <v>92</v>
      </c>
      <c r="J152" s="91">
        <v>44755</v>
      </c>
      <c r="K152" s="91">
        <v>44755</v>
      </c>
      <c r="L152" s="93">
        <f t="shared" si="4"/>
        <v>1</v>
      </c>
      <c r="M152" s="55" t="s">
        <v>7685</v>
      </c>
      <c r="N152" s="90" t="s">
        <v>26</v>
      </c>
      <c r="O152" s="55" t="s">
        <v>2320</v>
      </c>
      <c r="P152" s="94" t="s">
        <v>1487</v>
      </c>
      <c r="Q152" s="90" t="str">
        <f t="shared" si="5"/>
        <v>DENTRO DEL TIEMPO</v>
      </c>
      <c r="R152" s="24"/>
    </row>
    <row r="153" spans="1:18" ht="48.75" x14ac:dyDescent="0.25">
      <c r="A153" s="89">
        <v>148</v>
      </c>
      <c r="B153" s="90" t="s">
        <v>7686</v>
      </c>
      <c r="C153" s="91">
        <v>44754</v>
      </c>
      <c r="D153" s="91">
        <v>44754</v>
      </c>
      <c r="E153" s="24">
        <v>2</v>
      </c>
      <c r="F153" s="92" t="s">
        <v>22</v>
      </c>
      <c r="G153" s="55" t="s">
        <v>30</v>
      </c>
      <c r="H153" s="55" t="s">
        <v>24</v>
      </c>
      <c r="I153" s="55" t="s">
        <v>92</v>
      </c>
      <c r="J153" s="91">
        <v>44755</v>
      </c>
      <c r="K153" s="91">
        <v>44755</v>
      </c>
      <c r="L153" s="93">
        <f t="shared" si="4"/>
        <v>1</v>
      </c>
      <c r="M153" s="55" t="s">
        <v>7687</v>
      </c>
      <c r="N153" s="90" t="s">
        <v>26</v>
      </c>
      <c r="O153" s="55" t="s">
        <v>6721</v>
      </c>
      <c r="P153" s="94" t="s">
        <v>7688</v>
      </c>
      <c r="Q153" s="90" t="str">
        <f t="shared" si="5"/>
        <v>DENTRO DEL TIEMPO</v>
      </c>
      <c r="R153" s="24"/>
    </row>
    <row r="154" spans="1:18" ht="48.75" x14ac:dyDescent="0.25">
      <c r="A154" s="89">
        <v>149</v>
      </c>
      <c r="B154" s="90" t="s">
        <v>7689</v>
      </c>
      <c r="C154" s="91">
        <v>44755</v>
      </c>
      <c r="D154" s="91">
        <v>44755</v>
      </c>
      <c r="E154" s="24">
        <v>2</v>
      </c>
      <c r="F154" s="92" t="s">
        <v>22</v>
      </c>
      <c r="G154" s="55" t="s">
        <v>30</v>
      </c>
      <c r="H154" s="55" t="s">
        <v>24</v>
      </c>
      <c r="I154" s="55" t="s">
        <v>92</v>
      </c>
      <c r="J154" s="91">
        <v>44755</v>
      </c>
      <c r="K154" s="91">
        <v>44755</v>
      </c>
      <c r="L154" s="93">
        <f t="shared" si="4"/>
        <v>0</v>
      </c>
      <c r="M154" s="55" t="s">
        <v>7690</v>
      </c>
      <c r="N154" s="90" t="s">
        <v>26</v>
      </c>
      <c r="O154" s="55" t="s">
        <v>3350</v>
      </c>
      <c r="P154" s="94" t="s">
        <v>2435</v>
      </c>
      <c r="Q154" s="90" t="str">
        <f t="shared" si="5"/>
        <v>DENTRO DEL TIEMPO</v>
      </c>
      <c r="R154" s="24"/>
    </row>
    <row r="155" spans="1:18" ht="48.75" x14ac:dyDescent="0.25">
      <c r="A155" s="89">
        <v>150</v>
      </c>
      <c r="B155" s="90" t="s">
        <v>7691</v>
      </c>
      <c r="C155" s="91">
        <v>44755</v>
      </c>
      <c r="D155" s="91">
        <v>44755</v>
      </c>
      <c r="E155" s="24">
        <v>2</v>
      </c>
      <c r="F155" s="92" t="s">
        <v>22</v>
      </c>
      <c r="G155" s="55" t="s">
        <v>30</v>
      </c>
      <c r="H155" s="55" t="s">
        <v>24</v>
      </c>
      <c r="I155" s="55" t="s">
        <v>92</v>
      </c>
      <c r="J155" s="91">
        <v>44755</v>
      </c>
      <c r="K155" s="91">
        <v>44755</v>
      </c>
      <c r="L155" s="93">
        <f t="shared" si="4"/>
        <v>0</v>
      </c>
      <c r="M155" s="55" t="s">
        <v>7692</v>
      </c>
      <c r="N155" s="90" t="s">
        <v>26</v>
      </c>
      <c r="O155" s="55" t="s">
        <v>2333</v>
      </c>
      <c r="P155" s="94" t="s">
        <v>7693</v>
      </c>
      <c r="Q155" s="90" t="str">
        <f t="shared" si="5"/>
        <v>DENTRO DEL TIEMPO</v>
      </c>
      <c r="R155" s="24"/>
    </row>
    <row r="156" spans="1:18" ht="48.75" x14ac:dyDescent="0.25">
      <c r="A156" s="89">
        <v>151</v>
      </c>
      <c r="B156" s="90" t="s">
        <v>7694</v>
      </c>
      <c r="C156" s="91">
        <v>44755</v>
      </c>
      <c r="D156" s="91">
        <v>44755</v>
      </c>
      <c r="E156" s="24">
        <v>2</v>
      </c>
      <c r="F156" s="92" t="s">
        <v>22</v>
      </c>
      <c r="G156" s="55" t="s">
        <v>30</v>
      </c>
      <c r="H156" s="55" t="s">
        <v>24</v>
      </c>
      <c r="I156" s="55" t="s">
        <v>92</v>
      </c>
      <c r="J156" s="91">
        <v>44756</v>
      </c>
      <c r="K156" s="91">
        <v>44756</v>
      </c>
      <c r="L156" s="93">
        <f t="shared" si="4"/>
        <v>1</v>
      </c>
      <c r="M156" s="55" t="s">
        <v>7695</v>
      </c>
      <c r="N156" s="90" t="s">
        <v>26</v>
      </c>
      <c r="O156" s="55" t="s">
        <v>7696</v>
      </c>
      <c r="P156" s="94" t="s">
        <v>7697</v>
      </c>
      <c r="Q156" s="90" t="str">
        <f t="shared" si="5"/>
        <v>DENTRO DEL TIEMPO</v>
      </c>
      <c r="R156" s="24"/>
    </row>
    <row r="157" spans="1:18" ht="48.75" x14ac:dyDescent="0.25">
      <c r="A157" s="89">
        <v>152</v>
      </c>
      <c r="B157" s="90" t="s">
        <v>7698</v>
      </c>
      <c r="C157" s="91">
        <v>44755</v>
      </c>
      <c r="D157" s="91">
        <v>44755</v>
      </c>
      <c r="E157" s="24">
        <v>2</v>
      </c>
      <c r="F157" s="92" t="s">
        <v>22</v>
      </c>
      <c r="G157" s="55" t="s">
        <v>23</v>
      </c>
      <c r="H157" s="55" t="s">
        <v>24</v>
      </c>
      <c r="I157" s="55" t="s">
        <v>49</v>
      </c>
      <c r="J157" s="91">
        <v>44755</v>
      </c>
      <c r="K157" s="91">
        <v>44755</v>
      </c>
      <c r="L157" s="93">
        <f t="shared" si="4"/>
        <v>0</v>
      </c>
      <c r="M157" s="55" t="s">
        <v>7699</v>
      </c>
      <c r="N157" s="90" t="s">
        <v>26</v>
      </c>
      <c r="O157" s="55" t="s">
        <v>7700</v>
      </c>
      <c r="P157" s="94" t="s">
        <v>7701</v>
      </c>
      <c r="Q157" s="90" t="str">
        <f t="shared" si="5"/>
        <v>DENTRO DEL TIEMPO</v>
      </c>
      <c r="R157" s="24"/>
    </row>
    <row r="158" spans="1:18" ht="48.75" x14ac:dyDescent="0.25">
      <c r="A158" s="89">
        <v>153</v>
      </c>
      <c r="B158" s="90" t="s">
        <v>7702</v>
      </c>
      <c r="C158" s="91">
        <v>44755</v>
      </c>
      <c r="D158" s="91">
        <v>44755</v>
      </c>
      <c r="E158" s="24">
        <v>2</v>
      </c>
      <c r="F158" s="92" t="s">
        <v>22</v>
      </c>
      <c r="G158" s="55" t="s">
        <v>30</v>
      </c>
      <c r="H158" s="55" t="s">
        <v>24</v>
      </c>
      <c r="I158" s="55" t="s">
        <v>92</v>
      </c>
      <c r="J158" s="91">
        <v>44756</v>
      </c>
      <c r="K158" s="91">
        <v>44756</v>
      </c>
      <c r="L158" s="93">
        <f t="shared" si="4"/>
        <v>1</v>
      </c>
      <c r="M158" s="55" t="s">
        <v>7703</v>
      </c>
      <c r="N158" s="90" t="s">
        <v>26</v>
      </c>
      <c r="O158" s="55" t="s">
        <v>2320</v>
      </c>
      <c r="P158" s="94" t="s">
        <v>1588</v>
      </c>
      <c r="Q158" s="90" t="str">
        <f t="shared" si="5"/>
        <v>DENTRO DEL TIEMPO</v>
      </c>
      <c r="R158" s="24"/>
    </row>
    <row r="159" spans="1:18" ht="48.75" x14ac:dyDescent="0.25">
      <c r="A159" s="89">
        <v>154</v>
      </c>
      <c r="B159" s="90" t="s">
        <v>7704</v>
      </c>
      <c r="C159" s="91">
        <v>44755</v>
      </c>
      <c r="D159" s="91">
        <v>44755</v>
      </c>
      <c r="E159" s="24">
        <v>2</v>
      </c>
      <c r="F159" s="92" t="s">
        <v>22</v>
      </c>
      <c r="G159" s="55" t="s">
        <v>30</v>
      </c>
      <c r="H159" s="55" t="s">
        <v>24</v>
      </c>
      <c r="I159" s="55" t="s">
        <v>92</v>
      </c>
      <c r="J159" s="91">
        <v>44756</v>
      </c>
      <c r="K159" s="91">
        <v>44756</v>
      </c>
      <c r="L159" s="93">
        <f t="shared" si="4"/>
        <v>1</v>
      </c>
      <c r="M159" s="55" t="s">
        <v>7705</v>
      </c>
      <c r="N159" s="90" t="s">
        <v>26</v>
      </c>
      <c r="O159" s="55" t="s">
        <v>2320</v>
      </c>
      <c r="P159" s="94" t="s">
        <v>7706</v>
      </c>
      <c r="Q159" s="90" t="str">
        <f t="shared" si="5"/>
        <v>DENTRO DEL TIEMPO</v>
      </c>
      <c r="R159" s="24"/>
    </row>
    <row r="160" spans="1:18" ht="48.75" hidden="1" x14ac:dyDescent="0.25">
      <c r="A160" s="89">
        <v>155</v>
      </c>
      <c r="B160" s="90" t="s">
        <v>7707</v>
      </c>
      <c r="C160" s="91">
        <v>44755</v>
      </c>
      <c r="D160" s="91">
        <v>44755</v>
      </c>
      <c r="E160" s="24">
        <v>0</v>
      </c>
      <c r="F160" s="92" t="s">
        <v>790</v>
      </c>
      <c r="G160" s="55" t="s">
        <v>7708</v>
      </c>
      <c r="H160" s="55" t="s">
        <v>6466</v>
      </c>
      <c r="I160" s="55" t="s">
        <v>7709</v>
      </c>
      <c r="J160" s="91"/>
      <c r="K160" s="91"/>
      <c r="L160" s="93">
        <f t="shared" si="4"/>
        <v>-31969</v>
      </c>
      <c r="M160" s="55"/>
      <c r="N160" s="90" t="s">
        <v>26</v>
      </c>
      <c r="O160" s="55" t="s">
        <v>7710</v>
      </c>
      <c r="P160" s="94" t="s">
        <v>1354</v>
      </c>
      <c r="Q160" s="90" t="str">
        <f t="shared" si="5"/>
        <v>DENTRO DEL TIEMPO</v>
      </c>
      <c r="R160" s="24"/>
    </row>
    <row r="161" spans="1:18" ht="39" hidden="1" x14ac:dyDescent="0.25">
      <c r="A161" s="89">
        <v>156</v>
      </c>
      <c r="B161" s="90" t="s">
        <v>7711</v>
      </c>
      <c r="C161" s="91">
        <v>44755</v>
      </c>
      <c r="D161" s="91">
        <v>44755</v>
      </c>
      <c r="E161" s="24">
        <v>0</v>
      </c>
      <c r="F161" s="92" t="s">
        <v>790</v>
      </c>
      <c r="G161" s="55" t="s">
        <v>7651</v>
      </c>
      <c r="H161" s="55" t="s">
        <v>3278</v>
      </c>
      <c r="I161" s="55" t="s">
        <v>7652</v>
      </c>
      <c r="J161" s="91"/>
      <c r="K161" s="91"/>
      <c r="L161" s="93">
        <f t="shared" si="4"/>
        <v>-31969</v>
      </c>
      <c r="M161" s="55"/>
      <c r="N161" s="90" t="s">
        <v>26</v>
      </c>
      <c r="O161" s="55" t="s">
        <v>7712</v>
      </c>
      <c r="P161" s="94" t="s">
        <v>7713</v>
      </c>
      <c r="Q161" s="90" t="str">
        <f t="shared" si="5"/>
        <v>DENTRO DEL TIEMPO</v>
      </c>
      <c r="R161" s="24"/>
    </row>
    <row r="162" spans="1:18" ht="48.75" x14ac:dyDescent="0.25">
      <c r="A162" s="89">
        <v>157</v>
      </c>
      <c r="B162" s="90" t="s">
        <v>7714</v>
      </c>
      <c r="C162" s="91">
        <v>44755</v>
      </c>
      <c r="D162" s="91">
        <v>44755</v>
      </c>
      <c r="E162" s="24">
        <v>2</v>
      </c>
      <c r="F162" s="92" t="s">
        <v>22</v>
      </c>
      <c r="G162" s="55" t="s">
        <v>30</v>
      </c>
      <c r="H162" s="55" t="s">
        <v>24</v>
      </c>
      <c r="I162" s="55" t="s">
        <v>92</v>
      </c>
      <c r="J162" s="91">
        <v>44756</v>
      </c>
      <c r="K162" s="91">
        <v>44756</v>
      </c>
      <c r="L162" s="93">
        <f t="shared" si="4"/>
        <v>1</v>
      </c>
      <c r="M162" s="55" t="s">
        <v>7715</v>
      </c>
      <c r="N162" s="90" t="s">
        <v>26</v>
      </c>
      <c r="O162" s="55" t="s">
        <v>2411</v>
      </c>
      <c r="P162" s="94" t="s">
        <v>1541</v>
      </c>
      <c r="Q162" s="90" t="str">
        <f t="shared" si="5"/>
        <v>DENTRO DEL TIEMPO</v>
      </c>
      <c r="R162" s="24"/>
    </row>
    <row r="163" spans="1:18" ht="48.75" x14ac:dyDescent="0.25">
      <c r="A163" s="89">
        <v>158</v>
      </c>
      <c r="B163" s="90" t="s">
        <v>7716</v>
      </c>
      <c r="C163" s="91">
        <v>44755</v>
      </c>
      <c r="D163" s="91">
        <v>44755</v>
      </c>
      <c r="E163" s="24">
        <v>2</v>
      </c>
      <c r="F163" s="92" t="s">
        <v>22</v>
      </c>
      <c r="G163" s="55" t="s">
        <v>30</v>
      </c>
      <c r="H163" s="55" t="s">
        <v>24</v>
      </c>
      <c r="I163" s="55" t="s">
        <v>92</v>
      </c>
      <c r="J163" s="91">
        <v>44756</v>
      </c>
      <c r="K163" s="91">
        <v>44756</v>
      </c>
      <c r="L163" s="93">
        <f t="shared" si="4"/>
        <v>1</v>
      </c>
      <c r="M163" s="55" t="s">
        <v>7717</v>
      </c>
      <c r="N163" s="90" t="s">
        <v>26</v>
      </c>
      <c r="O163" s="55" t="s">
        <v>2614</v>
      </c>
      <c r="P163" s="94" t="s">
        <v>7373</v>
      </c>
      <c r="Q163" s="90" t="str">
        <f t="shared" si="5"/>
        <v>DENTRO DEL TIEMPO</v>
      </c>
      <c r="R163" s="24"/>
    </row>
    <row r="164" spans="1:18" ht="48.75" x14ac:dyDescent="0.25">
      <c r="A164" s="89">
        <v>159</v>
      </c>
      <c r="B164" s="90" t="s">
        <v>7718</v>
      </c>
      <c r="C164" s="91">
        <v>44755</v>
      </c>
      <c r="D164" s="91">
        <v>44755</v>
      </c>
      <c r="E164" s="24">
        <v>2</v>
      </c>
      <c r="F164" s="92" t="s">
        <v>22</v>
      </c>
      <c r="G164" s="55" t="s">
        <v>30</v>
      </c>
      <c r="H164" s="55" t="s">
        <v>24</v>
      </c>
      <c r="I164" s="55" t="s">
        <v>92</v>
      </c>
      <c r="J164" s="91">
        <v>44756</v>
      </c>
      <c r="K164" s="91">
        <v>44756</v>
      </c>
      <c r="L164" s="93">
        <f t="shared" si="4"/>
        <v>1</v>
      </c>
      <c r="M164" s="55" t="s">
        <v>7719</v>
      </c>
      <c r="N164" s="90" t="s">
        <v>26</v>
      </c>
      <c r="O164" s="55" t="s">
        <v>2333</v>
      </c>
      <c r="P164" s="94" t="s">
        <v>7720</v>
      </c>
      <c r="Q164" s="90" t="str">
        <f t="shared" si="5"/>
        <v>DENTRO DEL TIEMPO</v>
      </c>
      <c r="R164" s="24"/>
    </row>
    <row r="165" spans="1:18" ht="48.75" x14ac:dyDescent="0.25">
      <c r="A165" s="89">
        <v>160</v>
      </c>
      <c r="B165" s="90" t="s">
        <v>7721</v>
      </c>
      <c r="C165" s="91">
        <v>44755</v>
      </c>
      <c r="D165" s="91">
        <v>44755</v>
      </c>
      <c r="E165" s="24">
        <v>2</v>
      </c>
      <c r="F165" s="92" t="s">
        <v>22</v>
      </c>
      <c r="G165" s="55" t="s">
        <v>30</v>
      </c>
      <c r="H165" s="55" t="s">
        <v>24</v>
      </c>
      <c r="I165" s="55" t="s">
        <v>92</v>
      </c>
      <c r="J165" s="91">
        <v>44756</v>
      </c>
      <c r="K165" s="91">
        <v>44756</v>
      </c>
      <c r="L165" s="93">
        <f t="shared" si="4"/>
        <v>1</v>
      </c>
      <c r="M165" s="55" t="s">
        <v>7722</v>
      </c>
      <c r="N165" s="90" t="s">
        <v>26</v>
      </c>
      <c r="O165" s="55" t="s">
        <v>2306</v>
      </c>
      <c r="P165" s="94" t="s">
        <v>1768</v>
      </c>
      <c r="Q165" s="90" t="str">
        <f t="shared" si="5"/>
        <v>DENTRO DEL TIEMPO</v>
      </c>
      <c r="R165" s="24"/>
    </row>
    <row r="166" spans="1:18" ht="48.75" x14ac:dyDescent="0.25">
      <c r="A166" s="89">
        <v>161</v>
      </c>
      <c r="B166" s="90" t="s">
        <v>7723</v>
      </c>
      <c r="C166" s="91">
        <v>44755</v>
      </c>
      <c r="D166" s="91">
        <v>44755</v>
      </c>
      <c r="E166" s="24">
        <v>2</v>
      </c>
      <c r="F166" s="92" t="s">
        <v>22</v>
      </c>
      <c r="G166" s="55" t="s">
        <v>30</v>
      </c>
      <c r="H166" s="55" t="s">
        <v>24</v>
      </c>
      <c r="I166" s="55" t="s">
        <v>92</v>
      </c>
      <c r="J166" s="91">
        <v>44756</v>
      </c>
      <c r="K166" s="91">
        <v>44756</v>
      </c>
      <c r="L166" s="93">
        <f t="shared" si="4"/>
        <v>1</v>
      </c>
      <c r="M166" s="55" t="s">
        <v>7724</v>
      </c>
      <c r="N166" s="90" t="s">
        <v>26</v>
      </c>
      <c r="O166" s="55" t="s">
        <v>4038</v>
      </c>
      <c r="P166" s="94" t="s">
        <v>7725</v>
      </c>
      <c r="Q166" s="90" t="str">
        <f t="shared" si="5"/>
        <v>DENTRO DEL TIEMPO</v>
      </c>
      <c r="R166" s="24"/>
    </row>
    <row r="167" spans="1:18" ht="48.75" x14ac:dyDescent="0.25">
      <c r="A167" s="89">
        <v>162</v>
      </c>
      <c r="B167" s="90" t="s">
        <v>7726</v>
      </c>
      <c r="C167" s="91">
        <v>44755</v>
      </c>
      <c r="D167" s="91">
        <v>44755</v>
      </c>
      <c r="E167" s="24">
        <v>2</v>
      </c>
      <c r="F167" s="92" t="s">
        <v>22</v>
      </c>
      <c r="G167" s="55" t="s">
        <v>30</v>
      </c>
      <c r="H167" s="55" t="s">
        <v>24</v>
      </c>
      <c r="I167" s="55" t="s">
        <v>92</v>
      </c>
      <c r="J167" s="91">
        <v>44756</v>
      </c>
      <c r="K167" s="91">
        <v>44756</v>
      </c>
      <c r="L167" s="93">
        <f t="shared" si="4"/>
        <v>1</v>
      </c>
      <c r="M167" s="55" t="s">
        <v>7727</v>
      </c>
      <c r="N167" s="90" t="s">
        <v>26</v>
      </c>
      <c r="O167" s="55" t="s">
        <v>2333</v>
      </c>
      <c r="P167" s="94" t="s">
        <v>7725</v>
      </c>
      <c r="Q167" s="90" t="str">
        <f t="shared" si="5"/>
        <v>DENTRO DEL TIEMPO</v>
      </c>
      <c r="R167" s="24"/>
    </row>
    <row r="168" spans="1:18" ht="48.75" x14ac:dyDescent="0.25">
      <c r="A168" s="89">
        <v>163</v>
      </c>
      <c r="B168" s="90" t="s">
        <v>7728</v>
      </c>
      <c r="C168" s="91">
        <v>44755</v>
      </c>
      <c r="D168" s="91">
        <v>44755</v>
      </c>
      <c r="E168" s="24">
        <v>2</v>
      </c>
      <c r="F168" s="92" t="s">
        <v>22</v>
      </c>
      <c r="G168" s="55" t="s">
        <v>30</v>
      </c>
      <c r="H168" s="55" t="s">
        <v>24</v>
      </c>
      <c r="I168" s="55" t="s">
        <v>92</v>
      </c>
      <c r="J168" s="91">
        <v>44756</v>
      </c>
      <c r="K168" s="91">
        <v>44756</v>
      </c>
      <c r="L168" s="93">
        <f t="shared" si="4"/>
        <v>1</v>
      </c>
      <c r="M168" s="55" t="s">
        <v>7729</v>
      </c>
      <c r="N168" s="90" t="s">
        <v>26</v>
      </c>
      <c r="O168" s="55" t="s">
        <v>2456</v>
      </c>
      <c r="P168" s="94" t="s">
        <v>7725</v>
      </c>
      <c r="Q168" s="90" t="str">
        <f t="shared" si="5"/>
        <v>DENTRO DEL TIEMPO</v>
      </c>
      <c r="R168" s="24"/>
    </row>
    <row r="169" spans="1:18" ht="48.75" x14ac:dyDescent="0.25">
      <c r="A169" s="89">
        <v>164</v>
      </c>
      <c r="B169" s="90" t="s">
        <v>7730</v>
      </c>
      <c r="C169" s="91">
        <v>44755</v>
      </c>
      <c r="D169" s="91">
        <v>44755</v>
      </c>
      <c r="E169" s="24">
        <v>2</v>
      </c>
      <c r="F169" s="92" t="s">
        <v>22</v>
      </c>
      <c r="G169" s="55" t="s">
        <v>30</v>
      </c>
      <c r="H169" s="55" t="s">
        <v>24</v>
      </c>
      <c r="I169" s="55" t="s">
        <v>92</v>
      </c>
      <c r="J169" s="91">
        <v>44756</v>
      </c>
      <c r="K169" s="91">
        <v>44756</v>
      </c>
      <c r="L169" s="93">
        <f t="shared" si="4"/>
        <v>1</v>
      </c>
      <c r="M169" s="55" t="s">
        <v>7731</v>
      </c>
      <c r="N169" s="90" t="s">
        <v>26</v>
      </c>
      <c r="O169" s="55" t="s">
        <v>2456</v>
      </c>
      <c r="P169" s="94" t="s">
        <v>7725</v>
      </c>
      <c r="Q169" s="90" t="str">
        <f t="shared" si="5"/>
        <v>DENTRO DEL TIEMPO</v>
      </c>
      <c r="R169" s="24"/>
    </row>
    <row r="170" spans="1:18" ht="48.75" x14ac:dyDescent="0.25">
      <c r="A170" s="89">
        <v>165</v>
      </c>
      <c r="B170" s="90" t="s">
        <v>7732</v>
      </c>
      <c r="C170" s="91">
        <v>44755</v>
      </c>
      <c r="D170" s="91">
        <v>44755</v>
      </c>
      <c r="E170" s="24">
        <v>2</v>
      </c>
      <c r="F170" s="92" t="s">
        <v>22</v>
      </c>
      <c r="G170" s="55" t="s">
        <v>30</v>
      </c>
      <c r="H170" s="55" t="s">
        <v>24</v>
      </c>
      <c r="I170" s="55" t="s">
        <v>92</v>
      </c>
      <c r="J170" s="91">
        <v>44756</v>
      </c>
      <c r="K170" s="91">
        <v>44756</v>
      </c>
      <c r="L170" s="93">
        <f t="shared" si="4"/>
        <v>1</v>
      </c>
      <c r="M170" s="55" t="s">
        <v>7733</v>
      </c>
      <c r="N170" s="90" t="s">
        <v>26</v>
      </c>
      <c r="O170" s="55" t="s">
        <v>2456</v>
      </c>
      <c r="P170" s="94" t="s">
        <v>1605</v>
      </c>
      <c r="Q170" s="90" t="str">
        <f t="shared" si="5"/>
        <v>DENTRO DEL TIEMPO</v>
      </c>
      <c r="R170" s="24"/>
    </row>
    <row r="171" spans="1:18" ht="48.75" x14ac:dyDescent="0.25">
      <c r="A171" s="89">
        <v>166</v>
      </c>
      <c r="B171" s="90" t="s">
        <v>7734</v>
      </c>
      <c r="C171" s="91">
        <v>44755</v>
      </c>
      <c r="D171" s="91">
        <v>44755</v>
      </c>
      <c r="E171" s="24">
        <v>2</v>
      </c>
      <c r="F171" s="92" t="s">
        <v>22</v>
      </c>
      <c r="G171" s="55" t="s">
        <v>30</v>
      </c>
      <c r="H171" s="55" t="s">
        <v>24</v>
      </c>
      <c r="I171" s="55" t="s">
        <v>92</v>
      </c>
      <c r="J171" s="91">
        <v>44756</v>
      </c>
      <c r="K171" s="91">
        <v>44756</v>
      </c>
      <c r="L171" s="93">
        <f t="shared" si="4"/>
        <v>1</v>
      </c>
      <c r="M171" s="55" t="s">
        <v>7735</v>
      </c>
      <c r="N171" s="90" t="s">
        <v>26</v>
      </c>
      <c r="O171" s="55" t="s">
        <v>7736</v>
      </c>
      <c r="P171" s="94" t="s">
        <v>7737</v>
      </c>
      <c r="Q171" s="90" t="str">
        <f t="shared" si="5"/>
        <v>DENTRO DEL TIEMPO</v>
      </c>
      <c r="R171" s="24"/>
    </row>
    <row r="172" spans="1:18" ht="48.75" x14ac:dyDescent="0.25">
      <c r="A172" s="89">
        <v>167</v>
      </c>
      <c r="B172" s="90" t="s">
        <v>7738</v>
      </c>
      <c r="C172" s="91">
        <v>44755</v>
      </c>
      <c r="D172" s="91">
        <v>44755</v>
      </c>
      <c r="E172" s="24">
        <v>3</v>
      </c>
      <c r="F172" s="92" t="s">
        <v>22</v>
      </c>
      <c r="G172" s="55" t="s">
        <v>30</v>
      </c>
      <c r="H172" s="55" t="s">
        <v>24</v>
      </c>
      <c r="I172" s="55" t="s">
        <v>92</v>
      </c>
      <c r="J172" s="91">
        <v>44756</v>
      </c>
      <c r="K172" s="91">
        <v>44756</v>
      </c>
      <c r="L172" s="93">
        <f t="shared" si="4"/>
        <v>1</v>
      </c>
      <c r="M172" s="55" t="s">
        <v>7739</v>
      </c>
      <c r="N172" s="90" t="s">
        <v>26</v>
      </c>
      <c r="O172" s="55" t="s">
        <v>7740</v>
      </c>
      <c r="P172" s="94" t="s">
        <v>3314</v>
      </c>
      <c r="Q172" s="90" t="str">
        <f t="shared" si="5"/>
        <v>DENTRO DEL TIEMPO</v>
      </c>
      <c r="R172" s="24"/>
    </row>
    <row r="173" spans="1:18" ht="48.75" x14ac:dyDescent="0.25">
      <c r="A173" s="89">
        <v>168</v>
      </c>
      <c r="B173" s="90" t="s">
        <v>7741</v>
      </c>
      <c r="C173" s="91">
        <v>44756</v>
      </c>
      <c r="D173" s="91">
        <v>44756</v>
      </c>
      <c r="E173" s="24">
        <v>0</v>
      </c>
      <c r="F173" s="92" t="s">
        <v>2769</v>
      </c>
      <c r="G173" s="55" t="s">
        <v>4191</v>
      </c>
      <c r="H173" s="55" t="s">
        <v>24</v>
      </c>
      <c r="I173" s="55" t="s">
        <v>7742</v>
      </c>
      <c r="J173" s="91"/>
      <c r="K173" s="91"/>
      <c r="L173" s="93">
        <f t="shared" si="4"/>
        <v>-31970</v>
      </c>
      <c r="M173" s="55"/>
      <c r="N173" s="90" t="s">
        <v>26</v>
      </c>
      <c r="O173" s="55" t="s">
        <v>7743</v>
      </c>
      <c r="P173" s="94" t="s">
        <v>7744</v>
      </c>
      <c r="Q173" s="90" t="str">
        <f t="shared" si="5"/>
        <v>DENTRO DEL TIEMPO</v>
      </c>
      <c r="R173" s="24"/>
    </row>
    <row r="174" spans="1:18" ht="48.75" x14ac:dyDescent="0.25">
      <c r="A174" s="89">
        <v>169</v>
      </c>
      <c r="B174" s="90" t="s">
        <v>7745</v>
      </c>
      <c r="C174" s="91">
        <v>44756</v>
      </c>
      <c r="D174" s="91">
        <v>44756</v>
      </c>
      <c r="E174" s="24">
        <v>2</v>
      </c>
      <c r="F174" s="92" t="s">
        <v>22</v>
      </c>
      <c r="G174" s="55" t="s">
        <v>30</v>
      </c>
      <c r="H174" s="55" t="s">
        <v>24</v>
      </c>
      <c r="I174" s="55" t="s">
        <v>92</v>
      </c>
      <c r="J174" s="91">
        <v>44756</v>
      </c>
      <c r="K174" s="91">
        <v>44756</v>
      </c>
      <c r="L174" s="93">
        <f t="shared" si="4"/>
        <v>0</v>
      </c>
      <c r="M174" s="55" t="s">
        <v>7746</v>
      </c>
      <c r="N174" s="90" t="s">
        <v>26</v>
      </c>
      <c r="O174" s="55" t="s">
        <v>4356</v>
      </c>
      <c r="P174" s="94" t="s">
        <v>7460</v>
      </c>
      <c r="Q174" s="90" t="str">
        <f t="shared" si="5"/>
        <v>DENTRO DEL TIEMPO</v>
      </c>
      <c r="R174" s="24"/>
    </row>
    <row r="175" spans="1:18" ht="48.75" x14ac:dyDescent="0.25">
      <c r="A175" s="89">
        <v>170</v>
      </c>
      <c r="B175" s="90" t="s">
        <v>7747</v>
      </c>
      <c r="C175" s="91">
        <v>44756</v>
      </c>
      <c r="D175" s="91">
        <v>44756</v>
      </c>
      <c r="E175" s="24">
        <v>2</v>
      </c>
      <c r="F175" s="92" t="s">
        <v>22</v>
      </c>
      <c r="G175" s="55" t="s">
        <v>30</v>
      </c>
      <c r="H175" s="55" t="s">
        <v>24</v>
      </c>
      <c r="I175" s="55" t="s">
        <v>92</v>
      </c>
      <c r="J175" s="91">
        <v>44756</v>
      </c>
      <c r="K175" s="91">
        <v>44756</v>
      </c>
      <c r="L175" s="93">
        <f t="shared" si="4"/>
        <v>0</v>
      </c>
      <c r="M175" s="55" t="s">
        <v>7748</v>
      </c>
      <c r="N175" s="90" t="s">
        <v>26</v>
      </c>
      <c r="O175" s="55" t="s">
        <v>2826</v>
      </c>
      <c r="P175" s="94" t="s">
        <v>1455</v>
      </c>
      <c r="Q175" s="90" t="str">
        <f t="shared" si="5"/>
        <v>DENTRO DEL TIEMPO</v>
      </c>
      <c r="R175" s="24"/>
    </row>
    <row r="176" spans="1:18" ht="48.75" x14ac:dyDescent="0.25">
      <c r="A176" s="89">
        <v>171</v>
      </c>
      <c r="B176" s="90" t="s">
        <v>7749</v>
      </c>
      <c r="C176" s="91">
        <v>44756</v>
      </c>
      <c r="D176" s="91">
        <v>44756</v>
      </c>
      <c r="E176" s="24">
        <v>2</v>
      </c>
      <c r="F176" s="92" t="s">
        <v>22</v>
      </c>
      <c r="G176" s="55" t="s">
        <v>30</v>
      </c>
      <c r="H176" s="55" t="s">
        <v>24</v>
      </c>
      <c r="I176" s="55" t="s">
        <v>92</v>
      </c>
      <c r="J176" s="91">
        <v>44756</v>
      </c>
      <c r="K176" s="91">
        <v>44756</v>
      </c>
      <c r="L176" s="93">
        <f t="shared" si="4"/>
        <v>0</v>
      </c>
      <c r="M176" s="55" t="s">
        <v>7750</v>
      </c>
      <c r="N176" s="90" t="s">
        <v>26</v>
      </c>
      <c r="O176" s="55" t="s">
        <v>2999</v>
      </c>
      <c r="P176" s="94" t="s">
        <v>7751</v>
      </c>
      <c r="Q176" s="90" t="str">
        <f t="shared" si="5"/>
        <v>DENTRO DEL TIEMPO</v>
      </c>
      <c r="R176" s="24"/>
    </row>
    <row r="177" spans="1:18" ht="48.75" x14ac:dyDescent="0.25">
      <c r="A177" s="89">
        <v>172</v>
      </c>
      <c r="B177" s="90" t="s">
        <v>7752</v>
      </c>
      <c r="C177" s="91">
        <v>44756</v>
      </c>
      <c r="D177" s="91">
        <v>44756</v>
      </c>
      <c r="E177" s="24">
        <v>2</v>
      </c>
      <c r="F177" s="92" t="s">
        <v>22</v>
      </c>
      <c r="G177" s="55" t="s">
        <v>30</v>
      </c>
      <c r="H177" s="55" t="s">
        <v>24</v>
      </c>
      <c r="I177" s="55" t="s">
        <v>92</v>
      </c>
      <c r="J177" s="91">
        <v>44757</v>
      </c>
      <c r="K177" s="91">
        <v>44757</v>
      </c>
      <c r="L177" s="93">
        <f t="shared" si="4"/>
        <v>1</v>
      </c>
      <c r="M177" s="55" t="s">
        <v>7753</v>
      </c>
      <c r="N177" s="90" t="s">
        <v>26</v>
      </c>
      <c r="O177" s="55" t="s">
        <v>7754</v>
      </c>
      <c r="P177" s="94" t="s">
        <v>7755</v>
      </c>
      <c r="Q177" s="90" t="str">
        <f t="shared" si="5"/>
        <v>DENTRO DEL TIEMPO</v>
      </c>
      <c r="R177" s="24"/>
    </row>
    <row r="178" spans="1:18" ht="48.75" x14ac:dyDescent="0.25">
      <c r="A178" s="89">
        <v>173</v>
      </c>
      <c r="B178" s="90" t="s">
        <v>7756</v>
      </c>
      <c r="C178" s="91">
        <v>44756</v>
      </c>
      <c r="D178" s="91">
        <v>44769</v>
      </c>
      <c r="E178" s="24">
        <v>4</v>
      </c>
      <c r="F178" s="92" t="s">
        <v>22</v>
      </c>
      <c r="G178" s="55" t="s">
        <v>23</v>
      </c>
      <c r="H178" s="55" t="s">
        <v>24</v>
      </c>
      <c r="I178" s="55" t="s">
        <v>49</v>
      </c>
      <c r="J178" s="91">
        <v>44782</v>
      </c>
      <c r="K178" s="91">
        <v>44782</v>
      </c>
      <c r="L178" s="93">
        <f t="shared" si="4"/>
        <v>9</v>
      </c>
      <c r="M178" s="55" t="s">
        <v>7757</v>
      </c>
      <c r="N178" s="90" t="s">
        <v>26</v>
      </c>
      <c r="O178" s="55" t="s">
        <v>7743</v>
      </c>
      <c r="P178" s="94" t="s">
        <v>1526</v>
      </c>
      <c r="Q178" s="90" t="str">
        <f t="shared" si="5"/>
        <v>DENTRO DEL TIEMPO</v>
      </c>
      <c r="R178" s="24"/>
    </row>
    <row r="179" spans="1:18" ht="48.75" x14ac:dyDescent="0.25">
      <c r="A179" s="89">
        <v>174</v>
      </c>
      <c r="B179" s="90" t="s">
        <v>7758</v>
      </c>
      <c r="C179" s="91">
        <v>44756</v>
      </c>
      <c r="D179" s="91">
        <v>44770</v>
      </c>
      <c r="E179" s="24">
        <v>110</v>
      </c>
      <c r="F179" s="92" t="s">
        <v>22</v>
      </c>
      <c r="G179" s="55" t="s">
        <v>23</v>
      </c>
      <c r="H179" s="55" t="s">
        <v>24</v>
      </c>
      <c r="I179" s="55" t="s">
        <v>49</v>
      </c>
      <c r="J179" s="91">
        <v>44771</v>
      </c>
      <c r="K179" s="91">
        <v>44771</v>
      </c>
      <c r="L179" s="93">
        <f t="shared" si="4"/>
        <v>1</v>
      </c>
      <c r="M179" s="55" t="s">
        <v>7759</v>
      </c>
      <c r="N179" s="90" t="s">
        <v>26</v>
      </c>
      <c r="O179" s="55" t="s">
        <v>7743</v>
      </c>
      <c r="P179" s="94" t="s">
        <v>1526</v>
      </c>
      <c r="Q179" s="90" t="str">
        <f t="shared" si="5"/>
        <v>DENTRO DEL TIEMPO</v>
      </c>
      <c r="R179" s="24"/>
    </row>
    <row r="180" spans="1:18" ht="48.75" x14ac:dyDescent="0.25">
      <c r="A180" s="89">
        <v>175</v>
      </c>
      <c r="B180" s="90" t="s">
        <v>7760</v>
      </c>
      <c r="C180" s="91">
        <v>44756</v>
      </c>
      <c r="D180" s="91">
        <v>44756</v>
      </c>
      <c r="E180" s="24">
        <v>10</v>
      </c>
      <c r="F180" s="92" t="s">
        <v>22</v>
      </c>
      <c r="G180" s="55" t="s">
        <v>30</v>
      </c>
      <c r="H180" s="55" t="s">
        <v>24</v>
      </c>
      <c r="I180" s="55" t="s">
        <v>92</v>
      </c>
      <c r="J180" s="91">
        <v>44760</v>
      </c>
      <c r="K180" s="91">
        <v>44760</v>
      </c>
      <c r="L180" s="93">
        <f t="shared" si="4"/>
        <v>2</v>
      </c>
      <c r="M180" s="55" t="s">
        <v>7761</v>
      </c>
      <c r="N180" s="90" t="s">
        <v>26</v>
      </c>
      <c r="O180" s="55" t="s">
        <v>2614</v>
      </c>
      <c r="P180" s="94" t="s">
        <v>1598</v>
      </c>
      <c r="Q180" s="90" t="str">
        <f t="shared" si="5"/>
        <v>DENTRO DEL TIEMPO</v>
      </c>
      <c r="R180" s="24"/>
    </row>
    <row r="181" spans="1:18" ht="48.75" x14ac:dyDescent="0.25">
      <c r="A181" s="89">
        <v>176</v>
      </c>
      <c r="B181" s="90" t="s">
        <v>7762</v>
      </c>
      <c r="C181" s="91">
        <v>44756</v>
      </c>
      <c r="D181" s="91">
        <v>44756</v>
      </c>
      <c r="E181" s="24">
        <v>2</v>
      </c>
      <c r="F181" s="92" t="s">
        <v>22</v>
      </c>
      <c r="G181" s="55" t="s">
        <v>23</v>
      </c>
      <c r="H181" s="55" t="s">
        <v>24</v>
      </c>
      <c r="I181" s="55" t="s">
        <v>49</v>
      </c>
      <c r="J181" s="91">
        <v>44768</v>
      </c>
      <c r="K181" s="91">
        <v>44768</v>
      </c>
      <c r="L181" s="93">
        <f t="shared" si="4"/>
        <v>8</v>
      </c>
      <c r="M181" s="55" t="s">
        <v>7763</v>
      </c>
      <c r="N181" s="90" t="s">
        <v>26</v>
      </c>
      <c r="O181" s="55" t="s">
        <v>7764</v>
      </c>
      <c r="P181" s="94" t="s">
        <v>2916</v>
      </c>
      <c r="Q181" s="90" t="str">
        <f t="shared" si="5"/>
        <v>DENTRO DEL TIEMPO</v>
      </c>
      <c r="R181" s="24"/>
    </row>
    <row r="182" spans="1:18" ht="48.75" x14ac:dyDescent="0.25">
      <c r="A182" s="89">
        <v>177</v>
      </c>
      <c r="B182" s="90" t="s">
        <v>7765</v>
      </c>
      <c r="C182" s="91">
        <v>44756</v>
      </c>
      <c r="D182" s="91">
        <v>44756</v>
      </c>
      <c r="E182" s="24">
        <v>2</v>
      </c>
      <c r="F182" s="92" t="s">
        <v>22</v>
      </c>
      <c r="G182" s="55" t="s">
        <v>937</v>
      </c>
      <c r="H182" s="55" t="s">
        <v>24</v>
      </c>
      <c r="I182" s="55" t="s">
        <v>3405</v>
      </c>
      <c r="J182" s="91">
        <v>44726</v>
      </c>
      <c r="K182" s="91">
        <v>44726</v>
      </c>
      <c r="L182" s="93">
        <f t="shared" si="4"/>
        <v>-24</v>
      </c>
      <c r="M182" s="55" t="s">
        <v>7766</v>
      </c>
      <c r="N182" s="90" t="s">
        <v>26</v>
      </c>
      <c r="O182" s="55" t="s">
        <v>3173</v>
      </c>
      <c r="P182" s="94" t="s">
        <v>3174</v>
      </c>
      <c r="Q182" s="90" t="str">
        <f t="shared" si="5"/>
        <v>DENTRO DEL TIEMPO</v>
      </c>
      <c r="R182" s="24"/>
    </row>
    <row r="183" spans="1:18" ht="48.75" x14ac:dyDescent="0.25">
      <c r="A183" s="89">
        <v>178</v>
      </c>
      <c r="B183" s="90" t="s">
        <v>7767</v>
      </c>
      <c r="C183" s="91">
        <v>44756</v>
      </c>
      <c r="D183" s="91">
        <v>44756</v>
      </c>
      <c r="E183" s="24">
        <v>2</v>
      </c>
      <c r="F183" s="92" t="s">
        <v>22</v>
      </c>
      <c r="G183" s="55" t="s">
        <v>937</v>
      </c>
      <c r="H183" s="55" t="s">
        <v>24</v>
      </c>
      <c r="I183" s="55" t="s">
        <v>3405</v>
      </c>
      <c r="J183" s="91">
        <v>44726</v>
      </c>
      <c r="K183" s="91">
        <v>44726</v>
      </c>
      <c r="L183" s="93">
        <f t="shared" si="4"/>
        <v>-24</v>
      </c>
      <c r="M183" s="55" t="s">
        <v>7768</v>
      </c>
      <c r="N183" s="90" t="s">
        <v>26</v>
      </c>
      <c r="O183" s="55" t="s">
        <v>3173</v>
      </c>
      <c r="P183" s="94" t="s">
        <v>3174</v>
      </c>
      <c r="Q183" s="90" t="str">
        <f t="shared" si="5"/>
        <v>DENTRO DEL TIEMPO</v>
      </c>
      <c r="R183" s="24"/>
    </row>
    <row r="184" spans="1:18" ht="48.75" x14ac:dyDescent="0.25">
      <c r="A184" s="89">
        <v>179</v>
      </c>
      <c r="B184" s="90" t="s">
        <v>7769</v>
      </c>
      <c r="C184" s="91">
        <v>44756</v>
      </c>
      <c r="D184" s="91">
        <v>44756</v>
      </c>
      <c r="E184" s="24">
        <v>2</v>
      </c>
      <c r="F184" s="92" t="s">
        <v>22</v>
      </c>
      <c r="G184" s="55" t="s">
        <v>30</v>
      </c>
      <c r="H184" s="55" t="s">
        <v>24</v>
      </c>
      <c r="I184" s="55" t="s">
        <v>92</v>
      </c>
      <c r="J184" s="91">
        <v>44727</v>
      </c>
      <c r="K184" s="91">
        <v>44727</v>
      </c>
      <c r="L184" s="93">
        <f t="shared" si="4"/>
        <v>-23</v>
      </c>
      <c r="M184" s="55" t="s">
        <v>7770</v>
      </c>
      <c r="N184" s="90" t="s">
        <v>26</v>
      </c>
      <c r="O184" s="55" t="s">
        <v>7771</v>
      </c>
      <c r="P184" s="94" t="s">
        <v>7772</v>
      </c>
      <c r="Q184" s="90" t="str">
        <f t="shared" si="5"/>
        <v>DENTRO DEL TIEMPO</v>
      </c>
      <c r="R184" s="24"/>
    </row>
    <row r="185" spans="1:18" ht="48.75" x14ac:dyDescent="0.25">
      <c r="A185" s="89">
        <v>180</v>
      </c>
      <c r="B185" s="90" t="s">
        <v>7773</v>
      </c>
      <c r="C185" s="91">
        <v>44756</v>
      </c>
      <c r="D185" s="91">
        <v>44756</v>
      </c>
      <c r="E185" s="24">
        <v>2</v>
      </c>
      <c r="F185" s="92" t="s">
        <v>22</v>
      </c>
      <c r="G185" s="55" t="s">
        <v>30</v>
      </c>
      <c r="H185" s="55" t="s">
        <v>24</v>
      </c>
      <c r="I185" s="55" t="s">
        <v>92</v>
      </c>
      <c r="J185" s="91">
        <v>44727</v>
      </c>
      <c r="K185" s="91">
        <v>44727</v>
      </c>
      <c r="L185" s="93">
        <f t="shared" si="4"/>
        <v>-23</v>
      </c>
      <c r="M185" s="55" t="s">
        <v>7774</v>
      </c>
      <c r="N185" s="90" t="s">
        <v>26</v>
      </c>
      <c r="O185" s="55" t="s">
        <v>7775</v>
      </c>
      <c r="P185" s="94" t="s">
        <v>2934</v>
      </c>
      <c r="Q185" s="90" t="str">
        <f t="shared" si="5"/>
        <v>DENTRO DEL TIEMPO</v>
      </c>
      <c r="R185" s="24"/>
    </row>
    <row r="186" spans="1:18" ht="48.75" x14ac:dyDescent="0.25">
      <c r="A186" s="89">
        <v>181</v>
      </c>
      <c r="B186" s="90" t="s">
        <v>7776</v>
      </c>
      <c r="C186" s="91">
        <v>44756</v>
      </c>
      <c r="D186" s="91">
        <v>44756</v>
      </c>
      <c r="E186" s="24">
        <v>2</v>
      </c>
      <c r="F186" s="92" t="s">
        <v>22</v>
      </c>
      <c r="G186" s="55" t="s">
        <v>30</v>
      </c>
      <c r="H186" s="55" t="s">
        <v>24</v>
      </c>
      <c r="I186" s="55" t="s">
        <v>92</v>
      </c>
      <c r="J186" s="91">
        <v>44727</v>
      </c>
      <c r="K186" s="91">
        <v>44727</v>
      </c>
      <c r="L186" s="93">
        <f t="shared" si="4"/>
        <v>-23</v>
      </c>
      <c r="M186" s="55" t="s">
        <v>7777</v>
      </c>
      <c r="N186" s="90" t="s">
        <v>26</v>
      </c>
      <c r="O186" s="55" t="s">
        <v>3962</v>
      </c>
      <c r="P186" s="94" t="s">
        <v>7778</v>
      </c>
      <c r="Q186" s="90" t="str">
        <f t="shared" si="5"/>
        <v>DENTRO DEL TIEMPO</v>
      </c>
      <c r="R186" s="24"/>
    </row>
    <row r="187" spans="1:18" ht="48.75" x14ac:dyDescent="0.25">
      <c r="A187" s="89">
        <v>182</v>
      </c>
      <c r="B187" s="90" t="s">
        <v>7779</v>
      </c>
      <c r="C187" s="91">
        <v>44756</v>
      </c>
      <c r="D187" s="91">
        <v>44756</v>
      </c>
      <c r="E187" s="24">
        <v>2</v>
      </c>
      <c r="F187" s="92" t="s">
        <v>22</v>
      </c>
      <c r="G187" s="55" t="s">
        <v>30</v>
      </c>
      <c r="H187" s="55" t="s">
        <v>24</v>
      </c>
      <c r="I187" s="55" t="s">
        <v>92</v>
      </c>
      <c r="J187" s="91">
        <v>44727</v>
      </c>
      <c r="K187" s="91">
        <v>44727</v>
      </c>
      <c r="L187" s="93">
        <f t="shared" si="4"/>
        <v>-23</v>
      </c>
      <c r="M187" s="55" t="s">
        <v>7780</v>
      </c>
      <c r="N187" s="90" t="s">
        <v>26</v>
      </c>
      <c r="O187" s="55" t="s">
        <v>3275</v>
      </c>
      <c r="P187" s="94" t="s">
        <v>1784</v>
      </c>
      <c r="Q187" s="90" t="str">
        <f t="shared" si="5"/>
        <v>DENTRO DEL TIEMPO</v>
      </c>
      <c r="R187" s="24"/>
    </row>
    <row r="188" spans="1:18" ht="48.75" x14ac:dyDescent="0.25">
      <c r="A188" s="89">
        <v>183</v>
      </c>
      <c r="B188" s="90" t="s">
        <v>7781</v>
      </c>
      <c r="C188" s="91">
        <v>44756</v>
      </c>
      <c r="D188" s="91">
        <v>44756</v>
      </c>
      <c r="E188" s="24">
        <v>5</v>
      </c>
      <c r="F188" s="92" t="s">
        <v>22</v>
      </c>
      <c r="G188" s="55" t="s">
        <v>23</v>
      </c>
      <c r="H188" s="55" t="s">
        <v>24</v>
      </c>
      <c r="I188" s="55" t="s">
        <v>49</v>
      </c>
      <c r="J188" s="91">
        <v>44727</v>
      </c>
      <c r="K188" s="91">
        <v>44727</v>
      </c>
      <c r="L188" s="93">
        <f t="shared" si="4"/>
        <v>-23</v>
      </c>
      <c r="M188" s="55" t="s">
        <v>7782</v>
      </c>
      <c r="N188" s="90" t="s">
        <v>26</v>
      </c>
      <c r="O188" s="55" t="s">
        <v>7783</v>
      </c>
      <c r="P188" s="94" t="s">
        <v>7784</v>
      </c>
      <c r="Q188" s="90" t="str">
        <f t="shared" si="5"/>
        <v>DENTRO DEL TIEMPO</v>
      </c>
      <c r="R188" s="24"/>
    </row>
    <row r="189" spans="1:18" ht="48.75" x14ac:dyDescent="0.25">
      <c r="A189" s="89">
        <v>184</v>
      </c>
      <c r="B189" s="90" t="s">
        <v>7785</v>
      </c>
      <c r="C189" s="91">
        <v>44756</v>
      </c>
      <c r="D189" s="91">
        <v>44756</v>
      </c>
      <c r="E189" s="24">
        <v>2</v>
      </c>
      <c r="F189" s="92" t="s">
        <v>22</v>
      </c>
      <c r="G189" s="55" t="s">
        <v>30</v>
      </c>
      <c r="H189" s="55" t="s">
        <v>24</v>
      </c>
      <c r="I189" s="55" t="s">
        <v>92</v>
      </c>
      <c r="J189" s="91">
        <v>44727</v>
      </c>
      <c r="K189" s="91">
        <v>44727</v>
      </c>
      <c r="L189" s="93">
        <f t="shared" si="4"/>
        <v>-23</v>
      </c>
      <c r="M189" s="55" t="s">
        <v>7786</v>
      </c>
      <c r="N189" s="90" t="s">
        <v>26</v>
      </c>
      <c r="O189" s="55" t="s">
        <v>2583</v>
      </c>
      <c r="P189" s="94" t="s">
        <v>2584</v>
      </c>
      <c r="Q189" s="90" t="str">
        <f t="shared" si="5"/>
        <v>DENTRO DEL TIEMPO</v>
      </c>
      <c r="R189" s="24"/>
    </row>
    <row r="190" spans="1:18" ht="48.75" x14ac:dyDescent="0.25">
      <c r="A190" s="89">
        <v>185</v>
      </c>
      <c r="B190" s="90" t="s">
        <v>7787</v>
      </c>
      <c r="C190" s="91">
        <v>44756</v>
      </c>
      <c r="D190" s="91">
        <v>44756</v>
      </c>
      <c r="E190" s="24">
        <v>196</v>
      </c>
      <c r="F190" s="92" t="s">
        <v>22</v>
      </c>
      <c r="G190" s="55" t="s">
        <v>23</v>
      </c>
      <c r="H190" s="55" t="s">
        <v>24</v>
      </c>
      <c r="I190" s="55" t="s">
        <v>49</v>
      </c>
      <c r="J190" s="91">
        <v>44757</v>
      </c>
      <c r="K190" s="91">
        <v>44757</v>
      </c>
      <c r="L190" s="93">
        <f t="shared" si="4"/>
        <v>1</v>
      </c>
      <c r="M190" s="55" t="s">
        <v>7788</v>
      </c>
      <c r="N190" s="90" t="s">
        <v>26</v>
      </c>
      <c r="O190" s="55" t="s">
        <v>7789</v>
      </c>
      <c r="P190" s="94" t="s">
        <v>7790</v>
      </c>
      <c r="Q190" s="90" t="str">
        <f t="shared" si="5"/>
        <v>DENTRO DEL TIEMPO</v>
      </c>
      <c r="R190" s="24"/>
    </row>
    <row r="191" spans="1:18" ht="48.75" x14ac:dyDescent="0.25">
      <c r="A191" s="89">
        <v>186</v>
      </c>
      <c r="B191" s="90" t="s">
        <v>7791</v>
      </c>
      <c r="C191" s="91">
        <v>44757</v>
      </c>
      <c r="D191" s="91">
        <v>44757</v>
      </c>
      <c r="E191" s="24">
        <v>2</v>
      </c>
      <c r="F191" s="92" t="s">
        <v>22</v>
      </c>
      <c r="G191" s="55" t="s">
        <v>30</v>
      </c>
      <c r="H191" s="55" t="s">
        <v>24</v>
      </c>
      <c r="I191" s="55" t="s">
        <v>92</v>
      </c>
      <c r="J191" s="91">
        <v>44757</v>
      </c>
      <c r="K191" s="91">
        <v>44757</v>
      </c>
      <c r="L191" s="93">
        <f t="shared" si="4"/>
        <v>0</v>
      </c>
      <c r="M191" s="55" t="s">
        <v>7792</v>
      </c>
      <c r="N191" s="90" t="s">
        <v>26</v>
      </c>
      <c r="O191" s="55" t="s">
        <v>7793</v>
      </c>
      <c r="P191" s="94" t="s">
        <v>7794</v>
      </c>
      <c r="Q191" s="90" t="str">
        <f t="shared" si="5"/>
        <v>DENTRO DEL TIEMPO</v>
      </c>
      <c r="R191" s="24"/>
    </row>
    <row r="192" spans="1:18" ht="48.75" x14ac:dyDescent="0.25">
      <c r="A192" s="89">
        <v>187</v>
      </c>
      <c r="B192" s="90" t="s">
        <v>7795</v>
      </c>
      <c r="C192" s="91">
        <v>44757</v>
      </c>
      <c r="D192" s="91">
        <v>44757</v>
      </c>
      <c r="E192" s="24">
        <v>5</v>
      </c>
      <c r="F192" s="92" t="s">
        <v>22</v>
      </c>
      <c r="G192" s="55" t="s">
        <v>23</v>
      </c>
      <c r="H192" s="55" t="s">
        <v>24</v>
      </c>
      <c r="I192" s="55" t="s">
        <v>49</v>
      </c>
      <c r="J192" s="91">
        <v>44767</v>
      </c>
      <c r="K192" s="91">
        <v>44767</v>
      </c>
      <c r="L192" s="93">
        <f t="shared" si="4"/>
        <v>6</v>
      </c>
      <c r="M192" s="55" t="s">
        <v>7796</v>
      </c>
      <c r="N192" s="90" t="s">
        <v>26</v>
      </c>
      <c r="O192" s="55" t="s">
        <v>7797</v>
      </c>
      <c r="P192" s="94" t="s">
        <v>7798</v>
      </c>
      <c r="Q192" s="90" t="str">
        <f t="shared" si="5"/>
        <v>DENTRO DEL TIEMPO</v>
      </c>
      <c r="R192" s="24"/>
    </row>
    <row r="193" spans="1:18" ht="48.75" x14ac:dyDescent="0.25">
      <c r="A193" s="89">
        <v>188</v>
      </c>
      <c r="B193" s="90" t="s">
        <v>7799</v>
      </c>
      <c r="C193" s="91">
        <v>44757</v>
      </c>
      <c r="D193" s="91">
        <v>44757</v>
      </c>
      <c r="E193" s="24">
        <v>226</v>
      </c>
      <c r="F193" s="92" t="s">
        <v>22</v>
      </c>
      <c r="G193" s="55" t="s">
        <v>23</v>
      </c>
      <c r="H193" s="55" t="s">
        <v>24</v>
      </c>
      <c r="I193" s="55" t="s">
        <v>49</v>
      </c>
      <c r="J193" s="91">
        <v>44760</v>
      </c>
      <c r="K193" s="91">
        <v>44760</v>
      </c>
      <c r="L193" s="93">
        <f t="shared" si="4"/>
        <v>1</v>
      </c>
      <c r="M193" s="55" t="s">
        <v>7800</v>
      </c>
      <c r="N193" s="90" t="s">
        <v>26</v>
      </c>
      <c r="O193" s="55" t="s">
        <v>2487</v>
      </c>
      <c r="P193" s="94" t="s">
        <v>2488</v>
      </c>
      <c r="Q193" s="90" t="str">
        <f t="shared" si="5"/>
        <v>DENTRO DEL TIEMPO</v>
      </c>
      <c r="R193" s="24"/>
    </row>
    <row r="194" spans="1:18" ht="48.75" x14ac:dyDescent="0.25">
      <c r="A194" s="89">
        <v>189</v>
      </c>
      <c r="B194" s="90" t="s">
        <v>7801</v>
      </c>
      <c r="C194" s="91">
        <v>44757</v>
      </c>
      <c r="D194" s="91">
        <v>44757</v>
      </c>
      <c r="E194" s="24">
        <v>2</v>
      </c>
      <c r="F194" s="92" t="s">
        <v>22</v>
      </c>
      <c r="G194" s="55" t="s">
        <v>30</v>
      </c>
      <c r="H194" s="55" t="s">
        <v>24</v>
      </c>
      <c r="I194" s="55" t="s">
        <v>92</v>
      </c>
      <c r="J194" s="91">
        <v>44760</v>
      </c>
      <c r="K194" s="91">
        <v>44760</v>
      </c>
      <c r="L194" s="93">
        <f t="shared" si="4"/>
        <v>1</v>
      </c>
      <c r="M194" s="55" t="s">
        <v>7802</v>
      </c>
      <c r="N194" s="90" t="s">
        <v>26</v>
      </c>
      <c r="O194" s="55" t="s">
        <v>2826</v>
      </c>
      <c r="P194" s="94" t="s">
        <v>7803</v>
      </c>
      <c r="Q194" s="90" t="str">
        <f t="shared" si="5"/>
        <v>DENTRO DEL TIEMPO</v>
      </c>
      <c r="R194" s="24"/>
    </row>
    <row r="195" spans="1:18" ht="48.75" x14ac:dyDescent="0.25">
      <c r="A195" s="89">
        <v>190</v>
      </c>
      <c r="B195" s="90" t="s">
        <v>7804</v>
      </c>
      <c r="C195" s="91">
        <v>44757</v>
      </c>
      <c r="D195" s="91">
        <v>44757</v>
      </c>
      <c r="E195" s="24">
        <v>2</v>
      </c>
      <c r="F195" s="92" t="s">
        <v>22</v>
      </c>
      <c r="G195" s="55" t="s">
        <v>30</v>
      </c>
      <c r="H195" s="55" t="s">
        <v>24</v>
      </c>
      <c r="I195" s="55" t="s">
        <v>92</v>
      </c>
      <c r="J195" s="91">
        <v>44760</v>
      </c>
      <c r="K195" s="91">
        <v>44760</v>
      </c>
      <c r="L195" s="93">
        <f t="shared" si="4"/>
        <v>1</v>
      </c>
      <c r="M195" s="55" t="s">
        <v>7805</v>
      </c>
      <c r="N195" s="90" t="s">
        <v>26</v>
      </c>
      <c r="O195" s="55" t="s">
        <v>2683</v>
      </c>
      <c r="P195" s="94" t="s">
        <v>1404</v>
      </c>
      <c r="Q195" s="90" t="str">
        <f t="shared" si="5"/>
        <v>DENTRO DEL TIEMPO</v>
      </c>
      <c r="R195" s="24"/>
    </row>
    <row r="196" spans="1:18" ht="48.75" x14ac:dyDescent="0.25">
      <c r="A196" s="89">
        <v>191</v>
      </c>
      <c r="B196" s="90" t="s">
        <v>7806</v>
      </c>
      <c r="C196" s="91">
        <v>44757</v>
      </c>
      <c r="D196" s="91">
        <v>44757</v>
      </c>
      <c r="E196" s="24">
        <v>2</v>
      </c>
      <c r="F196" s="92" t="s">
        <v>22</v>
      </c>
      <c r="G196" s="55" t="s">
        <v>30</v>
      </c>
      <c r="H196" s="55" t="s">
        <v>24</v>
      </c>
      <c r="I196" s="55" t="s">
        <v>92</v>
      </c>
      <c r="J196" s="91">
        <v>44760</v>
      </c>
      <c r="K196" s="91">
        <v>44760</v>
      </c>
      <c r="L196" s="93">
        <f t="shared" si="4"/>
        <v>1</v>
      </c>
      <c r="M196" s="55" t="s">
        <v>7807</v>
      </c>
      <c r="N196" s="90" t="s">
        <v>26</v>
      </c>
      <c r="O196" s="55" t="s">
        <v>2683</v>
      </c>
      <c r="P196" s="94" t="s">
        <v>1404</v>
      </c>
      <c r="Q196" s="90" t="str">
        <f t="shared" si="5"/>
        <v>DENTRO DEL TIEMPO</v>
      </c>
      <c r="R196" s="24"/>
    </row>
    <row r="197" spans="1:18" ht="48.75" x14ac:dyDescent="0.25">
      <c r="A197" s="89">
        <v>192</v>
      </c>
      <c r="B197" s="90" t="s">
        <v>7808</v>
      </c>
      <c r="C197" s="91">
        <v>44757</v>
      </c>
      <c r="D197" s="91">
        <v>44757</v>
      </c>
      <c r="E197" s="24">
        <v>2</v>
      </c>
      <c r="F197" s="92" t="s">
        <v>22</v>
      </c>
      <c r="G197" s="55" t="s">
        <v>30</v>
      </c>
      <c r="H197" s="55" t="s">
        <v>24</v>
      </c>
      <c r="I197" s="55" t="s">
        <v>92</v>
      </c>
      <c r="J197" s="91">
        <v>44760</v>
      </c>
      <c r="K197" s="91">
        <v>44760</v>
      </c>
      <c r="L197" s="93">
        <f t="shared" si="4"/>
        <v>1</v>
      </c>
      <c r="M197" s="55" t="s">
        <v>7809</v>
      </c>
      <c r="N197" s="90" t="s">
        <v>26</v>
      </c>
      <c r="O197" s="55" t="s">
        <v>2683</v>
      </c>
      <c r="P197" s="94" t="s">
        <v>1404</v>
      </c>
      <c r="Q197" s="90" t="str">
        <f t="shared" si="5"/>
        <v>DENTRO DEL TIEMPO</v>
      </c>
      <c r="R197" s="24"/>
    </row>
    <row r="198" spans="1:18" ht="48.75" x14ac:dyDescent="0.25">
      <c r="A198" s="89">
        <v>193</v>
      </c>
      <c r="B198" s="90" t="s">
        <v>7810</v>
      </c>
      <c r="C198" s="91">
        <v>44757</v>
      </c>
      <c r="D198" s="91">
        <v>44757</v>
      </c>
      <c r="E198" s="24">
        <v>2</v>
      </c>
      <c r="F198" s="92" t="s">
        <v>22</v>
      </c>
      <c r="G198" s="55" t="s">
        <v>30</v>
      </c>
      <c r="H198" s="55" t="s">
        <v>24</v>
      </c>
      <c r="I198" s="55" t="s">
        <v>92</v>
      </c>
      <c r="J198" s="91">
        <v>44760</v>
      </c>
      <c r="K198" s="91">
        <v>44760</v>
      </c>
      <c r="L198" s="93">
        <f t="shared" si="4"/>
        <v>1</v>
      </c>
      <c r="M198" s="55" t="s">
        <v>7811</v>
      </c>
      <c r="N198" s="90" t="s">
        <v>26</v>
      </c>
      <c r="O198" s="55" t="s">
        <v>2683</v>
      </c>
      <c r="P198" s="94" t="s">
        <v>1404</v>
      </c>
      <c r="Q198" s="90" t="str">
        <f t="shared" si="5"/>
        <v>DENTRO DEL TIEMPO</v>
      </c>
      <c r="R198" s="24"/>
    </row>
    <row r="199" spans="1:18" ht="48.75" x14ac:dyDescent="0.25">
      <c r="A199" s="89">
        <v>194</v>
      </c>
      <c r="B199" s="90" t="s">
        <v>7812</v>
      </c>
      <c r="C199" s="91">
        <v>44757</v>
      </c>
      <c r="D199" s="91">
        <v>44757</v>
      </c>
      <c r="E199" s="24">
        <v>2</v>
      </c>
      <c r="F199" s="92" t="s">
        <v>22</v>
      </c>
      <c r="G199" s="55" t="s">
        <v>30</v>
      </c>
      <c r="H199" s="55" t="s">
        <v>24</v>
      </c>
      <c r="I199" s="55" t="s">
        <v>92</v>
      </c>
      <c r="J199" s="91">
        <v>44760</v>
      </c>
      <c r="K199" s="91">
        <v>44760</v>
      </c>
      <c r="L199" s="93">
        <f t="shared" ref="L199:L262" si="6">+NETWORKDAYS(D199,K199,$R$6:$R$9)-1</f>
        <v>1</v>
      </c>
      <c r="M199" s="55" t="s">
        <v>7807</v>
      </c>
      <c r="N199" s="90" t="s">
        <v>26</v>
      </c>
      <c r="O199" s="55" t="s">
        <v>2683</v>
      </c>
      <c r="P199" s="94" t="s">
        <v>1404</v>
      </c>
      <c r="Q199" s="90" t="str">
        <f t="shared" ref="Q199:Q262" si="7">IF(L199&gt;15,"FUERA DE TIEMPO","DENTRO DEL TIEMPO")</f>
        <v>DENTRO DEL TIEMPO</v>
      </c>
      <c r="R199" s="24"/>
    </row>
    <row r="200" spans="1:18" ht="48.75" x14ac:dyDescent="0.25">
      <c r="A200" s="89">
        <v>195</v>
      </c>
      <c r="B200" s="90" t="s">
        <v>7813</v>
      </c>
      <c r="C200" s="91">
        <v>44757</v>
      </c>
      <c r="D200" s="91">
        <v>44757</v>
      </c>
      <c r="E200" s="24">
        <v>2</v>
      </c>
      <c r="F200" s="92" t="s">
        <v>22</v>
      </c>
      <c r="G200" s="55" t="s">
        <v>30</v>
      </c>
      <c r="H200" s="55" t="s">
        <v>24</v>
      </c>
      <c r="I200" s="55" t="s">
        <v>92</v>
      </c>
      <c r="J200" s="91">
        <v>44760</v>
      </c>
      <c r="K200" s="91">
        <v>44760</v>
      </c>
      <c r="L200" s="93">
        <f t="shared" si="6"/>
        <v>1</v>
      </c>
      <c r="M200" s="55" t="s">
        <v>7814</v>
      </c>
      <c r="N200" s="90" t="s">
        <v>26</v>
      </c>
      <c r="O200" s="55" t="s">
        <v>7815</v>
      </c>
      <c r="P200" s="94" t="s">
        <v>7816</v>
      </c>
      <c r="Q200" s="90" t="str">
        <f t="shared" si="7"/>
        <v>DENTRO DEL TIEMPO</v>
      </c>
      <c r="R200" s="24"/>
    </row>
    <row r="201" spans="1:18" ht="48.75" x14ac:dyDescent="0.25">
      <c r="A201" s="89">
        <v>196</v>
      </c>
      <c r="B201" s="90" t="s">
        <v>7817</v>
      </c>
      <c r="C201" s="91">
        <v>44757</v>
      </c>
      <c r="D201" s="91">
        <v>44757</v>
      </c>
      <c r="E201" s="24">
        <v>2</v>
      </c>
      <c r="F201" s="92" t="s">
        <v>22</v>
      </c>
      <c r="G201" s="55" t="s">
        <v>30</v>
      </c>
      <c r="H201" s="55" t="s">
        <v>24</v>
      </c>
      <c r="I201" s="55" t="s">
        <v>92</v>
      </c>
      <c r="J201" s="91">
        <v>44760</v>
      </c>
      <c r="K201" s="91">
        <v>44760</v>
      </c>
      <c r="L201" s="93">
        <f t="shared" si="6"/>
        <v>1</v>
      </c>
      <c r="M201" s="55" t="s">
        <v>7818</v>
      </c>
      <c r="N201" s="90" t="s">
        <v>26</v>
      </c>
      <c r="O201" s="55" t="s">
        <v>6420</v>
      </c>
      <c r="P201" s="94" t="s">
        <v>7819</v>
      </c>
      <c r="Q201" s="90" t="str">
        <f t="shared" si="7"/>
        <v>DENTRO DEL TIEMPO</v>
      </c>
      <c r="R201" s="24"/>
    </row>
    <row r="202" spans="1:18" ht="48.75" x14ac:dyDescent="0.25">
      <c r="A202" s="89">
        <v>197</v>
      </c>
      <c r="B202" s="90" t="s">
        <v>7820</v>
      </c>
      <c r="C202" s="91">
        <v>44757</v>
      </c>
      <c r="D202" s="91">
        <v>44757</v>
      </c>
      <c r="E202" s="24">
        <v>2</v>
      </c>
      <c r="F202" s="92" t="s">
        <v>22</v>
      </c>
      <c r="G202" s="55" t="s">
        <v>30</v>
      </c>
      <c r="H202" s="55" t="s">
        <v>24</v>
      </c>
      <c r="I202" s="55" t="s">
        <v>92</v>
      </c>
      <c r="J202" s="91">
        <v>44760</v>
      </c>
      <c r="K202" s="91">
        <v>44760</v>
      </c>
      <c r="L202" s="93">
        <f t="shared" si="6"/>
        <v>1</v>
      </c>
      <c r="M202" s="55" t="s">
        <v>7821</v>
      </c>
      <c r="N202" s="90" t="s">
        <v>26</v>
      </c>
      <c r="O202" s="55" t="s">
        <v>2683</v>
      </c>
      <c r="P202" s="94" t="s">
        <v>1404</v>
      </c>
      <c r="Q202" s="90" t="str">
        <f t="shared" si="7"/>
        <v>DENTRO DEL TIEMPO</v>
      </c>
      <c r="R202" s="24"/>
    </row>
    <row r="203" spans="1:18" ht="48.75" x14ac:dyDescent="0.25">
      <c r="A203" s="89">
        <v>198</v>
      </c>
      <c r="B203" s="90" t="s">
        <v>7822</v>
      </c>
      <c r="C203" s="91">
        <v>44757</v>
      </c>
      <c r="D203" s="91">
        <v>44757</v>
      </c>
      <c r="E203" s="24">
        <v>2</v>
      </c>
      <c r="F203" s="92" t="s">
        <v>22</v>
      </c>
      <c r="G203" s="55" t="s">
        <v>30</v>
      </c>
      <c r="H203" s="55" t="s">
        <v>24</v>
      </c>
      <c r="I203" s="55" t="s">
        <v>92</v>
      </c>
      <c r="J203" s="91">
        <v>44760</v>
      </c>
      <c r="K203" s="91">
        <v>44760</v>
      </c>
      <c r="L203" s="93">
        <f t="shared" si="6"/>
        <v>1</v>
      </c>
      <c r="M203" s="55" t="s">
        <v>7823</v>
      </c>
      <c r="N203" s="90" t="s">
        <v>26</v>
      </c>
      <c r="O203" s="55" t="s">
        <v>2683</v>
      </c>
      <c r="P203" s="94" t="s">
        <v>1404</v>
      </c>
      <c r="Q203" s="90" t="str">
        <f t="shared" si="7"/>
        <v>DENTRO DEL TIEMPO</v>
      </c>
      <c r="R203" s="24"/>
    </row>
    <row r="204" spans="1:18" ht="48.75" x14ac:dyDescent="0.25">
      <c r="A204" s="89">
        <v>199</v>
      </c>
      <c r="B204" s="90" t="s">
        <v>7824</v>
      </c>
      <c r="C204" s="91">
        <v>44757</v>
      </c>
      <c r="D204" s="91">
        <v>44757</v>
      </c>
      <c r="E204" s="24">
        <v>2</v>
      </c>
      <c r="F204" s="92" t="s">
        <v>22</v>
      </c>
      <c r="G204" s="55" t="s">
        <v>30</v>
      </c>
      <c r="H204" s="55" t="s">
        <v>24</v>
      </c>
      <c r="I204" s="55" t="s">
        <v>92</v>
      </c>
      <c r="J204" s="91">
        <v>44760</v>
      </c>
      <c r="K204" s="91">
        <v>44760</v>
      </c>
      <c r="L204" s="93">
        <f t="shared" si="6"/>
        <v>1</v>
      </c>
      <c r="M204" s="55" t="s">
        <v>7825</v>
      </c>
      <c r="N204" s="90" t="s">
        <v>26</v>
      </c>
      <c r="O204" s="55" t="s">
        <v>2683</v>
      </c>
      <c r="P204" s="94" t="s">
        <v>1404</v>
      </c>
      <c r="Q204" s="90" t="str">
        <f t="shared" si="7"/>
        <v>DENTRO DEL TIEMPO</v>
      </c>
      <c r="R204" s="24"/>
    </row>
    <row r="205" spans="1:18" ht="48.75" x14ac:dyDescent="0.25">
      <c r="A205" s="89">
        <v>200</v>
      </c>
      <c r="B205" s="90" t="s">
        <v>7826</v>
      </c>
      <c r="C205" s="91">
        <v>44757</v>
      </c>
      <c r="D205" s="91">
        <v>44757</v>
      </c>
      <c r="E205" s="24">
        <v>2</v>
      </c>
      <c r="F205" s="92" t="s">
        <v>22</v>
      </c>
      <c r="G205" s="55" t="s">
        <v>30</v>
      </c>
      <c r="H205" s="55" t="s">
        <v>24</v>
      </c>
      <c r="I205" s="55" t="s">
        <v>92</v>
      </c>
      <c r="J205" s="91">
        <v>44760</v>
      </c>
      <c r="K205" s="91">
        <v>44760</v>
      </c>
      <c r="L205" s="93">
        <f t="shared" si="6"/>
        <v>1</v>
      </c>
      <c r="M205" s="55" t="s">
        <v>7827</v>
      </c>
      <c r="N205" s="90" t="s">
        <v>26</v>
      </c>
      <c r="O205" s="55" t="s">
        <v>2683</v>
      </c>
      <c r="P205" s="94" t="s">
        <v>1404</v>
      </c>
      <c r="Q205" s="90" t="str">
        <f t="shared" si="7"/>
        <v>DENTRO DEL TIEMPO</v>
      </c>
      <c r="R205" s="24"/>
    </row>
    <row r="206" spans="1:18" ht="48.75" x14ac:dyDescent="0.25">
      <c r="A206" s="89">
        <v>201</v>
      </c>
      <c r="B206" s="90" t="s">
        <v>7828</v>
      </c>
      <c r="C206" s="91">
        <v>44757</v>
      </c>
      <c r="D206" s="91">
        <v>44757</v>
      </c>
      <c r="E206" s="24">
        <v>2</v>
      </c>
      <c r="F206" s="92" t="s">
        <v>22</v>
      </c>
      <c r="G206" s="55" t="s">
        <v>30</v>
      </c>
      <c r="H206" s="55" t="s">
        <v>24</v>
      </c>
      <c r="I206" s="55" t="s">
        <v>92</v>
      </c>
      <c r="J206" s="91">
        <v>44760</v>
      </c>
      <c r="K206" s="91">
        <v>44760</v>
      </c>
      <c r="L206" s="93">
        <f t="shared" si="6"/>
        <v>1</v>
      </c>
      <c r="M206" s="55" t="s">
        <v>7829</v>
      </c>
      <c r="N206" s="90" t="s">
        <v>26</v>
      </c>
      <c r="O206" s="55" t="s">
        <v>2683</v>
      </c>
      <c r="P206" s="94" t="s">
        <v>1404</v>
      </c>
      <c r="Q206" s="90" t="str">
        <f t="shared" si="7"/>
        <v>DENTRO DEL TIEMPO</v>
      </c>
      <c r="R206" s="24"/>
    </row>
    <row r="207" spans="1:18" ht="48.75" x14ac:dyDescent="0.25">
      <c r="A207" s="89">
        <v>202</v>
      </c>
      <c r="B207" s="90" t="s">
        <v>7830</v>
      </c>
      <c r="C207" s="91">
        <v>44757</v>
      </c>
      <c r="D207" s="91">
        <v>44757</v>
      </c>
      <c r="E207" s="24">
        <v>2</v>
      </c>
      <c r="F207" s="92" t="s">
        <v>22</v>
      </c>
      <c r="G207" s="55" t="s">
        <v>30</v>
      </c>
      <c r="H207" s="55" t="s">
        <v>24</v>
      </c>
      <c r="I207" s="55" t="s">
        <v>92</v>
      </c>
      <c r="J207" s="91">
        <v>44760</v>
      </c>
      <c r="K207" s="91">
        <v>44760</v>
      </c>
      <c r="L207" s="93">
        <f t="shared" si="6"/>
        <v>1</v>
      </c>
      <c r="M207" s="55" t="s">
        <v>7831</v>
      </c>
      <c r="N207" s="90" t="s">
        <v>26</v>
      </c>
      <c r="O207" s="55" t="s">
        <v>7832</v>
      </c>
      <c r="P207" s="94" t="s">
        <v>7833</v>
      </c>
      <c r="Q207" s="90" t="str">
        <f t="shared" si="7"/>
        <v>DENTRO DEL TIEMPO</v>
      </c>
      <c r="R207" s="24"/>
    </row>
    <row r="208" spans="1:18" ht="48.75" x14ac:dyDescent="0.25">
      <c r="A208" s="89">
        <v>203</v>
      </c>
      <c r="B208" s="90" t="s">
        <v>7834</v>
      </c>
      <c r="C208" s="91">
        <v>44760</v>
      </c>
      <c r="D208" s="91">
        <v>44760</v>
      </c>
      <c r="E208" s="24">
        <v>2</v>
      </c>
      <c r="F208" s="92" t="s">
        <v>22</v>
      </c>
      <c r="G208" s="55" t="s">
        <v>23</v>
      </c>
      <c r="H208" s="55" t="s">
        <v>24</v>
      </c>
      <c r="I208" s="55" t="s">
        <v>49</v>
      </c>
      <c r="J208" s="91">
        <v>44762</v>
      </c>
      <c r="K208" s="91">
        <v>44762</v>
      </c>
      <c r="L208" s="93">
        <f t="shared" si="6"/>
        <v>2</v>
      </c>
      <c r="M208" s="55" t="s">
        <v>7835</v>
      </c>
      <c r="N208" s="90" t="s">
        <v>26</v>
      </c>
      <c r="O208" s="55" t="s">
        <v>7836</v>
      </c>
      <c r="P208" s="94" t="s">
        <v>7837</v>
      </c>
      <c r="Q208" s="90" t="str">
        <f t="shared" si="7"/>
        <v>DENTRO DEL TIEMPO</v>
      </c>
      <c r="R208" s="24"/>
    </row>
    <row r="209" spans="1:18" ht="48.75" x14ac:dyDescent="0.25">
      <c r="A209" s="89">
        <v>204</v>
      </c>
      <c r="B209" s="90" t="s">
        <v>7838</v>
      </c>
      <c r="C209" s="91">
        <v>44760</v>
      </c>
      <c r="D209" s="91">
        <v>44760</v>
      </c>
      <c r="E209" s="24">
        <v>2</v>
      </c>
      <c r="F209" s="92" t="s">
        <v>22</v>
      </c>
      <c r="G209" s="55" t="s">
        <v>23</v>
      </c>
      <c r="H209" s="55" t="s">
        <v>24</v>
      </c>
      <c r="I209" s="55" t="s">
        <v>49</v>
      </c>
      <c r="J209" s="91">
        <v>44762</v>
      </c>
      <c r="K209" s="91">
        <v>44762</v>
      </c>
      <c r="L209" s="93">
        <f t="shared" si="6"/>
        <v>2</v>
      </c>
      <c r="M209" s="55" t="s">
        <v>7835</v>
      </c>
      <c r="N209" s="90" t="s">
        <v>26</v>
      </c>
      <c r="O209" s="55" t="s">
        <v>7839</v>
      </c>
      <c r="P209" s="94" t="s">
        <v>7840</v>
      </c>
      <c r="Q209" s="90" t="str">
        <f t="shared" si="7"/>
        <v>DENTRO DEL TIEMPO</v>
      </c>
      <c r="R209" s="24"/>
    </row>
    <row r="210" spans="1:18" ht="48.75" x14ac:dyDescent="0.25">
      <c r="A210" s="89">
        <v>205</v>
      </c>
      <c r="B210" s="90" t="s">
        <v>7841</v>
      </c>
      <c r="C210" s="91">
        <v>44760</v>
      </c>
      <c r="D210" s="91">
        <v>44760</v>
      </c>
      <c r="E210" s="24">
        <v>2</v>
      </c>
      <c r="F210" s="92" t="s">
        <v>22</v>
      </c>
      <c r="G210" s="55" t="s">
        <v>23</v>
      </c>
      <c r="H210" s="55" t="s">
        <v>24</v>
      </c>
      <c r="I210" s="55" t="s">
        <v>49</v>
      </c>
      <c r="J210" s="91">
        <v>44760</v>
      </c>
      <c r="K210" s="91">
        <v>44760</v>
      </c>
      <c r="L210" s="93">
        <f t="shared" si="6"/>
        <v>0</v>
      </c>
      <c r="M210" s="55" t="s">
        <v>7842</v>
      </c>
      <c r="N210" s="90" t="s">
        <v>26</v>
      </c>
      <c r="O210" s="55" t="s">
        <v>7843</v>
      </c>
      <c r="P210" s="94" t="s">
        <v>7844</v>
      </c>
      <c r="Q210" s="90" t="str">
        <f t="shared" si="7"/>
        <v>DENTRO DEL TIEMPO</v>
      </c>
      <c r="R210" s="24"/>
    </row>
    <row r="211" spans="1:18" ht="48.75" x14ac:dyDescent="0.25">
      <c r="A211" s="89">
        <v>206</v>
      </c>
      <c r="B211" s="90" t="s">
        <v>7845</v>
      </c>
      <c r="C211" s="91">
        <v>44760</v>
      </c>
      <c r="D211" s="91">
        <v>44760</v>
      </c>
      <c r="E211" s="24">
        <v>2</v>
      </c>
      <c r="F211" s="92" t="s">
        <v>22</v>
      </c>
      <c r="G211" s="55" t="s">
        <v>23</v>
      </c>
      <c r="H211" s="55" t="s">
        <v>24</v>
      </c>
      <c r="I211" s="55" t="s">
        <v>49</v>
      </c>
      <c r="J211" s="91">
        <v>44760</v>
      </c>
      <c r="K211" s="91">
        <v>44760</v>
      </c>
      <c r="L211" s="93">
        <f t="shared" si="6"/>
        <v>0</v>
      </c>
      <c r="M211" s="55" t="s">
        <v>7846</v>
      </c>
      <c r="N211" s="90" t="s">
        <v>26</v>
      </c>
      <c r="O211" s="55" t="s">
        <v>2975</v>
      </c>
      <c r="P211" s="94" t="s">
        <v>7847</v>
      </c>
      <c r="Q211" s="90" t="str">
        <f t="shared" si="7"/>
        <v>DENTRO DEL TIEMPO</v>
      </c>
      <c r="R211" s="24"/>
    </row>
    <row r="212" spans="1:18" ht="48.75" x14ac:dyDescent="0.25">
      <c r="A212" s="89">
        <v>207</v>
      </c>
      <c r="B212" s="90" t="s">
        <v>7848</v>
      </c>
      <c r="C212" s="91">
        <v>44760</v>
      </c>
      <c r="D212" s="91">
        <v>44760</v>
      </c>
      <c r="E212" s="24">
        <v>2</v>
      </c>
      <c r="F212" s="92" t="s">
        <v>22</v>
      </c>
      <c r="G212" s="55" t="s">
        <v>23</v>
      </c>
      <c r="H212" s="55" t="s">
        <v>24</v>
      </c>
      <c r="I212" s="55" t="s">
        <v>49</v>
      </c>
      <c r="J212" s="91">
        <v>44761</v>
      </c>
      <c r="K212" s="91">
        <v>44761</v>
      </c>
      <c r="L212" s="93">
        <f t="shared" si="6"/>
        <v>1</v>
      </c>
      <c r="M212" s="55" t="s">
        <v>7849</v>
      </c>
      <c r="N212" s="90" t="s">
        <v>26</v>
      </c>
      <c r="O212" s="55" t="s">
        <v>7850</v>
      </c>
      <c r="P212" s="94" t="s">
        <v>7851</v>
      </c>
      <c r="Q212" s="90" t="str">
        <f t="shared" si="7"/>
        <v>DENTRO DEL TIEMPO</v>
      </c>
      <c r="R212" s="24"/>
    </row>
    <row r="213" spans="1:18" ht="48.75" x14ac:dyDescent="0.25">
      <c r="A213" s="89">
        <v>208</v>
      </c>
      <c r="B213" s="90" t="s">
        <v>7852</v>
      </c>
      <c r="C213" s="91">
        <v>44760</v>
      </c>
      <c r="D213" s="91">
        <v>44760</v>
      </c>
      <c r="E213" s="24">
        <v>2</v>
      </c>
      <c r="F213" s="92" t="s">
        <v>22</v>
      </c>
      <c r="G213" s="55" t="s">
        <v>30</v>
      </c>
      <c r="H213" s="55" t="s">
        <v>24</v>
      </c>
      <c r="I213" s="55" t="s">
        <v>92</v>
      </c>
      <c r="J213" s="91">
        <v>44761</v>
      </c>
      <c r="K213" s="91">
        <v>44761</v>
      </c>
      <c r="L213" s="93">
        <f t="shared" si="6"/>
        <v>1</v>
      </c>
      <c r="M213" s="55" t="s">
        <v>7853</v>
      </c>
      <c r="N213" s="90" t="s">
        <v>26</v>
      </c>
      <c r="O213" s="55" t="s">
        <v>2602</v>
      </c>
      <c r="P213" s="94" t="s">
        <v>1033</v>
      </c>
      <c r="Q213" s="90" t="str">
        <f t="shared" si="7"/>
        <v>DENTRO DEL TIEMPO</v>
      </c>
      <c r="R213" s="24"/>
    </row>
    <row r="214" spans="1:18" ht="48.75" x14ac:dyDescent="0.25">
      <c r="A214" s="89">
        <v>209</v>
      </c>
      <c r="B214" s="90" t="s">
        <v>7854</v>
      </c>
      <c r="C214" s="91">
        <v>44760</v>
      </c>
      <c r="D214" s="91">
        <v>44760</v>
      </c>
      <c r="E214" s="24">
        <v>2</v>
      </c>
      <c r="F214" s="92" t="s">
        <v>22</v>
      </c>
      <c r="G214" s="55" t="s">
        <v>23</v>
      </c>
      <c r="H214" s="55" t="s">
        <v>24</v>
      </c>
      <c r="I214" s="55" t="s">
        <v>49</v>
      </c>
      <c r="J214" s="91">
        <v>44761</v>
      </c>
      <c r="K214" s="91">
        <v>44761</v>
      </c>
      <c r="L214" s="93">
        <f t="shared" si="6"/>
        <v>1</v>
      </c>
      <c r="M214" s="55" t="s">
        <v>7855</v>
      </c>
      <c r="N214" s="90" t="s">
        <v>26</v>
      </c>
      <c r="O214" s="55" t="s">
        <v>2735</v>
      </c>
      <c r="P214" s="94" t="s">
        <v>2736</v>
      </c>
      <c r="Q214" s="90" t="str">
        <f t="shared" si="7"/>
        <v>DENTRO DEL TIEMPO</v>
      </c>
      <c r="R214" s="24"/>
    </row>
    <row r="215" spans="1:18" ht="48.75" x14ac:dyDescent="0.25">
      <c r="A215" s="89">
        <v>210</v>
      </c>
      <c r="B215" s="90" t="s">
        <v>7856</v>
      </c>
      <c r="C215" s="91">
        <v>44760</v>
      </c>
      <c r="D215" s="91">
        <v>44760</v>
      </c>
      <c r="E215" s="24">
        <v>656</v>
      </c>
      <c r="F215" s="92" t="s">
        <v>22</v>
      </c>
      <c r="G215" s="55" t="s">
        <v>23</v>
      </c>
      <c r="H215" s="55" t="s">
        <v>24</v>
      </c>
      <c r="I215" s="55" t="s">
        <v>49</v>
      </c>
      <c r="J215" s="91">
        <v>44761</v>
      </c>
      <c r="K215" s="91">
        <v>44761</v>
      </c>
      <c r="L215" s="93">
        <f t="shared" si="6"/>
        <v>1</v>
      </c>
      <c r="M215" s="55" t="s">
        <v>7857</v>
      </c>
      <c r="N215" s="90" t="s">
        <v>26</v>
      </c>
      <c r="O215" s="55" t="s">
        <v>2361</v>
      </c>
      <c r="P215" s="94" t="s">
        <v>2362</v>
      </c>
      <c r="Q215" s="90" t="str">
        <f t="shared" si="7"/>
        <v>DENTRO DEL TIEMPO</v>
      </c>
      <c r="R215" s="24"/>
    </row>
    <row r="216" spans="1:18" ht="48.75" x14ac:dyDescent="0.25">
      <c r="A216" s="89">
        <v>211</v>
      </c>
      <c r="B216" s="90" t="s">
        <v>7858</v>
      </c>
      <c r="C216" s="91">
        <v>44760</v>
      </c>
      <c r="D216" s="91">
        <v>44760</v>
      </c>
      <c r="E216" s="24">
        <v>2</v>
      </c>
      <c r="F216" s="92" t="s">
        <v>22</v>
      </c>
      <c r="G216" s="55" t="s">
        <v>30</v>
      </c>
      <c r="H216" s="55" t="s">
        <v>24</v>
      </c>
      <c r="I216" s="55" t="s">
        <v>92</v>
      </c>
      <c r="J216" s="91">
        <v>44760</v>
      </c>
      <c r="K216" s="91">
        <v>44760</v>
      </c>
      <c r="L216" s="93">
        <f t="shared" si="6"/>
        <v>0</v>
      </c>
      <c r="M216" s="55" t="s">
        <v>7859</v>
      </c>
      <c r="N216" s="90" t="s">
        <v>26</v>
      </c>
      <c r="O216" s="55" t="s">
        <v>7860</v>
      </c>
      <c r="P216" s="94" t="s">
        <v>1761</v>
      </c>
      <c r="Q216" s="90" t="str">
        <f t="shared" si="7"/>
        <v>DENTRO DEL TIEMPO</v>
      </c>
      <c r="R216" s="24"/>
    </row>
    <row r="217" spans="1:18" ht="48.75" x14ac:dyDescent="0.25">
      <c r="A217" s="89">
        <v>212</v>
      </c>
      <c r="B217" s="90" t="s">
        <v>7861</v>
      </c>
      <c r="C217" s="91">
        <v>44760</v>
      </c>
      <c r="D217" s="91">
        <v>44760</v>
      </c>
      <c r="E217" s="24">
        <v>0</v>
      </c>
      <c r="F217" s="92" t="s">
        <v>2769</v>
      </c>
      <c r="G217" s="55" t="s">
        <v>30</v>
      </c>
      <c r="H217" s="55" t="s">
        <v>24</v>
      </c>
      <c r="I217" s="55" t="s">
        <v>92</v>
      </c>
      <c r="J217" s="91">
        <v>44764</v>
      </c>
      <c r="K217" s="91">
        <v>44764</v>
      </c>
      <c r="L217" s="93">
        <f t="shared" si="6"/>
        <v>4</v>
      </c>
      <c r="M217" s="55" t="s">
        <v>7862</v>
      </c>
      <c r="N217" s="90" t="s">
        <v>26</v>
      </c>
      <c r="O217" s="55" t="s">
        <v>7860</v>
      </c>
      <c r="P217" s="94" t="s">
        <v>1761</v>
      </c>
      <c r="Q217" s="90" t="str">
        <f t="shared" si="7"/>
        <v>DENTRO DEL TIEMPO</v>
      </c>
      <c r="R217" s="24"/>
    </row>
    <row r="218" spans="1:18" ht="48.75" x14ac:dyDescent="0.25">
      <c r="A218" s="89">
        <v>213</v>
      </c>
      <c r="B218" s="90" t="s">
        <v>7863</v>
      </c>
      <c r="C218" s="91">
        <v>44760</v>
      </c>
      <c r="D218" s="91">
        <v>44760</v>
      </c>
      <c r="E218" s="24">
        <v>2</v>
      </c>
      <c r="F218" s="92" t="s">
        <v>22</v>
      </c>
      <c r="G218" s="55" t="s">
        <v>23</v>
      </c>
      <c r="H218" s="55" t="s">
        <v>24</v>
      </c>
      <c r="I218" s="55" t="s">
        <v>49</v>
      </c>
      <c r="J218" s="91">
        <v>44761</v>
      </c>
      <c r="K218" s="91">
        <v>44761</v>
      </c>
      <c r="L218" s="93">
        <f t="shared" si="6"/>
        <v>1</v>
      </c>
      <c r="M218" s="55" t="s">
        <v>7864</v>
      </c>
      <c r="N218" s="90" t="s">
        <v>26</v>
      </c>
      <c r="O218" s="55" t="s">
        <v>7865</v>
      </c>
      <c r="P218" s="94" t="s">
        <v>7866</v>
      </c>
      <c r="Q218" s="90" t="str">
        <f t="shared" si="7"/>
        <v>DENTRO DEL TIEMPO</v>
      </c>
      <c r="R218" s="24"/>
    </row>
    <row r="219" spans="1:18" ht="48.75" x14ac:dyDescent="0.25">
      <c r="A219" s="89">
        <v>214</v>
      </c>
      <c r="B219" s="90" t="s">
        <v>7867</v>
      </c>
      <c r="C219" s="91">
        <v>44760</v>
      </c>
      <c r="D219" s="91">
        <v>44760</v>
      </c>
      <c r="E219" s="24">
        <v>2</v>
      </c>
      <c r="F219" s="92" t="s">
        <v>22</v>
      </c>
      <c r="G219" s="55" t="s">
        <v>30</v>
      </c>
      <c r="H219" s="55" t="s">
        <v>24</v>
      </c>
      <c r="I219" s="55" t="s">
        <v>92</v>
      </c>
      <c r="J219" s="91">
        <v>44760</v>
      </c>
      <c r="K219" s="91">
        <v>44760</v>
      </c>
      <c r="L219" s="93">
        <f t="shared" si="6"/>
        <v>0</v>
      </c>
      <c r="M219" s="55" t="s">
        <v>7868</v>
      </c>
      <c r="N219" s="90" t="s">
        <v>26</v>
      </c>
      <c r="O219" s="55" t="s">
        <v>7869</v>
      </c>
      <c r="P219" s="94" t="s">
        <v>7870</v>
      </c>
      <c r="Q219" s="90" t="str">
        <f t="shared" si="7"/>
        <v>DENTRO DEL TIEMPO</v>
      </c>
      <c r="R219" s="24"/>
    </row>
    <row r="220" spans="1:18" ht="48.75" x14ac:dyDescent="0.25">
      <c r="A220" s="89">
        <v>215</v>
      </c>
      <c r="B220" s="90" t="s">
        <v>7871</v>
      </c>
      <c r="C220" s="91">
        <v>44760</v>
      </c>
      <c r="D220" s="91">
        <v>44760</v>
      </c>
      <c r="E220" s="24">
        <v>2</v>
      </c>
      <c r="F220" s="92" t="s">
        <v>22</v>
      </c>
      <c r="G220" s="55" t="s">
        <v>30</v>
      </c>
      <c r="H220" s="55" t="s">
        <v>24</v>
      </c>
      <c r="I220" s="55" t="s">
        <v>92</v>
      </c>
      <c r="J220" s="91">
        <v>44761</v>
      </c>
      <c r="K220" s="91">
        <v>44761</v>
      </c>
      <c r="L220" s="93">
        <f t="shared" si="6"/>
        <v>1</v>
      </c>
      <c r="M220" s="55" t="s">
        <v>7872</v>
      </c>
      <c r="N220" s="90" t="s">
        <v>26</v>
      </c>
      <c r="O220" s="55" t="s">
        <v>7873</v>
      </c>
      <c r="P220" s="94" t="s">
        <v>7874</v>
      </c>
      <c r="Q220" s="90" t="str">
        <f t="shared" si="7"/>
        <v>DENTRO DEL TIEMPO</v>
      </c>
      <c r="R220" s="24"/>
    </row>
    <row r="221" spans="1:18" ht="48.75" x14ac:dyDescent="0.25">
      <c r="A221" s="89">
        <v>216</v>
      </c>
      <c r="B221" s="90" t="s">
        <v>7875</v>
      </c>
      <c r="C221" s="91">
        <v>44760</v>
      </c>
      <c r="D221" s="91">
        <v>44760</v>
      </c>
      <c r="E221" s="24">
        <v>2</v>
      </c>
      <c r="F221" s="92" t="s">
        <v>22</v>
      </c>
      <c r="G221" s="55" t="s">
        <v>30</v>
      </c>
      <c r="H221" s="55" t="s">
        <v>24</v>
      </c>
      <c r="I221" s="55" t="s">
        <v>92</v>
      </c>
      <c r="J221" s="91">
        <v>44761</v>
      </c>
      <c r="K221" s="91">
        <v>44761</v>
      </c>
      <c r="L221" s="93">
        <f t="shared" si="6"/>
        <v>1</v>
      </c>
      <c r="M221" s="55" t="s">
        <v>7876</v>
      </c>
      <c r="N221" s="90" t="s">
        <v>26</v>
      </c>
      <c r="O221" s="55" t="s">
        <v>7877</v>
      </c>
      <c r="P221" s="94" t="s">
        <v>7878</v>
      </c>
      <c r="Q221" s="90" t="str">
        <f t="shared" si="7"/>
        <v>DENTRO DEL TIEMPO</v>
      </c>
      <c r="R221" s="24"/>
    </row>
    <row r="222" spans="1:18" ht="48.75" x14ac:dyDescent="0.25">
      <c r="A222" s="89">
        <v>217</v>
      </c>
      <c r="B222" s="90" t="s">
        <v>7879</v>
      </c>
      <c r="C222" s="91">
        <v>44760</v>
      </c>
      <c r="D222" s="91">
        <v>44760</v>
      </c>
      <c r="E222" s="24">
        <v>2</v>
      </c>
      <c r="F222" s="92" t="s">
        <v>22</v>
      </c>
      <c r="G222" s="55" t="s">
        <v>30</v>
      </c>
      <c r="H222" s="55" t="s">
        <v>24</v>
      </c>
      <c r="I222" s="55" t="s">
        <v>92</v>
      </c>
      <c r="J222" s="91">
        <v>44761</v>
      </c>
      <c r="K222" s="91">
        <v>44761</v>
      </c>
      <c r="L222" s="93">
        <f t="shared" si="6"/>
        <v>1</v>
      </c>
      <c r="M222" s="55" t="s">
        <v>7880</v>
      </c>
      <c r="N222" s="90" t="s">
        <v>26</v>
      </c>
      <c r="O222" s="55" t="s">
        <v>7881</v>
      </c>
      <c r="P222" s="94" t="s">
        <v>7882</v>
      </c>
      <c r="Q222" s="90" t="str">
        <f t="shared" si="7"/>
        <v>DENTRO DEL TIEMPO</v>
      </c>
      <c r="R222" s="24"/>
    </row>
    <row r="223" spans="1:18" ht="48.75" x14ac:dyDescent="0.25">
      <c r="A223" s="89">
        <v>218</v>
      </c>
      <c r="B223" s="90" t="s">
        <v>7883</v>
      </c>
      <c r="C223" s="91">
        <v>44760</v>
      </c>
      <c r="D223" s="91">
        <v>44760</v>
      </c>
      <c r="E223" s="24">
        <v>2</v>
      </c>
      <c r="F223" s="92" t="s">
        <v>22</v>
      </c>
      <c r="G223" s="55" t="s">
        <v>30</v>
      </c>
      <c r="H223" s="55" t="s">
        <v>24</v>
      </c>
      <c r="I223" s="55" t="s">
        <v>92</v>
      </c>
      <c r="J223" s="91">
        <v>44761</v>
      </c>
      <c r="K223" s="91">
        <v>44761</v>
      </c>
      <c r="L223" s="93">
        <f t="shared" si="6"/>
        <v>1</v>
      </c>
      <c r="M223" s="55" t="s">
        <v>7884</v>
      </c>
      <c r="N223" s="90" t="s">
        <v>26</v>
      </c>
      <c r="O223" s="55" t="s">
        <v>2444</v>
      </c>
      <c r="P223" s="94" t="s">
        <v>2445</v>
      </c>
      <c r="Q223" s="90" t="str">
        <f t="shared" si="7"/>
        <v>DENTRO DEL TIEMPO</v>
      </c>
      <c r="R223" s="24"/>
    </row>
    <row r="224" spans="1:18" ht="48.75" x14ac:dyDescent="0.25">
      <c r="A224" s="89">
        <v>219</v>
      </c>
      <c r="B224" s="90" t="s">
        <v>7885</v>
      </c>
      <c r="C224" s="91">
        <v>44760</v>
      </c>
      <c r="D224" s="91">
        <v>44760</v>
      </c>
      <c r="E224" s="24">
        <v>2</v>
      </c>
      <c r="F224" s="92" t="s">
        <v>22</v>
      </c>
      <c r="G224" s="55" t="s">
        <v>30</v>
      </c>
      <c r="H224" s="55" t="s">
        <v>24</v>
      </c>
      <c r="I224" s="55" t="s">
        <v>92</v>
      </c>
      <c r="J224" s="91">
        <v>44761</v>
      </c>
      <c r="K224" s="91">
        <v>44761</v>
      </c>
      <c r="L224" s="93">
        <f t="shared" si="6"/>
        <v>1</v>
      </c>
      <c r="M224" s="55" t="s">
        <v>7886</v>
      </c>
      <c r="N224" s="90" t="s">
        <v>26</v>
      </c>
      <c r="O224" s="55" t="s">
        <v>7887</v>
      </c>
      <c r="P224" s="94" t="s">
        <v>7888</v>
      </c>
      <c r="Q224" s="90" t="str">
        <f t="shared" si="7"/>
        <v>DENTRO DEL TIEMPO</v>
      </c>
      <c r="R224" s="24"/>
    </row>
    <row r="225" spans="1:18" ht="48.75" x14ac:dyDescent="0.25">
      <c r="A225" s="89">
        <v>220</v>
      </c>
      <c r="B225" s="90" t="s">
        <v>7889</v>
      </c>
      <c r="C225" s="91">
        <v>44760</v>
      </c>
      <c r="D225" s="91">
        <v>44760</v>
      </c>
      <c r="E225" s="24">
        <v>2</v>
      </c>
      <c r="F225" s="92" t="s">
        <v>22</v>
      </c>
      <c r="G225" s="55" t="s">
        <v>30</v>
      </c>
      <c r="H225" s="55" t="s">
        <v>24</v>
      </c>
      <c r="I225" s="55" t="s">
        <v>92</v>
      </c>
      <c r="J225" s="91">
        <v>44761</v>
      </c>
      <c r="K225" s="91">
        <v>44761</v>
      </c>
      <c r="L225" s="93">
        <f t="shared" si="6"/>
        <v>1</v>
      </c>
      <c r="M225" s="55" t="s">
        <v>7890</v>
      </c>
      <c r="N225" s="90" t="s">
        <v>26</v>
      </c>
      <c r="O225" s="55" t="s">
        <v>7891</v>
      </c>
      <c r="P225" s="94" t="s">
        <v>7892</v>
      </c>
      <c r="Q225" s="90" t="str">
        <f t="shared" si="7"/>
        <v>DENTRO DEL TIEMPO</v>
      </c>
      <c r="R225" s="24"/>
    </row>
    <row r="226" spans="1:18" ht="48.75" x14ac:dyDescent="0.25">
      <c r="A226" s="89">
        <v>221</v>
      </c>
      <c r="B226" s="90" t="s">
        <v>7893</v>
      </c>
      <c r="C226" s="91">
        <v>44760</v>
      </c>
      <c r="D226" s="91">
        <v>44760</v>
      </c>
      <c r="E226" s="24">
        <v>2</v>
      </c>
      <c r="F226" s="92" t="s">
        <v>22</v>
      </c>
      <c r="G226" s="55" t="s">
        <v>30</v>
      </c>
      <c r="H226" s="55" t="s">
        <v>24</v>
      </c>
      <c r="I226" s="55" t="s">
        <v>92</v>
      </c>
      <c r="J226" s="91">
        <v>44761</v>
      </c>
      <c r="K226" s="91">
        <v>44761</v>
      </c>
      <c r="L226" s="93">
        <f t="shared" si="6"/>
        <v>1</v>
      </c>
      <c r="M226" s="55" t="s">
        <v>7894</v>
      </c>
      <c r="N226" s="90" t="s">
        <v>26</v>
      </c>
      <c r="O226" s="55" t="s">
        <v>7895</v>
      </c>
      <c r="P226" s="94" t="s">
        <v>7896</v>
      </c>
      <c r="Q226" s="90" t="str">
        <f t="shared" si="7"/>
        <v>DENTRO DEL TIEMPO</v>
      </c>
      <c r="R226" s="24"/>
    </row>
    <row r="227" spans="1:18" ht="48.75" x14ac:dyDescent="0.25">
      <c r="A227" s="89">
        <v>222</v>
      </c>
      <c r="B227" s="90" t="s">
        <v>7897</v>
      </c>
      <c r="C227" s="91">
        <v>44760</v>
      </c>
      <c r="D227" s="91">
        <v>44760</v>
      </c>
      <c r="E227" s="24">
        <v>2</v>
      </c>
      <c r="F227" s="92" t="s">
        <v>22</v>
      </c>
      <c r="G227" s="55" t="s">
        <v>23</v>
      </c>
      <c r="H227" s="55" t="s">
        <v>24</v>
      </c>
      <c r="I227" s="55" t="s">
        <v>49</v>
      </c>
      <c r="J227" s="91">
        <v>44761</v>
      </c>
      <c r="K227" s="91">
        <v>44761</v>
      </c>
      <c r="L227" s="93">
        <f t="shared" si="6"/>
        <v>1</v>
      </c>
      <c r="M227" s="55" t="s">
        <v>7898</v>
      </c>
      <c r="N227" s="90" t="s">
        <v>26</v>
      </c>
      <c r="O227" s="55" t="s">
        <v>7899</v>
      </c>
      <c r="P227" s="94" t="s">
        <v>7900</v>
      </c>
      <c r="Q227" s="90" t="str">
        <f t="shared" si="7"/>
        <v>DENTRO DEL TIEMPO</v>
      </c>
      <c r="R227" s="24"/>
    </row>
    <row r="228" spans="1:18" ht="48.75" x14ac:dyDescent="0.25">
      <c r="A228" s="89">
        <v>223</v>
      </c>
      <c r="B228" s="90" t="s">
        <v>7901</v>
      </c>
      <c r="C228" s="91">
        <v>44761</v>
      </c>
      <c r="D228" s="91">
        <v>44761</v>
      </c>
      <c r="E228" s="24">
        <v>2</v>
      </c>
      <c r="F228" s="92" t="s">
        <v>22</v>
      </c>
      <c r="G228" s="55" t="s">
        <v>30</v>
      </c>
      <c r="H228" s="55" t="s">
        <v>24</v>
      </c>
      <c r="I228" s="55" t="s">
        <v>92</v>
      </c>
      <c r="J228" s="91">
        <v>44761</v>
      </c>
      <c r="K228" s="91">
        <v>44761</v>
      </c>
      <c r="L228" s="93">
        <f t="shared" si="6"/>
        <v>0</v>
      </c>
      <c r="M228" s="55" t="s">
        <v>7902</v>
      </c>
      <c r="N228" s="90" t="s">
        <v>26</v>
      </c>
      <c r="O228" s="55" t="s">
        <v>6420</v>
      </c>
      <c r="P228" s="94" t="s">
        <v>7903</v>
      </c>
      <c r="Q228" s="90" t="str">
        <f t="shared" si="7"/>
        <v>DENTRO DEL TIEMPO</v>
      </c>
      <c r="R228" s="24"/>
    </row>
    <row r="229" spans="1:18" ht="48.75" x14ac:dyDescent="0.25">
      <c r="A229" s="89">
        <v>224</v>
      </c>
      <c r="B229" s="90" t="s">
        <v>7904</v>
      </c>
      <c r="C229" s="91">
        <v>44761</v>
      </c>
      <c r="D229" s="91">
        <v>44761</v>
      </c>
      <c r="E229" s="24">
        <v>2</v>
      </c>
      <c r="F229" s="92" t="s">
        <v>22</v>
      </c>
      <c r="G229" s="55" t="s">
        <v>30</v>
      </c>
      <c r="H229" s="55" t="s">
        <v>24</v>
      </c>
      <c r="I229" s="55" t="s">
        <v>92</v>
      </c>
      <c r="J229" s="91">
        <v>44762</v>
      </c>
      <c r="K229" s="91">
        <v>44762</v>
      </c>
      <c r="L229" s="93">
        <f t="shared" si="6"/>
        <v>1</v>
      </c>
      <c r="M229" s="55" t="s">
        <v>7905</v>
      </c>
      <c r="N229" s="90" t="s">
        <v>26</v>
      </c>
      <c r="O229" s="55" t="s">
        <v>2589</v>
      </c>
      <c r="P229" s="94" t="s">
        <v>1605</v>
      </c>
      <c r="Q229" s="90" t="str">
        <f t="shared" si="7"/>
        <v>DENTRO DEL TIEMPO</v>
      </c>
      <c r="R229" s="24"/>
    </row>
    <row r="230" spans="1:18" ht="48.75" x14ac:dyDescent="0.25">
      <c r="A230" s="89">
        <v>225</v>
      </c>
      <c r="B230" s="90" t="s">
        <v>7906</v>
      </c>
      <c r="C230" s="91">
        <v>44761</v>
      </c>
      <c r="D230" s="91">
        <v>44761</v>
      </c>
      <c r="E230" s="24">
        <v>2</v>
      </c>
      <c r="F230" s="92" t="s">
        <v>22</v>
      </c>
      <c r="G230" s="55" t="s">
        <v>30</v>
      </c>
      <c r="H230" s="55" t="s">
        <v>24</v>
      </c>
      <c r="I230" s="55" t="s">
        <v>92</v>
      </c>
      <c r="J230" s="91">
        <v>44762</v>
      </c>
      <c r="K230" s="91">
        <v>44762</v>
      </c>
      <c r="L230" s="93">
        <f t="shared" si="6"/>
        <v>1</v>
      </c>
      <c r="M230" s="55" t="s">
        <v>7907</v>
      </c>
      <c r="N230" s="90" t="s">
        <v>26</v>
      </c>
      <c r="O230" s="55" t="s">
        <v>7908</v>
      </c>
      <c r="P230" s="94" t="s">
        <v>1354</v>
      </c>
      <c r="Q230" s="90" t="str">
        <f t="shared" si="7"/>
        <v>DENTRO DEL TIEMPO</v>
      </c>
      <c r="R230" s="24"/>
    </row>
    <row r="231" spans="1:18" ht="48.75" x14ac:dyDescent="0.25">
      <c r="A231" s="89">
        <v>226</v>
      </c>
      <c r="B231" s="90" t="s">
        <v>7909</v>
      </c>
      <c r="C231" s="91">
        <v>44761</v>
      </c>
      <c r="D231" s="91">
        <v>44761</v>
      </c>
      <c r="E231" s="24">
        <v>2</v>
      </c>
      <c r="F231" s="92" t="s">
        <v>22</v>
      </c>
      <c r="G231" s="55" t="s">
        <v>30</v>
      </c>
      <c r="H231" s="55" t="s">
        <v>24</v>
      </c>
      <c r="I231" s="55" t="s">
        <v>92</v>
      </c>
      <c r="J231" s="91">
        <v>44762</v>
      </c>
      <c r="K231" s="91">
        <v>44762</v>
      </c>
      <c r="L231" s="93">
        <f t="shared" si="6"/>
        <v>1</v>
      </c>
      <c r="M231" s="55" t="s">
        <v>7910</v>
      </c>
      <c r="N231" s="90" t="s">
        <v>26</v>
      </c>
      <c r="O231" s="55" t="s">
        <v>7911</v>
      </c>
      <c r="P231" s="94" t="s">
        <v>7912</v>
      </c>
      <c r="Q231" s="90" t="str">
        <f t="shared" si="7"/>
        <v>DENTRO DEL TIEMPO</v>
      </c>
      <c r="R231" s="24"/>
    </row>
    <row r="232" spans="1:18" ht="48.75" x14ac:dyDescent="0.25">
      <c r="A232" s="89">
        <v>227</v>
      </c>
      <c r="B232" s="90" t="s">
        <v>7913</v>
      </c>
      <c r="C232" s="91">
        <v>44761</v>
      </c>
      <c r="D232" s="91">
        <v>44761</v>
      </c>
      <c r="E232" s="24">
        <v>21</v>
      </c>
      <c r="F232" s="92" t="s">
        <v>22</v>
      </c>
      <c r="G232" s="55" t="s">
        <v>23</v>
      </c>
      <c r="H232" s="55" t="s">
        <v>24</v>
      </c>
      <c r="I232" s="55" t="s">
        <v>49</v>
      </c>
      <c r="J232" s="91">
        <v>44763</v>
      </c>
      <c r="K232" s="91">
        <v>44763</v>
      </c>
      <c r="L232" s="93">
        <f t="shared" si="6"/>
        <v>2</v>
      </c>
      <c r="M232" s="55" t="s">
        <v>7914</v>
      </c>
      <c r="N232" s="90" t="s">
        <v>26</v>
      </c>
      <c r="O232" s="55" t="s">
        <v>7915</v>
      </c>
      <c r="P232" s="94" t="s">
        <v>7916</v>
      </c>
      <c r="Q232" s="90" t="str">
        <f t="shared" si="7"/>
        <v>DENTRO DEL TIEMPO</v>
      </c>
      <c r="R232" s="24"/>
    </row>
    <row r="233" spans="1:18" ht="48.75" x14ac:dyDescent="0.25">
      <c r="A233" s="89">
        <v>228</v>
      </c>
      <c r="B233" s="90" t="s">
        <v>7917</v>
      </c>
      <c r="C233" s="91">
        <v>44761</v>
      </c>
      <c r="D233" s="91">
        <v>44761</v>
      </c>
      <c r="E233" s="24">
        <v>2</v>
      </c>
      <c r="F233" s="92" t="s">
        <v>22</v>
      </c>
      <c r="G233" s="55" t="s">
        <v>30</v>
      </c>
      <c r="H233" s="55" t="s">
        <v>24</v>
      </c>
      <c r="I233" s="55" t="s">
        <v>92</v>
      </c>
      <c r="J233" s="91">
        <v>44762</v>
      </c>
      <c r="K233" s="91">
        <v>44762</v>
      </c>
      <c r="L233" s="93">
        <f t="shared" si="6"/>
        <v>1</v>
      </c>
      <c r="M233" s="55" t="s">
        <v>7918</v>
      </c>
      <c r="N233" s="90" t="s">
        <v>26</v>
      </c>
      <c r="O233" s="55" t="s">
        <v>2407</v>
      </c>
      <c r="P233" s="94" t="s">
        <v>7919</v>
      </c>
      <c r="Q233" s="90" t="str">
        <f t="shared" si="7"/>
        <v>DENTRO DEL TIEMPO</v>
      </c>
      <c r="R233" s="24"/>
    </row>
    <row r="234" spans="1:18" ht="48.75" x14ac:dyDescent="0.25">
      <c r="A234" s="89">
        <v>229</v>
      </c>
      <c r="B234" s="90" t="s">
        <v>7920</v>
      </c>
      <c r="C234" s="91">
        <v>44762</v>
      </c>
      <c r="D234" s="91">
        <v>44762</v>
      </c>
      <c r="E234" s="24">
        <v>2</v>
      </c>
      <c r="F234" s="92" t="s">
        <v>22</v>
      </c>
      <c r="G234" s="55" t="s">
        <v>30</v>
      </c>
      <c r="H234" s="55" t="s">
        <v>24</v>
      </c>
      <c r="I234" s="55" t="s">
        <v>92</v>
      </c>
      <c r="J234" s="91">
        <v>44762</v>
      </c>
      <c r="K234" s="91">
        <v>44762</v>
      </c>
      <c r="L234" s="93">
        <f t="shared" si="6"/>
        <v>0</v>
      </c>
      <c r="M234" s="55" t="s">
        <v>7921</v>
      </c>
      <c r="N234" s="90" t="s">
        <v>26</v>
      </c>
      <c r="O234" s="55" t="s">
        <v>2652</v>
      </c>
      <c r="P234" s="94" t="s">
        <v>1541</v>
      </c>
      <c r="Q234" s="90" t="str">
        <f t="shared" si="7"/>
        <v>DENTRO DEL TIEMPO</v>
      </c>
      <c r="R234" s="24"/>
    </row>
    <row r="235" spans="1:18" ht="48.75" x14ac:dyDescent="0.25">
      <c r="A235" s="89">
        <v>230</v>
      </c>
      <c r="B235" s="90" t="s">
        <v>7922</v>
      </c>
      <c r="C235" s="91">
        <v>44762</v>
      </c>
      <c r="D235" s="91">
        <v>44762</v>
      </c>
      <c r="E235" s="24">
        <v>2</v>
      </c>
      <c r="F235" s="92" t="s">
        <v>22</v>
      </c>
      <c r="G235" s="55" t="s">
        <v>30</v>
      </c>
      <c r="H235" s="55" t="s">
        <v>24</v>
      </c>
      <c r="I235" s="55" t="s">
        <v>92</v>
      </c>
      <c r="J235" s="91">
        <v>44762</v>
      </c>
      <c r="K235" s="91">
        <v>44762</v>
      </c>
      <c r="L235" s="93">
        <f t="shared" si="6"/>
        <v>0</v>
      </c>
      <c r="M235" s="55" t="s">
        <v>7923</v>
      </c>
      <c r="N235" s="90" t="s">
        <v>26</v>
      </c>
      <c r="O235" s="55" t="s">
        <v>7924</v>
      </c>
      <c r="P235" s="94" t="s">
        <v>7925</v>
      </c>
      <c r="Q235" s="90" t="str">
        <f t="shared" si="7"/>
        <v>DENTRO DEL TIEMPO</v>
      </c>
      <c r="R235" s="24"/>
    </row>
    <row r="236" spans="1:18" ht="48.75" x14ac:dyDescent="0.25">
      <c r="A236" s="89">
        <v>231</v>
      </c>
      <c r="B236" s="90" t="s">
        <v>7926</v>
      </c>
      <c r="C236" s="91">
        <v>44762</v>
      </c>
      <c r="D236" s="91">
        <v>44762</v>
      </c>
      <c r="E236" s="24">
        <v>2</v>
      </c>
      <c r="F236" s="92" t="s">
        <v>22</v>
      </c>
      <c r="G236" s="55" t="s">
        <v>30</v>
      </c>
      <c r="H236" s="55" t="s">
        <v>24</v>
      </c>
      <c r="I236" s="55" t="s">
        <v>92</v>
      </c>
      <c r="J236" s="91">
        <v>44762</v>
      </c>
      <c r="K236" s="91">
        <v>44762</v>
      </c>
      <c r="L236" s="93">
        <f t="shared" si="6"/>
        <v>0</v>
      </c>
      <c r="M236" s="55" t="s">
        <v>7927</v>
      </c>
      <c r="N236" s="90" t="s">
        <v>26</v>
      </c>
      <c r="O236" s="55" t="s">
        <v>7928</v>
      </c>
      <c r="P236" s="94" t="s">
        <v>7929</v>
      </c>
      <c r="Q236" s="90" t="str">
        <f t="shared" si="7"/>
        <v>DENTRO DEL TIEMPO</v>
      </c>
      <c r="R236" s="24"/>
    </row>
    <row r="237" spans="1:18" ht="48.75" x14ac:dyDescent="0.25">
      <c r="A237" s="89">
        <v>232</v>
      </c>
      <c r="B237" s="90" t="s">
        <v>7930</v>
      </c>
      <c r="C237" s="91">
        <v>44762</v>
      </c>
      <c r="D237" s="91">
        <v>44762</v>
      </c>
      <c r="E237" s="24">
        <v>2</v>
      </c>
      <c r="F237" s="92" t="s">
        <v>22</v>
      </c>
      <c r="G237" s="55" t="s">
        <v>23</v>
      </c>
      <c r="H237" s="55" t="s">
        <v>24</v>
      </c>
      <c r="I237" s="55" t="s">
        <v>49</v>
      </c>
      <c r="J237" s="91">
        <v>44762</v>
      </c>
      <c r="K237" s="91">
        <v>44762</v>
      </c>
      <c r="L237" s="93">
        <f t="shared" si="6"/>
        <v>0</v>
      </c>
      <c r="M237" s="55" t="s">
        <v>7931</v>
      </c>
      <c r="N237" s="90" t="s">
        <v>26</v>
      </c>
      <c r="O237" s="55" t="s">
        <v>7932</v>
      </c>
      <c r="P237" s="94" t="s">
        <v>7933</v>
      </c>
      <c r="Q237" s="90" t="str">
        <f t="shared" si="7"/>
        <v>DENTRO DEL TIEMPO</v>
      </c>
      <c r="R237" s="24"/>
    </row>
    <row r="238" spans="1:18" ht="48.75" x14ac:dyDescent="0.25">
      <c r="A238" s="89">
        <v>233</v>
      </c>
      <c r="B238" s="90" t="s">
        <v>7934</v>
      </c>
      <c r="C238" s="91">
        <v>44762</v>
      </c>
      <c r="D238" s="91">
        <v>44762</v>
      </c>
      <c r="E238" s="24">
        <v>2</v>
      </c>
      <c r="F238" s="92" t="s">
        <v>22</v>
      </c>
      <c r="G238" s="55" t="s">
        <v>30</v>
      </c>
      <c r="H238" s="55" t="s">
        <v>24</v>
      </c>
      <c r="I238" s="55" t="s">
        <v>92</v>
      </c>
      <c r="J238" s="91">
        <v>44762</v>
      </c>
      <c r="K238" s="91">
        <v>44762</v>
      </c>
      <c r="L238" s="93">
        <f t="shared" si="6"/>
        <v>0</v>
      </c>
      <c r="M238" s="55" t="s">
        <v>7935</v>
      </c>
      <c r="N238" s="90" t="s">
        <v>26</v>
      </c>
      <c r="O238" s="55" t="s">
        <v>7936</v>
      </c>
      <c r="P238" s="94" t="s">
        <v>1567</v>
      </c>
      <c r="Q238" s="90" t="str">
        <f t="shared" si="7"/>
        <v>DENTRO DEL TIEMPO</v>
      </c>
      <c r="R238" s="24"/>
    </row>
    <row r="239" spans="1:18" ht="48.75" x14ac:dyDescent="0.25">
      <c r="A239" s="89">
        <v>234</v>
      </c>
      <c r="B239" s="90" t="s">
        <v>7937</v>
      </c>
      <c r="C239" s="91">
        <v>44762</v>
      </c>
      <c r="D239" s="91">
        <v>44762</v>
      </c>
      <c r="E239" s="24">
        <v>2</v>
      </c>
      <c r="F239" s="92" t="s">
        <v>22</v>
      </c>
      <c r="G239" s="55" t="s">
        <v>30</v>
      </c>
      <c r="H239" s="55" t="s">
        <v>24</v>
      </c>
      <c r="I239" s="55" t="s">
        <v>92</v>
      </c>
      <c r="J239" s="91">
        <v>44763</v>
      </c>
      <c r="K239" s="91">
        <v>44763</v>
      </c>
      <c r="L239" s="93">
        <f t="shared" si="6"/>
        <v>1</v>
      </c>
      <c r="M239" s="55" t="s">
        <v>7938</v>
      </c>
      <c r="N239" s="90" t="s">
        <v>26</v>
      </c>
      <c r="O239" s="55" t="s">
        <v>2320</v>
      </c>
      <c r="P239" s="94" t="s">
        <v>2083</v>
      </c>
      <c r="Q239" s="90" t="str">
        <f t="shared" si="7"/>
        <v>DENTRO DEL TIEMPO</v>
      </c>
      <c r="R239" s="24"/>
    </row>
    <row r="240" spans="1:18" ht="48.75" x14ac:dyDescent="0.25">
      <c r="A240" s="89">
        <v>235</v>
      </c>
      <c r="B240" s="90" t="s">
        <v>7939</v>
      </c>
      <c r="C240" s="91">
        <v>44762</v>
      </c>
      <c r="D240" s="91">
        <v>44762</v>
      </c>
      <c r="E240" s="24">
        <v>2</v>
      </c>
      <c r="F240" s="92" t="s">
        <v>22</v>
      </c>
      <c r="G240" s="55" t="s">
        <v>30</v>
      </c>
      <c r="H240" s="55" t="s">
        <v>24</v>
      </c>
      <c r="I240" s="55" t="s">
        <v>92</v>
      </c>
      <c r="J240" s="91">
        <v>44763</v>
      </c>
      <c r="K240" s="91">
        <v>44763</v>
      </c>
      <c r="L240" s="93">
        <f t="shared" si="6"/>
        <v>1</v>
      </c>
      <c r="M240" s="55" t="s">
        <v>7940</v>
      </c>
      <c r="N240" s="90" t="s">
        <v>26</v>
      </c>
      <c r="O240" s="55" t="s">
        <v>2306</v>
      </c>
      <c r="P240" s="94" t="s">
        <v>1768</v>
      </c>
      <c r="Q240" s="90" t="str">
        <f t="shared" si="7"/>
        <v>DENTRO DEL TIEMPO</v>
      </c>
      <c r="R240" s="24"/>
    </row>
    <row r="241" spans="1:18" ht="48.75" x14ac:dyDescent="0.25">
      <c r="A241" s="89">
        <v>236</v>
      </c>
      <c r="B241" s="90" t="s">
        <v>7941</v>
      </c>
      <c r="C241" s="91">
        <v>44762</v>
      </c>
      <c r="D241" s="91">
        <v>44762</v>
      </c>
      <c r="E241" s="24">
        <v>2</v>
      </c>
      <c r="F241" s="92" t="s">
        <v>22</v>
      </c>
      <c r="G241" s="55" t="s">
        <v>30</v>
      </c>
      <c r="H241" s="55" t="s">
        <v>24</v>
      </c>
      <c r="I241" s="55" t="s">
        <v>92</v>
      </c>
      <c r="J241" s="91">
        <v>44763</v>
      </c>
      <c r="K241" s="91">
        <v>44763</v>
      </c>
      <c r="L241" s="93">
        <f t="shared" si="6"/>
        <v>1</v>
      </c>
      <c r="M241" s="55" t="s">
        <v>7942</v>
      </c>
      <c r="N241" s="90" t="s">
        <v>26</v>
      </c>
      <c r="O241" s="55" t="s">
        <v>2306</v>
      </c>
      <c r="P241" s="94" t="s">
        <v>1768</v>
      </c>
      <c r="Q241" s="90" t="str">
        <f t="shared" si="7"/>
        <v>DENTRO DEL TIEMPO</v>
      </c>
      <c r="R241" s="24"/>
    </row>
    <row r="242" spans="1:18" ht="48.75" x14ac:dyDescent="0.25">
      <c r="A242" s="89">
        <v>237</v>
      </c>
      <c r="B242" s="90" t="s">
        <v>7943</v>
      </c>
      <c r="C242" s="91">
        <v>44762</v>
      </c>
      <c r="D242" s="91">
        <v>44762</v>
      </c>
      <c r="E242" s="24">
        <v>2</v>
      </c>
      <c r="F242" s="92" t="s">
        <v>22</v>
      </c>
      <c r="G242" s="55" t="s">
        <v>30</v>
      </c>
      <c r="H242" s="55" t="s">
        <v>24</v>
      </c>
      <c r="I242" s="55" t="s">
        <v>92</v>
      </c>
      <c r="J242" s="91">
        <v>44763</v>
      </c>
      <c r="K242" s="91">
        <v>44763</v>
      </c>
      <c r="L242" s="93">
        <f t="shared" si="6"/>
        <v>1</v>
      </c>
      <c r="M242" s="55" t="s">
        <v>7944</v>
      </c>
      <c r="N242" s="90" t="s">
        <v>26</v>
      </c>
      <c r="O242" s="55" t="s">
        <v>2306</v>
      </c>
      <c r="P242" s="94" t="s">
        <v>1768</v>
      </c>
      <c r="Q242" s="90" t="str">
        <f t="shared" si="7"/>
        <v>DENTRO DEL TIEMPO</v>
      </c>
      <c r="R242" s="24"/>
    </row>
    <row r="243" spans="1:18" ht="48.75" x14ac:dyDescent="0.25">
      <c r="A243" s="89">
        <v>238</v>
      </c>
      <c r="B243" s="90" t="s">
        <v>7945</v>
      </c>
      <c r="C243" s="91">
        <v>44762</v>
      </c>
      <c r="D243" s="91">
        <v>44762</v>
      </c>
      <c r="E243" s="24">
        <v>2</v>
      </c>
      <c r="F243" s="92" t="s">
        <v>22</v>
      </c>
      <c r="G243" s="55" t="s">
        <v>30</v>
      </c>
      <c r="H243" s="55" t="s">
        <v>24</v>
      </c>
      <c r="I243" s="55" t="s">
        <v>92</v>
      </c>
      <c r="J243" s="91">
        <v>44763</v>
      </c>
      <c r="K243" s="91">
        <v>44763</v>
      </c>
      <c r="L243" s="93">
        <f t="shared" si="6"/>
        <v>1</v>
      </c>
      <c r="M243" s="55" t="s">
        <v>7946</v>
      </c>
      <c r="N243" s="90" t="s">
        <v>26</v>
      </c>
      <c r="O243" s="55" t="s">
        <v>2306</v>
      </c>
      <c r="P243" s="94" t="s">
        <v>1768</v>
      </c>
      <c r="Q243" s="90" t="str">
        <f t="shared" si="7"/>
        <v>DENTRO DEL TIEMPO</v>
      </c>
      <c r="R243" s="24"/>
    </row>
    <row r="244" spans="1:18" ht="48.75" x14ac:dyDescent="0.25">
      <c r="A244" s="89">
        <v>239</v>
      </c>
      <c r="B244" s="90" t="s">
        <v>7947</v>
      </c>
      <c r="C244" s="91">
        <v>44762</v>
      </c>
      <c r="D244" s="91">
        <v>44762</v>
      </c>
      <c r="E244" s="24">
        <v>30</v>
      </c>
      <c r="F244" s="92" t="s">
        <v>22</v>
      </c>
      <c r="G244" s="55" t="s">
        <v>23</v>
      </c>
      <c r="H244" s="55" t="s">
        <v>24</v>
      </c>
      <c r="I244" s="55" t="s">
        <v>49</v>
      </c>
      <c r="J244" s="91">
        <v>44768</v>
      </c>
      <c r="K244" s="91">
        <v>44768</v>
      </c>
      <c r="L244" s="93">
        <f t="shared" si="6"/>
        <v>4</v>
      </c>
      <c r="M244" s="55" t="s">
        <v>7948</v>
      </c>
      <c r="N244" s="90" t="s">
        <v>26</v>
      </c>
      <c r="O244" s="55" t="s">
        <v>2752</v>
      </c>
      <c r="P244" s="94" t="s">
        <v>2753</v>
      </c>
      <c r="Q244" s="90" t="str">
        <f t="shared" si="7"/>
        <v>DENTRO DEL TIEMPO</v>
      </c>
      <c r="R244" s="24"/>
    </row>
    <row r="245" spans="1:18" ht="48.75" x14ac:dyDescent="0.25">
      <c r="A245" s="89">
        <v>240</v>
      </c>
      <c r="B245" s="90" t="s">
        <v>7949</v>
      </c>
      <c r="C245" s="91">
        <v>44762</v>
      </c>
      <c r="D245" s="91">
        <v>44762</v>
      </c>
      <c r="E245" s="24">
        <v>2</v>
      </c>
      <c r="F245" s="92" t="s">
        <v>22</v>
      </c>
      <c r="G245" s="55" t="s">
        <v>30</v>
      </c>
      <c r="H245" s="55" t="s">
        <v>24</v>
      </c>
      <c r="I245" s="55" t="s">
        <v>92</v>
      </c>
      <c r="J245" s="91">
        <v>44763</v>
      </c>
      <c r="K245" s="91">
        <v>44763</v>
      </c>
      <c r="L245" s="93">
        <f t="shared" si="6"/>
        <v>1</v>
      </c>
      <c r="M245" s="55" t="s">
        <v>7950</v>
      </c>
      <c r="N245" s="90" t="s">
        <v>26</v>
      </c>
      <c r="O245" s="55" t="s">
        <v>2826</v>
      </c>
      <c r="P245" s="94" t="s">
        <v>7951</v>
      </c>
      <c r="Q245" s="90" t="str">
        <f t="shared" si="7"/>
        <v>DENTRO DEL TIEMPO</v>
      </c>
      <c r="R245" s="24"/>
    </row>
    <row r="246" spans="1:18" ht="48.75" x14ac:dyDescent="0.25">
      <c r="A246" s="89">
        <v>241</v>
      </c>
      <c r="B246" s="90" t="s">
        <v>7952</v>
      </c>
      <c r="C246" s="91">
        <v>44762</v>
      </c>
      <c r="D246" s="91">
        <v>44762</v>
      </c>
      <c r="E246" s="24">
        <v>304</v>
      </c>
      <c r="F246" s="92" t="s">
        <v>22</v>
      </c>
      <c r="G246" s="55" t="s">
        <v>23</v>
      </c>
      <c r="H246" s="55" t="s">
        <v>24</v>
      </c>
      <c r="I246" s="55" t="s">
        <v>49</v>
      </c>
      <c r="J246" s="91">
        <v>44767</v>
      </c>
      <c r="K246" s="91">
        <v>44767</v>
      </c>
      <c r="L246" s="93">
        <f t="shared" si="6"/>
        <v>3</v>
      </c>
      <c r="M246" s="55" t="s">
        <v>7953</v>
      </c>
      <c r="N246" s="90" t="s">
        <v>26</v>
      </c>
      <c r="O246" s="55" t="s">
        <v>7954</v>
      </c>
      <c r="P246" s="94" t="s">
        <v>7955</v>
      </c>
      <c r="Q246" s="90" t="str">
        <f t="shared" si="7"/>
        <v>DENTRO DEL TIEMPO</v>
      </c>
      <c r="R246" s="24"/>
    </row>
    <row r="247" spans="1:18" ht="48.75" x14ac:dyDescent="0.25">
      <c r="A247" s="89">
        <v>242</v>
      </c>
      <c r="B247" s="90" t="s">
        <v>7956</v>
      </c>
      <c r="C247" s="91">
        <v>44763</v>
      </c>
      <c r="D247" s="91">
        <v>44763</v>
      </c>
      <c r="E247" s="24">
        <v>5</v>
      </c>
      <c r="F247" s="92" t="s">
        <v>22</v>
      </c>
      <c r="G247" s="55" t="s">
        <v>30</v>
      </c>
      <c r="H247" s="55" t="s">
        <v>24</v>
      </c>
      <c r="I247" s="55" t="s">
        <v>92</v>
      </c>
      <c r="J247" s="91">
        <v>44763</v>
      </c>
      <c r="K247" s="91">
        <v>44763</v>
      </c>
      <c r="L247" s="93">
        <f t="shared" si="6"/>
        <v>0</v>
      </c>
      <c r="M247" s="55" t="s">
        <v>7957</v>
      </c>
      <c r="N247" s="90" t="s">
        <v>26</v>
      </c>
      <c r="O247" s="55" t="s">
        <v>2652</v>
      </c>
      <c r="P247" s="94" t="s">
        <v>2435</v>
      </c>
      <c r="Q247" s="90" t="str">
        <f t="shared" si="7"/>
        <v>DENTRO DEL TIEMPO</v>
      </c>
      <c r="R247" s="24"/>
    </row>
    <row r="248" spans="1:18" ht="48.75" x14ac:dyDescent="0.25">
      <c r="A248" s="89">
        <v>243</v>
      </c>
      <c r="B248" s="90" t="s">
        <v>7958</v>
      </c>
      <c r="C248" s="91">
        <v>44763</v>
      </c>
      <c r="D248" s="91">
        <v>44763</v>
      </c>
      <c r="E248" s="24">
        <v>2</v>
      </c>
      <c r="F248" s="92" t="s">
        <v>22</v>
      </c>
      <c r="G248" s="55" t="s">
        <v>30</v>
      </c>
      <c r="H248" s="55" t="s">
        <v>24</v>
      </c>
      <c r="I248" s="55" t="s">
        <v>92</v>
      </c>
      <c r="J248" s="91">
        <v>44763</v>
      </c>
      <c r="K248" s="91">
        <v>44763</v>
      </c>
      <c r="L248" s="93">
        <f t="shared" si="6"/>
        <v>0</v>
      </c>
      <c r="M248" s="55" t="s">
        <v>7959</v>
      </c>
      <c r="N248" s="90" t="s">
        <v>26</v>
      </c>
      <c r="O248" s="55" t="s">
        <v>3080</v>
      </c>
      <c r="P248" s="94" t="s">
        <v>7960</v>
      </c>
      <c r="Q248" s="90" t="str">
        <f t="shared" si="7"/>
        <v>DENTRO DEL TIEMPO</v>
      </c>
      <c r="R248" s="24"/>
    </row>
    <row r="249" spans="1:18" ht="48.75" x14ac:dyDescent="0.25">
      <c r="A249" s="89">
        <v>244</v>
      </c>
      <c r="B249" s="90" t="s">
        <v>7961</v>
      </c>
      <c r="C249" s="91">
        <v>44763</v>
      </c>
      <c r="D249" s="91">
        <v>44763</v>
      </c>
      <c r="E249" s="24">
        <v>2</v>
      </c>
      <c r="F249" s="92" t="s">
        <v>22</v>
      </c>
      <c r="G249" s="55" t="s">
        <v>30</v>
      </c>
      <c r="H249" s="55" t="s">
        <v>24</v>
      </c>
      <c r="I249" s="55" t="s">
        <v>92</v>
      </c>
      <c r="J249" s="91">
        <v>44763</v>
      </c>
      <c r="K249" s="91">
        <v>44763</v>
      </c>
      <c r="L249" s="93">
        <f t="shared" si="6"/>
        <v>0</v>
      </c>
      <c r="M249" s="55" t="s">
        <v>7962</v>
      </c>
      <c r="N249" s="90" t="s">
        <v>26</v>
      </c>
      <c r="O249" s="55" t="s">
        <v>3918</v>
      </c>
      <c r="P249" s="94" t="s">
        <v>1619</v>
      </c>
      <c r="Q249" s="90" t="str">
        <f t="shared" si="7"/>
        <v>DENTRO DEL TIEMPO</v>
      </c>
      <c r="R249" s="24"/>
    </row>
    <row r="250" spans="1:18" ht="48.75" x14ac:dyDescent="0.25">
      <c r="A250" s="89">
        <v>245</v>
      </c>
      <c r="B250" s="90" t="s">
        <v>7963</v>
      </c>
      <c r="C250" s="91">
        <v>44763</v>
      </c>
      <c r="D250" s="91">
        <v>44763</v>
      </c>
      <c r="E250" s="24">
        <v>2</v>
      </c>
      <c r="F250" s="92" t="s">
        <v>22</v>
      </c>
      <c r="G250" s="55" t="s">
        <v>30</v>
      </c>
      <c r="H250" s="55" t="s">
        <v>24</v>
      </c>
      <c r="I250" s="55" t="s">
        <v>92</v>
      </c>
      <c r="J250" s="91">
        <v>44763</v>
      </c>
      <c r="K250" s="91">
        <v>44763</v>
      </c>
      <c r="L250" s="93">
        <f t="shared" si="6"/>
        <v>0</v>
      </c>
      <c r="M250" s="55" t="s">
        <v>7964</v>
      </c>
      <c r="N250" s="90" t="s">
        <v>26</v>
      </c>
      <c r="O250" s="55" t="s">
        <v>3918</v>
      </c>
      <c r="P250" s="94" t="s">
        <v>1619</v>
      </c>
      <c r="Q250" s="90" t="str">
        <f t="shared" si="7"/>
        <v>DENTRO DEL TIEMPO</v>
      </c>
      <c r="R250" s="24"/>
    </row>
    <row r="251" spans="1:18" ht="48.75" x14ac:dyDescent="0.25">
      <c r="A251" s="89">
        <v>246</v>
      </c>
      <c r="B251" s="90" t="s">
        <v>7965</v>
      </c>
      <c r="C251" s="91">
        <v>44763</v>
      </c>
      <c r="D251" s="91">
        <v>44763</v>
      </c>
      <c r="E251" s="24">
        <v>2</v>
      </c>
      <c r="F251" s="92" t="s">
        <v>22</v>
      </c>
      <c r="G251" s="55" t="s">
        <v>30</v>
      </c>
      <c r="H251" s="55" t="s">
        <v>24</v>
      </c>
      <c r="I251" s="55" t="s">
        <v>92</v>
      </c>
      <c r="J251" s="91">
        <v>44763</v>
      </c>
      <c r="K251" s="91">
        <v>44763</v>
      </c>
      <c r="L251" s="93">
        <f t="shared" si="6"/>
        <v>0</v>
      </c>
      <c r="M251" s="55" t="s">
        <v>7966</v>
      </c>
      <c r="N251" s="90" t="s">
        <v>26</v>
      </c>
      <c r="O251" s="55" t="s">
        <v>3918</v>
      </c>
      <c r="P251" s="94" t="s">
        <v>1619</v>
      </c>
      <c r="Q251" s="90" t="str">
        <f t="shared" si="7"/>
        <v>DENTRO DEL TIEMPO</v>
      </c>
      <c r="R251" s="24"/>
    </row>
    <row r="252" spans="1:18" ht="48.75" x14ac:dyDescent="0.25">
      <c r="A252" s="89">
        <v>247</v>
      </c>
      <c r="B252" s="90" t="s">
        <v>7967</v>
      </c>
      <c r="C252" s="91">
        <v>44763</v>
      </c>
      <c r="D252" s="91">
        <v>44763</v>
      </c>
      <c r="E252" s="24">
        <v>2</v>
      </c>
      <c r="F252" s="92" t="s">
        <v>22</v>
      </c>
      <c r="G252" s="55" t="s">
        <v>30</v>
      </c>
      <c r="H252" s="55" t="s">
        <v>24</v>
      </c>
      <c r="I252" s="55" t="s">
        <v>92</v>
      </c>
      <c r="J252" s="91">
        <v>44764</v>
      </c>
      <c r="K252" s="91">
        <v>44764</v>
      </c>
      <c r="L252" s="93">
        <f t="shared" si="6"/>
        <v>1</v>
      </c>
      <c r="M252" s="55" t="s">
        <v>7968</v>
      </c>
      <c r="N252" s="90" t="s">
        <v>26</v>
      </c>
      <c r="O252" s="55" t="s">
        <v>7969</v>
      </c>
      <c r="P252" s="94" t="s">
        <v>7970</v>
      </c>
      <c r="Q252" s="90" t="str">
        <f t="shared" si="7"/>
        <v>DENTRO DEL TIEMPO</v>
      </c>
      <c r="R252" s="24"/>
    </row>
    <row r="253" spans="1:18" ht="48.75" x14ac:dyDescent="0.25">
      <c r="A253" s="89">
        <v>248</v>
      </c>
      <c r="B253" s="90" t="s">
        <v>7971</v>
      </c>
      <c r="C253" s="91">
        <v>44763</v>
      </c>
      <c r="D253" s="91">
        <v>44763</v>
      </c>
      <c r="E253" s="24">
        <v>2</v>
      </c>
      <c r="F253" s="92" t="s">
        <v>22</v>
      </c>
      <c r="G253" s="55" t="s">
        <v>30</v>
      </c>
      <c r="H253" s="55" t="s">
        <v>24</v>
      </c>
      <c r="I253" s="55" t="s">
        <v>92</v>
      </c>
      <c r="J253" s="91">
        <v>44764</v>
      </c>
      <c r="K253" s="91">
        <v>44764</v>
      </c>
      <c r="L253" s="93">
        <f t="shared" si="6"/>
        <v>1</v>
      </c>
      <c r="M253" s="55" t="s">
        <v>7972</v>
      </c>
      <c r="N253" s="90" t="s">
        <v>26</v>
      </c>
      <c r="O253" s="55" t="s">
        <v>3163</v>
      </c>
      <c r="P253" s="94" t="s">
        <v>1551</v>
      </c>
      <c r="Q253" s="90" t="str">
        <f t="shared" si="7"/>
        <v>DENTRO DEL TIEMPO</v>
      </c>
      <c r="R253" s="24"/>
    </row>
    <row r="254" spans="1:18" ht="48.75" x14ac:dyDescent="0.25">
      <c r="A254" s="89">
        <v>249</v>
      </c>
      <c r="B254" s="90" t="s">
        <v>7973</v>
      </c>
      <c r="C254" s="91">
        <v>44763</v>
      </c>
      <c r="D254" s="91">
        <v>44763</v>
      </c>
      <c r="E254" s="24">
        <v>2</v>
      </c>
      <c r="F254" s="92" t="s">
        <v>22</v>
      </c>
      <c r="G254" s="55" t="s">
        <v>30</v>
      </c>
      <c r="H254" s="55" t="s">
        <v>24</v>
      </c>
      <c r="I254" s="55" t="s">
        <v>92</v>
      </c>
      <c r="J254" s="91">
        <v>44764</v>
      </c>
      <c r="K254" s="91">
        <v>44764</v>
      </c>
      <c r="L254" s="93">
        <f t="shared" si="6"/>
        <v>1</v>
      </c>
      <c r="M254" s="55" t="s">
        <v>7974</v>
      </c>
      <c r="N254" s="90" t="s">
        <v>26</v>
      </c>
      <c r="O254" s="55" t="s">
        <v>7975</v>
      </c>
      <c r="P254" s="94" t="s">
        <v>7976</v>
      </c>
      <c r="Q254" s="90" t="str">
        <f t="shared" si="7"/>
        <v>DENTRO DEL TIEMPO</v>
      </c>
      <c r="R254" s="24"/>
    </row>
    <row r="255" spans="1:18" ht="48.75" x14ac:dyDescent="0.25">
      <c r="A255" s="89">
        <v>250</v>
      </c>
      <c r="B255" s="90" t="s">
        <v>7977</v>
      </c>
      <c r="C255" s="91">
        <v>44763</v>
      </c>
      <c r="D255" s="91">
        <v>44763</v>
      </c>
      <c r="E255" s="24">
        <v>2</v>
      </c>
      <c r="F255" s="92" t="s">
        <v>22</v>
      </c>
      <c r="G255" s="55" t="s">
        <v>30</v>
      </c>
      <c r="H255" s="55" t="s">
        <v>24</v>
      </c>
      <c r="I255" s="55" t="s">
        <v>92</v>
      </c>
      <c r="J255" s="91">
        <v>44764</v>
      </c>
      <c r="K255" s="91">
        <v>44764</v>
      </c>
      <c r="L255" s="93">
        <f t="shared" si="6"/>
        <v>1</v>
      </c>
      <c r="M255" s="55" t="s">
        <v>7978</v>
      </c>
      <c r="N255" s="90" t="s">
        <v>26</v>
      </c>
      <c r="O255" s="55" t="s">
        <v>7979</v>
      </c>
      <c r="P255" s="94" t="s">
        <v>7980</v>
      </c>
      <c r="Q255" s="90" t="str">
        <f t="shared" si="7"/>
        <v>DENTRO DEL TIEMPO</v>
      </c>
      <c r="R255" s="24"/>
    </row>
    <row r="256" spans="1:18" ht="48.75" x14ac:dyDescent="0.25">
      <c r="A256" s="89">
        <v>251</v>
      </c>
      <c r="B256" s="90" t="s">
        <v>7981</v>
      </c>
      <c r="C256" s="91">
        <v>44763</v>
      </c>
      <c r="D256" s="91">
        <v>44763</v>
      </c>
      <c r="E256" s="24">
        <v>2</v>
      </c>
      <c r="F256" s="92" t="s">
        <v>22</v>
      </c>
      <c r="G256" s="55" t="s">
        <v>30</v>
      </c>
      <c r="H256" s="55" t="s">
        <v>24</v>
      </c>
      <c r="I256" s="55" t="s">
        <v>92</v>
      </c>
      <c r="J256" s="91">
        <v>44764</v>
      </c>
      <c r="K256" s="91">
        <v>44764</v>
      </c>
      <c r="L256" s="93">
        <f t="shared" si="6"/>
        <v>1</v>
      </c>
      <c r="M256" s="55" t="s">
        <v>7982</v>
      </c>
      <c r="N256" s="90" t="s">
        <v>26</v>
      </c>
      <c r="O256" s="55" t="s">
        <v>4669</v>
      </c>
      <c r="P256" s="94" t="s">
        <v>1694</v>
      </c>
      <c r="Q256" s="90" t="str">
        <f t="shared" si="7"/>
        <v>DENTRO DEL TIEMPO</v>
      </c>
      <c r="R256" s="24"/>
    </row>
    <row r="257" spans="1:18" ht="48.75" x14ac:dyDescent="0.25">
      <c r="A257" s="89">
        <v>252</v>
      </c>
      <c r="B257" s="90" t="s">
        <v>7983</v>
      </c>
      <c r="C257" s="91">
        <v>44763</v>
      </c>
      <c r="D257" s="91">
        <v>44763</v>
      </c>
      <c r="E257" s="24">
        <v>2</v>
      </c>
      <c r="F257" s="92" t="s">
        <v>22</v>
      </c>
      <c r="G257" s="55" t="s">
        <v>30</v>
      </c>
      <c r="H257" s="55" t="s">
        <v>24</v>
      </c>
      <c r="I257" s="55" t="s">
        <v>92</v>
      </c>
      <c r="J257" s="91">
        <v>44764</v>
      </c>
      <c r="K257" s="91">
        <v>44764</v>
      </c>
      <c r="L257" s="93">
        <f t="shared" si="6"/>
        <v>1</v>
      </c>
      <c r="M257" s="55" t="s">
        <v>7984</v>
      </c>
      <c r="N257" s="90" t="s">
        <v>26</v>
      </c>
      <c r="O257" s="55" t="s">
        <v>7985</v>
      </c>
      <c r="P257" s="94" t="s">
        <v>7986</v>
      </c>
      <c r="Q257" s="90" t="str">
        <f t="shared" si="7"/>
        <v>DENTRO DEL TIEMPO</v>
      </c>
      <c r="R257" s="24"/>
    </row>
    <row r="258" spans="1:18" ht="48.75" x14ac:dyDescent="0.25">
      <c r="A258" s="89">
        <v>253</v>
      </c>
      <c r="B258" s="90" t="s">
        <v>7987</v>
      </c>
      <c r="C258" s="91">
        <v>44763</v>
      </c>
      <c r="D258" s="91">
        <v>44763</v>
      </c>
      <c r="E258" s="24">
        <v>2</v>
      </c>
      <c r="F258" s="92" t="s">
        <v>22</v>
      </c>
      <c r="G258" s="55" t="s">
        <v>30</v>
      </c>
      <c r="H258" s="55" t="s">
        <v>24</v>
      </c>
      <c r="I258" s="55" t="s">
        <v>92</v>
      </c>
      <c r="J258" s="91">
        <v>44764</v>
      </c>
      <c r="K258" s="91">
        <v>44764</v>
      </c>
      <c r="L258" s="93">
        <f t="shared" si="6"/>
        <v>1</v>
      </c>
      <c r="M258" s="55" t="s">
        <v>7988</v>
      </c>
      <c r="N258" s="90" t="s">
        <v>26</v>
      </c>
      <c r="O258" s="55" t="s">
        <v>7989</v>
      </c>
      <c r="P258" s="94" t="s">
        <v>7990</v>
      </c>
      <c r="Q258" s="90" t="str">
        <f t="shared" si="7"/>
        <v>DENTRO DEL TIEMPO</v>
      </c>
      <c r="R258" s="24"/>
    </row>
    <row r="259" spans="1:18" ht="39" hidden="1" x14ac:dyDescent="0.25">
      <c r="A259" s="89">
        <v>254</v>
      </c>
      <c r="B259" s="90" t="s">
        <v>7991</v>
      </c>
      <c r="C259" s="91">
        <v>44763</v>
      </c>
      <c r="D259" s="91">
        <v>44763</v>
      </c>
      <c r="E259" s="24">
        <v>0</v>
      </c>
      <c r="F259" s="92" t="s">
        <v>790</v>
      </c>
      <c r="G259" s="55" t="s">
        <v>7992</v>
      </c>
      <c r="H259" s="55" t="s">
        <v>2592</v>
      </c>
      <c r="I259" s="55" t="s">
        <v>7993</v>
      </c>
      <c r="J259" s="91"/>
      <c r="K259" s="91"/>
      <c r="L259" s="93">
        <f t="shared" si="6"/>
        <v>-31975</v>
      </c>
      <c r="M259" s="55"/>
      <c r="N259" s="90" t="s">
        <v>26</v>
      </c>
      <c r="O259" s="55" t="s">
        <v>7994</v>
      </c>
      <c r="P259" s="94" t="s">
        <v>1502</v>
      </c>
      <c r="Q259" s="90" t="str">
        <f t="shared" si="7"/>
        <v>DENTRO DEL TIEMPO</v>
      </c>
      <c r="R259" s="24"/>
    </row>
    <row r="260" spans="1:18" ht="48.75" x14ac:dyDescent="0.25">
      <c r="A260" s="89">
        <v>255</v>
      </c>
      <c r="B260" s="90" t="s">
        <v>7995</v>
      </c>
      <c r="C260" s="91">
        <v>44763</v>
      </c>
      <c r="D260" s="91">
        <v>44763</v>
      </c>
      <c r="E260" s="24">
        <v>2</v>
      </c>
      <c r="F260" s="92" t="s">
        <v>22</v>
      </c>
      <c r="G260" s="55" t="s">
        <v>30</v>
      </c>
      <c r="H260" s="55" t="s">
        <v>24</v>
      </c>
      <c r="I260" s="55" t="s">
        <v>92</v>
      </c>
      <c r="J260" s="91">
        <v>44763</v>
      </c>
      <c r="K260" s="91">
        <v>44763</v>
      </c>
      <c r="L260" s="93">
        <f t="shared" si="6"/>
        <v>0</v>
      </c>
      <c r="M260" s="55" t="s">
        <v>7996</v>
      </c>
      <c r="N260" s="90" t="s">
        <v>26</v>
      </c>
      <c r="O260" s="55" t="s">
        <v>7997</v>
      </c>
      <c r="P260" s="94" t="s">
        <v>7998</v>
      </c>
      <c r="Q260" s="90" t="str">
        <f t="shared" si="7"/>
        <v>DENTRO DEL TIEMPO</v>
      </c>
      <c r="R260" s="24"/>
    </row>
    <row r="261" spans="1:18" ht="48.75" x14ac:dyDescent="0.25">
      <c r="A261" s="89">
        <v>256</v>
      </c>
      <c r="B261" s="90" t="s">
        <v>7999</v>
      </c>
      <c r="C261" s="91">
        <v>44763</v>
      </c>
      <c r="D261" s="91">
        <v>44763</v>
      </c>
      <c r="E261" s="24">
        <v>2</v>
      </c>
      <c r="F261" s="92" t="s">
        <v>22</v>
      </c>
      <c r="G261" s="55" t="s">
        <v>937</v>
      </c>
      <c r="H261" s="55" t="s">
        <v>24</v>
      </c>
      <c r="I261" s="55" t="s">
        <v>3405</v>
      </c>
      <c r="J261" s="91">
        <v>44767</v>
      </c>
      <c r="K261" s="91">
        <v>44767</v>
      </c>
      <c r="L261" s="93">
        <f t="shared" si="6"/>
        <v>2</v>
      </c>
      <c r="M261" s="55" t="s">
        <v>8000</v>
      </c>
      <c r="N261" s="90" t="s">
        <v>26</v>
      </c>
      <c r="O261" s="55" t="s">
        <v>8001</v>
      </c>
      <c r="P261" s="94" t="s">
        <v>8002</v>
      </c>
      <c r="Q261" s="90" t="str">
        <f t="shared" si="7"/>
        <v>DENTRO DEL TIEMPO</v>
      </c>
      <c r="R261" s="24"/>
    </row>
    <row r="262" spans="1:18" ht="48.75" x14ac:dyDescent="0.25">
      <c r="A262" s="89">
        <v>257</v>
      </c>
      <c r="B262" s="90" t="s">
        <v>8003</v>
      </c>
      <c r="C262" s="91">
        <v>44763</v>
      </c>
      <c r="D262" s="91">
        <v>44763</v>
      </c>
      <c r="E262" s="24">
        <v>2</v>
      </c>
      <c r="F262" s="92" t="s">
        <v>22</v>
      </c>
      <c r="G262" s="55" t="s">
        <v>23</v>
      </c>
      <c r="H262" s="55" t="s">
        <v>24</v>
      </c>
      <c r="I262" s="55" t="s">
        <v>49</v>
      </c>
      <c r="J262" s="91">
        <v>44764</v>
      </c>
      <c r="K262" s="91">
        <v>44764</v>
      </c>
      <c r="L262" s="93">
        <f t="shared" si="6"/>
        <v>1</v>
      </c>
      <c r="M262" s="55" t="s">
        <v>8004</v>
      </c>
      <c r="N262" s="90" t="s">
        <v>26</v>
      </c>
      <c r="O262" s="55" t="s">
        <v>8005</v>
      </c>
      <c r="P262" s="94" t="s">
        <v>8006</v>
      </c>
      <c r="Q262" s="90" t="str">
        <f t="shared" si="7"/>
        <v>DENTRO DEL TIEMPO</v>
      </c>
      <c r="R262" s="24"/>
    </row>
    <row r="263" spans="1:18" ht="48.75" x14ac:dyDescent="0.25">
      <c r="A263" s="89">
        <v>258</v>
      </c>
      <c r="B263" s="90" t="s">
        <v>8007</v>
      </c>
      <c r="C263" s="91">
        <v>44764</v>
      </c>
      <c r="D263" s="91">
        <v>44764</v>
      </c>
      <c r="E263" s="24">
        <v>2</v>
      </c>
      <c r="F263" s="92" t="s">
        <v>22</v>
      </c>
      <c r="G263" s="55" t="s">
        <v>30</v>
      </c>
      <c r="H263" s="55" t="s">
        <v>24</v>
      </c>
      <c r="I263" s="55" t="s">
        <v>92</v>
      </c>
      <c r="J263" s="91">
        <v>44764</v>
      </c>
      <c r="K263" s="91">
        <v>44764</v>
      </c>
      <c r="L263" s="93">
        <f t="shared" ref="L263:L326" si="8">+NETWORKDAYS(D263,K263,$R$6:$R$9)-1</f>
        <v>0</v>
      </c>
      <c r="M263" s="55" t="s">
        <v>8008</v>
      </c>
      <c r="N263" s="90" t="s">
        <v>26</v>
      </c>
      <c r="O263" s="55" t="s">
        <v>8009</v>
      </c>
      <c r="P263" s="94" t="s">
        <v>8010</v>
      </c>
      <c r="Q263" s="90" t="str">
        <f t="shared" ref="Q263:Q326" si="9">IF(L263&gt;15,"FUERA DE TIEMPO","DENTRO DEL TIEMPO")</f>
        <v>DENTRO DEL TIEMPO</v>
      </c>
      <c r="R263" s="24"/>
    </row>
    <row r="264" spans="1:18" ht="48.75" x14ac:dyDescent="0.25">
      <c r="A264" s="89">
        <v>259</v>
      </c>
      <c r="B264" s="90" t="s">
        <v>8011</v>
      </c>
      <c r="C264" s="91">
        <v>44764</v>
      </c>
      <c r="D264" s="91">
        <v>44764</v>
      </c>
      <c r="E264" s="24">
        <v>2</v>
      </c>
      <c r="F264" s="92" t="s">
        <v>22</v>
      </c>
      <c r="G264" s="55" t="s">
        <v>30</v>
      </c>
      <c r="H264" s="55" t="s">
        <v>24</v>
      </c>
      <c r="I264" s="55" t="s">
        <v>92</v>
      </c>
      <c r="J264" s="91">
        <v>44764</v>
      </c>
      <c r="K264" s="91">
        <v>44764</v>
      </c>
      <c r="L264" s="93">
        <f t="shared" si="8"/>
        <v>0</v>
      </c>
      <c r="M264" s="55" t="s">
        <v>8012</v>
      </c>
      <c r="N264" s="90" t="s">
        <v>26</v>
      </c>
      <c r="O264" s="55" t="s">
        <v>8013</v>
      </c>
      <c r="P264" s="94" t="s">
        <v>8014</v>
      </c>
      <c r="Q264" s="90" t="str">
        <f t="shared" si="9"/>
        <v>DENTRO DEL TIEMPO</v>
      </c>
      <c r="R264" s="24"/>
    </row>
    <row r="265" spans="1:18" ht="48.75" x14ac:dyDescent="0.25">
      <c r="A265" s="89">
        <v>260</v>
      </c>
      <c r="B265" s="90" t="s">
        <v>8015</v>
      </c>
      <c r="C265" s="91">
        <v>44764</v>
      </c>
      <c r="D265" s="91">
        <v>44764</v>
      </c>
      <c r="E265" s="24">
        <v>2</v>
      </c>
      <c r="F265" s="92" t="s">
        <v>22</v>
      </c>
      <c r="G265" s="55" t="s">
        <v>30</v>
      </c>
      <c r="H265" s="55" t="s">
        <v>24</v>
      </c>
      <c r="I265" s="55" t="s">
        <v>92</v>
      </c>
      <c r="J265" s="91">
        <v>44764</v>
      </c>
      <c r="K265" s="91">
        <v>44764</v>
      </c>
      <c r="L265" s="93">
        <f t="shared" si="8"/>
        <v>0</v>
      </c>
      <c r="M265" s="55" t="s">
        <v>8016</v>
      </c>
      <c r="N265" s="90" t="s">
        <v>26</v>
      </c>
      <c r="O265" s="55" t="s">
        <v>8017</v>
      </c>
      <c r="P265" s="94" t="s">
        <v>8018</v>
      </c>
      <c r="Q265" s="90" t="str">
        <f t="shared" si="9"/>
        <v>DENTRO DEL TIEMPO</v>
      </c>
      <c r="R265" s="24"/>
    </row>
    <row r="266" spans="1:18" ht="48.75" x14ac:dyDescent="0.25">
      <c r="A266" s="89">
        <v>261</v>
      </c>
      <c r="B266" s="90" t="s">
        <v>8019</v>
      </c>
      <c r="C266" s="91">
        <v>44764</v>
      </c>
      <c r="D266" s="91">
        <v>44764</v>
      </c>
      <c r="E266" s="24">
        <v>2</v>
      </c>
      <c r="F266" s="92" t="s">
        <v>22</v>
      </c>
      <c r="G266" s="55" t="s">
        <v>30</v>
      </c>
      <c r="H266" s="55" t="s">
        <v>24</v>
      </c>
      <c r="I266" s="55" t="s">
        <v>92</v>
      </c>
      <c r="J266" s="91">
        <v>44764</v>
      </c>
      <c r="K266" s="91">
        <v>44764</v>
      </c>
      <c r="L266" s="93">
        <f t="shared" si="8"/>
        <v>0</v>
      </c>
      <c r="M266" s="55" t="s">
        <v>8020</v>
      </c>
      <c r="N266" s="90" t="s">
        <v>26</v>
      </c>
      <c r="O266" s="55" t="s">
        <v>4356</v>
      </c>
      <c r="P266" s="94" t="s">
        <v>8021</v>
      </c>
      <c r="Q266" s="90" t="str">
        <f t="shared" si="9"/>
        <v>DENTRO DEL TIEMPO</v>
      </c>
      <c r="R266" s="24"/>
    </row>
    <row r="267" spans="1:18" ht="48.75" x14ac:dyDescent="0.25">
      <c r="A267" s="89">
        <v>262</v>
      </c>
      <c r="B267" s="90" t="s">
        <v>8022</v>
      </c>
      <c r="C267" s="91">
        <v>44764</v>
      </c>
      <c r="D267" s="91">
        <v>44764</v>
      </c>
      <c r="E267" s="24">
        <v>2</v>
      </c>
      <c r="F267" s="92" t="s">
        <v>22</v>
      </c>
      <c r="G267" s="55" t="s">
        <v>30</v>
      </c>
      <c r="H267" s="55" t="s">
        <v>24</v>
      </c>
      <c r="I267" s="55" t="s">
        <v>92</v>
      </c>
      <c r="J267" s="91">
        <v>44767</v>
      </c>
      <c r="K267" s="91">
        <v>44767</v>
      </c>
      <c r="L267" s="93">
        <f t="shared" si="8"/>
        <v>1</v>
      </c>
      <c r="M267" s="55" t="s">
        <v>8023</v>
      </c>
      <c r="N267" s="90" t="s">
        <v>26</v>
      </c>
      <c r="O267" s="55" t="s">
        <v>8024</v>
      </c>
      <c r="P267" s="94" t="s">
        <v>8025</v>
      </c>
      <c r="Q267" s="90" t="str">
        <f t="shared" si="9"/>
        <v>DENTRO DEL TIEMPO</v>
      </c>
      <c r="R267" s="24"/>
    </row>
    <row r="268" spans="1:18" ht="48.75" x14ac:dyDescent="0.25">
      <c r="A268" s="89">
        <v>263</v>
      </c>
      <c r="B268" s="90" t="s">
        <v>8026</v>
      </c>
      <c r="C268" s="91">
        <v>44764</v>
      </c>
      <c r="D268" s="91">
        <v>44764</v>
      </c>
      <c r="E268" s="24">
        <v>2</v>
      </c>
      <c r="F268" s="92" t="s">
        <v>22</v>
      </c>
      <c r="G268" s="55" t="s">
        <v>30</v>
      </c>
      <c r="H268" s="55" t="s">
        <v>24</v>
      </c>
      <c r="I268" s="55" t="s">
        <v>92</v>
      </c>
      <c r="J268" s="91">
        <v>44767</v>
      </c>
      <c r="K268" s="91">
        <v>44767</v>
      </c>
      <c r="L268" s="93">
        <f t="shared" si="8"/>
        <v>1</v>
      </c>
      <c r="M268" s="55" t="s">
        <v>8027</v>
      </c>
      <c r="N268" s="90" t="s">
        <v>26</v>
      </c>
      <c r="O268" s="55" t="s">
        <v>4163</v>
      </c>
      <c r="P268" s="94" t="s">
        <v>2797</v>
      </c>
      <c r="Q268" s="90" t="str">
        <f t="shared" si="9"/>
        <v>DENTRO DEL TIEMPO</v>
      </c>
      <c r="R268" s="24"/>
    </row>
    <row r="269" spans="1:18" ht="48.75" x14ac:dyDescent="0.25">
      <c r="A269" s="89">
        <v>264</v>
      </c>
      <c r="B269" s="90" t="s">
        <v>8028</v>
      </c>
      <c r="C269" s="91">
        <v>44764</v>
      </c>
      <c r="D269" s="91">
        <v>44764</v>
      </c>
      <c r="E269" s="24">
        <v>2</v>
      </c>
      <c r="F269" s="92" t="s">
        <v>22</v>
      </c>
      <c r="G269" s="55" t="s">
        <v>30</v>
      </c>
      <c r="H269" s="55" t="s">
        <v>24</v>
      </c>
      <c r="I269" s="55" t="s">
        <v>92</v>
      </c>
      <c r="J269" s="91">
        <v>44767</v>
      </c>
      <c r="K269" s="91">
        <v>44767</v>
      </c>
      <c r="L269" s="93">
        <f t="shared" si="8"/>
        <v>1</v>
      </c>
      <c r="M269" s="55" t="s">
        <v>8029</v>
      </c>
      <c r="N269" s="90" t="s">
        <v>26</v>
      </c>
      <c r="O269" s="55" t="s">
        <v>4163</v>
      </c>
      <c r="P269" s="94" t="s">
        <v>2797</v>
      </c>
      <c r="Q269" s="90" t="str">
        <f t="shared" si="9"/>
        <v>DENTRO DEL TIEMPO</v>
      </c>
      <c r="R269" s="24"/>
    </row>
    <row r="270" spans="1:18" ht="48.75" x14ac:dyDescent="0.25">
      <c r="A270" s="89">
        <v>265</v>
      </c>
      <c r="B270" s="90" t="s">
        <v>8030</v>
      </c>
      <c r="C270" s="91">
        <v>44764</v>
      </c>
      <c r="D270" s="91">
        <v>44764</v>
      </c>
      <c r="E270" s="24">
        <v>2</v>
      </c>
      <c r="F270" s="92" t="s">
        <v>22</v>
      </c>
      <c r="G270" s="55" t="s">
        <v>30</v>
      </c>
      <c r="H270" s="55" t="s">
        <v>24</v>
      </c>
      <c r="I270" s="55" t="s">
        <v>92</v>
      </c>
      <c r="J270" s="91">
        <v>44767</v>
      </c>
      <c r="K270" s="91">
        <v>44767</v>
      </c>
      <c r="L270" s="93">
        <f t="shared" si="8"/>
        <v>1</v>
      </c>
      <c r="M270" s="55" t="s">
        <v>8031</v>
      </c>
      <c r="N270" s="90" t="s">
        <v>26</v>
      </c>
      <c r="O270" s="55" t="s">
        <v>2333</v>
      </c>
      <c r="P270" s="94" t="s">
        <v>3022</v>
      </c>
      <c r="Q270" s="90" t="str">
        <f t="shared" si="9"/>
        <v>DENTRO DEL TIEMPO</v>
      </c>
      <c r="R270" s="24"/>
    </row>
    <row r="271" spans="1:18" ht="48.75" x14ac:dyDescent="0.25">
      <c r="A271" s="89">
        <v>266</v>
      </c>
      <c r="B271" s="90" t="s">
        <v>8032</v>
      </c>
      <c r="C271" s="91">
        <v>44764</v>
      </c>
      <c r="D271" s="91">
        <v>44764</v>
      </c>
      <c r="E271" s="24">
        <v>2</v>
      </c>
      <c r="F271" s="92" t="s">
        <v>22</v>
      </c>
      <c r="G271" s="55" t="s">
        <v>30</v>
      </c>
      <c r="H271" s="55" t="s">
        <v>24</v>
      </c>
      <c r="I271" s="55" t="s">
        <v>92</v>
      </c>
      <c r="J271" s="91">
        <v>44767</v>
      </c>
      <c r="K271" s="91">
        <v>44767</v>
      </c>
      <c r="L271" s="93">
        <f t="shared" si="8"/>
        <v>1</v>
      </c>
      <c r="M271" s="55" t="s">
        <v>8033</v>
      </c>
      <c r="N271" s="90" t="s">
        <v>26</v>
      </c>
      <c r="O271" s="55" t="s">
        <v>8034</v>
      </c>
      <c r="P271" s="94" t="s">
        <v>2005</v>
      </c>
      <c r="Q271" s="90" t="str">
        <f t="shared" si="9"/>
        <v>DENTRO DEL TIEMPO</v>
      </c>
      <c r="R271" s="24"/>
    </row>
    <row r="272" spans="1:18" ht="48.75" x14ac:dyDescent="0.25">
      <c r="A272" s="89">
        <v>267</v>
      </c>
      <c r="B272" s="90" t="s">
        <v>8035</v>
      </c>
      <c r="C272" s="91">
        <v>44764</v>
      </c>
      <c r="D272" s="91">
        <v>44764</v>
      </c>
      <c r="E272" s="24">
        <v>2</v>
      </c>
      <c r="F272" s="92" t="s">
        <v>22</v>
      </c>
      <c r="G272" s="55" t="s">
        <v>30</v>
      </c>
      <c r="H272" s="55" t="s">
        <v>24</v>
      </c>
      <c r="I272" s="55" t="s">
        <v>92</v>
      </c>
      <c r="J272" s="91">
        <v>44769</v>
      </c>
      <c r="K272" s="91">
        <v>44769</v>
      </c>
      <c r="L272" s="93">
        <f t="shared" si="8"/>
        <v>3</v>
      </c>
      <c r="M272" s="55" t="s">
        <v>8036</v>
      </c>
      <c r="N272" s="90" t="s">
        <v>26</v>
      </c>
      <c r="O272" s="55" t="s">
        <v>8037</v>
      </c>
      <c r="P272" s="94" t="s">
        <v>8038</v>
      </c>
      <c r="Q272" s="90" t="str">
        <f t="shared" si="9"/>
        <v>DENTRO DEL TIEMPO</v>
      </c>
      <c r="R272" s="24"/>
    </row>
    <row r="273" spans="1:18" ht="48.75" x14ac:dyDescent="0.25">
      <c r="A273" s="89">
        <v>268</v>
      </c>
      <c r="B273" s="90" t="s">
        <v>8039</v>
      </c>
      <c r="C273" s="91">
        <v>44764</v>
      </c>
      <c r="D273" s="91">
        <v>44764</v>
      </c>
      <c r="E273" s="24">
        <v>102</v>
      </c>
      <c r="F273" s="92" t="s">
        <v>22</v>
      </c>
      <c r="G273" s="55" t="s">
        <v>23</v>
      </c>
      <c r="H273" s="55" t="s">
        <v>24</v>
      </c>
      <c r="I273" s="55" t="s">
        <v>49</v>
      </c>
      <c r="J273" s="91">
        <v>44768</v>
      </c>
      <c r="K273" s="91">
        <v>44768</v>
      </c>
      <c r="L273" s="93">
        <f t="shared" si="8"/>
        <v>2</v>
      </c>
      <c r="M273" s="55" t="s">
        <v>8040</v>
      </c>
      <c r="N273" s="90" t="s">
        <v>26</v>
      </c>
      <c r="O273" s="55" t="s">
        <v>8024</v>
      </c>
      <c r="P273" s="94" t="s">
        <v>8025</v>
      </c>
      <c r="Q273" s="90" t="str">
        <f t="shared" si="9"/>
        <v>DENTRO DEL TIEMPO</v>
      </c>
      <c r="R273" s="24"/>
    </row>
    <row r="274" spans="1:18" ht="48.75" x14ac:dyDescent="0.25">
      <c r="A274" s="89">
        <v>269</v>
      </c>
      <c r="B274" s="90" t="s">
        <v>8041</v>
      </c>
      <c r="C274" s="91">
        <v>44764</v>
      </c>
      <c r="D274" s="91">
        <v>44764</v>
      </c>
      <c r="E274" s="24">
        <v>2</v>
      </c>
      <c r="F274" s="92" t="s">
        <v>22</v>
      </c>
      <c r="G274" s="55" t="s">
        <v>30</v>
      </c>
      <c r="H274" s="55" t="s">
        <v>24</v>
      </c>
      <c r="I274" s="55" t="s">
        <v>92</v>
      </c>
      <c r="J274" s="91">
        <v>44767</v>
      </c>
      <c r="K274" s="91">
        <v>44767</v>
      </c>
      <c r="L274" s="93">
        <f t="shared" si="8"/>
        <v>1</v>
      </c>
      <c r="M274" s="55" t="s">
        <v>8042</v>
      </c>
      <c r="N274" s="90" t="s">
        <v>26</v>
      </c>
      <c r="O274" s="55" t="s">
        <v>2792</v>
      </c>
      <c r="P274" s="94" t="s">
        <v>2793</v>
      </c>
      <c r="Q274" s="90" t="str">
        <f t="shared" si="9"/>
        <v>DENTRO DEL TIEMPO</v>
      </c>
      <c r="R274" s="24"/>
    </row>
    <row r="275" spans="1:18" ht="48.75" x14ac:dyDescent="0.25">
      <c r="A275" s="89">
        <v>270</v>
      </c>
      <c r="B275" s="90" t="s">
        <v>8043</v>
      </c>
      <c r="C275" s="91">
        <v>44764</v>
      </c>
      <c r="D275" s="91">
        <v>44764</v>
      </c>
      <c r="E275" s="24">
        <v>2</v>
      </c>
      <c r="F275" s="92" t="s">
        <v>22</v>
      </c>
      <c r="G275" s="55" t="s">
        <v>30</v>
      </c>
      <c r="H275" s="55" t="s">
        <v>24</v>
      </c>
      <c r="I275" s="55" t="s">
        <v>92</v>
      </c>
      <c r="J275" s="91">
        <v>44767</v>
      </c>
      <c r="K275" s="91">
        <v>44767</v>
      </c>
      <c r="L275" s="93">
        <f t="shared" si="8"/>
        <v>1</v>
      </c>
      <c r="M275" s="55" t="s">
        <v>8044</v>
      </c>
      <c r="N275" s="90" t="s">
        <v>26</v>
      </c>
      <c r="O275" s="55" t="s">
        <v>3275</v>
      </c>
      <c r="P275" s="94" t="s">
        <v>1296</v>
      </c>
      <c r="Q275" s="90" t="str">
        <f t="shared" si="9"/>
        <v>DENTRO DEL TIEMPO</v>
      </c>
      <c r="R275" s="24"/>
    </row>
    <row r="276" spans="1:18" ht="48.75" x14ac:dyDescent="0.25">
      <c r="A276" s="89">
        <v>271</v>
      </c>
      <c r="B276" s="90" t="s">
        <v>8045</v>
      </c>
      <c r="C276" s="91">
        <v>44764</v>
      </c>
      <c r="D276" s="91">
        <v>44764</v>
      </c>
      <c r="E276" s="24">
        <v>2</v>
      </c>
      <c r="F276" s="92" t="s">
        <v>22</v>
      </c>
      <c r="G276" s="55" t="s">
        <v>30</v>
      </c>
      <c r="H276" s="55" t="s">
        <v>24</v>
      </c>
      <c r="I276" s="55" t="s">
        <v>92</v>
      </c>
      <c r="J276" s="91">
        <v>44767</v>
      </c>
      <c r="K276" s="91">
        <v>44767</v>
      </c>
      <c r="L276" s="93">
        <f t="shared" si="8"/>
        <v>1</v>
      </c>
      <c r="M276" s="55" t="s">
        <v>8046</v>
      </c>
      <c r="N276" s="90" t="s">
        <v>26</v>
      </c>
      <c r="O276" s="55" t="s">
        <v>3134</v>
      </c>
      <c r="P276" s="94" t="s">
        <v>2321</v>
      </c>
      <c r="Q276" s="90" t="str">
        <f t="shared" si="9"/>
        <v>DENTRO DEL TIEMPO</v>
      </c>
      <c r="R276" s="24"/>
    </row>
    <row r="277" spans="1:18" ht="48.75" x14ac:dyDescent="0.25">
      <c r="A277" s="89">
        <v>272</v>
      </c>
      <c r="B277" s="90" t="s">
        <v>8047</v>
      </c>
      <c r="C277" s="91">
        <v>44764</v>
      </c>
      <c r="D277" s="91">
        <v>44764</v>
      </c>
      <c r="E277" s="24">
        <v>2</v>
      </c>
      <c r="F277" s="92" t="s">
        <v>22</v>
      </c>
      <c r="G277" s="55" t="s">
        <v>30</v>
      </c>
      <c r="H277" s="55" t="s">
        <v>24</v>
      </c>
      <c r="I277" s="55" t="s">
        <v>92</v>
      </c>
      <c r="J277" s="91">
        <v>44767</v>
      </c>
      <c r="K277" s="91">
        <v>44767</v>
      </c>
      <c r="L277" s="93">
        <f t="shared" si="8"/>
        <v>1</v>
      </c>
      <c r="M277" s="55" t="s">
        <v>8048</v>
      </c>
      <c r="N277" s="90" t="s">
        <v>26</v>
      </c>
      <c r="O277" s="55" t="s">
        <v>3134</v>
      </c>
      <c r="P277" s="94" t="s">
        <v>2321</v>
      </c>
      <c r="Q277" s="90" t="str">
        <f t="shared" si="9"/>
        <v>DENTRO DEL TIEMPO</v>
      </c>
      <c r="R277" s="24"/>
    </row>
    <row r="278" spans="1:18" ht="48.75" x14ac:dyDescent="0.25">
      <c r="A278" s="89">
        <v>273</v>
      </c>
      <c r="B278" s="90" t="s">
        <v>8049</v>
      </c>
      <c r="C278" s="91">
        <v>44764</v>
      </c>
      <c r="D278" s="91">
        <v>44764</v>
      </c>
      <c r="E278" s="24">
        <v>2</v>
      </c>
      <c r="F278" s="92" t="s">
        <v>22</v>
      </c>
      <c r="G278" s="55" t="s">
        <v>30</v>
      </c>
      <c r="H278" s="55" t="s">
        <v>24</v>
      </c>
      <c r="I278" s="55" t="s">
        <v>92</v>
      </c>
      <c r="J278" s="91">
        <v>44767</v>
      </c>
      <c r="K278" s="91">
        <v>44767</v>
      </c>
      <c r="L278" s="93">
        <f t="shared" si="8"/>
        <v>1</v>
      </c>
      <c r="M278" s="55" t="s">
        <v>8050</v>
      </c>
      <c r="N278" s="90" t="s">
        <v>26</v>
      </c>
      <c r="O278" s="55" t="s">
        <v>3134</v>
      </c>
      <c r="P278" s="94" t="s">
        <v>2321</v>
      </c>
      <c r="Q278" s="90" t="str">
        <f t="shared" si="9"/>
        <v>DENTRO DEL TIEMPO</v>
      </c>
      <c r="R278" s="24"/>
    </row>
    <row r="279" spans="1:18" ht="48.75" x14ac:dyDescent="0.25">
      <c r="A279" s="89">
        <v>274</v>
      </c>
      <c r="B279" s="90" t="s">
        <v>8051</v>
      </c>
      <c r="C279" s="91">
        <v>44764</v>
      </c>
      <c r="D279" s="91">
        <v>44764</v>
      </c>
      <c r="E279" s="24">
        <v>2</v>
      </c>
      <c r="F279" s="92" t="s">
        <v>22</v>
      </c>
      <c r="G279" s="55" t="s">
        <v>30</v>
      </c>
      <c r="H279" s="55" t="s">
        <v>24</v>
      </c>
      <c r="I279" s="55" t="s">
        <v>92</v>
      </c>
      <c r="J279" s="91">
        <v>44767</v>
      </c>
      <c r="K279" s="91">
        <v>44767</v>
      </c>
      <c r="L279" s="93">
        <f t="shared" si="8"/>
        <v>1</v>
      </c>
      <c r="M279" s="55" t="s">
        <v>8052</v>
      </c>
      <c r="N279" s="90" t="s">
        <v>26</v>
      </c>
      <c r="O279" s="55" t="s">
        <v>8053</v>
      </c>
      <c r="P279" s="94" t="s">
        <v>2321</v>
      </c>
      <c r="Q279" s="90" t="str">
        <f t="shared" si="9"/>
        <v>DENTRO DEL TIEMPO</v>
      </c>
      <c r="R279" s="24"/>
    </row>
    <row r="280" spans="1:18" ht="48.75" x14ac:dyDescent="0.25">
      <c r="A280" s="89">
        <v>275</v>
      </c>
      <c r="B280" s="90" t="s">
        <v>8054</v>
      </c>
      <c r="C280" s="91">
        <v>44764</v>
      </c>
      <c r="D280" s="91">
        <v>44764</v>
      </c>
      <c r="E280" s="24">
        <v>2</v>
      </c>
      <c r="F280" s="92" t="s">
        <v>22</v>
      </c>
      <c r="G280" s="55" t="s">
        <v>30</v>
      </c>
      <c r="H280" s="55" t="s">
        <v>24</v>
      </c>
      <c r="I280" s="55" t="s">
        <v>92</v>
      </c>
      <c r="J280" s="91">
        <v>44767</v>
      </c>
      <c r="K280" s="91">
        <v>44767</v>
      </c>
      <c r="L280" s="93">
        <f t="shared" si="8"/>
        <v>1</v>
      </c>
      <c r="M280" s="55" t="s">
        <v>8055</v>
      </c>
      <c r="N280" s="90" t="s">
        <v>26</v>
      </c>
      <c r="O280" s="55" t="s">
        <v>8056</v>
      </c>
      <c r="P280" s="94" t="s">
        <v>2321</v>
      </c>
      <c r="Q280" s="90" t="str">
        <f t="shared" si="9"/>
        <v>DENTRO DEL TIEMPO</v>
      </c>
      <c r="R280" s="24"/>
    </row>
    <row r="281" spans="1:18" ht="48.75" x14ac:dyDescent="0.25">
      <c r="A281" s="89">
        <v>276</v>
      </c>
      <c r="B281" s="90" t="s">
        <v>8057</v>
      </c>
      <c r="C281" s="91">
        <v>44764</v>
      </c>
      <c r="D281" s="91">
        <v>44764</v>
      </c>
      <c r="E281" s="24">
        <v>2</v>
      </c>
      <c r="F281" s="92" t="s">
        <v>22</v>
      </c>
      <c r="G281" s="55" t="s">
        <v>30</v>
      </c>
      <c r="H281" s="55" t="s">
        <v>24</v>
      </c>
      <c r="I281" s="55" t="s">
        <v>92</v>
      </c>
      <c r="J281" s="91">
        <v>44767</v>
      </c>
      <c r="K281" s="91">
        <v>44767</v>
      </c>
      <c r="L281" s="93">
        <f t="shared" si="8"/>
        <v>1</v>
      </c>
      <c r="M281" s="55" t="s">
        <v>8058</v>
      </c>
      <c r="N281" s="90" t="s">
        <v>26</v>
      </c>
      <c r="O281" s="55" t="s">
        <v>8053</v>
      </c>
      <c r="P281" s="94" t="s">
        <v>2321</v>
      </c>
      <c r="Q281" s="90" t="str">
        <f t="shared" si="9"/>
        <v>DENTRO DEL TIEMPO</v>
      </c>
      <c r="R281" s="24"/>
    </row>
    <row r="282" spans="1:18" ht="48.75" x14ac:dyDescent="0.25">
      <c r="A282" s="89">
        <v>277</v>
      </c>
      <c r="B282" s="90" t="s">
        <v>8059</v>
      </c>
      <c r="C282" s="91">
        <v>44767</v>
      </c>
      <c r="D282" s="91">
        <v>44767</v>
      </c>
      <c r="E282" s="24">
        <v>2</v>
      </c>
      <c r="F282" s="92" t="s">
        <v>22</v>
      </c>
      <c r="G282" s="55" t="s">
        <v>30</v>
      </c>
      <c r="H282" s="55" t="s">
        <v>24</v>
      </c>
      <c r="I282" s="55" t="s">
        <v>92</v>
      </c>
      <c r="J282" s="91">
        <v>44767</v>
      </c>
      <c r="K282" s="91">
        <v>44767</v>
      </c>
      <c r="L282" s="93">
        <f t="shared" si="8"/>
        <v>0</v>
      </c>
      <c r="M282" s="55" t="s">
        <v>8060</v>
      </c>
      <c r="N282" s="90" t="s">
        <v>26</v>
      </c>
      <c r="O282" s="55" t="s">
        <v>8061</v>
      </c>
      <c r="P282" s="94" t="s">
        <v>2005</v>
      </c>
      <c r="Q282" s="90" t="str">
        <f t="shared" si="9"/>
        <v>DENTRO DEL TIEMPO</v>
      </c>
      <c r="R282" s="24"/>
    </row>
    <row r="283" spans="1:18" ht="48.75" x14ac:dyDescent="0.25">
      <c r="A283" s="89">
        <v>278</v>
      </c>
      <c r="B283" s="90" t="s">
        <v>8062</v>
      </c>
      <c r="C283" s="91">
        <v>44767</v>
      </c>
      <c r="D283" s="91">
        <v>44767</v>
      </c>
      <c r="E283" s="24">
        <v>2</v>
      </c>
      <c r="F283" s="92" t="s">
        <v>22</v>
      </c>
      <c r="G283" s="55" t="s">
        <v>30</v>
      </c>
      <c r="H283" s="55" t="s">
        <v>24</v>
      </c>
      <c r="I283" s="55" t="s">
        <v>92</v>
      </c>
      <c r="J283" s="91">
        <v>44767</v>
      </c>
      <c r="K283" s="91">
        <v>44767</v>
      </c>
      <c r="L283" s="93">
        <f t="shared" si="8"/>
        <v>0</v>
      </c>
      <c r="M283" s="55" t="s">
        <v>8063</v>
      </c>
      <c r="N283" s="90" t="s">
        <v>26</v>
      </c>
      <c r="O283" s="55" t="s">
        <v>8064</v>
      </c>
      <c r="P283" s="94" t="s">
        <v>8065</v>
      </c>
      <c r="Q283" s="90" t="str">
        <f t="shared" si="9"/>
        <v>DENTRO DEL TIEMPO</v>
      </c>
      <c r="R283" s="24"/>
    </row>
    <row r="284" spans="1:18" ht="48.75" x14ac:dyDescent="0.25">
      <c r="A284" s="89">
        <v>279</v>
      </c>
      <c r="B284" s="90" t="s">
        <v>8066</v>
      </c>
      <c r="C284" s="91">
        <v>44767</v>
      </c>
      <c r="D284" s="91">
        <v>44767</v>
      </c>
      <c r="E284" s="24">
        <v>2</v>
      </c>
      <c r="F284" s="92" t="s">
        <v>22</v>
      </c>
      <c r="G284" s="55" t="s">
        <v>30</v>
      </c>
      <c r="H284" s="55" t="s">
        <v>24</v>
      </c>
      <c r="I284" s="55" t="s">
        <v>92</v>
      </c>
      <c r="J284" s="91">
        <v>44768</v>
      </c>
      <c r="K284" s="91">
        <v>44768</v>
      </c>
      <c r="L284" s="93">
        <f t="shared" si="8"/>
        <v>1</v>
      </c>
      <c r="M284" s="55" t="s">
        <v>8067</v>
      </c>
      <c r="N284" s="90" t="s">
        <v>26</v>
      </c>
      <c r="O284" s="55" t="s">
        <v>8068</v>
      </c>
      <c r="P284" s="94" t="s">
        <v>2728</v>
      </c>
      <c r="Q284" s="90" t="str">
        <f t="shared" si="9"/>
        <v>DENTRO DEL TIEMPO</v>
      </c>
      <c r="R284" s="24"/>
    </row>
    <row r="285" spans="1:18" ht="48.75" x14ac:dyDescent="0.25">
      <c r="A285" s="89">
        <v>280</v>
      </c>
      <c r="B285" s="90" t="s">
        <v>8069</v>
      </c>
      <c r="C285" s="91">
        <v>44767</v>
      </c>
      <c r="D285" s="91">
        <v>44767</v>
      </c>
      <c r="E285" s="24">
        <v>2</v>
      </c>
      <c r="F285" s="92" t="s">
        <v>22</v>
      </c>
      <c r="G285" s="55" t="s">
        <v>30</v>
      </c>
      <c r="H285" s="55" t="s">
        <v>24</v>
      </c>
      <c r="I285" s="55" t="s">
        <v>92</v>
      </c>
      <c r="J285" s="91">
        <v>44768</v>
      </c>
      <c r="K285" s="91">
        <v>44768</v>
      </c>
      <c r="L285" s="93">
        <f t="shared" si="8"/>
        <v>1</v>
      </c>
      <c r="M285" s="55" t="s">
        <v>8070</v>
      </c>
      <c r="N285" s="90" t="s">
        <v>26</v>
      </c>
      <c r="O285" s="55" t="s">
        <v>8071</v>
      </c>
      <c r="P285" s="94" t="s">
        <v>8072</v>
      </c>
      <c r="Q285" s="90" t="str">
        <f t="shared" si="9"/>
        <v>DENTRO DEL TIEMPO</v>
      </c>
      <c r="R285" s="24"/>
    </row>
    <row r="286" spans="1:18" ht="48.75" x14ac:dyDescent="0.25">
      <c r="A286" s="89">
        <v>281</v>
      </c>
      <c r="B286" s="90" t="s">
        <v>8073</v>
      </c>
      <c r="C286" s="91">
        <v>44767</v>
      </c>
      <c r="D286" s="91">
        <v>44767</v>
      </c>
      <c r="E286" s="24">
        <v>2</v>
      </c>
      <c r="F286" s="92" t="s">
        <v>22</v>
      </c>
      <c r="G286" s="55" t="s">
        <v>30</v>
      </c>
      <c r="H286" s="55" t="s">
        <v>24</v>
      </c>
      <c r="I286" s="55" t="s">
        <v>92</v>
      </c>
      <c r="J286" s="91">
        <v>44768</v>
      </c>
      <c r="K286" s="91">
        <v>44768</v>
      </c>
      <c r="L286" s="93">
        <f t="shared" si="8"/>
        <v>1</v>
      </c>
      <c r="M286" s="55" t="s">
        <v>8074</v>
      </c>
      <c r="N286" s="90" t="s">
        <v>26</v>
      </c>
      <c r="O286" s="55" t="s">
        <v>2756</v>
      </c>
      <c r="P286" s="94" t="s">
        <v>2757</v>
      </c>
      <c r="Q286" s="90" t="str">
        <f t="shared" si="9"/>
        <v>DENTRO DEL TIEMPO</v>
      </c>
      <c r="R286" s="24"/>
    </row>
    <row r="287" spans="1:18" ht="48.75" x14ac:dyDescent="0.25">
      <c r="A287" s="89">
        <v>282</v>
      </c>
      <c r="B287" s="90" t="s">
        <v>8075</v>
      </c>
      <c r="C287" s="91">
        <v>44767</v>
      </c>
      <c r="D287" s="91">
        <v>44767</v>
      </c>
      <c r="E287" s="24">
        <v>2</v>
      </c>
      <c r="F287" s="92" t="s">
        <v>22</v>
      </c>
      <c r="G287" s="55" t="s">
        <v>30</v>
      </c>
      <c r="H287" s="55" t="s">
        <v>24</v>
      </c>
      <c r="I287" s="55" t="s">
        <v>92</v>
      </c>
      <c r="J287" s="91">
        <v>44768</v>
      </c>
      <c r="K287" s="91">
        <v>44768</v>
      </c>
      <c r="L287" s="93">
        <f t="shared" si="8"/>
        <v>1</v>
      </c>
      <c r="M287" s="55" t="s">
        <v>8076</v>
      </c>
      <c r="N287" s="90" t="s">
        <v>26</v>
      </c>
      <c r="O287" s="55" t="s">
        <v>8077</v>
      </c>
      <c r="P287" s="94" t="s">
        <v>1304</v>
      </c>
      <c r="Q287" s="90" t="str">
        <f t="shared" si="9"/>
        <v>DENTRO DEL TIEMPO</v>
      </c>
      <c r="R287" s="24"/>
    </row>
    <row r="288" spans="1:18" ht="48.75" x14ac:dyDescent="0.25">
      <c r="A288" s="89">
        <v>283</v>
      </c>
      <c r="B288" s="90" t="s">
        <v>8078</v>
      </c>
      <c r="C288" s="91">
        <v>44767</v>
      </c>
      <c r="D288" s="91">
        <v>44767</v>
      </c>
      <c r="E288" s="24">
        <v>246</v>
      </c>
      <c r="F288" s="92" t="s">
        <v>22</v>
      </c>
      <c r="G288" s="55" t="s">
        <v>23</v>
      </c>
      <c r="H288" s="55" t="s">
        <v>24</v>
      </c>
      <c r="I288" s="55" t="s">
        <v>49</v>
      </c>
      <c r="J288" s="91">
        <v>44771</v>
      </c>
      <c r="K288" s="91">
        <v>44771</v>
      </c>
      <c r="L288" s="93">
        <f t="shared" si="8"/>
        <v>4</v>
      </c>
      <c r="M288" s="55" t="s">
        <v>8079</v>
      </c>
      <c r="N288" s="90" t="s">
        <v>26</v>
      </c>
      <c r="O288" s="55" t="s">
        <v>7954</v>
      </c>
      <c r="P288" s="94" t="s">
        <v>7955</v>
      </c>
      <c r="Q288" s="90" t="str">
        <f t="shared" si="9"/>
        <v>DENTRO DEL TIEMPO</v>
      </c>
      <c r="R288" s="24"/>
    </row>
    <row r="289" spans="1:18" ht="48.75" x14ac:dyDescent="0.25">
      <c r="A289" s="89">
        <v>284</v>
      </c>
      <c r="B289" s="90" t="s">
        <v>8080</v>
      </c>
      <c r="C289" s="91">
        <v>44767</v>
      </c>
      <c r="D289" s="91">
        <v>44767</v>
      </c>
      <c r="E289" s="24">
        <v>580</v>
      </c>
      <c r="F289" s="92" t="s">
        <v>22</v>
      </c>
      <c r="G289" s="55" t="s">
        <v>23</v>
      </c>
      <c r="H289" s="55" t="s">
        <v>24</v>
      </c>
      <c r="I289" s="55" t="s">
        <v>49</v>
      </c>
      <c r="J289" s="91">
        <v>44769</v>
      </c>
      <c r="K289" s="91">
        <v>44769</v>
      </c>
      <c r="L289" s="93">
        <f t="shared" si="8"/>
        <v>2</v>
      </c>
      <c r="M289" s="55" t="s">
        <v>8081</v>
      </c>
      <c r="N289" s="90" t="s">
        <v>26</v>
      </c>
      <c r="O289" s="55" t="s">
        <v>8082</v>
      </c>
      <c r="P289" s="94" t="s">
        <v>8083</v>
      </c>
      <c r="Q289" s="90" t="str">
        <f t="shared" si="9"/>
        <v>DENTRO DEL TIEMPO</v>
      </c>
      <c r="R289" s="24"/>
    </row>
    <row r="290" spans="1:18" ht="48.75" x14ac:dyDescent="0.25">
      <c r="A290" s="89">
        <v>285</v>
      </c>
      <c r="B290" s="90" t="s">
        <v>8084</v>
      </c>
      <c r="C290" s="91">
        <v>44767</v>
      </c>
      <c r="D290" s="91">
        <v>44767</v>
      </c>
      <c r="E290" s="24">
        <v>2</v>
      </c>
      <c r="F290" s="92" t="s">
        <v>22</v>
      </c>
      <c r="G290" s="55" t="s">
        <v>30</v>
      </c>
      <c r="H290" s="55" t="s">
        <v>24</v>
      </c>
      <c r="I290" s="55" t="s">
        <v>92</v>
      </c>
      <c r="J290" s="91">
        <v>44768</v>
      </c>
      <c r="K290" s="91">
        <v>44768</v>
      </c>
      <c r="L290" s="93">
        <f t="shared" si="8"/>
        <v>1</v>
      </c>
      <c r="M290" s="55" t="s">
        <v>8085</v>
      </c>
      <c r="N290" s="90" t="s">
        <v>26</v>
      </c>
      <c r="O290" s="55" t="s">
        <v>2602</v>
      </c>
      <c r="P290" s="94" t="s">
        <v>1784</v>
      </c>
      <c r="Q290" s="90" t="str">
        <f t="shared" si="9"/>
        <v>DENTRO DEL TIEMPO</v>
      </c>
      <c r="R290" s="24"/>
    </row>
    <row r="291" spans="1:18" ht="48.75" x14ac:dyDescent="0.25">
      <c r="A291" s="89">
        <v>286</v>
      </c>
      <c r="B291" s="90" t="s">
        <v>8086</v>
      </c>
      <c r="C291" s="91">
        <v>44768</v>
      </c>
      <c r="D291" s="91">
        <v>44768</v>
      </c>
      <c r="E291" s="24">
        <v>2</v>
      </c>
      <c r="F291" s="92" t="s">
        <v>22</v>
      </c>
      <c r="G291" s="55" t="s">
        <v>30</v>
      </c>
      <c r="H291" s="55" t="s">
        <v>24</v>
      </c>
      <c r="I291" s="55" t="s">
        <v>92</v>
      </c>
      <c r="J291" s="91">
        <v>44768</v>
      </c>
      <c r="K291" s="91">
        <v>44768</v>
      </c>
      <c r="L291" s="93">
        <f t="shared" si="8"/>
        <v>0</v>
      </c>
      <c r="M291" s="55" t="s">
        <v>8087</v>
      </c>
      <c r="N291" s="90" t="s">
        <v>26</v>
      </c>
      <c r="O291" s="55" t="s">
        <v>2602</v>
      </c>
      <c r="P291" s="94" t="s">
        <v>1487</v>
      </c>
      <c r="Q291" s="90" t="str">
        <f t="shared" si="9"/>
        <v>DENTRO DEL TIEMPO</v>
      </c>
      <c r="R291" s="24"/>
    </row>
    <row r="292" spans="1:18" ht="48.75" x14ac:dyDescent="0.25">
      <c r="A292" s="89">
        <v>287</v>
      </c>
      <c r="B292" s="90" t="s">
        <v>8088</v>
      </c>
      <c r="C292" s="91">
        <v>44768</v>
      </c>
      <c r="D292" s="91">
        <v>44768</v>
      </c>
      <c r="E292" s="24">
        <v>2</v>
      </c>
      <c r="F292" s="92" t="s">
        <v>22</v>
      </c>
      <c r="G292" s="55" t="s">
        <v>30</v>
      </c>
      <c r="H292" s="55" t="s">
        <v>24</v>
      </c>
      <c r="I292" s="55" t="s">
        <v>92</v>
      </c>
      <c r="J292" s="91">
        <v>44768</v>
      </c>
      <c r="K292" s="91">
        <v>44768</v>
      </c>
      <c r="L292" s="93">
        <f t="shared" si="8"/>
        <v>0</v>
      </c>
      <c r="M292" s="55" t="s">
        <v>8089</v>
      </c>
      <c r="N292" s="90" t="s">
        <v>26</v>
      </c>
      <c r="O292" s="55" t="s">
        <v>7850</v>
      </c>
      <c r="P292" s="94" t="s">
        <v>7851</v>
      </c>
      <c r="Q292" s="90" t="str">
        <f t="shared" si="9"/>
        <v>DENTRO DEL TIEMPO</v>
      </c>
      <c r="R292" s="24"/>
    </row>
    <row r="293" spans="1:18" ht="48.75" x14ac:dyDescent="0.25">
      <c r="A293" s="89">
        <v>288</v>
      </c>
      <c r="B293" s="90" t="s">
        <v>8090</v>
      </c>
      <c r="C293" s="91">
        <v>44768</v>
      </c>
      <c r="D293" s="91">
        <v>44768</v>
      </c>
      <c r="E293" s="24">
        <v>2</v>
      </c>
      <c r="F293" s="92" t="s">
        <v>22</v>
      </c>
      <c r="G293" s="55" t="s">
        <v>30</v>
      </c>
      <c r="H293" s="55" t="s">
        <v>24</v>
      </c>
      <c r="I293" s="55" t="s">
        <v>92</v>
      </c>
      <c r="J293" s="91">
        <v>44769</v>
      </c>
      <c r="K293" s="91">
        <v>44769</v>
      </c>
      <c r="L293" s="93">
        <f t="shared" si="8"/>
        <v>1</v>
      </c>
      <c r="M293" s="55" t="s">
        <v>8091</v>
      </c>
      <c r="N293" s="90" t="s">
        <v>26</v>
      </c>
      <c r="O293" s="55" t="s">
        <v>8092</v>
      </c>
      <c r="P293" s="94" t="s">
        <v>8093</v>
      </c>
      <c r="Q293" s="90" t="str">
        <f t="shared" si="9"/>
        <v>DENTRO DEL TIEMPO</v>
      </c>
      <c r="R293" s="24"/>
    </row>
    <row r="294" spans="1:18" ht="48.75" x14ac:dyDescent="0.25">
      <c r="A294" s="89">
        <v>289</v>
      </c>
      <c r="B294" s="90" t="s">
        <v>8094</v>
      </c>
      <c r="C294" s="91">
        <v>44768</v>
      </c>
      <c r="D294" s="91">
        <v>44768</v>
      </c>
      <c r="E294" s="24">
        <v>2</v>
      </c>
      <c r="F294" s="92" t="s">
        <v>22</v>
      </c>
      <c r="G294" s="55" t="s">
        <v>30</v>
      </c>
      <c r="H294" s="55" t="s">
        <v>24</v>
      </c>
      <c r="I294" s="55" t="s">
        <v>92</v>
      </c>
      <c r="J294" s="91">
        <v>44768</v>
      </c>
      <c r="K294" s="91">
        <v>44768</v>
      </c>
      <c r="L294" s="93">
        <f t="shared" si="8"/>
        <v>0</v>
      </c>
      <c r="M294" s="55" t="s">
        <v>8095</v>
      </c>
      <c r="N294" s="90" t="s">
        <v>26</v>
      </c>
      <c r="O294" s="55" t="s">
        <v>7850</v>
      </c>
      <c r="P294" s="94" t="s">
        <v>7851</v>
      </c>
      <c r="Q294" s="90" t="str">
        <f t="shared" si="9"/>
        <v>DENTRO DEL TIEMPO</v>
      </c>
      <c r="R294" s="24"/>
    </row>
    <row r="295" spans="1:18" ht="48.75" x14ac:dyDescent="0.25">
      <c r="A295" s="89">
        <v>290</v>
      </c>
      <c r="B295" s="90" t="s">
        <v>8096</v>
      </c>
      <c r="C295" s="91">
        <v>44768</v>
      </c>
      <c r="D295" s="91">
        <v>44768</v>
      </c>
      <c r="E295" s="24">
        <v>2</v>
      </c>
      <c r="F295" s="92" t="s">
        <v>22</v>
      </c>
      <c r="G295" s="55" t="s">
        <v>30</v>
      </c>
      <c r="H295" s="55" t="s">
        <v>24</v>
      </c>
      <c r="I295" s="55" t="s">
        <v>92</v>
      </c>
      <c r="J295" s="91">
        <v>44769</v>
      </c>
      <c r="K295" s="91">
        <v>44769</v>
      </c>
      <c r="L295" s="93">
        <f t="shared" si="8"/>
        <v>1</v>
      </c>
      <c r="M295" s="55" t="s">
        <v>8097</v>
      </c>
      <c r="N295" s="90" t="s">
        <v>26</v>
      </c>
      <c r="O295" s="55" t="s">
        <v>2975</v>
      </c>
      <c r="P295" s="94" t="s">
        <v>7847</v>
      </c>
      <c r="Q295" s="90" t="str">
        <f t="shared" si="9"/>
        <v>DENTRO DEL TIEMPO</v>
      </c>
      <c r="R295" s="24"/>
    </row>
    <row r="296" spans="1:18" ht="48.75" x14ac:dyDescent="0.25">
      <c r="A296" s="89">
        <v>291</v>
      </c>
      <c r="B296" s="90" t="s">
        <v>8098</v>
      </c>
      <c r="C296" s="91">
        <v>44768</v>
      </c>
      <c r="D296" s="91">
        <v>44768</v>
      </c>
      <c r="E296" s="24">
        <v>2</v>
      </c>
      <c r="F296" s="92" t="s">
        <v>22</v>
      </c>
      <c r="G296" s="55" t="s">
        <v>30</v>
      </c>
      <c r="H296" s="55" t="s">
        <v>24</v>
      </c>
      <c r="I296" s="55" t="s">
        <v>92</v>
      </c>
      <c r="J296" s="91">
        <v>44769</v>
      </c>
      <c r="K296" s="91">
        <v>44769</v>
      </c>
      <c r="L296" s="93">
        <f t="shared" si="8"/>
        <v>1</v>
      </c>
      <c r="M296" s="55" t="s">
        <v>8099</v>
      </c>
      <c r="N296" s="90" t="s">
        <v>26</v>
      </c>
      <c r="O296" s="55" t="s">
        <v>7843</v>
      </c>
      <c r="P296" s="94" t="s">
        <v>7844</v>
      </c>
      <c r="Q296" s="90" t="str">
        <f t="shared" si="9"/>
        <v>DENTRO DEL TIEMPO</v>
      </c>
      <c r="R296" s="24"/>
    </row>
    <row r="297" spans="1:18" ht="48.75" x14ac:dyDescent="0.25">
      <c r="A297" s="89">
        <v>292</v>
      </c>
      <c r="B297" s="90" t="s">
        <v>8100</v>
      </c>
      <c r="C297" s="91">
        <v>44768</v>
      </c>
      <c r="D297" s="91">
        <v>44768</v>
      </c>
      <c r="E297" s="24">
        <v>2</v>
      </c>
      <c r="F297" s="92" t="s">
        <v>22</v>
      </c>
      <c r="G297" s="55" t="s">
        <v>30</v>
      </c>
      <c r="H297" s="55" t="s">
        <v>24</v>
      </c>
      <c r="I297" s="55" t="s">
        <v>92</v>
      </c>
      <c r="J297" s="91">
        <v>44769</v>
      </c>
      <c r="K297" s="91">
        <v>44769</v>
      </c>
      <c r="L297" s="93">
        <f t="shared" si="8"/>
        <v>1</v>
      </c>
      <c r="M297" s="55" t="s">
        <v>8101</v>
      </c>
      <c r="N297" s="90" t="s">
        <v>26</v>
      </c>
      <c r="O297" s="55" t="s">
        <v>8102</v>
      </c>
      <c r="P297" s="94" t="s">
        <v>8103</v>
      </c>
      <c r="Q297" s="90" t="str">
        <f t="shared" si="9"/>
        <v>DENTRO DEL TIEMPO</v>
      </c>
      <c r="R297" s="24"/>
    </row>
    <row r="298" spans="1:18" ht="48.75" x14ac:dyDescent="0.25">
      <c r="A298" s="89">
        <v>293</v>
      </c>
      <c r="B298" s="90" t="s">
        <v>8104</v>
      </c>
      <c r="C298" s="91">
        <v>44768</v>
      </c>
      <c r="D298" s="91">
        <v>44768</v>
      </c>
      <c r="E298" s="24">
        <v>2</v>
      </c>
      <c r="F298" s="92" t="s">
        <v>22</v>
      </c>
      <c r="G298" s="55" t="s">
        <v>30</v>
      </c>
      <c r="H298" s="55" t="s">
        <v>24</v>
      </c>
      <c r="I298" s="55" t="s">
        <v>92</v>
      </c>
      <c r="J298" s="91">
        <v>44769</v>
      </c>
      <c r="K298" s="91">
        <v>44769</v>
      </c>
      <c r="L298" s="93">
        <f t="shared" si="8"/>
        <v>1</v>
      </c>
      <c r="M298" s="55" t="s">
        <v>8105</v>
      </c>
      <c r="N298" s="90" t="s">
        <v>26</v>
      </c>
      <c r="O298" s="55" t="s">
        <v>8106</v>
      </c>
      <c r="P298" s="94" t="s">
        <v>8107</v>
      </c>
      <c r="Q298" s="90" t="str">
        <f t="shared" si="9"/>
        <v>DENTRO DEL TIEMPO</v>
      </c>
      <c r="R298" s="24"/>
    </row>
    <row r="299" spans="1:18" ht="48.75" x14ac:dyDescent="0.25">
      <c r="A299" s="89">
        <v>294</v>
      </c>
      <c r="B299" s="90" t="s">
        <v>8108</v>
      </c>
      <c r="C299" s="91">
        <v>44768</v>
      </c>
      <c r="D299" s="91">
        <v>44768</v>
      </c>
      <c r="E299" s="24">
        <v>2</v>
      </c>
      <c r="F299" s="92" t="s">
        <v>22</v>
      </c>
      <c r="G299" s="55" t="s">
        <v>30</v>
      </c>
      <c r="H299" s="55" t="s">
        <v>24</v>
      </c>
      <c r="I299" s="55" t="s">
        <v>92</v>
      </c>
      <c r="J299" s="91">
        <v>44769</v>
      </c>
      <c r="K299" s="91">
        <v>44769</v>
      </c>
      <c r="L299" s="93">
        <f t="shared" si="8"/>
        <v>1</v>
      </c>
      <c r="M299" s="55" t="s">
        <v>8109</v>
      </c>
      <c r="N299" s="90" t="s">
        <v>26</v>
      </c>
      <c r="O299" s="55" t="s">
        <v>8110</v>
      </c>
      <c r="P299" s="94" t="s">
        <v>8111</v>
      </c>
      <c r="Q299" s="90" t="str">
        <f t="shared" si="9"/>
        <v>DENTRO DEL TIEMPO</v>
      </c>
      <c r="R299" s="24"/>
    </row>
    <row r="300" spans="1:18" ht="48.75" x14ac:dyDescent="0.25">
      <c r="A300" s="89">
        <v>295</v>
      </c>
      <c r="B300" s="90" t="s">
        <v>8112</v>
      </c>
      <c r="C300" s="91">
        <v>44768</v>
      </c>
      <c r="D300" s="91">
        <v>44768</v>
      </c>
      <c r="E300" s="24">
        <v>2</v>
      </c>
      <c r="F300" s="92" t="s">
        <v>22</v>
      </c>
      <c r="G300" s="55" t="s">
        <v>30</v>
      </c>
      <c r="H300" s="55" t="s">
        <v>24</v>
      </c>
      <c r="I300" s="55" t="s">
        <v>92</v>
      </c>
      <c r="J300" s="91">
        <v>44769</v>
      </c>
      <c r="K300" s="91">
        <v>44769</v>
      </c>
      <c r="L300" s="93">
        <f t="shared" si="8"/>
        <v>1</v>
      </c>
      <c r="M300" s="55" t="s">
        <v>8113</v>
      </c>
      <c r="N300" s="90" t="s">
        <v>26</v>
      </c>
      <c r="O300" s="55" t="s">
        <v>2982</v>
      </c>
      <c r="P300" s="94" t="s">
        <v>2965</v>
      </c>
      <c r="Q300" s="90" t="str">
        <f t="shared" si="9"/>
        <v>DENTRO DEL TIEMPO</v>
      </c>
      <c r="R300" s="24"/>
    </row>
    <row r="301" spans="1:18" ht="48.75" x14ac:dyDescent="0.25">
      <c r="A301" s="89">
        <v>296</v>
      </c>
      <c r="B301" s="90" t="s">
        <v>8114</v>
      </c>
      <c r="C301" s="91">
        <v>44768</v>
      </c>
      <c r="D301" s="91">
        <v>44768</v>
      </c>
      <c r="E301" s="24">
        <v>2</v>
      </c>
      <c r="F301" s="92" t="s">
        <v>22</v>
      </c>
      <c r="G301" s="55" t="s">
        <v>30</v>
      </c>
      <c r="H301" s="55" t="s">
        <v>24</v>
      </c>
      <c r="I301" s="55" t="s">
        <v>92</v>
      </c>
      <c r="J301" s="91">
        <v>44769</v>
      </c>
      <c r="K301" s="91">
        <v>44769</v>
      </c>
      <c r="L301" s="93">
        <f t="shared" si="8"/>
        <v>1</v>
      </c>
      <c r="M301" s="55" t="s">
        <v>8115</v>
      </c>
      <c r="N301" s="90" t="s">
        <v>26</v>
      </c>
      <c r="O301" s="55" t="s">
        <v>8116</v>
      </c>
      <c r="P301" s="94" t="s">
        <v>8117</v>
      </c>
      <c r="Q301" s="90" t="str">
        <f t="shared" si="9"/>
        <v>DENTRO DEL TIEMPO</v>
      </c>
      <c r="R301" s="24"/>
    </row>
    <row r="302" spans="1:18" ht="48.75" x14ac:dyDescent="0.25">
      <c r="A302" s="89">
        <v>297</v>
      </c>
      <c r="B302" s="90" t="s">
        <v>8118</v>
      </c>
      <c r="C302" s="91">
        <v>44768</v>
      </c>
      <c r="D302" s="91">
        <v>44768</v>
      </c>
      <c r="E302" s="24">
        <v>2</v>
      </c>
      <c r="F302" s="92" t="s">
        <v>22</v>
      </c>
      <c r="G302" s="55" t="s">
        <v>30</v>
      </c>
      <c r="H302" s="55" t="s">
        <v>24</v>
      </c>
      <c r="I302" s="55" t="s">
        <v>92</v>
      </c>
      <c r="J302" s="91">
        <v>44769</v>
      </c>
      <c r="K302" s="91">
        <v>44769</v>
      </c>
      <c r="L302" s="93">
        <f t="shared" si="8"/>
        <v>1</v>
      </c>
      <c r="M302" s="55" t="s">
        <v>8119</v>
      </c>
      <c r="N302" s="90" t="s">
        <v>26</v>
      </c>
      <c r="O302" s="55" t="s">
        <v>8120</v>
      </c>
      <c r="P302" s="94" t="s">
        <v>8121</v>
      </c>
      <c r="Q302" s="90" t="str">
        <f t="shared" si="9"/>
        <v>DENTRO DEL TIEMPO</v>
      </c>
      <c r="R302" s="24"/>
    </row>
    <row r="303" spans="1:18" ht="48.75" x14ac:dyDescent="0.25">
      <c r="A303" s="89">
        <v>298</v>
      </c>
      <c r="B303" s="90" t="s">
        <v>8122</v>
      </c>
      <c r="C303" s="91">
        <v>44750</v>
      </c>
      <c r="D303" s="91">
        <v>44750</v>
      </c>
      <c r="E303" s="24">
        <v>580</v>
      </c>
      <c r="F303" s="92" t="s">
        <v>22</v>
      </c>
      <c r="G303" s="55" t="s">
        <v>23</v>
      </c>
      <c r="H303" s="55" t="s">
        <v>24</v>
      </c>
      <c r="I303" s="55" t="s">
        <v>49</v>
      </c>
      <c r="J303" s="91">
        <v>44770</v>
      </c>
      <c r="K303" s="91">
        <v>44770</v>
      </c>
      <c r="L303" s="93">
        <f t="shared" si="8"/>
        <v>14</v>
      </c>
      <c r="M303" s="55" t="s">
        <v>8123</v>
      </c>
      <c r="N303" s="90" t="s">
        <v>26</v>
      </c>
      <c r="O303" s="55" t="s">
        <v>8124</v>
      </c>
      <c r="P303" s="94" t="s">
        <v>8125</v>
      </c>
      <c r="Q303" s="90" t="str">
        <f t="shared" si="9"/>
        <v>DENTRO DEL TIEMPO</v>
      </c>
      <c r="R303" s="24"/>
    </row>
    <row r="304" spans="1:18" ht="48.75" x14ac:dyDescent="0.25">
      <c r="A304" s="89">
        <v>299</v>
      </c>
      <c r="B304" s="90" t="s">
        <v>8126</v>
      </c>
      <c r="C304" s="91">
        <v>44769</v>
      </c>
      <c r="D304" s="91">
        <v>44769</v>
      </c>
      <c r="E304" s="24">
        <v>2</v>
      </c>
      <c r="F304" s="92" t="s">
        <v>22</v>
      </c>
      <c r="G304" s="55" t="s">
        <v>30</v>
      </c>
      <c r="H304" s="55" t="s">
        <v>24</v>
      </c>
      <c r="I304" s="55" t="s">
        <v>92</v>
      </c>
      <c r="J304" s="91">
        <v>44769</v>
      </c>
      <c r="K304" s="91">
        <v>44769</v>
      </c>
      <c r="L304" s="93">
        <f t="shared" si="8"/>
        <v>0</v>
      </c>
      <c r="M304" s="55" t="s">
        <v>8127</v>
      </c>
      <c r="N304" s="90" t="s">
        <v>26</v>
      </c>
      <c r="O304" s="55" t="s">
        <v>8128</v>
      </c>
      <c r="P304" s="94" t="s">
        <v>8129</v>
      </c>
      <c r="Q304" s="90" t="str">
        <f t="shared" si="9"/>
        <v>DENTRO DEL TIEMPO</v>
      </c>
      <c r="R304" s="24"/>
    </row>
    <row r="305" spans="1:18" ht="48.75" x14ac:dyDescent="0.25">
      <c r="A305" s="89">
        <v>300</v>
      </c>
      <c r="B305" s="90" t="s">
        <v>8130</v>
      </c>
      <c r="C305" s="91">
        <v>44769</v>
      </c>
      <c r="D305" s="91">
        <v>44769</v>
      </c>
      <c r="E305" s="24">
        <v>2</v>
      </c>
      <c r="F305" s="92" t="s">
        <v>22</v>
      </c>
      <c r="G305" s="55" t="s">
        <v>23</v>
      </c>
      <c r="H305" s="55" t="s">
        <v>24</v>
      </c>
      <c r="I305" s="55" t="s">
        <v>49</v>
      </c>
      <c r="J305" s="91">
        <v>44770</v>
      </c>
      <c r="K305" s="91">
        <v>44770</v>
      </c>
      <c r="L305" s="93">
        <f t="shared" si="8"/>
        <v>1</v>
      </c>
      <c r="M305" s="55" t="s">
        <v>8131</v>
      </c>
      <c r="N305" s="90" t="s">
        <v>26</v>
      </c>
      <c r="O305" s="55" t="s">
        <v>8132</v>
      </c>
      <c r="P305" s="94" t="s">
        <v>8133</v>
      </c>
      <c r="Q305" s="90" t="str">
        <f t="shared" si="9"/>
        <v>DENTRO DEL TIEMPO</v>
      </c>
      <c r="R305" s="24"/>
    </row>
    <row r="306" spans="1:18" ht="48.75" x14ac:dyDescent="0.25">
      <c r="A306" s="89">
        <v>301</v>
      </c>
      <c r="B306" s="90" t="s">
        <v>8134</v>
      </c>
      <c r="C306" s="91">
        <v>44769</v>
      </c>
      <c r="D306" s="91">
        <v>44769</v>
      </c>
      <c r="E306" s="24">
        <v>94</v>
      </c>
      <c r="F306" s="92" t="s">
        <v>22</v>
      </c>
      <c r="G306" s="55" t="s">
        <v>23</v>
      </c>
      <c r="H306" s="55" t="s">
        <v>24</v>
      </c>
      <c r="I306" s="55" t="s">
        <v>49</v>
      </c>
      <c r="J306" s="91">
        <v>44776</v>
      </c>
      <c r="K306" s="91">
        <v>44776</v>
      </c>
      <c r="L306" s="93">
        <f t="shared" si="8"/>
        <v>5</v>
      </c>
      <c r="M306" s="55" t="s">
        <v>8135</v>
      </c>
      <c r="N306" s="90" t="s">
        <v>26</v>
      </c>
      <c r="O306" s="55" t="s">
        <v>8136</v>
      </c>
      <c r="P306" s="94" t="s">
        <v>8137</v>
      </c>
      <c r="Q306" s="90" t="str">
        <f t="shared" si="9"/>
        <v>DENTRO DEL TIEMPO</v>
      </c>
      <c r="R306" s="24"/>
    </row>
    <row r="307" spans="1:18" ht="48.75" x14ac:dyDescent="0.25">
      <c r="A307" s="89">
        <v>302</v>
      </c>
      <c r="B307" s="90" t="s">
        <v>8138</v>
      </c>
      <c r="C307" s="91">
        <v>44769</v>
      </c>
      <c r="D307" s="91">
        <v>44769</v>
      </c>
      <c r="E307" s="24">
        <v>2</v>
      </c>
      <c r="F307" s="92" t="s">
        <v>22</v>
      </c>
      <c r="G307" s="55" t="s">
        <v>30</v>
      </c>
      <c r="H307" s="55" t="s">
        <v>24</v>
      </c>
      <c r="I307" s="55" t="s">
        <v>92</v>
      </c>
      <c r="J307" s="91">
        <v>44770</v>
      </c>
      <c r="K307" s="91">
        <v>44770</v>
      </c>
      <c r="L307" s="93">
        <f t="shared" si="8"/>
        <v>1</v>
      </c>
      <c r="M307" s="55" t="s">
        <v>8139</v>
      </c>
      <c r="N307" s="90" t="s">
        <v>26</v>
      </c>
      <c r="O307" s="55" t="s">
        <v>2792</v>
      </c>
      <c r="P307" s="94" t="s">
        <v>8140</v>
      </c>
      <c r="Q307" s="90" t="str">
        <f t="shared" si="9"/>
        <v>DENTRO DEL TIEMPO</v>
      </c>
      <c r="R307" s="24"/>
    </row>
    <row r="308" spans="1:18" ht="48.75" x14ac:dyDescent="0.25">
      <c r="A308" s="89">
        <v>303</v>
      </c>
      <c r="B308" s="90" t="s">
        <v>8141</v>
      </c>
      <c r="C308" s="91">
        <v>44769</v>
      </c>
      <c r="D308" s="91">
        <v>44769</v>
      </c>
      <c r="E308" s="24">
        <v>2</v>
      </c>
      <c r="F308" s="92" t="s">
        <v>22</v>
      </c>
      <c r="G308" s="55" t="s">
        <v>30</v>
      </c>
      <c r="H308" s="55" t="s">
        <v>24</v>
      </c>
      <c r="I308" s="55" t="s">
        <v>92</v>
      </c>
      <c r="J308" s="91">
        <v>44770</v>
      </c>
      <c r="K308" s="91">
        <v>44770</v>
      </c>
      <c r="L308" s="93">
        <f t="shared" si="8"/>
        <v>1</v>
      </c>
      <c r="M308" s="55" t="s">
        <v>8142</v>
      </c>
      <c r="N308" s="90" t="s">
        <v>26</v>
      </c>
      <c r="O308" s="55" t="s">
        <v>3275</v>
      </c>
      <c r="P308" s="94" t="s">
        <v>1296</v>
      </c>
      <c r="Q308" s="90" t="str">
        <f t="shared" si="9"/>
        <v>DENTRO DEL TIEMPO</v>
      </c>
      <c r="R308" s="24"/>
    </row>
    <row r="309" spans="1:18" ht="48.75" x14ac:dyDescent="0.25">
      <c r="A309" s="89">
        <v>304</v>
      </c>
      <c r="B309" s="90" t="s">
        <v>8143</v>
      </c>
      <c r="C309" s="91">
        <v>44769</v>
      </c>
      <c r="D309" s="91">
        <v>44769</v>
      </c>
      <c r="E309" s="24">
        <v>2</v>
      </c>
      <c r="F309" s="92" t="s">
        <v>22</v>
      </c>
      <c r="G309" s="55" t="s">
        <v>30</v>
      </c>
      <c r="H309" s="55" t="s">
        <v>24</v>
      </c>
      <c r="I309" s="55" t="s">
        <v>92</v>
      </c>
      <c r="J309" s="91">
        <v>44770</v>
      </c>
      <c r="K309" s="91">
        <v>44770</v>
      </c>
      <c r="L309" s="93">
        <f t="shared" si="8"/>
        <v>1</v>
      </c>
      <c r="M309" s="55" t="s">
        <v>8144</v>
      </c>
      <c r="N309" s="90" t="s">
        <v>26</v>
      </c>
      <c r="O309" s="55" t="s">
        <v>2982</v>
      </c>
      <c r="P309" s="94" t="s">
        <v>2965</v>
      </c>
      <c r="Q309" s="90" t="str">
        <f t="shared" si="9"/>
        <v>DENTRO DEL TIEMPO</v>
      </c>
      <c r="R309" s="24"/>
    </row>
    <row r="310" spans="1:18" ht="48.75" x14ac:dyDescent="0.25">
      <c r="A310" s="89">
        <v>305</v>
      </c>
      <c r="B310" s="90" t="s">
        <v>8145</v>
      </c>
      <c r="C310" s="91">
        <v>44769</v>
      </c>
      <c r="D310" s="91">
        <v>44769</v>
      </c>
      <c r="E310" s="24">
        <v>2</v>
      </c>
      <c r="F310" s="92" t="s">
        <v>22</v>
      </c>
      <c r="G310" s="55" t="s">
        <v>30</v>
      </c>
      <c r="H310" s="55" t="s">
        <v>24</v>
      </c>
      <c r="I310" s="55" t="s">
        <v>92</v>
      </c>
      <c r="J310" s="91">
        <v>44770</v>
      </c>
      <c r="K310" s="91">
        <v>44770</v>
      </c>
      <c r="L310" s="93">
        <f t="shared" si="8"/>
        <v>1</v>
      </c>
      <c r="M310" s="55" t="s">
        <v>8146</v>
      </c>
      <c r="N310" s="90" t="s">
        <v>26</v>
      </c>
      <c r="O310" s="55" t="s">
        <v>8147</v>
      </c>
      <c r="P310" s="94" t="s">
        <v>8148</v>
      </c>
      <c r="Q310" s="90" t="str">
        <f t="shared" si="9"/>
        <v>DENTRO DEL TIEMPO</v>
      </c>
      <c r="R310" s="24"/>
    </row>
    <row r="311" spans="1:18" ht="48.75" x14ac:dyDescent="0.25">
      <c r="A311" s="89">
        <v>306</v>
      </c>
      <c r="B311" s="90" t="s">
        <v>8149</v>
      </c>
      <c r="C311" s="91">
        <v>44769</v>
      </c>
      <c r="D311" s="91">
        <v>44769</v>
      </c>
      <c r="E311" s="24">
        <v>2</v>
      </c>
      <c r="F311" s="92" t="s">
        <v>22</v>
      </c>
      <c r="G311" s="55" t="s">
        <v>30</v>
      </c>
      <c r="H311" s="55" t="s">
        <v>24</v>
      </c>
      <c r="I311" s="55" t="s">
        <v>92</v>
      </c>
      <c r="J311" s="91">
        <v>44770</v>
      </c>
      <c r="K311" s="91">
        <v>44770</v>
      </c>
      <c r="L311" s="93">
        <f t="shared" si="8"/>
        <v>1</v>
      </c>
      <c r="M311" s="55" t="s">
        <v>8150</v>
      </c>
      <c r="N311" s="90" t="s">
        <v>26</v>
      </c>
      <c r="O311" s="55" t="s">
        <v>8147</v>
      </c>
      <c r="P311" s="94" t="s">
        <v>8148</v>
      </c>
      <c r="Q311" s="90" t="str">
        <f t="shared" si="9"/>
        <v>DENTRO DEL TIEMPO</v>
      </c>
      <c r="R311" s="24"/>
    </row>
    <row r="312" spans="1:18" ht="48.75" x14ac:dyDescent="0.25">
      <c r="A312" s="89">
        <v>307</v>
      </c>
      <c r="B312" s="90" t="s">
        <v>8151</v>
      </c>
      <c r="C312" s="91">
        <v>44769</v>
      </c>
      <c r="D312" s="91">
        <v>44769</v>
      </c>
      <c r="E312" s="24">
        <v>2</v>
      </c>
      <c r="F312" s="92" t="s">
        <v>22</v>
      </c>
      <c r="G312" s="55" t="s">
        <v>30</v>
      </c>
      <c r="H312" s="55" t="s">
        <v>24</v>
      </c>
      <c r="I312" s="55" t="s">
        <v>92</v>
      </c>
      <c r="J312" s="91">
        <v>44770</v>
      </c>
      <c r="K312" s="91">
        <v>44770</v>
      </c>
      <c r="L312" s="93">
        <f t="shared" si="8"/>
        <v>1</v>
      </c>
      <c r="M312" s="55" t="s">
        <v>8152</v>
      </c>
      <c r="N312" s="90" t="s">
        <v>26</v>
      </c>
      <c r="O312" s="55" t="s">
        <v>8147</v>
      </c>
      <c r="P312" s="94" t="s">
        <v>8148</v>
      </c>
      <c r="Q312" s="90" t="str">
        <f t="shared" si="9"/>
        <v>DENTRO DEL TIEMPO</v>
      </c>
      <c r="R312" s="24"/>
    </row>
    <row r="313" spans="1:18" ht="48.75" x14ac:dyDescent="0.25">
      <c r="A313" s="89">
        <v>308</v>
      </c>
      <c r="B313" s="90" t="s">
        <v>8153</v>
      </c>
      <c r="C313" s="91">
        <v>44769</v>
      </c>
      <c r="D313" s="91">
        <v>44769</v>
      </c>
      <c r="E313" s="24">
        <v>2</v>
      </c>
      <c r="F313" s="92" t="s">
        <v>22</v>
      </c>
      <c r="G313" s="55" t="s">
        <v>30</v>
      </c>
      <c r="H313" s="55" t="s">
        <v>24</v>
      </c>
      <c r="I313" s="55" t="s">
        <v>92</v>
      </c>
      <c r="J313" s="91">
        <v>44770</v>
      </c>
      <c r="K313" s="91">
        <v>44770</v>
      </c>
      <c r="L313" s="93">
        <f t="shared" si="8"/>
        <v>1</v>
      </c>
      <c r="M313" s="55" t="s">
        <v>8154</v>
      </c>
      <c r="N313" s="90" t="s">
        <v>26</v>
      </c>
      <c r="O313" s="55" t="s">
        <v>8147</v>
      </c>
      <c r="P313" s="94" t="s">
        <v>8148</v>
      </c>
      <c r="Q313" s="90" t="str">
        <f t="shared" si="9"/>
        <v>DENTRO DEL TIEMPO</v>
      </c>
      <c r="R313" s="24"/>
    </row>
    <row r="314" spans="1:18" ht="48.75" x14ac:dyDescent="0.25">
      <c r="A314" s="89">
        <v>309</v>
      </c>
      <c r="B314" s="90" t="s">
        <v>8155</v>
      </c>
      <c r="C314" s="91">
        <v>44769</v>
      </c>
      <c r="D314" s="91">
        <v>44769</v>
      </c>
      <c r="E314" s="24">
        <v>16</v>
      </c>
      <c r="F314" s="92" t="s">
        <v>22</v>
      </c>
      <c r="G314" s="55" t="s">
        <v>23</v>
      </c>
      <c r="H314" s="55" t="s">
        <v>24</v>
      </c>
      <c r="I314" s="55" t="s">
        <v>49</v>
      </c>
      <c r="J314" s="91">
        <v>44770</v>
      </c>
      <c r="K314" s="91">
        <v>44770</v>
      </c>
      <c r="L314" s="93">
        <f t="shared" si="8"/>
        <v>1</v>
      </c>
      <c r="M314" s="55" t="s">
        <v>8156</v>
      </c>
      <c r="N314" s="90" t="s">
        <v>26</v>
      </c>
      <c r="O314" s="55" t="s">
        <v>8157</v>
      </c>
      <c r="P314" s="94" t="s">
        <v>8158</v>
      </c>
      <c r="Q314" s="90" t="str">
        <f t="shared" si="9"/>
        <v>DENTRO DEL TIEMPO</v>
      </c>
      <c r="R314" s="24"/>
    </row>
    <row r="315" spans="1:18" ht="48.75" x14ac:dyDescent="0.25">
      <c r="A315" s="89">
        <v>310</v>
      </c>
      <c r="B315" s="90" t="s">
        <v>8159</v>
      </c>
      <c r="C315" s="91">
        <v>44769</v>
      </c>
      <c r="D315" s="91">
        <v>44769</v>
      </c>
      <c r="E315" s="24">
        <v>2</v>
      </c>
      <c r="F315" s="92" t="s">
        <v>22</v>
      </c>
      <c r="G315" s="55" t="s">
        <v>30</v>
      </c>
      <c r="H315" s="55" t="s">
        <v>24</v>
      </c>
      <c r="I315" s="55" t="s">
        <v>92</v>
      </c>
      <c r="J315" s="91">
        <v>44770</v>
      </c>
      <c r="K315" s="91">
        <v>44770</v>
      </c>
      <c r="L315" s="93">
        <f t="shared" si="8"/>
        <v>1</v>
      </c>
      <c r="M315" s="55" t="s">
        <v>8160</v>
      </c>
      <c r="N315" s="90" t="s">
        <v>26</v>
      </c>
      <c r="O315" s="55" t="s">
        <v>8161</v>
      </c>
      <c r="P315" s="94" t="s">
        <v>8162</v>
      </c>
      <c r="Q315" s="90" t="str">
        <f t="shared" si="9"/>
        <v>DENTRO DEL TIEMPO</v>
      </c>
      <c r="R315" s="24"/>
    </row>
    <row r="316" spans="1:18" ht="48.75" x14ac:dyDescent="0.25">
      <c r="A316" s="89">
        <v>311</v>
      </c>
      <c r="B316" s="90" t="s">
        <v>8163</v>
      </c>
      <c r="C316" s="91">
        <v>44769</v>
      </c>
      <c r="D316" s="91">
        <v>44769</v>
      </c>
      <c r="E316" s="24">
        <v>2</v>
      </c>
      <c r="F316" s="92" t="s">
        <v>22</v>
      </c>
      <c r="G316" s="55" t="s">
        <v>30</v>
      </c>
      <c r="H316" s="55" t="s">
        <v>24</v>
      </c>
      <c r="I316" s="55" t="s">
        <v>92</v>
      </c>
      <c r="J316" s="91">
        <v>44770</v>
      </c>
      <c r="K316" s="91">
        <v>44770</v>
      </c>
      <c r="L316" s="93">
        <f t="shared" si="8"/>
        <v>1</v>
      </c>
      <c r="M316" s="55" t="s">
        <v>8164</v>
      </c>
      <c r="N316" s="90" t="s">
        <v>26</v>
      </c>
      <c r="O316" s="55" t="s">
        <v>8165</v>
      </c>
      <c r="P316" s="94" t="s">
        <v>8166</v>
      </c>
      <c r="Q316" s="90" t="str">
        <f t="shared" si="9"/>
        <v>DENTRO DEL TIEMPO</v>
      </c>
      <c r="R316" s="24"/>
    </row>
    <row r="317" spans="1:18" ht="48.75" x14ac:dyDescent="0.25">
      <c r="A317" s="89">
        <v>312</v>
      </c>
      <c r="B317" s="90" t="s">
        <v>8167</v>
      </c>
      <c r="C317" s="91">
        <v>44770</v>
      </c>
      <c r="D317" s="91">
        <v>44770</v>
      </c>
      <c r="E317" s="24">
        <v>2</v>
      </c>
      <c r="F317" s="92" t="s">
        <v>22</v>
      </c>
      <c r="G317" s="55" t="s">
        <v>30</v>
      </c>
      <c r="H317" s="55" t="s">
        <v>24</v>
      </c>
      <c r="I317" s="55" t="s">
        <v>92</v>
      </c>
      <c r="J317" s="91">
        <v>44771</v>
      </c>
      <c r="K317" s="91">
        <v>44771</v>
      </c>
      <c r="L317" s="93">
        <f t="shared" si="8"/>
        <v>1</v>
      </c>
      <c r="M317" s="55" t="s">
        <v>8168</v>
      </c>
      <c r="N317" s="90" t="s">
        <v>26</v>
      </c>
      <c r="O317" s="55" t="s">
        <v>8169</v>
      </c>
      <c r="P317" s="94" t="s">
        <v>8170</v>
      </c>
      <c r="Q317" s="90" t="str">
        <f t="shared" si="9"/>
        <v>DENTRO DEL TIEMPO</v>
      </c>
      <c r="R317" s="24"/>
    </row>
    <row r="318" spans="1:18" ht="48.75" x14ac:dyDescent="0.25">
      <c r="A318" s="89">
        <v>313</v>
      </c>
      <c r="B318" s="90" t="s">
        <v>8171</v>
      </c>
      <c r="C318" s="91">
        <v>44770</v>
      </c>
      <c r="D318" s="91">
        <v>44770</v>
      </c>
      <c r="E318" s="24">
        <v>2</v>
      </c>
      <c r="F318" s="92" t="s">
        <v>22</v>
      </c>
      <c r="G318" s="55" t="s">
        <v>30</v>
      </c>
      <c r="H318" s="55" t="s">
        <v>24</v>
      </c>
      <c r="I318" s="55" t="s">
        <v>92</v>
      </c>
      <c r="J318" s="91">
        <v>44771</v>
      </c>
      <c r="K318" s="91">
        <v>44771</v>
      </c>
      <c r="L318" s="93">
        <f t="shared" si="8"/>
        <v>1</v>
      </c>
      <c r="M318" s="55" t="s">
        <v>8172</v>
      </c>
      <c r="N318" s="90" t="s">
        <v>26</v>
      </c>
      <c r="O318" s="55" t="s">
        <v>8173</v>
      </c>
      <c r="P318" s="94" t="s">
        <v>8174</v>
      </c>
      <c r="Q318" s="90" t="str">
        <f t="shared" si="9"/>
        <v>DENTRO DEL TIEMPO</v>
      </c>
      <c r="R318" s="24"/>
    </row>
    <row r="319" spans="1:18" ht="48.75" x14ac:dyDescent="0.25">
      <c r="A319" s="89">
        <v>314</v>
      </c>
      <c r="B319" s="90" t="s">
        <v>8175</v>
      </c>
      <c r="C319" s="91">
        <v>44770</v>
      </c>
      <c r="D319" s="91">
        <v>44770</v>
      </c>
      <c r="E319" s="24">
        <v>2</v>
      </c>
      <c r="F319" s="92" t="s">
        <v>22</v>
      </c>
      <c r="G319" s="55" t="s">
        <v>30</v>
      </c>
      <c r="H319" s="55" t="s">
        <v>24</v>
      </c>
      <c r="I319" s="55" t="s">
        <v>92</v>
      </c>
      <c r="J319" s="91">
        <v>44771</v>
      </c>
      <c r="K319" s="91">
        <v>44771</v>
      </c>
      <c r="L319" s="93">
        <f t="shared" si="8"/>
        <v>1</v>
      </c>
      <c r="M319" s="55" t="s">
        <v>8176</v>
      </c>
      <c r="N319" s="90" t="s">
        <v>26</v>
      </c>
      <c r="O319" s="55" t="s">
        <v>2320</v>
      </c>
      <c r="P319" s="94" t="s">
        <v>8177</v>
      </c>
      <c r="Q319" s="90" t="str">
        <f t="shared" si="9"/>
        <v>DENTRO DEL TIEMPO</v>
      </c>
      <c r="R319" s="24"/>
    </row>
    <row r="320" spans="1:18" ht="48.75" x14ac:dyDescent="0.25">
      <c r="A320" s="89">
        <v>315</v>
      </c>
      <c r="B320" s="90" t="s">
        <v>8178</v>
      </c>
      <c r="C320" s="91">
        <v>44770</v>
      </c>
      <c r="D320" s="91">
        <v>44770</v>
      </c>
      <c r="E320" s="24">
        <v>2</v>
      </c>
      <c r="F320" s="92" t="s">
        <v>22</v>
      </c>
      <c r="G320" s="55" t="s">
        <v>30</v>
      </c>
      <c r="H320" s="55" t="s">
        <v>24</v>
      </c>
      <c r="I320" s="55" t="s">
        <v>92</v>
      </c>
      <c r="J320" s="91">
        <v>44771</v>
      </c>
      <c r="K320" s="91">
        <v>44771</v>
      </c>
      <c r="L320" s="93">
        <f t="shared" si="8"/>
        <v>1</v>
      </c>
      <c r="M320" s="55" t="s">
        <v>8179</v>
      </c>
      <c r="N320" s="90" t="s">
        <v>26</v>
      </c>
      <c r="O320" s="55" t="s">
        <v>3144</v>
      </c>
      <c r="P320" s="94" t="s">
        <v>8180</v>
      </c>
      <c r="Q320" s="90" t="str">
        <f t="shared" si="9"/>
        <v>DENTRO DEL TIEMPO</v>
      </c>
      <c r="R320" s="24"/>
    </row>
    <row r="321" spans="1:18" ht="48.75" x14ac:dyDescent="0.25">
      <c r="A321" s="89">
        <v>316</v>
      </c>
      <c r="B321" s="90" t="s">
        <v>8181</v>
      </c>
      <c r="C321" s="91">
        <v>44770</v>
      </c>
      <c r="D321" s="91">
        <v>44770</v>
      </c>
      <c r="E321" s="24">
        <v>2</v>
      </c>
      <c r="F321" s="92" t="s">
        <v>22</v>
      </c>
      <c r="G321" s="55" t="s">
        <v>30</v>
      </c>
      <c r="H321" s="55" t="s">
        <v>24</v>
      </c>
      <c r="I321" s="55" t="s">
        <v>92</v>
      </c>
      <c r="J321" s="91">
        <v>44771</v>
      </c>
      <c r="K321" s="91">
        <v>44771</v>
      </c>
      <c r="L321" s="93">
        <f t="shared" si="8"/>
        <v>1</v>
      </c>
      <c r="M321" s="55" t="s">
        <v>8182</v>
      </c>
      <c r="N321" s="90" t="s">
        <v>26</v>
      </c>
      <c r="O321" s="55" t="s">
        <v>6452</v>
      </c>
      <c r="P321" s="94" t="s">
        <v>7929</v>
      </c>
      <c r="Q321" s="90" t="str">
        <f t="shared" si="9"/>
        <v>DENTRO DEL TIEMPO</v>
      </c>
      <c r="R321" s="24"/>
    </row>
    <row r="322" spans="1:18" ht="48.75" x14ac:dyDescent="0.25">
      <c r="A322" s="89">
        <v>317</v>
      </c>
      <c r="B322" s="90" t="s">
        <v>8183</v>
      </c>
      <c r="C322" s="91">
        <v>44770</v>
      </c>
      <c r="D322" s="91">
        <v>44770</v>
      </c>
      <c r="E322" s="24">
        <v>2</v>
      </c>
      <c r="F322" s="92" t="s">
        <v>22</v>
      </c>
      <c r="G322" s="55" t="s">
        <v>30</v>
      </c>
      <c r="H322" s="55" t="s">
        <v>24</v>
      </c>
      <c r="I322" s="55" t="s">
        <v>92</v>
      </c>
      <c r="J322" s="91">
        <v>44771</v>
      </c>
      <c r="K322" s="91">
        <v>44771</v>
      </c>
      <c r="L322" s="93">
        <f t="shared" si="8"/>
        <v>1</v>
      </c>
      <c r="M322" s="55" t="s">
        <v>8184</v>
      </c>
      <c r="N322" s="90" t="s">
        <v>26</v>
      </c>
      <c r="O322" s="55" t="s">
        <v>2982</v>
      </c>
      <c r="P322" s="94" t="s">
        <v>2965</v>
      </c>
      <c r="Q322" s="90" t="str">
        <f t="shared" si="9"/>
        <v>DENTRO DEL TIEMPO</v>
      </c>
      <c r="R322" s="24"/>
    </row>
    <row r="323" spans="1:18" ht="48.75" x14ac:dyDescent="0.25">
      <c r="A323" s="89">
        <v>318</v>
      </c>
      <c r="B323" s="90" t="s">
        <v>8185</v>
      </c>
      <c r="C323" s="91">
        <v>44770</v>
      </c>
      <c r="D323" s="91">
        <v>44770</v>
      </c>
      <c r="E323" s="24">
        <v>0</v>
      </c>
      <c r="F323" s="92" t="s">
        <v>22</v>
      </c>
      <c r="G323" s="55" t="s">
        <v>30</v>
      </c>
      <c r="H323" s="55" t="s">
        <v>24</v>
      </c>
      <c r="I323" s="55" t="s">
        <v>92</v>
      </c>
      <c r="J323" s="91">
        <v>44774</v>
      </c>
      <c r="K323" s="91">
        <v>44774</v>
      </c>
      <c r="L323" s="93">
        <f t="shared" si="8"/>
        <v>2</v>
      </c>
      <c r="M323" s="55" t="s">
        <v>8186</v>
      </c>
      <c r="N323" s="90" t="s">
        <v>26</v>
      </c>
      <c r="O323" s="55" t="s">
        <v>8187</v>
      </c>
      <c r="P323" s="94" t="s">
        <v>8188</v>
      </c>
      <c r="Q323" s="90" t="str">
        <f t="shared" si="9"/>
        <v>DENTRO DEL TIEMPO</v>
      </c>
      <c r="R323" s="24"/>
    </row>
    <row r="324" spans="1:18" ht="48.75" x14ac:dyDescent="0.25">
      <c r="A324" s="89">
        <v>319</v>
      </c>
      <c r="B324" s="90" t="s">
        <v>8189</v>
      </c>
      <c r="C324" s="91">
        <v>44771</v>
      </c>
      <c r="D324" s="91">
        <v>44771</v>
      </c>
      <c r="E324" s="24">
        <v>94</v>
      </c>
      <c r="F324" s="92" t="s">
        <v>22</v>
      </c>
      <c r="G324" s="55" t="s">
        <v>30</v>
      </c>
      <c r="H324" s="55" t="s">
        <v>24</v>
      </c>
      <c r="I324" s="55" t="s">
        <v>92</v>
      </c>
      <c r="J324" s="91">
        <v>44774</v>
      </c>
      <c r="K324" s="91">
        <v>44774</v>
      </c>
      <c r="L324" s="93">
        <f t="shared" si="8"/>
        <v>1</v>
      </c>
      <c r="M324" s="55" t="s">
        <v>8190</v>
      </c>
      <c r="N324" s="90" t="s">
        <v>26</v>
      </c>
      <c r="O324" s="55" t="s">
        <v>8191</v>
      </c>
      <c r="P324" s="94" t="s">
        <v>8192</v>
      </c>
      <c r="Q324" s="90" t="str">
        <f t="shared" si="9"/>
        <v>DENTRO DEL TIEMPO</v>
      </c>
      <c r="R324" s="24"/>
    </row>
    <row r="325" spans="1:18" ht="48.75" x14ac:dyDescent="0.25">
      <c r="A325" s="89">
        <v>320</v>
      </c>
      <c r="B325" s="90" t="s">
        <v>8193</v>
      </c>
      <c r="C325" s="91">
        <v>44771</v>
      </c>
      <c r="D325" s="91">
        <v>44771</v>
      </c>
      <c r="E325" s="24">
        <v>92</v>
      </c>
      <c r="F325" s="92" t="s">
        <v>22</v>
      </c>
      <c r="G325" s="55" t="s">
        <v>30</v>
      </c>
      <c r="H325" s="55" t="s">
        <v>24</v>
      </c>
      <c r="I325" s="55" t="s">
        <v>92</v>
      </c>
      <c r="J325" s="91">
        <v>44774</v>
      </c>
      <c r="K325" s="91">
        <v>44774</v>
      </c>
      <c r="L325" s="93">
        <f t="shared" si="8"/>
        <v>1</v>
      </c>
      <c r="M325" s="55" t="s">
        <v>8194</v>
      </c>
      <c r="N325" s="90" t="s">
        <v>26</v>
      </c>
      <c r="O325" s="55" t="s">
        <v>8195</v>
      </c>
      <c r="P325" s="94" t="s">
        <v>8196</v>
      </c>
      <c r="Q325" s="90" t="str">
        <f t="shared" si="9"/>
        <v>DENTRO DEL TIEMPO</v>
      </c>
      <c r="R325" s="24"/>
    </row>
    <row r="326" spans="1:18" ht="48.75" x14ac:dyDescent="0.25">
      <c r="A326" s="89">
        <v>321</v>
      </c>
      <c r="B326" s="90" t="s">
        <v>8197</v>
      </c>
      <c r="C326" s="91">
        <v>44771</v>
      </c>
      <c r="D326" s="91">
        <v>44771</v>
      </c>
      <c r="E326" s="24">
        <v>2</v>
      </c>
      <c r="F326" s="92" t="s">
        <v>22</v>
      </c>
      <c r="G326" s="55" t="s">
        <v>30</v>
      </c>
      <c r="H326" s="55" t="s">
        <v>24</v>
      </c>
      <c r="I326" s="55" t="s">
        <v>92</v>
      </c>
      <c r="J326" s="91">
        <v>44774</v>
      </c>
      <c r="K326" s="91">
        <v>44774</v>
      </c>
      <c r="L326" s="93">
        <f t="shared" si="8"/>
        <v>1</v>
      </c>
      <c r="M326" s="55" t="s">
        <v>8198</v>
      </c>
      <c r="N326" s="90" t="s">
        <v>26</v>
      </c>
      <c r="O326" s="55" t="s">
        <v>2320</v>
      </c>
      <c r="P326" s="94" t="s">
        <v>8199</v>
      </c>
      <c r="Q326" s="90" t="str">
        <f t="shared" si="9"/>
        <v>DENTRO DEL TIEMPO</v>
      </c>
      <c r="R326" s="24"/>
    </row>
    <row r="327" spans="1:18" ht="48.75" x14ac:dyDescent="0.25">
      <c r="A327" s="89">
        <v>322</v>
      </c>
      <c r="B327" s="90" t="s">
        <v>8200</v>
      </c>
      <c r="C327" s="91">
        <v>44771</v>
      </c>
      <c r="D327" s="91">
        <v>44771</v>
      </c>
      <c r="E327" s="24">
        <v>2</v>
      </c>
      <c r="F327" s="92" t="s">
        <v>22</v>
      </c>
      <c r="G327" s="55" t="s">
        <v>30</v>
      </c>
      <c r="H327" s="55" t="s">
        <v>24</v>
      </c>
      <c r="I327" s="55" t="s">
        <v>92</v>
      </c>
      <c r="J327" s="91">
        <v>44774</v>
      </c>
      <c r="K327" s="91">
        <v>44774</v>
      </c>
      <c r="L327" s="93">
        <f t="shared" ref="L327:L333" si="10">+NETWORKDAYS(D327,K327,$R$6:$R$9)-1</f>
        <v>1</v>
      </c>
      <c r="M327" s="55" t="s">
        <v>8201</v>
      </c>
      <c r="N327" s="90" t="s">
        <v>26</v>
      </c>
      <c r="O327" s="55" t="s">
        <v>2381</v>
      </c>
      <c r="P327" s="94" t="s">
        <v>1033</v>
      </c>
      <c r="Q327" s="90" t="str">
        <f t="shared" ref="Q327:Q390" si="11">IF(L327&gt;15,"FUERA DE TIEMPO","DENTRO DEL TIEMPO")</f>
        <v>DENTRO DEL TIEMPO</v>
      </c>
      <c r="R327" s="24"/>
    </row>
    <row r="328" spans="1:18" ht="48.75" x14ac:dyDescent="0.25">
      <c r="A328" s="89">
        <v>323</v>
      </c>
      <c r="B328" s="90" t="s">
        <v>8202</v>
      </c>
      <c r="C328" s="91">
        <v>44771</v>
      </c>
      <c r="D328" s="91">
        <v>44771</v>
      </c>
      <c r="E328" s="24">
        <v>2</v>
      </c>
      <c r="F328" s="92" t="s">
        <v>22</v>
      </c>
      <c r="G328" s="55" t="s">
        <v>30</v>
      </c>
      <c r="H328" s="55" t="s">
        <v>24</v>
      </c>
      <c r="I328" s="55" t="s">
        <v>92</v>
      </c>
      <c r="J328" s="91">
        <v>44774</v>
      </c>
      <c r="K328" s="91">
        <v>44774</v>
      </c>
      <c r="L328" s="93">
        <f t="shared" si="10"/>
        <v>1</v>
      </c>
      <c r="M328" s="55" t="s">
        <v>8203</v>
      </c>
      <c r="N328" s="90" t="s">
        <v>26</v>
      </c>
      <c r="O328" s="55" t="s">
        <v>2381</v>
      </c>
      <c r="P328" s="94" t="s">
        <v>1033</v>
      </c>
      <c r="Q328" s="90" t="str">
        <f t="shared" si="11"/>
        <v>DENTRO DEL TIEMPO</v>
      </c>
      <c r="R328" s="24"/>
    </row>
    <row r="329" spans="1:18" ht="48.75" x14ac:dyDescent="0.25">
      <c r="A329" s="89">
        <v>324</v>
      </c>
      <c r="B329" s="90" t="s">
        <v>8204</v>
      </c>
      <c r="C329" s="91">
        <v>44771</v>
      </c>
      <c r="D329" s="91">
        <v>44771</v>
      </c>
      <c r="E329" s="24">
        <v>2</v>
      </c>
      <c r="F329" s="92" t="s">
        <v>22</v>
      </c>
      <c r="G329" s="55" t="s">
        <v>30</v>
      </c>
      <c r="H329" s="55" t="s">
        <v>24</v>
      </c>
      <c r="I329" s="55" t="s">
        <v>92</v>
      </c>
      <c r="J329" s="91">
        <v>44774</v>
      </c>
      <c r="K329" s="91">
        <v>44774</v>
      </c>
      <c r="L329" s="93">
        <f t="shared" si="10"/>
        <v>1</v>
      </c>
      <c r="M329" s="55" t="s">
        <v>8205</v>
      </c>
      <c r="N329" s="90" t="s">
        <v>26</v>
      </c>
      <c r="O329" s="55" t="s">
        <v>2381</v>
      </c>
      <c r="P329" s="94" t="s">
        <v>1033</v>
      </c>
      <c r="Q329" s="90" t="str">
        <f t="shared" si="11"/>
        <v>DENTRO DEL TIEMPO</v>
      </c>
      <c r="R329" s="24"/>
    </row>
    <row r="330" spans="1:18" ht="48.75" x14ac:dyDescent="0.25">
      <c r="A330" s="89">
        <v>325</v>
      </c>
      <c r="B330" s="90" t="s">
        <v>8206</v>
      </c>
      <c r="C330" s="91">
        <v>44771</v>
      </c>
      <c r="D330" s="91">
        <v>44771</v>
      </c>
      <c r="E330" s="24">
        <v>2</v>
      </c>
      <c r="F330" s="92" t="s">
        <v>22</v>
      </c>
      <c r="G330" s="55" t="s">
        <v>30</v>
      </c>
      <c r="H330" s="55" t="s">
        <v>24</v>
      </c>
      <c r="I330" s="55" t="s">
        <v>92</v>
      </c>
      <c r="J330" s="91">
        <v>44774</v>
      </c>
      <c r="K330" s="91">
        <v>44774</v>
      </c>
      <c r="L330" s="93">
        <f t="shared" si="10"/>
        <v>1</v>
      </c>
      <c r="M330" s="55" t="s">
        <v>8207</v>
      </c>
      <c r="N330" s="90" t="s">
        <v>26</v>
      </c>
      <c r="O330" s="55" t="s">
        <v>2614</v>
      </c>
      <c r="P330" s="94" t="s">
        <v>7661</v>
      </c>
      <c r="Q330" s="90" t="str">
        <f t="shared" si="11"/>
        <v>DENTRO DEL TIEMPO</v>
      </c>
      <c r="R330" s="24"/>
    </row>
    <row r="331" spans="1:18" ht="48.75" x14ac:dyDescent="0.25">
      <c r="A331" s="89">
        <v>326</v>
      </c>
      <c r="B331" s="90" t="s">
        <v>8208</v>
      </c>
      <c r="C331" s="91">
        <v>44770</v>
      </c>
      <c r="D331" s="91">
        <v>44770</v>
      </c>
      <c r="E331" s="24">
        <v>466</v>
      </c>
      <c r="F331" s="92" t="s">
        <v>22</v>
      </c>
      <c r="G331" s="55" t="s">
        <v>23</v>
      </c>
      <c r="H331" s="55" t="s">
        <v>24</v>
      </c>
      <c r="I331" s="55" t="s">
        <v>49</v>
      </c>
      <c r="J331" s="91">
        <v>44769</v>
      </c>
      <c r="K331" s="91">
        <v>44769</v>
      </c>
      <c r="L331" s="93">
        <f t="shared" si="10"/>
        <v>-3</v>
      </c>
      <c r="M331" s="55" t="s">
        <v>8209</v>
      </c>
      <c r="N331" s="90" t="s">
        <v>26</v>
      </c>
      <c r="O331" s="55" t="s">
        <v>2064</v>
      </c>
      <c r="P331" s="94" t="s">
        <v>2065</v>
      </c>
      <c r="Q331" s="90" t="str">
        <f t="shared" si="11"/>
        <v>DENTRO DEL TIEMPO</v>
      </c>
      <c r="R331" s="24"/>
    </row>
    <row r="332" spans="1:18" ht="48.75" x14ac:dyDescent="0.25">
      <c r="A332" s="89">
        <v>327</v>
      </c>
      <c r="B332" s="90" t="s">
        <v>8210</v>
      </c>
      <c r="C332" s="91">
        <v>44721</v>
      </c>
      <c r="D332" s="91">
        <v>44771</v>
      </c>
      <c r="E332" s="24">
        <v>11</v>
      </c>
      <c r="F332" s="92" t="s">
        <v>22</v>
      </c>
      <c r="G332" s="55" t="s">
        <v>23</v>
      </c>
      <c r="H332" s="55" t="s">
        <v>24</v>
      </c>
      <c r="I332" s="55" t="s">
        <v>49</v>
      </c>
      <c r="J332" s="91">
        <v>44771</v>
      </c>
      <c r="K332" s="91">
        <v>44771</v>
      </c>
      <c r="L332" s="93">
        <f t="shared" si="10"/>
        <v>0</v>
      </c>
      <c r="M332" s="55" t="s">
        <v>8211</v>
      </c>
      <c r="N332" s="90" t="s">
        <v>26</v>
      </c>
      <c r="O332" s="55" t="s">
        <v>8212</v>
      </c>
      <c r="P332" s="94" t="s">
        <v>8213</v>
      </c>
      <c r="Q332" s="90" t="str">
        <f t="shared" si="11"/>
        <v>DENTRO DEL TIEMPO</v>
      </c>
      <c r="R332" s="24"/>
    </row>
    <row r="333" spans="1:18" ht="48.75" x14ac:dyDescent="0.25">
      <c r="A333" s="89">
        <v>328</v>
      </c>
      <c r="B333" s="90" t="s">
        <v>8214</v>
      </c>
      <c r="C333" s="91">
        <v>44770</v>
      </c>
      <c r="D333" s="91">
        <v>44770</v>
      </c>
      <c r="E333" s="24">
        <v>25</v>
      </c>
      <c r="F333" s="92" t="s">
        <v>22</v>
      </c>
      <c r="G333" s="55" t="s">
        <v>23</v>
      </c>
      <c r="H333" s="55" t="s">
        <v>24</v>
      </c>
      <c r="I333" s="55" t="s">
        <v>49</v>
      </c>
      <c r="J333" s="91">
        <v>44771</v>
      </c>
      <c r="K333" s="91">
        <v>44771</v>
      </c>
      <c r="L333" s="93">
        <f t="shared" si="10"/>
        <v>1</v>
      </c>
      <c r="M333" s="55" t="s">
        <v>8215</v>
      </c>
      <c r="N333" s="90" t="s">
        <v>26</v>
      </c>
      <c r="O333" s="55" t="s">
        <v>8216</v>
      </c>
      <c r="P333" s="94" t="s">
        <v>8217</v>
      </c>
      <c r="Q333" s="90" t="str">
        <f t="shared" si="11"/>
        <v>DENTRO DEL TIEMPO</v>
      </c>
      <c r="R333" s="24"/>
    </row>
    <row r="334" spans="1:18" ht="33.75" x14ac:dyDescent="0.25">
      <c r="A334" s="89">
        <v>329</v>
      </c>
      <c r="B334" s="90" t="s">
        <v>8218</v>
      </c>
      <c r="C334" s="91">
        <v>44776</v>
      </c>
      <c r="D334" s="91">
        <v>44776</v>
      </c>
      <c r="E334" s="24">
        <v>0</v>
      </c>
      <c r="F334" s="92" t="s">
        <v>22</v>
      </c>
      <c r="G334" s="55" t="s">
        <v>1072</v>
      </c>
      <c r="H334" s="55" t="s">
        <v>1023</v>
      </c>
      <c r="I334" s="55" t="s">
        <v>1072</v>
      </c>
      <c r="J334" s="91">
        <v>44776</v>
      </c>
      <c r="K334" s="91">
        <v>44776</v>
      </c>
      <c r="L334" s="93">
        <v>0</v>
      </c>
      <c r="M334" s="55" t="s">
        <v>8219</v>
      </c>
      <c r="N334" s="90" t="s">
        <v>1025</v>
      </c>
      <c r="O334" s="55" t="s">
        <v>1093</v>
      </c>
      <c r="P334" s="94" t="s">
        <v>1030</v>
      </c>
      <c r="Q334" s="90" t="str">
        <f t="shared" si="11"/>
        <v>DENTRO DEL TIEMPO</v>
      </c>
      <c r="R334" s="24"/>
    </row>
    <row r="335" spans="1:18" ht="33.75" x14ac:dyDescent="0.25">
      <c r="A335" s="89">
        <v>330</v>
      </c>
      <c r="B335" s="90" t="s">
        <v>8220</v>
      </c>
      <c r="C335" s="91">
        <v>44777</v>
      </c>
      <c r="D335" s="91">
        <v>44778</v>
      </c>
      <c r="E335" s="24">
        <v>1</v>
      </c>
      <c r="F335" s="92" t="s">
        <v>22</v>
      </c>
      <c r="G335" s="55" t="s">
        <v>1022</v>
      </c>
      <c r="H335" s="55" t="s">
        <v>1023</v>
      </c>
      <c r="I335" s="55" t="s">
        <v>1022</v>
      </c>
      <c r="J335" s="91">
        <v>44778</v>
      </c>
      <c r="K335" s="91" t="s">
        <v>8221</v>
      </c>
      <c r="L335" s="93">
        <v>0</v>
      </c>
      <c r="M335" s="55" t="s">
        <v>8222</v>
      </c>
      <c r="N335" s="90" t="s">
        <v>1025</v>
      </c>
      <c r="O335" s="55" t="s">
        <v>1026</v>
      </c>
      <c r="P335" s="94" t="s">
        <v>1030</v>
      </c>
      <c r="Q335" s="90" t="str">
        <f t="shared" si="11"/>
        <v>DENTRO DEL TIEMPO</v>
      </c>
      <c r="R335" s="24"/>
    </row>
    <row r="336" spans="1:18" ht="33.75" x14ac:dyDescent="0.25">
      <c r="A336" s="89">
        <v>331</v>
      </c>
      <c r="B336" s="90" t="s">
        <v>8223</v>
      </c>
      <c r="C336" s="91">
        <v>44777</v>
      </c>
      <c r="D336" s="91">
        <v>44778</v>
      </c>
      <c r="E336" s="24">
        <v>0</v>
      </c>
      <c r="F336" s="92" t="s">
        <v>22</v>
      </c>
      <c r="G336" s="55" t="s">
        <v>1022</v>
      </c>
      <c r="H336" s="55" t="s">
        <v>1023</v>
      </c>
      <c r="I336" s="55" t="s">
        <v>1022</v>
      </c>
      <c r="J336" s="91">
        <v>44778</v>
      </c>
      <c r="K336" s="91">
        <v>44778</v>
      </c>
      <c r="L336" s="93">
        <v>0</v>
      </c>
      <c r="M336" s="55" t="s">
        <v>8224</v>
      </c>
      <c r="N336" s="90" t="s">
        <v>1025</v>
      </c>
      <c r="O336" s="55" t="s">
        <v>1026</v>
      </c>
      <c r="P336" s="94" t="s">
        <v>1030</v>
      </c>
      <c r="Q336" s="90" t="str">
        <f t="shared" si="11"/>
        <v>DENTRO DEL TIEMPO</v>
      </c>
      <c r="R336" s="24"/>
    </row>
    <row r="337" spans="1:18" ht="33.75" x14ac:dyDescent="0.25">
      <c r="A337" s="89">
        <v>332</v>
      </c>
      <c r="B337" s="90" t="s">
        <v>8225</v>
      </c>
      <c r="C337" s="91">
        <v>44782</v>
      </c>
      <c r="D337" s="91">
        <v>44782</v>
      </c>
      <c r="E337" s="24">
        <v>0</v>
      </c>
      <c r="F337" s="92" t="s">
        <v>22</v>
      </c>
      <c r="G337" s="55" t="s">
        <v>1072</v>
      </c>
      <c r="H337" s="55" t="s">
        <v>1023</v>
      </c>
      <c r="I337" s="55" t="s">
        <v>1072</v>
      </c>
      <c r="J337" s="91">
        <v>44782</v>
      </c>
      <c r="K337" s="91">
        <v>44782</v>
      </c>
      <c r="L337" s="93">
        <v>0</v>
      </c>
      <c r="M337" s="55" t="s">
        <v>8226</v>
      </c>
      <c r="N337" s="90" t="s">
        <v>1025</v>
      </c>
      <c r="O337" s="55" t="s">
        <v>1026</v>
      </c>
      <c r="P337" s="94" t="s">
        <v>1030</v>
      </c>
      <c r="Q337" s="90" t="str">
        <f t="shared" si="11"/>
        <v>DENTRO DEL TIEMPO</v>
      </c>
      <c r="R337" s="24"/>
    </row>
    <row r="338" spans="1:18" ht="33.75" x14ac:dyDescent="0.25">
      <c r="A338" s="89">
        <v>333</v>
      </c>
      <c r="B338" s="90" t="s">
        <v>8227</v>
      </c>
      <c r="C338" s="91">
        <v>44778</v>
      </c>
      <c r="D338" s="91">
        <v>44782</v>
      </c>
      <c r="E338" s="24">
        <v>24</v>
      </c>
      <c r="F338" s="92" t="s">
        <v>22</v>
      </c>
      <c r="G338" s="55" t="s">
        <v>1022</v>
      </c>
      <c r="H338" s="55" t="s">
        <v>1023</v>
      </c>
      <c r="I338" s="55" t="s">
        <v>1072</v>
      </c>
      <c r="J338" s="91">
        <v>44782</v>
      </c>
      <c r="K338" s="91">
        <v>44782</v>
      </c>
      <c r="L338" s="93">
        <v>0</v>
      </c>
      <c r="M338" s="55" t="s">
        <v>8228</v>
      </c>
      <c r="N338" s="90" t="s">
        <v>1025</v>
      </c>
      <c r="O338" s="55" t="s">
        <v>1047</v>
      </c>
      <c r="P338" s="94" t="s">
        <v>1030</v>
      </c>
      <c r="Q338" s="90" t="str">
        <f t="shared" si="11"/>
        <v>DENTRO DEL TIEMPO</v>
      </c>
      <c r="R338" s="24"/>
    </row>
    <row r="339" spans="1:18" ht="33.75" x14ac:dyDescent="0.25">
      <c r="A339" s="89">
        <v>334</v>
      </c>
      <c r="B339" s="90" t="s">
        <v>8229</v>
      </c>
      <c r="C339" s="91">
        <v>44781</v>
      </c>
      <c r="D339" s="91">
        <v>44782</v>
      </c>
      <c r="E339" s="24">
        <v>0</v>
      </c>
      <c r="F339" s="92" t="s">
        <v>22</v>
      </c>
      <c r="G339" s="55" t="s">
        <v>1072</v>
      </c>
      <c r="H339" s="55" t="s">
        <v>1023</v>
      </c>
      <c r="I339" s="55" t="s">
        <v>1072</v>
      </c>
      <c r="J339" s="91" t="s">
        <v>8230</v>
      </c>
      <c r="K339" s="91">
        <v>44782</v>
      </c>
      <c r="L339" s="93">
        <v>0</v>
      </c>
      <c r="M339" s="55" t="s">
        <v>8231</v>
      </c>
      <c r="N339" s="90" t="s">
        <v>1039</v>
      </c>
      <c r="O339" s="55" t="s">
        <v>1026</v>
      </c>
      <c r="P339" s="94" t="s">
        <v>1030</v>
      </c>
      <c r="Q339" s="90" t="str">
        <f t="shared" si="11"/>
        <v>DENTRO DEL TIEMPO</v>
      </c>
      <c r="R339" s="24"/>
    </row>
    <row r="340" spans="1:18" ht="33.75" x14ac:dyDescent="0.25">
      <c r="A340" s="89">
        <v>335</v>
      </c>
      <c r="B340" s="90" t="s">
        <v>8232</v>
      </c>
      <c r="C340" s="91">
        <v>44782</v>
      </c>
      <c r="D340" s="91">
        <v>44783</v>
      </c>
      <c r="E340" s="24">
        <v>0</v>
      </c>
      <c r="F340" s="92" t="s">
        <v>22</v>
      </c>
      <c r="G340" s="55" t="s">
        <v>1072</v>
      </c>
      <c r="H340" s="55" t="s">
        <v>1023</v>
      </c>
      <c r="I340" s="55" t="s">
        <v>1072</v>
      </c>
      <c r="J340" s="91">
        <v>44783</v>
      </c>
      <c r="K340" s="91">
        <v>44783</v>
      </c>
      <c r="L340" s="93">
        <v>0</v>
      </c>
      <c r="M340" s="55" t="s">
        <v>8233</v>
      </c>
      <c r="N340" s="90" t="s">
        <v>1025</v>
      </c>
      <c r="O340" s="55" t="s">
        <v>1026</v>
      </c>
      <c r="P340" s="94" t="s">
        <v>1030</v>
      </c>
      <c r="Q340" s="90" t="str">
        <f t="shared" si="11"/>
        <v>DENTRO DEL TIEMPO</v>
      </c>
      <c r="R340" s="24"/>
    </row>
    <row r="341" spans="1:18" ht="33.75" x14ac:dyDescent="0.25">
      <c r="A341" s="89">
        <v>336</v>
      </c>
      <c r="B341" s="90" t="s">
        <v>8234</v>
      </c>
      <c r="C341" s="91">
        <v>44783</v>
      </c>
      <c r="D341" s="91">
        <v>44783</v>
      </c>
      <c r="E341" s="24">
        <v>0</v>
      </c>
      <c r="F341" s="92" t="s">
        <v>22</v>
      </c>
      <c r="G341" s="55" t="s">
        <v>1072</v>
      </c>
      <c r="H341" s="55" t="s">
        <v>1023</v>
      </c>
      <c r="I341" s="55" t="s">
        <v>1072</v>
      </c>
      <c r="J341" s="91">
        <v>44784</v>
      </c>
      <c r="K341" s="91" t="s">
        <v>8235</v>
      </c>
      <c r="L341" s="93">
        <v>0</v>
      </c>
      <c r="M341" s="55" t="s">
        <v>8236</v>
      </c>
      <c r="N341" s="90" t="s">
        <v>1025</v>
      </c>
      <c r="O341" s="55" t="s">
        <v>1093</v>
      </c>
      <c r="P341" s="94" t="s">
        <v>1030</v>
      </c>
      <c r="Q341" s="90" t="str">
        <f t="shared" si="11"/>
        <v>DENTRO DEL TIEMPO</v>
      </c>
      <c r="R341" s="24"/>
    </row>
    <row r="342" spans="1:18" ht="33.75" x14ac:dyDescent="0.25">
      <c r="A342" s="89">
        <v>337</v>
      </c>
      <c r="B342" s="90" t="s">
        <v>8237</v>
      </c>
      <c r="C342" s="91">
        <v>44784</v>
      </c>
      <c r="D342" s="91">
        <v>44784</v>
      </c>
      <c r="E342" s="24">
        <v>0</v>
      </c>
      <c r="F342" s="92" t="s">
        <v>22</v>
      </c>
      <c r="G342" s="55" t="s">
        <v>1072</v>
      </c>
      <c r="H342" s="55" t="s">
        <v>1023</v>
      </c>
      <c r="I342" s="55" t="s">
        <v>1072</v>
      </c>
      <c r="J342" s="91">
        <v>44784</v>
      </c>
      <c r="K342" s="91" t="s">
        <v>8238</v>
      </c>
      <c r="L342" s="93">
        <v>0</v>
      </c>
      <c r="M342" s="55" t="s">
        <v>8239</v>
      </c>
      <c r="N342" s="90" t="s">
        <v>1025</v>
      </c>
      <c r="O342" s="55" t="s">
        <v>1093</v>
      </c>
      <c r="P342" s="94" t="s">
        <v>1030</v>
      </c>
      <c r="Q342" s="90" t="str">
        <f t="shared" si="11"/>
        <v>DENTRO DEL TIEMPO</v>
      </c>
      <c r="R342" s="24"/>
    </row>
    <row r="343" spans="1:18" ht="33.75" x14ac:dyDescent="0.25">
      <c r="A343" s="89">
        <v>338</v>
      </c>
      <c r="B343" s="90" t="s">
        <v>8240</v>
      </c>
      <c r="C343" s="91">
        <v>44788</v>
      </c>
      <c r="D343" s="91">
        <v>44788</v>
      </c>
      <c r="E343" s="24">
        <v>0</v>
      </c>
      <c r="F343" s="92" t="s">
        <v>22</v>
      </c>
      <c r="G343" s="55" t="s">
        <v>1072</v>
      </c>
      <c r="H343" s="55" t="s">
        <v>1023</v>
      </c>
      <c r="I343" s="55" t="s">
        <v>1072</v>
      </c>
      <c r="J343" s="91">
        <v>44788</v>
      </c>
      <c r="K343" s="91">
        <v>44788</v>
      </c>
      <c r="L343" s="93">
        <v>0</v>
      </c>
      <c r="M343" s="55" t="s">
        <v>8241</v>
      </c>
      <c r="N343" s="90" t="s">
        <v>1025</v>
      </c>
      <c r="O343" s="55" t="s">
        <v>1026</v>
      </c>
      <c r="P343" s="94" t="s">
        <v>1030</v>
      </c>
      <c r="Q343" s="90" t="str">
        <f t="shared" si="11"/>
        <v>DENTRO DEL TIEMPO</v>
      </c>
      <c r="R343" s="24"/>
    </row>
    <row r="344" spans="1:18" ht="33.75" x14ac:dyDescent="0.25">
      <c r="A344" s="89">
        <v>339</v>
      </c>
      <c r="B344" s="90" t="s">
        <v>8242</v>
      </c>
      <c r="C344" s="91">
        <v>44790</v>
      </c>
      <c r="D344" s="91">
        <v>44790</v>
      </c>
      <c r="E344" s="24">
        <v>0</v>
      </c>
      <c r="F344" s="92" t="s">
        <v>22</v>
      </c>
      <c r="G344" s="55" t="s">
        <v>1072</v>
      </c>
      <c r="H344" s="55" t="s">
        <v>1023</v>
      </c>
      <c r="I344" s="55" t="s">
        <v>1072</v>
      </c>
      <c r="J344" s="91">
        <v>44790</v>
      </c>
      <c r="K344" s="91">
        <v>44790</v>
      </c>
      <c r="L344" s="93">
        <v>0</v>
      </c>
      <c r="M344" s="55" t="s">
        <v>4870</v>
      </c>
      <c r="N344" s="90" t="s">
        <v>1025</v>
      </c>
      <c r="O344" s="55" t="s">
        <v>1026</v>
      </c>
      <c r="P344" s="94" t="s">
        <v>1030</v>
      </c>
      <c r="Q344" s="90" t="str">
        <f t="shared" si="11"/>
        <v>DENTRO DEL TIEMPO</v>
      </c>
      <c r="R344" s="24"/>
    </row>
    <row r="345" spans="1:18" ht="33.75" x14ac:dyDescent="0.25">
      <c r="A345" s="89">
        <v>340</v>
      </c>
      <c r="B345" s="90" t="s">
        <v>8243</v>
      </c>
      <c r="C345" s="91">
        <v>44790</v>
      </c>
      <c r="D345" s="91">
        <v>44790</v>
      </c>
      <c r="E345" s="24">
        <v>0</v>
      </c>
      <c r="F345" s="92" t="s">
        <v>22</v>
      </c>
      <c r="G345" s="55" t="s">
        <v>1072</v>
      </c>
      <c r="H345" s="55" t="s">
        <v>1023</v>
      </c>
      <c r="I345" s="55" t="s">
        <v>1072</v>
      </c>
      <c r="J345" s="91">
        <v>44790</v>
      </c>
      <c r="K345" s="91">
        <v>44790</v>
      </c>
      <c r="L345" s="93">
        <v>0</v>
      </c>
      <c r="M345" s="55" t="s">
        <v>8244</v>
      </c>
      <c r="N345" s="90" t="s">
        <v>1025</v>
      </c>
      <c r="O345" s="55" t="s">
        <v>1026</v>
      </c>
      <c r="P345" s="94" t="s">
        <v>1030</v>
      </c>
      <c r="Q345" s="90" t="str">
        <f t="shared" si="11"/>
        <v>DENTRO DEL TIEMPO</v>
      </c>
      <c r="R345" s="24"/>
    </row>
    <row r="346" spans="1:18" ht="33.75" x14ac:dyDescent="0.25">
      <c r="A346" s="89">
        <v>341</v>
      </c>
      <c r="B346" s="90" t="s">
        <v>8245</v>
      </c>
      <c r="C346" s="91">
        <v>44790</v>
      </c>
      <c r="D346" s="91">
        <v>44790</v>
      </c>
      <c r="E346" s="24">
        <v>0</v>
      </c>
      <c r="F346" s="92" t="s">
        <v>22</v>
      </c>
      <c r="G346" s="55" t="s">
        <v>1072</v>
      </c>
      <c r="H346" s="55" t="s">
        <v>1023</v>
      </c>
      <c r="I346" s="55" t="s">
        <v>1072</v>
      </c>
      <c r="J346" s="91">
        <v>44790</v>
      </c>
      <c r="K346" s="91">
        <v>44790</v>
      </c>
      <c r="L346" s="93">
        <v>0</v>
      </c>
      <c r="M346" s="55" t="s">
        <v>8246</v>
      </c>
      <c r="N346" s="90" t="s">
        <v>1025</v>
      </c>
      <c r="O346" s="55" t="s">
        <v>1026</v>
      </c>
      <c r="P346" s="94" t="s">
        <v>1030</v>
      </c>
      <c r="Q346" s="90" t="str">
        <f t="shared" si="11"/>
        <v>DENTRO DEL TIEMPO</v>
      </c>
      <c r="R346" s="24"/>
    </row>
    <row r="347" spans="1:18" ht="33.75" x14ac:dyDescent="0.25">
      <c r="A347" s="89">
        <v>342</v>
      </c>
      <c r="B347" s="90" t="s">
        <v>8247</v>
      </c>
      <c r="C347" s="91">
        <v>44792</v>
      </c>
      <c r="D347" s="91">
        <v>44792</v>
      </c>
      <c r="E347" s="24">
        <v>0</v>
      </c>
      <c r="F347" s="92" t="s">
        <v>22</v>
      </c>
      <c r="G347" s="55" t="s">
        <v>1072</v>
      </c>
      <c r="H347" s="55" t="s">
        <v>1023</v>
      </c>
      <c r="I347" s="55" t="s">
        <v>1072</v>
      </c>
      <c r="J347" s="91">
        <v>44792</v>
      </c>
      <c r="K347" s="91">
        <v>44792</v>
      </c>
      <c r="L347" s="93">
        <v>0</v>
      </c>
      <c r="M347" s="55" t="s">
        <v>8248</v>
      </c>
      <c r="N347" s="90" t="s">
        <v>1025</v>
      </c>
      <c r="O347" s="55" t="s">
        <v>1026</v>
      </c>
      <c r="P347" s="94" t="s">
        <v>1030</v>
      </c>
      <c r="Q347" s="90" t="str">
        <f t="shared" si="11"/>
        <v>DENTRO DEL TIEMPO</v>
      </c>
      <c r="R347" s="24"/>
    </row>
    <row r="348" spans="1:18" ht="33.75" x14ac:dyDescent="0.25">
      <c r="A348" s="89">
        <v>343</v>
      </c>
      <c r="B348" s="90" t="s">
        <v>8249</v>
      </c>
      <c r="C348" s="91">
        <v>44796</v>
      </c>
      <c r="D348" s="91">
        <v>44796</v>
      </c>
      <c r="E348" s="24">
        <v>0</v>
      </c>
      <c r="F348" s="92" t="s">
        <v>22</v>
      </c>
      <c r="G348" s="55" t="s">
        <v>1022</v>
      </c>
      <c r="H348" s="55" t="s">
        <v>1023</v>
      </c>
      <c r="I348" s="55" t="s">
        <v>1022</v>
      </c>
      <c r="J348" s="91">
        <v>44796</v>
      </c>
      <c r="K348" s="91">
        <v>44796</v>
      </c>
      <c r="L348" s="93">
        <v>0</v>
      </c>
      <c r="M348" s="55" t="s">
        <v>8250</v>
      </c>
      <c r="N348" s="90" t="s">
        <v>1025</v>
      </c>
      <c r="O348" s="55" t="s">
        <v>1026</v>
      </c>
      <c r="P348" s="94" t="s">
        <v>1030</v>
      </c>
      <c r="Q348" s="90" t="str">
        <f t="shared" si="11"/>
        <v>DENTRO DEL TIEMPO</v>
      </c>
      <c r="R348" s="24"/>
    </row>
    <row r="349" spans="1:18" ht="33.75" x14ac:dyDescent="0.25">
      <c r="A349" s="89">
        <v>344</v>
      </c>
      <c r="B349" s="90" t="s">
        <v>8251</v>
      </c>
      <c r="C349" s="91">
        <v>44797</v>
      </c>
      <c r="D349" s="91">
        <v>44797</v>
      </c>
      <c r="E349" s="24">
        <v>0</v>
      </c>
      <c r="F349" s="92" t="s">
        <v>22</v>
      </c>
      <c r="G349" s="55" t="s">
        <v>1022</v>
      </c>
      <c r="H349" s="55" t="s">
        <v>1023</v>
      </c>
      <c r="I349" s="55" t="s">
        <v>1022</v>
      </c>
      <c r="J349" s="91">
        <v>44798</v>
      </c>
      <c r="K349" s="91">
        <v>44798</v>
      </c>
      <c r="L349" s="93">
        <v>0</v>
      </c>
      <c r="M349" s="55" t="s">
        <v>8252</v>
      </c>
      <c r="N349" s="90" t="s">
        <v>1025</v>
      </c>
      <c r="O349" s="55" t="s">
        <v>1026</v>
      </c>
      <c r="P349" s="94" t="s">
        <v>1030</v>
      </c>
      <c r="Q349" s="90" t="str">
        <f t="shared" si="11"/>
        <v>DENTRO DEL TIEMPO</v>
      </c>
      <c r="R349" s="24"/>
    </row>
    <row r="350" spans="1:18" ht="33.75" x14ac:dyDescent="0.25">
      <c r="A350" s="89">
        <v>345</v>
      </c>
      <c r="B350" s="90" t="s">
        <v>8253</v>
      </c>
      <c r="C350" s="91">
        <v>44798</v>
      </c>
      <c r="D350" s="91">
        <v>44798</v>
      </c>
      <c r="E350" s="24">
        <v>0</v>
      </c>
      <c r="F350" s="92" t="s">
        <v>22</v>
      </c>
      <c r="G350" s="55" t="s">
        <v>1022</v>
      </c>
      <c r="H350" s="55" t="s">
        <v>1023</v>
      </c>
      <c r="I350" s="55" t="s">
        <v>1022</v>
      </c>
      <c r="J350" s="91">
        <v>44799</v>
      </c>
      <c r="K350" s="91">
        <v>44802</v>
      </c>
      <c r="L350" s="93">
        <v>0</v>
      </c>
      <c r="M350" s="55" t="s">
        <v>8254</v>
      </c>
      <c r="N350" s="90" t="s">
        <v>1025</v>
      </c>
      <c r="O350" s="55" t="s">
        <v>1026</v>
      </c>
      <c r="P350" s="94" t="s">
        <v>1030</v>
      </c>
      <c r="Q350" s="90" t="str">
        <f t="shared" si="11"/>
        <v>DENTRO DEL TIEMPO</v>
      </c>
      <c r="R350" s="24"/>
    </row>
    <row r="351" spans="1:18" ht="33.75" x14ac:dyDescent="0.25">
      <c r="A351" s="89">
        <v>346</v>
      </c>
      <c r="B351" s="90" t="s">
        <v>8255</v>
      </c>
      <c r="C351" s="91">
        <v>44802</v>
      </c>
      <c r="D351" s="91">
        <v>44802</v>
      </c>
      <c r="E351" s="24">
        <v>0</v>
      </c>
      <c r="F351" s="92" t="s">
        <v>22</v>
      </c>
      <c r="G351" s="55" t="s">
        <v>1022</v>
      </c>
      <c r="H351" s="55" t="s">
        <v>1023</v>
      </c>
      <c r="I351" s="55" t="s">
        <v>1022</v>
      </c>
      <c r="J351" s="91">
        <v>44802</v>
      </c>
      <c r="K351" s="91">
        <v>44802</v>
      </c>
      <c r="L351" s="93">
        <v>0</v>
      </c>
      <c r="M351" s="55" t="s">
        <v>8256</v>
      </c>
      <c r="N351" s="90" t="s">
        <v>1025</v>
      </c>
      <c r="O351" s="55" t="s">
        <v>1026</v>
      </c>
      <c r="P351" s="94" t="s">
        <v>1030</v>
      </c>
      <c r="Q351" s="90" t="str">
        <f t="shared" si="11"/>
        <v>DENTRO DEL TIEMPO</v>
      </c>
      <c r="R351" s="24"/>
    </row>
    <row r="352" spans="1:18" ht="33.75" x14ac:dyDescent="0.25">
      <c r="A352" s="89">
        <v>347</v>
      </c>
      <c r="B352" s="90" t="s">
        <v>8257</v>
      </c>
      <c r="C352" s="91">
        <v>44802</v>
      </c>
      <c r="D352" s="91">
        <v>44802</v>
      </c>
      <c r="E352" s="24">
        <v>0</v>
      </c>
      <c r="F352" s="92" t="s">
        <v>22</v>
      </c>
      <c r="G352" s="55" t="s">
        <v>1022</v>
      </c>
      <c r="H352" s="55" t="s">
        <v>1023</v>
      </c>
      <c r="I352" s="55" t="s">
        <v>1022</v>
      </c>
      <c r="J352" s="91">
        <v>44803</v>
      </c>
      <c r="K352" s="91">
        <v>44804</v>
      </c>
      <c r="L352" s="93">
        <v>0</v>
      </c>
      <c r="M352" s="55" t="s">
        <v>8258</v>
      </c>
      <c r="N352" s="90" t="s">
        <v>1025</v>
      </c>
      <c r="O352" s="55" t="s">
        <v>1026</v>
      </c>
      <c r="P352" s="94" t="s">
        <v>1030</v>
      </c>
      <c r="Q352" s="90" t="str">
        <f t="shared" si="11"/>
        <v>DENTRO DEL TIEMPO</v>
      </c>
      <c r="R352" s="24"/>
    </row>
    <row r="353" spans="1:18" ht="33.75" x14ac:dyDescent="0.25">
      <c r="A353" s="89">
        <v>348</v>
      </c>
      <c r="B353" s="90" t="s">
        <v>8259</v>
      </c>
      <c r="C353" s="91">
        <v>44803</v>
      </c>
      <c r="D353" s="91">
        <v>44803</v>
      </c>
      <c r="E353" s="24">
        <v>0</v>
      </c>
      <c r="F353" s="92" t="s">
        <v>22</v>
      </c>
      <c r="G353" s="55" t="s">
        <v>1022</v>
      </c>
      <c r="H353" s="55" t="s">
        <v>1023</v>
      </c>
      <c r="I353" s="55" t="s">
        <v>1022</v>
      </c>
      <c r="J353" s="91">
        <v>44803</v>
      </c>
      <c r="K353" s="91">
        <v>44804</v>
      </c>
      <c r="L353" s="93">
        <v>0</v>
      </c>
      <c r="M353" s="55" t="s">
        <v>8260</v>
      </c>
      <c r="N353" s="90" t="s">
        <v>1025</v>
      </c>
      <c r="O353" s="55" t="s">
        <v>1026</v>
      </c>
      <c r="P353" s="94" t="s">
        <v>1030</v>
      </c>
      <c r="Q353" s="90" t="str">
        <f t="shared" si="11"/>
        <v>DENTRO DEL TIEMPO</v>
      </c>
      <c r="R353" s="24"/>
    </row>
    <row r="354" spans="1:18" ht="33.75" x14ac:dyDescent="0.25">
      <c r="A354" s="89">
        <v>349</v>
      </c>
      <c r="B354" s="90" t="s">
        <v>8261</v>
      </c>
      <c r="C354" s="91">
        <v>44803</v>
      </c>
      <c r="D354" s="91">
        <v>44803</v>
      </c>
      <c r="E354" s="24">
        <v>0</v>
      </c>
      <c r="F354" s="92" t="s">
        <v>22</v>
      </c>
      <c r="G354" s="55" t="s">
        <v>1022</v>
      </c>
      <c r="H354" s="55" t="s">
        <v>1023</v>
      </c>
      <c r="I354" s="55" t="s">
        <v>1022</v>
      </c>
      <c r="J354" s="91">
        <v>44803</v>
      </c>
      <c r="K354" s="91">
        <v>44803</v>
      </c>
      <c r="L354" s="93">
        <v>0</v>
      </c>
      <c r="M354" s="55" t="s">
        <v>8262</v>
      </c>
      <c r="N354" s="90" t="s">
        <v>1025</v>
      </c>
      <c r="O354" s="55" t="s">
        <v>1026</v>
      </c>
      <c r="P354" s="94" t="s">
        <v>1030</v>
      </c>
      <c r="Q354" s="90" t="str">
        <f t="shared" si="11"/>
        <v>DENTRO DEL TIEMPO</v>
      </c>
      <c r="R354" s="24"/>
    </row>
    <row r="355" spans="1:18" ht="33.75" x14ac:dyDescent="0.25">
      <c r="A355" s="89">
        <v>350</v>
      </c>
      <c r="B355" s="90" t="s">
        <v>8263</v>
      </c>
      <c r="C355" s="91">
        <v>44803</v>
      </c>
      <c r="D355" s="91">
        <v>44803</v>
      </c>
      <c r="E355" s="24">
        <v>0</v>
      </c>
      <c r="F355" s="92" t="s">
        <v>22</v>
      </c>
      <c r="G355" s="55" t="s">
        <v>1022</v>
      </c>
      <c r="H355" s="55" t="s">
        <v>1023</v>
      </c>
      <c r="I355" s="55" t="s">
        <v>1022</v>
      </c>
      <c r="J355" s="91">
        <v>44803</v>
      </c>
      <c r="K355" s="91">
        <v>44803</v>
      </c>
      <c r="L355" s="93">
        <v>0</v>
      </c>
      <c r="M355" s="55" t="s">
        <v>8264</v>
      </c>
      <c r="N355" s="90" t="s">
        <v>1025</v>
      </c>
      <c r="O355" s="55" t="s">
        <v>1026</v>
      </c>
      <c r="P355" s="94" t="s">
        <v>1030</v>
      </c>
      <c r="Q355" s="90" t="str">
        <f t="shared" si="11"/>
        <v>DENTRO DEL TIEMPO</v>
      </c>
      <c r="R355" s="24"/>
    </row>
    <row r="356" spans="1:18" ht="33.75" x14ac:dyDescent="0.25">
      <c r="A356" s="89">
        <v>351</v>
      </c>
      <c r="B356" s="90" t="s">
        <v>8265</v>
      </c>
      <c r="C356" s="91">
        <v>44722</v>
      </c>
      <c r="D356" s="91">
        <v>44746</v>
      </c>
      <c r="E356" s="24">
        <v>1</v>
      </c>
      <c r="F356" s="92" t="s">
        <v>22</v>
      </c>
      <c r="G356" s="55" t="s">
        <v>1101</v>
      </c>
      <c r="H356" s="55" t="s">
        <v>1102</v>
      </c>
      <c r="I356" s="55" t="s">
        <v>1101</v>
      </c>
      <c r="J356" s="91">
        <v>44760</v>
      </c>
      <c r="K356" s="91">
        <v>44760</v>
      </c>
      <c r="L356" s="93">
        <f t="shared" ref="L356:L419" si="12">+NETWORKDAYS(D356,K356)-1</f>
        <v>10</v>
      </c>
      <c r="M356" s="55" t="s">
        <v>8266</v>
      </c>
      <c r="N356" s="90" t="s">
        <v>1104</v>
      </c>
      <c r="O356" s="55" t="s">
        <v>1026</v>
      </c>
      <c r="P356" s="94" t="s">
        <v>7078</v>
      </c>
      <c r="Q356" s="90" t="str">
        <f t="shared" si="11"/>
        <v>DENTRO DEL TIEMPO</v>
      </c>
      <c r="R356" s="24"/>
    </row>
    <row r="357" spans="1:18" ht="33.75" x14ac:dyDescent="0.25">
      <c r="A357" s="89">
        <v>352</v>
      </c>
      <c r="B357" s="90" t="s">
        <v>8267</v>
      </c>
      <c r="C357" s="91">
        <v>44722</v>
      </c>
      <c r="D357" s="91">
        <v>44746</v>
      </c>
      <c r="E357" s="24">
        <v>1</v>
      </c>
      <c r="F357" s="92" t="s">
        <v>22</v>
      </c>
      <c r="G357" s="55" t="s">
        <v>1101</v>
      </c>
      <c r="H357" s="55" t="s">
        <v>1102</v>
      </c>
      <c r="I357" s="55" t="s">
        <v>1101</v>
      </c>
      <c r="J357" s="91">
        <v>44760</v>
      </c>
      <c r="K357" s="91">
        <v>44760</v>
      </c>
      <c r="L357" s="93">
        <f t="shared" si="12"/>
        <v>10</v>
      </c>
      <c r="M357" s="55" t="s">
        <v>8268</v>
      </c>
      <c r="N357" s="90" t="s">
        <v>1104</v>
      </c>
      <c r="O357" s="55" t="s">
        <v>1026</v>
      </c>
      <c r="P357" s="94" t="s">
        <v>7078</v>
      </c>
      <c r="Q357" s="90" t="str">
        <f t="shared" si="11"/>
        <v>DENTRO DEL TIEMPO</v>
      </c>
      <c r="R357" s="24"/>
    </row>
    <row r="358" spans="1:18" ht="33.75" x14ac:dyDescent="0.25">
      <c r="A358" s="89">
        <v>353</v>
      </c>
      <c r="B358" s="90" t="s">
        <v>8269</v>
      </c>
      <c r="C358" s="91">
        <v>44743</v>
      </c>
      <c r="D358" s="91">
        <v>44746</v>
      </c>
      <c r="E358" s="24">
        <v>9</v>
      </c>
      <c r="F358" s="92" t="s">
        <v>22</v>
      </c>
      <c r="G358" s="55" t="s">
        <v>1101</v>
      </c>
      <c r="H358" s="55" t="s">
        <v>1102</v>
      </c>
      <c r="I358" s="55" t="s">
        <v>1101</v>
      </c>
      <c r="J358" s="91">
        <v>44760</v>
      </c>
      <c r="K358" s="91">
        <v>44760</v>
      </c>
      <c r="L358" s="93">
        <f t="shared" si="12"/>
        <v>10</v>
      </c>
      <c r="M358" s="55" t="s">
        <v>8270</v>
      </c>
      <c r="N358" s="90" t="s">
        <v>1104</v>
      </c>
      <c r="O358" s="55" t="s">
        <v>1026</v>
      </c>
      <c r="P358" s="94" t="s">
        <v>7078</v>
      </c>
      <c r="Q358" s="90" t="str">
        <f t="shared" si="11"/>
        <v>DENTRO DEL TIEMPO</v>
      </c>
      <c r="R358" s="24"/>
    </row>
    <row r="359" spans="1:18" ht="33.75" x14ac:dyDescent="0.25">
      <c r="A359" s="89">
        <v>354</v>
      </c>
      <c r="B359" s="90" t="s">
        <v>8271</v>
      </c>
      <c r="C359" s="91">
        <v>44743</v>
      </c>
      <c r="D359" s="91">
        <v>44746</v>
      </c>
      <c r="E359" s="24">
        <v>1</v>
      </c>
      <c r="F359" s="92" t="s">
        <v>22</v>
      </c>
      <c r="G359" s="55" t="s">
        <v>1101</v>
      </c>
      <c r="H359" s="55" t="s">
        <v>1102</v>
      </c>
      <c r="I359" s="55" t="s">
        <v>1101</v>
      </c>
      <c r="J359" s="91">
        <v>44747</v>
      </c>
      <c r="K359" s="91">
        <v>44747</v>
      </c>
      <c r="L359" s="93">
        <f t="shared" si="12"/>
        <v>1</v>
      </c>
      <c r="M359" s="55" t="s">
        <v>8272</v>
      </c>
      <c r="N359" s="90" t="s">
        <v>1104</v>
      </c>
      <c r="O359" s="55" t="s">
        <v>1026</v>
      </c>
      <c r="P359" s="94" t="s">
        <v>7078</v>
      </c>
      <c r="Q359" s="90" t="str">
        <f t="shared" si="11"/>
        <v>DENTRO DEL TIEMPO</v>
      </c>
      <c r="R359" s="24"/>
    </row>
    <row r="360" spans="1:18" ht="33.75" x14ac:dyDescent="0.25">
      <c r="A360" s="89">
        <v>355</v>
      </c>
      <c r="B360" s="90" t="s">
        <v>8273</v>
      </c>
      <c r="C360" s="91">
        <v>44746</v>
      </c>
      <c r="D360" s="91">
        <v>44747</v>
      </c>
      <c r="E360" s="24">
        <v>8</v>
      </c>
      <c r="F360" s="92" t="s">
        <v>22</v>
      </c>
      <c r="G360" s="55" t="s">
        <v>1101</v>
      </c>
      <c r="H360" s="55" t="s">
        <v>1102</v>
      </c>
      <c r="I360" s="55" t="s">
        <v>1101</v>
      </c>
      <c r="J360" s="91">
        <v>44747</v>
      </c>
      <c r="K360" s="91">
        <v>44747</v>
      </c>
      <c r="L360" s="93">
        <f t="shared" si="12"/>
        <v>0</v>
      </c>
      <c r="M360" s="55" t="s">
        <v>8274</v>
      </c>
      <c r="N360" s="90" t="s">
        <v>1104</v>
      </c>
      <c r="O360" s="55" t="s">
        <v>1026</v>
      </c>
      <c r="P360" s="94" t="s">
        <v>7078</v>
      </c>
      <c r="Q360" s="90" t="str">
        <f t="shared" si="11"/>
        <v>DENTRO DEL TIEMPO</v>
      </c>
      <c r="R360" s="24"/>
    </row>
    <row r="361" spans="1:18" ht="33.75" x14ac:dyDescent="0.25">
      <c r="A361" s="89">
        <v>356</v>
      </c>
      <c r="B361" s="90" t="s">
        <v>8275</v>
      </c>
      <c r="C361" s="91">
        <v>44748</v>
      </c>
      <c r="D361" s="91">
        <v>44748</v>
      </c>
      <c r="E361" s="24">
        <v>1</v>
      </c>
      <c r="F361" s="92" t="s">
        <v>22</v>
      </c>
      <c r="G361" s="55" t="s">
        <v>1101</v>
      </c>
      <c r="H361" s="55" t="s">
        <v>1102</v>
      </c>
      <c r="I361" s="55" t="s">
        <v>1101</v>
      </c>
      <c r="J361" s="91">
        <v>44761</v>
      </c>
      <c r="K361" s="91">
        <v>44761</v>
      </c>
      <c r="L361" s="93">
        <f t="shared" si="12"/>
        <v>9</v>
      </c>
      <c r="M361" s="55" t="s">
        <v>8276</v>
      </c>
      <c r="N361" s="90" t="s">
        <v>1104</v>
      </c>
      <c r="O361" s="55" t="s">
        <v>1026</v>
      </c>
      <c r="P361" s="94" t="s">
        <v>7078</v>
      </c>
      <c r="Q361" s="90" t="str">
        <f t="shared" si="11"/>
        <v>DENTRO DEL TIEMPO</v>
      </c>
      <c r="R361" s="24"/>
    </row>
    <row r="362" spans="1:18" ht="33.75" x14ac:dyDescent="0.25">
      <c r="A362" s="89">
        <v>357</v>
      </c>
      <c r="B362" s="90" t="s">
        <v>5967</v>
      </c>
      <c r="C362" s="91">
        <v>44711</v>
      </c>
      <c r="D362" s="91">
        <v>44749</v>
      </c>
      <c r="E362" s="24">
        <f>82+6+1</f>
        <v>89</v>
      </c>
      <c r="F362" s="92" t="s">
        <v>22</v>
      </c>
      <c r="G362" s="55" t="s">
        <v>1101</v>
      </c>
      <c r="H362" s="55" t="s">
        <v>1102</v>
      </c>
      <c r="I362" s="55" t="s">
        <v>1101</v>
      </c>
      <c r="J362" s="91">
        <v>44757</v>
      </c>
      <c r="K362" s="91">
        <v>44757</v>
      </c>
      <c r="L362" s="93">
        <f t="shared" si="12"/>
        <v>6</v>
      </c>
      <c r="M362" s="55" t="s">
        <v>8277</v>
      </c>
      <c r="N362" s="90" t="s">
        <v>1104</v>
      </c>
      <c r="O362" s="55" t="s">
        <v>1026</v>
      </c>
      <c r="P362" s="94" t="s">
        <v>7078</v>
      </c>
      <c r="Q362" s="90" t="str">
        <f t="shared" si="11"/>
        <v>DENTRO DEL TIEMPO</v>
      </c>
      <c r="R362" s="24"/>
    </row>
    <row r="363" spans="1:18" ht="33.75" x14ac:dyDescent="0.25">
      <c r="A363" s="89">
        <v>358</v>
      </c>
      <c r="B363" s="90" t="s">
        <v>8278</v>
      </c>
      <c r="C363" s="91">
        <v>44749</v>
      </c>
      <c r="D363" s="91">
        <v>44749</v>
      </c>
      <c r="E363" s="24">
        <v>3</v>
      </c>
      <c r="F363" s="92" t="s">
        <v>22</v>
      </c>
      <c r="G363" s="55" t="s">
        <v>1101</v>
      </c>
      <c r="H363" s="55" t="s">
        <v>1102</v>
      </c>
      <c r="I363" s="55" t="s">
        <v>1101</v>
      </c>
      <c r="J363" s="91">
        <v>44762</v>
      </c>
      <c r="K363" s="91">
        <v>44762</v>
      </c>
      <c r="L363" s="93">
        <f t="shared" si="12"/>
        <v>9</v>
      </c>
      <c r="M363" s="55" t="s">
        <v>8279</v>
      </c>
      <c r="N363" s="90" t="s">
        <v>1104</v>
      </c>
      <c r="O363" s="55" t="s">
        <v>1026</v>
      </c>
      <c r="P363" s="94" t="s">
        <v>7078</v>
      </c>
      <c r="Q363" s="90" t="str">
        <f t="shared" si="11"/>
        <v>DENTRO DEL TIEMPO</v>
      </c>
      <c r="R363" s="24"/>
    </row>
    <row r="364" spans="1:18" ht="33.75" x14ac:dyDescent="0.25">
      <c r="A364" s="89">
        <v>359</v>
      </c>
      <c r="B364" s="90" t="s">
        <v>8280</v>
      </c>
      <c r="C364" s="91">
        <v>44755</v>
      </c>
      <c r="D364" s="91">
        <v>44750</v>
      </c>
      <c r="E364" s="24">
        <v>1</v>
      </c>
      <c r="F364" s="92" t="s">
        <v>22</v>
      </c>
      <c r="G364" s="55" t="s">
        <v>3512</v>
      </c>
      <c r="H364" s="55" t="s">
        <v>8281</v>
      </c>
      <c r="I364" s="55" t="s">
        <v>3512</v>
      </c>
      <c r="J364" s="91">
        <v>44755</v>
      </c>
      <c r="K364" s="91">
        <v>44755</v>
      </c>
      <c r="L364" s="93">
        <f t="shared" si="12"/>
        <v>3</v>
      </c>
      <c r="M364" s="55" t="s">
        <v>8282</v>
      </c>
      <c r="N364" s="90" t="s">
        <v>1104</v>
      </c>
      <c r="O364" s="55" t="s">
        <v>1026</v>
      </c>
      <c r="P364" s="94" t="s">
        <v>7078</v>
      </c>
      <c r="Q364" s="90" t="str">
        <f t="shared" si="11"/>
        <v>DENTRO DEL TIEMPO</v>
      </c>
      <c r="R364" s="24"/>
    </row>
    <row r="365" spans="1:18" ht="33.75" x14ac:dyDescent="0.25">
      <c r="A365" s="89">
        <v>360</v>
      </c>
      <c r="B365" s="90" t="s">
        <v>8283</v>
      </c>
      <c r="C365" s="91">
        <v>44753</v>
      </c>
      <c r="D365" s="91">
        <v>44754</v>
      </c>
      <c r="E365" s="24">
        <v>4</v>
      </c>
      <c r="F365" s="92" t="s">
        <v>22</v>
      </c>
      <c r="G365" s="55" t="s">
        <v>3512</v>
      </c>
      <c r="H365" s="55" t="s">
        <v>8281</v>
      </c>
      <c r="I365" s="55" t="s">
        <v>3512</v>
      </c>
      <c r="J365" s="91">
        <v>44763</v>
      </c>
      <c r="K365" s="91">
        <v>44763</v>
      </c>
      <c r="L365" s="93">
        <f t="shared" si="12"/>
        <v>7</v>
      </c>
      <c r="M365" s="55" t="s">
        <v>8284</v>
      </c>
      <c r="N365" s="90" t="s">
        <v>1104</v>
      </c>
      <c r="O365" s="55" t="s">
        <v>1026</v>
      </c>
      <c r="P365" s="94" t="s">
        <v>7078</v>
      </c>
      <c r="Q365" s="90" t="str">
        <f t="shared" si="11"/>
        <v>DENTRO DEL TIEMPO</v>
      </c>
      <c r="R365" s="24"/>
    </row>
    <row r="366" spans="1:18" ht="33.75" x14ac:dyDescent="0.25">
      <c r="A366" s="89">
        <v>361</v>
      </c>
      <c r="B366" s="90" t="s">
        <v>8285</v>
      </c>
      <c r="C366" s="91">
        <v>44754</v>
      </c>
      <c r="D366" s="91">
        <v>44754</v>
      </c>
      <c r="E366" s="24">
        <v>0</v>
      </c>
      <c r="F366" s="92" t="s">
        <v>22</v>
      </c>
      <c r="G366" s="55" t="s">
        <v>3512</v>
      </c>
      <c r="H366" s="55" t="s">
        <v>8281</v>
      </c>
      <c r="I366" s="55" t="s">
        <v>3512</v>
      </c>
      <c r="J366" s="91">
        <v>44757</v>
      </c>
      <c r="K366" s="91">
        <v>44757</v>
      </c>
      <c r="L366" s="93">
        <f t="shared" si="12"/>
        <v>3</v>
      </c>
      <c r="M366" s="55" t="s">
        <v>8286</v>
      </c>
      <c r="N366" s="90" t="s">
        <v>1104</v>
      </c>
      <c r="O366" s="55" t="s">
        <v>1026</v>
      </c>
      <c r="P366" s="94" t="s">
        <v>7078</v>
      </c>
      <c r="Q366" s="90" t="str">
        <f t="shared" si="11"/>
        <v>DENTRO DEL TIEMPO</v>
      </c>
      <c r="R366" s="24"/>
    </row>
    <row r="367" spans="1:18" ht="33.75" x14ac:dyDescent="0.25">
      <c r="A367" s="89">
        <v>362</v>
      </c>
      <c r="B367" s="90" t="s">
        <v>8287</v>
      </c>
      <c r="C367" s="91">
        <v>44755</v>
      </c>
      <c r="D367" s="91">
        <v>44754</v>
      </c>
      <c r="E367" s="24">
        <v>328</v>
      </c>
      <c r="F367" s="92" t="s">
        <v>22</v>
      </c>
      <c r="G367" s="55" t="s">
        <v>3512</v>
      </c>
      <c r="H367" s="55" t="s">
        <v>8281</v>
      </c>
      <c r="I367" s="55" t="s">
        <v>3512</v>
      </c>
      <c r="J367" s="91">
        <v>44756</v>
      </c>
      <c r="K367" s="91">
        <v>44756</v>
      </c>
      <c r="L367" s="93">
        <f t="shared" si="12"/>
        <v>2</v>
      </c>
      <c r="M367" s="55" t="s">
        <v>8288</v>
      </c>
      <c r="N367" s="90" t="s">
        <v>1104</v>
      </c>
      <c r="O367" s="55" t="s">
        <v>1026</v>
      </c>
      <c r="P367" s="94" t="s">
        <v>7078</v>
      </c>
      <c r="Q367" s="90" t="str">
        <f t="shared" si="11"/>
        <v>DENTRO DEL TIEMPO</v>
      </c>
      <c r="R367" s="24"/>
    </row>
    <row r="368" spans="1:18" ht="33.75" x14ac:dyDescent="0.25">
      <c r="A368" s="89">
        <v>363</v>
      </c>
      <c r="B368" s="90" t="s">
        <v>8289</v>
      </c>
      <c r="C368" s="91">
        <v>44600</v>
      </c>
      <c r="D368" s="91">
        <v>44755</v>
      </c>
      <c r="E368" s="24">
        <v>1</v>
      </c>
      <c r="F368" s="92" t="s">
        <v>22</v>
      </c>
      <c r="G368" s="55" t="s">
        <v>3512</v>
      </c>
      <c r="H368" s="55" t="s">
        <v>8281</v>
      </c>
      <c r="I368" s="55" t="s">
        <v>3512</v>
      </c>
      <c r="J368" s="91">
        <v>44755</v>
      </c>
      <c r="K368" s="91">
        <v>44755</v>
      </c>
      <c r="L368" s="93">
        <f t="shared" si="12"/>
        <v>0</v>
      </c>
      <c r="M368" s="55" t="s">
        <v>8290</v>
      </c>
      <c r="N368" s="90" t="s">
        <v>1104</v>
      </c>
      <c r="O368" s="55" t="s">
        <v>1026</v>
      </c>
      <c r="P368" s="94" t="s">
        <v>7078</v>
      </c>
      <c r="Q368" s="90" t="str">
        <f t="shared" si="11"/>
        <v>DENTRO DEL TIEMPO</v>
      </c>
      <c r="R368" s="24"/>
    </row>
    <row r="369" spans="1:18" ht="33.75" x14ac:dyDescent="0.25">
      <c r="A369" s="89">
        <v>364</v>
      </c>
      <c r="B369" s="90" t="s">
        <v>8291</v>
      </c>
      <c r="C369" s="91">
        <v>44742</v>
      </c>
      <c r="D369" s="91">
        <v>44755</v>
      </c>
      <c r="E369" s="24">
        <v>0</v>
      </c>
      <c r="F369" s="92" t="s">
        <v>22</v>
      </c>
      <c r="G369" s="55" t="s">
        <v>3512</v>
      </c>
      <c r="H369" s="55" t="s">
        <v>8281</v>
      </c>
      <c r="I369" s="55" t="s">
        <v>3512</v>
      </c>
      <c r="J369" s="91">
        <v>44756</v>
      </c>
      <c r="K369" s="91">
        <v>44756</v>
      </c>
      <c r="L369" s="93">
        <f t="shared" si="12"/>
        <v>1</v>
      </c>
      <c r="M369" s="55" t="s">
        <v>8292</v>
      </c>
      <c r="N369" s="90" t="s">
        <v>1104</v>
      </c>
      <c r="O369" s="55" t="s">
        <v>1026</v>
      </c>
      <c r="P369" s="94" t="s">
        <v>7078</v>
      </c>
      <c r="Q369" s="90" t="str">
        <f t="shared" si="11"/>
        <v>DENTRO DEL TIEMPO</v>
      </c>
      <c r="R369" s="24"/>
    </row>
    <row r="370" spans="1:18" ht="33.75" x14ac:dyDescent="0.25">
      <c r="A370" s="89">
        <v>365</v>
      </c>
      <c r="B370" s="90" t="s">
        <v>8293</v>
      </c>
      <c r="C370" s="91">
        <v>44748</v>
      </c>
      <c r="D370" s="91">
        <v>44755</v>
      </c>
      <c r="E370" s="24">
        <v>1</v>
      </c>
      <c r="F370" s="92" t="s">
        <v>22</v>
      </c>
      <c r="G370" s="55" t="s">
        <v>1101</v>
      </c>
      <c r="H370" s="55" t="s">
        <v>1102</v>
      </c>
      <c r="I370" s="55" t="s">
        <v>1101</v>
      </c>
      <c r="J370" s="91">
        <v>44762</v>
      </c>
      <c r="K370" s="91">
        <v>44762</v>
      </c>
      <c r="L370" s="93">
        <f t="shared" si="12"/>
        <v>5</v>
      </c>
      <c r="M370" s="55" t="s">
        <v>8294</v>
      </c>
      <c r="N370" s="90" t="s">
        <v>1104</v>
      </c>
      <c r="O370" s="55" t="s">
        <v>1026</v>
      </c>
      <c r="P370" s="94" t="s">
        <v>7078</v>
      </c>
      <c r="Q370" s="90" t="str">
        <f t="shared" si="11"/>
        <v>DENTRO DEL TIEMPO</v>
      </c>
      <c r="R370" s="24"/>
    </row>
    <row r="371" spans="1:18" ht="33.75" x14ac:dyDescent="0.25">
      <c r="A371" s="89">
        <v>366</v>
      </c>
      <c r="B371" s="90" t="s">
        <v>8295</v>
      </c>
      <c r="C371" s="91">
        <v>44750</v>
      </c>
      <c r="D371" s="91">
        <v>44755</v>
      </c>
      <c r="E371" s="24">
        <v>0</v>
      </c>
      <c r="F371" s="92" t="s">
        <v>22</v>
      </c>
      <c r="G371" s="55" t="s">
        <v>3512</v>
      </c>
      <c r="H371" s="55" t="s">
        <v>8281</v>
      </c>
      <c r="I371" s="55" t="s">
        <v>3512</v>
      </c>
      <c r="J371" s="91">
        <v>44755</v>
      </c>
      <c r="K371" s="91">
        <v>44755</v>
      </c>
      <c r="L371" s="93">
        <f t="shared" si="12"/>
        <v>0</v>
      </c>
      <c r="M371" s="55" t="s">
        <v>8296</v>
      </c>
      <c r="N371" s="90" t="s">
        <v>1104</v>
      </c>
      <c r="O371" s="55" t="s">
        <v>1026</v>
      </c>
      <c r="P371" s="94" t="s">
        <v>7078</v>
      </c>
      <c r="Q371" s="90" t="str">
        <f t="shared" si="11"/>
        <v>DENTRO DEL TIEMPO</v>
      </c>
      <c r="R371" s="24"/>
    </row>
    <row r="372" spans="1:18" ht="33.75" x14ac:dyDescent="0.25">
      <c r="A372" s="89">
        <v>367</v>
      </c>
      <c r="B372" s="90" t="s">
        <v>8297</v>
      </c>
      <c r="C372" s="91">
        <v>44754</v>
      </c>
      <c r="D372" s="91">
        <v>44756</v>
      </c>
      <c r="E372" s="24">
        <v>4</v>
      </c>
      <c r="F372" s="92" t="s">
        <v>22</v>
      </c>
      <c r="G372" s="55" t="s">
        <v>3512</v>
      </c>
      <c r="H372" s="55" t="s">
        <v>8281</v>
      </c>
      <c r="I372" s="55" t="s">
        <v>3512</v>
      </c>
      <c r="J372" s="91">
        <v>44757</v>
      </c>
      <c r="K372" s="91">
        <v>44757</v>
      </c>
      <c r="L372" s="93">
        <f t="shared" si="12"/>
        <v>1</v>
      </c>
      <c r="M372" s="55" t="s">
        <v>8298</v>
      </c>
      <c r="N372" s="90" t="s">
        <v>1104</v>
      </c>
      <c r="O372" s="55" t="s">
        <v>1026</v>
      </c>
      <c r="P372" s="94" t="s">
        <v>7078</v>
      </c>
      <c r="Q372" s="90" t="str">
        <f t="shared" si="11"/>
        <v>DENTRO DEL TIEMPO</v>
      </c>
      <c r="R372" s="24"/>
    </row>
    <row r="373" spans="1:18" ht="33.75" x14ac:dyDescent="0.25">
      <c r="A373" s="89">
        <v>368</v>
      </c>
      <c r="B373" s="90" t="s">
        <v>8299</v>
      </c>
      <c r="C373" s="91">
        <v>44708</v>
      </c>
      <c r="D373" s="91">
        <v>44757</v>
      </c>
      <c r="E373" s="24">
        <v>3</v>
      </c>
      <c r="F373" s="92" t="s">
        <v>22</v>
      </c>
      <c r="G373" s="55" t="s">
        <v>1101</v>
      </c>
      <c r="H373" s="55" t="s">
        <v>1102</v>
      </c>
      <c r="I373" s="55" t="s">
        <v>1101</v>
      </c>
      <c r="J373" s="91">
        <v>44759</v>
      </c>
      <c r="K373" s="91">
        <v>44759</v>
      </c>
      <c r="L373" s="93">
        <f t="shared" si="12"/>
        <v>0</v>
      </c>
      <c r="M373" s="55" t="s">
        <v>8300</v>
      </c>
      <c r="N373" s="90" t="s">
        <v>1104</v>
      </c>
      <c r="O373" s="55" t="s">
        <v>1026</v>
      </c>
      <c r="P373" s="94" t="s">
        <v>7078</v>
      </c>
      <c r="Q373" s="90" t="str">
        <f t="shared" si="11"/>
        <v>DENTRO DEL TIEMPO</v>
      </c>
      <c r="R373" s="24"/>
    </row>
    <row r="374" spans="1:18" ht="33.75" x14ac:dyDescent="0.25">
      <c r="A374" s="89">
        <v>369</v>
      </c>
      <c r="B374" s="90" t="s">
        <v>8301</v>
      </c>
      <c r="C374" s="91">
        <v>44749</v>
      </c>
      <c r="D374" s="91">
        <v>44757</v>
      </c>
      <c r="E374" s="24">
        <v>1</v>
      </c>
      <c r="F374" s="92" t="s">
        <v>22</v>
      </c>
      <c r="G374" s="55" t="s">
        <v>1101</v>
      </c>
      <c r="H374" s="55" t="s">
        <v>1102</v>
      </c>
      <c r="I374" s="55" t="s">
        <v>1101</v>
      </c>
      <c r="J374" s="91">
        <v>44769</v>
      </c>
      <c r="K374" s="91">
        <v>44769</v>
      </c>
      <c r="L374" s="93">
        <f t="shared" si="12"/>
        <v>8</v>
      </c>
      <c r="M374" s="55" t="s">
        <v>8302</v>
      </c>
      <c r="N374" s="90" t="s">
        <v>1104</v>
      </c>
      <c r="O374" s="55" t="s">
        <v>1026</v>
      </c>
      <c r="P374" s="94" t="s">
        <v>7078</v>
      </c>
      <c r="Q374" s="90" t="str">
        <f t="shared" si="11"/>
        <v>DENTRO DEL TIEMPO</v>
      </c>
      <c r="R374" s="24"/>
    </row>
    <row r="375" spans="1:18" ht="33.75" x14ac:dyDescent="0.25">
      <c r="A375" s="89">
        <v>370</v>
      </c>
      <c r="B375" s="90" t="s">
        <v>8303</v>
      </c>
      <c r="C375" s="91">
        <v>44749</v>
      </c>
      <c r="D375" s="91">
        <v>44757</v>
      </c>
      <c r="E375" s="24">
        <v>1</v>
      </c>
      <c r="F375" s="92" t="s">
        <v>22</v>
      </c>
      <c r="G375" s="55" t="s">
        <v>1101</v>
      </c>
      <c r="H375" s="55" t="s">
        <v>1102</v>
      </c>
      <c r="I375" s="55" t="s">
        <v>1101</v>
      </c>
      <c r="J375" s="91">
        <v>44762</v>
      </c>
      <c r="K375" s="91">
        <v>44762</v>
      </c>
      <c r="L375" s="93">
        <f t="shared" si="12"/>
        <v>3</v>
      </c>
      <c r="M375" s="55" t="s">
        <v>8304</v>
      </c>
      <c r="N375" s="90" t="s">
        <v>1104</v>
      </c>
      <c r="O375" s="55" t="s">
        <v>1026</v>
      </c>
      <c r="P375" s="94" t="s">
        <v>7078</v>
      </c>
      <c r="Q375" s="90" t="str">
        <f t="shared" si="11"/>
        <v>DENTRO DEL TIEMPO</v>
      </c>
      <c r="R375" s="24"/>
    </row>
    <row r="376" spans="1:18" ht="33.75" x14ac:dyDescent="0.25">
      <c r="A376" s="89">
        <v>371</v>
      </c>
      <c r="B376" s="90" t="s">
        <v>8305</v>
      </c>
      <c r="C376" s="91">
        <v>44757</v>
      </c>
      <c r="D376" s="91">
        <v>44757</v>
      </c>
      <c r="E376" s="24">
        <v>1</v>
      </c>
      <c r="F376" s="92" t="s">
        <v>22</v>
      </c>
      <c r="G376" s="55" t="s">
        <v>1101</v>
      </c>
      <c r="H376" s="55" t="s">
        <v>1102</v>
      </c>
      <c r="I376" s="55" t="s">
        <v>1101</v>
      </c>
      <c r="J376" s="91">
        <v>44763</v>
      </c>
      <c r="K376" s="91">
        <v>44763</v>
      </c>
      <c r="L376" s="93">
        <f t="shared" si="12"/>
        <v>4</v>
      </c>
      <c r="M376" s="55" t="s">
        <v>8306</v>
      </c>
      <c r="N376" s="90" t="s">
        <v>1104</v>
      </c>
      <c r="O376" s="55" t="s">
        <v>1026</v>
      </c>
      <c r="P376" s="94" t="s">
        <v>7078</v>
      </c>
      <c r="Q376" s="90" t="str">
        <f t="shared" si="11"/>
        <v>DENTRO DEL TIEMPO</v>
      </c>
      <c r="R376" s="24"/>
    </row>
    <row r="377" spans="1:18" ht="33.75" x14ac:dyDescent="0.25">
      <c r="A377" s="89">
        <v>372</v>
      </c>
      <c r="B377" s="90" t="s">
        <v>8307</v>
      </c>
      <c r="C377" s="91">
        <v>44757</v>
      </c>
      <c r="D377" s="91">
        <v>44757</v>
      </c>
      <c r="E377" s="24">
        <v>3</v>
      </c>
      <c r="F377" s="92" t="s">
        <v>22</v>
      </c>
      <c r="G377" s="55" t="s">
        <v>1101</v>
      </c>
      <c r="H377" s="55" t="s">
        <v>1102</v>
      </c>
      <c r="I377" s="55" t="s">
        <v>1101</v>
      </c>
      <c r="J377" s="91">
        <v>44763</v>
      </c>
      <c r="K377" s="91">
        <v>44763</v>
      </c>
      <c r="L377" s="93">
        <f t="shared" si="12"/>
        <v>4</v>
      </c>
      <c r="M377" s="55" t="s">
        <v>8308</v>
      </c>
      <c r="N377" s="90" t="s">
        <v>1104</v>
      </c>
      <c r="O377" s="55" t="s">
        <v>1026</v>
      </c>
      <c r="P377" s="94" t="s">
        <v>7078</v>
      </c>
      <c r="Q377" s="90" t="str">
        <f t="shared" si="11"/>
        <v>DENTRO DEL TIEMPO</v>
      </c>
      <c r="R377" s="24"/>
    </row>
    <row r="378" spans="1:18" ht="33.75" x14ac:dyDescent="0.25">
      <c r="A378" s="89">
        <v>373</v>
      </c>
      <c r="B378" s="90" t="s">
        <v>8309</v>
      </c>
      <c r="C378" s="91">
        <v>44757</v>
      </c>
      <c r="D378" s="91">
        <v>44757</v>
      </c>
      <c r="E378" s="24">
        <v>3</v>
      </c>
      <c r="F378" s="92" t="s">
        <v>22</v>
      </c>
      <c r="G378" s="55" t="s">
        <v>1101</v>
      </c>
      <c r="H378" s="55" t="s">
        <v>1102</v>
      </c>
      <c r="I378" s="55" t="s">
        <v>1101</v>
      </c>
      <c r="J378" s="91">
        <v>44763</v>
      </c>
      <c r="K378" s="91">
        <v>44763</v>
      </c>
      <c r="L378" s="93">
        <f t="shared" si="12"/>
        <v>4</v>
      </c>
      <c r="M378" s="55" t="s">
        <v>8310</v>
      </c>
      <c r="N378" s="90" t="s">
        <v>1104</v>
      </c>
      <c r="O378" s="55" t="s">
        <v>1026</v>
      </c>
      <c r="P378" s="94" t="s">
        <v>7078</v>
      </c>
      <c r="Q378" s="90" t="str">
        <f t="shared" si="11"/>
        <v>DENTRO DEL TIEMPO</v>
      </c>
      <c r="R378" s="24"/>
    </row>
    <row r="379" spans="1:18" ht="33.75" x14ac:dyDescent="0.25">
      <c r="A379" s="89">
        <v>374</v>
      </c>
      <c r="B379" s="90" t="s">
        <v>8311</v>
      </c>
      <c r="C379" s="91">
        <v>44757</v>
      </c>
      <c r="D379" s="91">
        <v>44757</v>
      </c>
      <c r="E379" s="24">
        <v>3</v>
      </c>
      <c r="F379" s="92" t="s">
        <v>22</v>
      </c>
      <c r="G379" s="55" t="s">
        <v>1101</v>
      </c>
      <c r="H379" s="55" t="s">
        <v>1102</v>
      </c>
      <c r="I379" s="55" t="s">
        <v>1101</v>
      </c>
      <c r="J379" s="91">
        <v>44763</v>
      </c>
      <c r="K379" s="91">
        <v>44763</v>
      </c>
      <c r="L379" s="93">
        <f t="shared" si="12"/>
        <v>4</v>
      </c>
      <c r="M379" s="55" t="s">
        <v>8312</v>
      </c>
      <c r="N379" s="90" t="s">
        <v>1104</v>
      </c>
      <c r="O379" s="55" t="s">
        <v>1026</v>
      </c>
      <c r="P379" s="94" t="s">
        <v>7078</v>
      </c>
      <c r="Q379" s="90" t="str">
        <f t="shared" si="11"/>
        <v>DENTRO DEL TIEMPO</v>
      </c>
      <c r="R379" s="24"/>
    </row>
    <row r="380" spans="1:18" ht="33.75" x14ac:dyDescent="0.25">
      <c r="A380" s="89">
        <v>375</v>
      </c>
      <c r="B380" s="90" t="s">
        <v>8313</v>
      </c>
      <c r="C380" s="91">
        <v>44760</v>
      </c>
      <c r="D380" s="91">
        <v>44757</v>
      </c>
      <c r="E380" s="24">
        <v>1</v>
      </c>
      <c r="F380" s="92" t="s">
        <v>22</v>
      </c>
      <c r="G380" s="55" t="s">
        <v>1101</v>
      </c>
      <c r="H380" s="55" t="s">
        <v>1102</v>
      </c>
      <c r="I380" s="55" t="s">
        <v>1101</v>
      </c>
      <c r="J380" s="91">
        <v>44757</v>
      </c>
      <c r="K380" s="91">
        <v>44757</v>
      </c>
      <c r="L380" s="93">
        <f t="shared" si="12"/>
        <v>0</v>
      </c>
      <c r="M380" s="55" t="s">
        <v>7198</v>
      </c>
      <c r="N380" s="90" t="s">
        <v>1104</v>
      </c>
      <c r="O380" s="55" t="s">
        <v>1026</v>
      </c>
      <c r="P380" s="94" t="s">
        <v>7078</v>
      </c>
      <c r="Q380" s="90" t="str">
        <f t="shared" si="11"/>
        <v>DENTRO DEL TIEMPO</v>
      </c>
      <c r="R380" s="24"/>
    </row>
    <row r="381" spans="1:18" ht="33.75" x14ac:dyDescent="0.25">
      <c r="A381" s="89">
        <v>376</v>
      </c>
      <c r="B381" s="90" t="s">
        <v>8314</v>
      </c>
      <c r="C381" s="91">
        <v>44767</v>
      </c>
      <c r="D381" s="91">
        <v>44757</v>
      </c>
      <c r="E381" s="24">
        <v>4</v>
      </c>
      <c r="F381" s="92" t="s">
        <v>22</v>
      </c>
      <c r="G381" s="55" t="s">
        <v>1101</v>
      </c>
      <c r="H381" s="55" t="s">
        <v>1102</v>
      </c>
      <c r="I381" s="55" t="s">
        <v>1101</v>
      </c>
      <c r="J381" s="91">
        <v>44769</v>
      </c>
      <c r="K381" s="91">
        <v>44769</v>
      </c>
      <c r="L381" s="93">
        <f t="shared" si="12"/>
        <v>8</v>
      </c>
      <c r="M381" s="55" t="s">
        <v>8315</v>
      </c>
      <c r="N381" s="90" t="s">
        <v>1104</v>
      </c>
      <c r="O381" s="55" t="s">
        <v>1026</v>
      </c>
      <c r="P381" s="94" t="s">
        <v>7078</v>
      </c>
      <c r="Q381" s="90" t="str">
        <f t="shared" si="11"/>
        <v>DENTRO DEL TIEMPO</v>
      </c>
      <c r="R381" s="24"/>
    </row>
    <row r="382" spans="1:18" ht="33.75" x14ac:dyDescent="0.25">
      <c r="A382" s="89">
        <v>377</v>
      </c>
      <c r="B382" s="90" t="s">
        <v>8316</v>
      </c>
      <c r="C382" s="91">
        <v>44757</v>
      </c>
      <c r="D382" s="91">
        <v>44760</v>
      </c>
      <c r="E382" s="24">
        <v>1</v>
      </c>
      <c r="F382" s="92" t="s">
        <v>22</v>
      </c>
      <c r="G382" s="55" t="s">
        <v>1101</v>
      </c>
      <c r="H382" s="55" t="s">
        <v>1102</v>
      </c>
      <c r="I382" s="55" t="s">
        <v>1101</v>
      </c>
      <c r="J382" s="91">
        <v>44764</v>
      </c>
      <c r="K382" s="91">
        <v>44764</v>
      </c>
      <c r="L382" s="93">
        <f t="shared" si="12"/>
        <v>4</v>
      </c>
      <c r="M382" s="55" t="s">
        <v>8312</v>
      </c>
      <c r="N382" s="90" t="s">
        <v>1104</v>
      </c>
      <c r="O382" s="55" t="s">
        <v>1026</v>
      </c>
      <c r="P382" s="94" t="s">
        <v>7078</v>
      </c>
      <c r="Q382" s="90" t="str">
        <f t="shared" si="11"/>
        <v>DENTRO DEL TIEMPO</v>
      </c>
      <c r="R382" s="24"/>
    </row>
    <row r="383" spans="1:18" ht="33.75" x14ac:dyDescent="0.25">
      <c r="A383" s="89">
        <v>378</v>
      </c>
      <c r="B383" s="90" t="s">
        <v>8317</v>
      </c>
      <c r="C383" s="91">
        <v>44760</v>
      </c>
      <c r="D383" s="91">
        <v>44760</v>
      </c>
      <c r="E383" s="24">
        <v>40</v>
      </c>
      <c r="F383" s="92" t="s">
        <v>22</v>
      </c>
      <c r="G383" s="55" t="s">
        <v>1101</v>
      </c>
      <c r="H383" s="55" t="s">
        <v>1102</v>
      </c>
      <c r="I383" s="55" t="s">
        <v>1101</v>
      </c>
      <c r="J383" s="91">
        <v>44760</v>
      </c>
      <c r="K383" s="91">
        <v>44760</v>
      </c>
      <c r="L383" s="93">
        <f t="shared" si="12"/>
        <v>0</v>
      </c>
      <c r="M383" s="55" t="s">
        <v>8318</v>
      </c>
      <c r="N383" s="90" t="s">
        <v>1104</v>
      </c>
      <c r="O383" s="55" t="s">
        <v>1026</v>
      </c>
      <c r="P383" s="94" t="s">
        <v>7078</v>
      </c>
      <c r="Q383" s="90" t="str">
        <f t="shared" si="11"/>
        <v>DENTRO DEL TIEMPO</v>
      </c>
      <c r="R383" s="24"/>
    </row>
    <row r="384" spans="1:18" ht="33.75" x14ac:dyDescent="0.25">
      <c r="A384" s="89">
        <v>379</v>
      </c>
      <c r="B384" s="90" t="s">
        <v>8319</v>
      </c>
      <c r="C384" s="91">
        <v>44760</v>
      </c>
      <c r="D384" s="91">
        <v>44760</v>
      </c>
      <c r="E384" s="24">
        <f>55+1+7</f>
        <v>63</v>
      </c>
      <c r="F384" s="92" t="s">
        <v>22</v>
      </c>
      <c r="G384" s="55" t="s">
        <v>1101</v>
      </c>
      <c r="H384" s="55" t="s">
        <v>1102</v>
      </c>
      <c r="I384" s="55" t="s">
        <v>1101</v>
      </c>
      <c r="J384" s="91">
        <v>44769</v>
      </c>
      <c r="K384" s="91">
        <v>44769</v>
      </c>
      <c r="L384" s="93">
        <f t="shared" si="12"/>
        <v>7</v>
      </c>
      <c r="M384" s="55" t="s">
        <v>8320</v>
      </c>
      <c r="N384" s="90" t="s">
        <v>1104</v>
      </c>
      <c r="O384" s="55" t="s">
        <v>1026</v>
      </c>
      <c r="P384" s="94" t="s">
        <v>7078</v>
      </c>
      <c r="Q384" s="90" t="str">
        <f t="shared" si="11"/>
        <v>DENTRO DEL TIEMPO</v>
      </c>
      <c r="R384" s="24"/>
    </row>
    <row r="385" spans="1:18" ht="33.75" x14ac:dyDescent="0.25">
      <c r="A385" s="89">
        <v>380</v>
      </c>
      <c r="B385" s="90" t="s">
        <v>8321</v>
      </c>
      <c r="C385" s="91">
        <v>44760</v>
      </c>
      <c r="D385" s="91">
        <v>44760</v>
      </c>
      <c r="E385" s="24">
        <v>55</v>
      </c>
      <c r="F385" s="92" t="s">
        <v>22</v>
      </c>
      <c r="G385" s="55" t="s">
        <v>1101</v>
      </c>
      <c r="H385" s="55" t="s">
        <v>1102</v>
      </c>
      <c r="I385" s="55" t="s">
        <v>1101</v>
      </c>
      <c r="J385" s="91">
        <v>44769</v>
      </c>
      <c r="K385" s="91">
        <v>44769</v>
      </c>
      <c r="L385" s="93">
        <f t="shared" si="12"/>
        <v>7</v>
      </c>
      <c r="M385" s="55" t="s">
        <v>8322</v>
      </c>
      <c r="N385" s="90" t="s">
        <v>1104</v>
      </c>
      <c r="O385" s="55" t="s">
        <v>1026</v>
      </c>
      <c r="P385" s="94" t="s">
        <v>7078</v>
      </c>
      <c r="Q385" s="90" t="str">
        <f t="shared" si="11"/>
        <v>DENTRO DEL TIEMPO</v>
      </c>
      <c r="R385" s="24"/>
    </row>
    <row r="386" spans="1:18" ht="33.75" x14ac:dyDescent="0.25">
      <c r="A386" s="89">
        <v>381</v>
      </c>
      <c r="B386" s="90" t="s">
        <v>8323</v>
      </c>
      <c r="C386" s="91">
        <v>44760</v>
      </c>
      <c r="D386" s="91">
        <v>44760</v>
      </c>
      <c r="E386" s="24">
        <v>30</v>
      </c>
      <c r="F386" s="92" t="s">
        <v>22</v>
      </c>
      <c r="G386" s="55" t="s">
        <v>1101</v>
      </c>
      <c r="H386" s="55" t="s">
        <v>1102</v>
      </c>
      <c r="I386" s="55" t="s">
        <v>1101</v>
      </c>
      <c r="J386" s="91">
        <v>44760</v>
      </c>
      <c r="K386" s="91">
        <v>44760</v>
      </c>
      <c r="L386" s="93">
        <f t="shared" si="12"/>
        <v>0</v>
      </c>
      <c r="M386" s="55" t="s">
        <v>8324</v>
      </c>
      <c r="N386" s="90" t="s">
        <v>1104</v>
      </c>
      <c r="O386" s="55" t="s">
        <v>1026</v>
      </c>
      <c r="P386" s="94" t="s">
        <v>7078</v>
      </c>
      <c r="Q386" s="90" t="str">
        <f t="shared" si="11"/>
        <v>DENTRO DEL TIEMPO</v>
      </c>
      <c r="R386" s="24"/>
    </row>
    <row r="387" spans="1:18" ht="33.75" x14ac:dyDescent="0.25">
      <c r="A387" s="89">
        <v>382</v>
      </c>
      <c r="B387" s="90" t="s">
        <v>8325</v>
      </c>
      <c r="C387" s="91">
        <v>44760</v>
      </c>
      <c r="D387" s="91">
        <v>44760</v>
      </c>
      <c r="E387" s="24">
        <v>87</v>
      </c>
      <c r="F387" s="92" t="s">
        <v>22</v>
      </c>
      <c r="G387" s="55" t="s">
        <v>1101</v>
      </c>
      <c r="H387" s="55" t="s">
        <v>1102</v>
      </c>
      <c r="I387" s="55" t="s">
        <v>1101</v>
      </c>
      <c r="J387" s="91">
        <v>44760</v>
      </c>
      <c r="K387" s="91">
        <v>44760</v>
      </c>
      <c r="L387" s="93">
        <f t="shared" si="12"/>
        <v>0</v>
      </c>
      <c r="M387" s="55" t="s">
        <v>8326</v>
      </c>
      <c r="N387" s="90" t="s">
        <v>1104</v>
      </c>
      <c r="O387" s="55" t="s">
        <v>1026</v>
      </c>
      <c r="P387" s="94" t="s">
        <v>7078</v>
      </c>
      <c r="Q387" s="90" t="str">
        <f t="shared" si="11"/>
        <v>DENTRO DEL TIEMPO</v>
      </c>
      <c r="R387" s="24"/>
    </row>
    <row r="388" spans="1:18" ht="33.75" x14ac:dyDescent="0.25">
      <c r="A388" s="89">
        <v>383</v>
      </c>
      <c r="B388" s="90" t="s">
        <v>8327</v>
      </c>
      <c r="C388" s="91">
        <v>44760</v>
      </c>
      <c r="D388" s="91">
        <v>44760</v>
      </c>
      <c r="E388" s="24">
        <v>1</v>
      </c>
      <c r="F388" s="92" t="s">
        <v>22</v>
      </c>
      <c r="G388" s="55" t="s">
        <v>1101</v>
      </c>
      <c r="H388" s="55" t="s">
        <v>1102</v>
      </c>
      <c r="I388" s="55" t="s">
        <v>1101</v>
      </c>
      <c r="J388" s="91">
        <v>44764</v>
      </c>
      <c r="K388" s="91">
        <v>44764</v>
      </c>
      <c r="L388" s="93">
        <f t="shared" si="12"/>
        <v>4</v>
      </c>
      <c r="M388" s="55" t="s">
        <v>8328</v>
      </c>
      <c r="N388" s="90" t="s">
        <v>1104</v>
      </c>
      <c r="O388" s="55" t="s">
        <v>1026</v>
      </c>
      <c r="P388" s="94" t="s">
        <v>7078</v>
      </c>
      <c r="Q388" s="90" t="str">
        <f t="shared" si="11"/>
        <v>DENTRO DEL TIEMPO</v>
      </c>
      <c r="R388" s="24"/>
    </row>
    <row r="389" spans="1:18" ht="33.75" x14ac:dyDescent="0.25">
      <c r="A389" s="89">
        <v>384</v>
      </c>
      <c r="B389" s="90" t="s">
        <v>8329</v>
      </c>
      <c r="C389" s="91">
        <v>44762</v>
      </c>
      <c r="D389" s="91">
        <v>44760</v>
      </c>
      <c r="E389" s="24">
        <f>4+3+12</f>
        <v>19</v>
      </c>
      <c r="F389" s="92" t="s">
        <v>22</v>
      </c>
      <c r="G389" s="55" t="s">
        <v>1101</v>
      </c>
      <c r="H389" s="55" t="s">
        <v>1102</v>
      </c>
      <c r="I389" s="55" t="s">
        <v>1101</v>
      </c>
      <c r="J389" s="91">
        <v>44770</v>
      </c>
      <c r="K389" s="91">
        <v>44770</v>
      </c>
      <c r="L389" s="93">
        <f t="shared" si="12"/>
        <v>8</v>
      </c>
      <c r="M389" s="55" t="s">
        <v>8330</v>
      </c>
      <c r="N389" s="90" t="s">
        <v>1104</v>
      </c>
      <c r="O389" s="55" t="s">
        <v>1026</v>
      </c>
      <c r="P389" s="94" t="s">
        <v>7078</v>
      </c>
      <c r="Q389" s="90" t="str">
        <f t="shared" si="11"/>
        <v>DENTRO DEL TIEMPO</v>
      </c>
      <c r="R389" s="24"/>
    </row>
    <row r="390" spans="1:18" ht="33.75" x14ac:dyDescent="0.25">
      <c r="A390" s="89">
        <v>385</v>
      </c>
      <c r="B390" s="90" t="s">
        <v>8331</v>
      </c>
      <c r="C390" s="91">
        <v>44726</v>
      </c>
      <c r="D390" s="91">
        <v>44761</v>
      </c>
      <c r="E390" s="24">
        <v>11</v>
      </c>
      <c r="F390" s="92" t="s">
        <v>22</v>
      </c>
      <c r="G390" s="55" t="s">
        <v>1101</v>
      </c>
      <c r="H390" s="55" t="s">
        <v>1102</v>
      </c>
      <c r="I390" s="55" t="s">
        <v>1101</v>
      </c>
      <c r="J390" s="91">
        <v>44771</v>
      </c>
      <c r="K390" s="91">
        <v>44771</v>
      </c>
      <c r="L390" s="93">
        <f t="shared" si="12"/>
        <v>8</v>
      </c>
      <c r="M390" s="55" t="s">
        <v>8332</v>
      </c>
      <c r="N390" s="90" t="s">
        <v>1104</v>
      </c>
      <c r="O390" s="55" t="s">
        <v>1026</v>
      </c>
      <c r="P390" s="94" t="s">
        <v>7078</v>
      </c>
      <c r="Q390" s="90" t="str">
        <f t="shared" si="11"/>
        <v>DENTRO DEL TIEMPO</v>
      </c>
      <c r="R390" s="24"/>
    </row>
    <row r="391" spans="1:18" ht="33.75" x14ac:dyDescent="0.25">
      <c r="A391" s="89">
        <v>386</v>
      </c>
      <c r="B391" s="90" t="s">
        <v>8333</v>
      </c>
      <c r="C391" s="91">
        <v>44729</v>
      </c>
      <c r="D391" s="91">
        <v>44761</v>
      </c>
      <c r="E391" s="24">
        <v>36</v>
      </c>
      <c r="F391" s="92" t="s">
        <v>22</v>
      </c>
      <c r="G391" s="55" t="s">
        <v>1101</v>
      </c>
      <c r="H391" s="55" t="s">
        <v>1102</v>
      </c>
      <c r="I391" s="55" t="s">
        <v>1101</v>
      </c>
      <c r="J391" s="91">
        <v>44761</v>
      </c>
      <c r="K391" s="91">
        <v>44761</v>
      </c>
      <c r="L391" s="93">
        <f t="shared" si="12"/>
        <v>0</v>
      </c>
      <c r="M391" s="55" t="s">
        <v>8334</v>
      </c>
      <c r="N391" s="90" t="s">
        <v>1104</v>
      </c>
      <c r="O391" s="55" t="s">
        <v>1026</v>
      </c>
      <c r="P391" s="94" t="s">
        <v>7078</v>
      </c>
      <c r="Q391" s="90" t="str">
        <f t="shared" ref="Q391:Q429" si="13">IF(L391&gt;15,"FUERA DE TIEMPO","DENTRO DEL TIEMPO")</f>
        <v>DENTRO DEL TIEMPO</v>
      </c>
      <c r="R391" s="24"/>
    </row>
    <row r="392" spans="1:18" ht="33.75" x14ac:dyDescent="0.25">
      <c r="A392" s="89">
        <v>387</v>
      </c>
      <c r="B392" s="90" t="s">
        <v>8335</v>
      </c>
      <c r="C392" s="91">
        <v>44761</v>
      </c>
      <c r="D392" s="91">
        <v>44761</v>
      </c>
      <c r="E392" s="24">
        <v>7</v>
      </c>
      <c r="F392" s="92" t="s">
        <v>22</v>
      </c>
      <c r="G392" s="55" t="s">
        <v>1101</v>
      </c>
      <c r="H392" s="55" t="s">
        <v>1102</v>
      </c>
      <c r="I392" s="55" t="s">
        <v>1101</v>
      </c>
      <c r="J392" s="91">
        <v>44771</v>
      </c>
      <c r="K392" s="91">
        <v>44771</v>
      </c>
      <c r="L392" s="93">
        <f t="shared" si="12"/>
        <v>8</v>
      </c>
      <c r="M392" s="55" t="s">
        <v>8336</v>
      </c>
      <c r="N392" s="90" t="s">
        <v>1104</v>
      </c>
      <c r="O392" s="55" t="s">
        <v>1026</v>
      </c>
      <c r="P392" s="94" t="s">
        <v>7078</v>
      </c>
      <c r="Q392" s="90" t="str">
        <f t="shared" si="13"/>
        <v>DENTRO DEL TIEMPO</v>
      </c>
      <c r="R392" s="24"/>
    </row>
    <row r="393" spans="1:18" ht="33.75" x14ac:dyDescent="0.25">
      <c r="A393" s="89">
        <v>388</v>
      </c>
      <c r="B393" s="90" t="s">
        <v>8337</v>
      </c>
      <c r="C393" s="91">
        <v>44762</v>
      </c>
      <c r="D393" s="91">
        <v>44762</v>
      </c>
      <c r="E393" s="24">
        <v>2</v>
      </c>
      <c r="F393" s="92" t="s">
        <v>22</v>
      </c>
      <c r="G393" s="55" t="s">
        <v>1101</v>
      </c>
      <c r="H393" s="55" t="s">
        <v>1102</v>
      </c>
      <c r="I393" s="55" t="s">
        <v>1101</v>
      </c>
      <c r="J393" s="91">
        <v>44774</v>
      </c>
      <c r="K393" s="91">
        <v>44774</v>
      </c>
      <c r="L393" s="93">
        <f t="shared" si="12"/>
        <v>8</v>
      </c>
      <c r="M393" s="55" t="s">
        <v>8338</v>
      </c>
      <c r="N393" s="90" t="s">
        <v>1104</v>
      </c>
      <c r="O393" s="55" t="s">
        <v>1026</v>
      </c>
      <c r="P393" s="94" t="s">
        <v>7078</v>
      </c>
      <c r="Q393" s="90" t="str">
        <f t="shared" si="13"/>
        <v>DENTRO DEL TIEMPO</v>
      </c>
      <c r="R393" s="24"/>
    </row>
    <row r="394" spans="1:18" ht="33.75" x14ac:dyDescent="0.25">
      <c r="A394" s="89">
        <v>389</v>
      </c>
      <c r="B394" s="90" t="s">
        <v>8339</v>
      </c>
      <c r="C394" s="91">
        <v>44769</v>
      </c>
      <c r="D394" s="91">
        <v>44762</v>
      </c>
      <c r="E394" s="24">
        <v>102</v>
      </c>
      <c r="F394" s="92" t="s">
        <v>22</v>
      </c>
      <c r="G394" s="55" t="s">
        <v>1101</v>
      </c>
      <c r="H394" s="55" t="s">
        <v>1102</v>
      </c>
      <c r="I394" s="55" t="s">
        <v>1101</v>
      </c>
      <c r="J394" s="91">
        <v>44771</v>
      </c>
      <c r="K394" s="91">
        <v>44771</v>
      </c>
      <c r="L394" s="93">
        <f t="shared" si="12"/>
        <v>7</v>
      </c>
      <c r="M394" s="55" t="s">
        <v>8340</v>
      </c>
      <c r="N394" s="90" t="s">
        <v>1104</v>
      </c>
      <c r="O394" s="55" t="s">
        <v>1026</v>
      </c>
      <c r="P394" s="94" t="s">
        <v>7078</v>
      </c>
      <c r="Q394" s="90" t="str">
        <f t="shared" si="13"/>
        <v>DENTRO DEL TIEMPO</v>
      </c>
      <c r="R394" s="24"/>
    </row>
    <row r="395" spans="1:18" ht="33.75" x14ac:dyDescent="0.25">
      <c r="A395" s="89">
        <v>390</v>
      </c>
      <c r="B395" s="90" t="s">
        <v>8341</v>
      </c>
      <c r="C395" s="91">
        <v>44757</v>
      </c>
      <c r="D395" s="91">
        <v>44763</v>
      </c>
      <c r="E395" s="24">
        <v>4</v>
      </c>
      <c r="F395" s="92" t="s">
        <v>22</v>
      </c>
      <c r="G395" s="55" t="s">
        <v>1101</v>
      </c>
      <c r="H395" s="55" t="s">
        <v>1102</v>
      </c>
      <c r="I395" s="55" t="s">
        <v>1101</v>
      </c>
      <c r="J395" s="91">
        <v>44763</v>
      </c>
      <c r="K395" s="91">
        <v>44763</v>
      </c>
      <c r="L395" s="93">
        <f t="shared" si="12"/>
        <v>0</v>
      </c>
      <c r="M395" s="55" t="s">
        <v>8342</v>
      </c>
      <c r="N395" s="90" t="s">
        <v>1104</v>
      </c>
      <c r="O395" s="55" t="s">
        <v>1026</v>
      </c>
      <c r="P395" s="94" t="s">
        <v>7078</v>
      </c>
      <c r="Q395" s="90" t="str">
        <f t="shared" si="13"/>
        <v>DENTRO DEL TIEMPO</v>
      </c>
      <c r="R395" s="24"/>
    </row>
    <row r="396" spans="1:18" ht="33.75" x14ac:dyDescent="0.25">
      <c r="A396" s="89">
        <v>391</v>
      </c>
      <c r="B396" s="90" t="s">
        <v>8343</v>
      </c>
      <c r="C396" s="91">
        <v>44762</v>
      </c>
      <c r="D396" s="91">
        <v>44763</v>
      </c>
      <c r="E396" s="24">
        <v>1</v>
      </c>
      <c r="F396" s="92" t="s">
        <v>22</v>
      </c>
      <c r="G396" s="55" t="s">
        <v>1101</v>
      </c>
      <c r="H396" s="55" t="s">
        <v>1102</v>
      </c>
      <c r="I396" s="55" t="s">
        <v>1101</v>
      </c>
      <c r="J396" s="91">
        <v>44774</v>
      </c>
      <c r="K396" s="91">
        <v>44774</v>
      </c>
      <c r="L396" s="93">
        <f t="shared" si="12"/>
        <v>7</v>
      </c>
      <c r="M396" s="55" t="s">
        <v>8344</v>
      </c>
      <c r="N396" s="90" t="s">
        <v>1104</v>
      </c>
      <c r="O396" s="55" t="s">
        <v>1026</v>
      </c>
      <c r="P396" s="94" t="s">
        <v>7078</v>
      </c>
      <c r="Q396" s="90" t="str">
        <f t="shared" si="13"/>
        <v>DENTRO DEL TIEMPO</v>
      </c>
      <c r="R396" s="24"/>
    </row>
    <row r="397" spans="1:18" ht="33.75" x14ac:dyDescent="0.25">
      <c r="A397" s="89">
        <v>392</v>
      </c>
      <c r="B397" s="90" t="s">
        <v>8345</v>
      </c>
      <c r="C397" s="91">
        <v>44763</v>
      </c>
      <c r="D397" s="91">
        <v>44763</v>
      </c>
      <c r="E397" s="24">
        <v>6</v>
      </c>
      <c r="F397" s="92" t="s">
        <v>22</v>
      </c>
      <c r="G397" s="55" t="s">
        <v>1101</v>
      </c>
      <c r="H397" s="55" t="s">
        <v>1102</v>
      </c>
      <c r="I397" s="55" t="s">
        <v>1101</v>
      </c>
      <c r="J397" s="91">
        <v>44774</v>
      </c>
      <c r="K397" s="91">
        <v>44774</v>
      </c>
      <c r="L397" s="93">
        <f t="shared" si="12"/>
        <v>7</v>
      </c>
      <c r="M397" s="55" t="s">
        <v>8346</v>
      </c>
      <c r="N397" s="90" t="s">
        <v>1104</v>
      </c>
      <c r="O397" s="55" t="s">
        <v>1026</v>
      </c>
      <c r="P397" s="94" t="s">
        <v>7078</v>
      </c>
      <c r="Q397" s="90" t="str">
        <f t="shared" si="13"/>
        <v>DENTRO DEL TIEMPO</v>
      </c>
      <c r="R397" s="24"/>
    </row>
    <row r="398" spans="1:18" ht="33.75" x14ac:dyDescent="0.25">
      <c r="A398" s="89">
        <v>393</v>
      </c>
      <c r="B398" s="90" t="s">
        <v>8347</v>
      </c>
      <c r="C398" s="91">
        <v>44763</v>
      </c>
      <c r="D398" s="91">
        <v>44763</v>
      </c>
      <c r="E398" s="24">
        <v>1</v>
      </c>
      <c r="F398" s="92" t="s">
        <v>22</v>
      </c>
      <c r="G398" s="55" t="s">
        <v>1101</v>
      </c>
      <c r="H398" s="55" t="s">
        <v>1102</v>
      </c>
      <c r="I398" s="55" t="s">
        <v>1101</v>
      </c>
      <c r="J398" s="91">
        <v>44774</v>
      </c>
      <c r="K398" s="91">
        <v>44774</v>
      </c>
      <c r="L398" s="93">
        <f t="shared" si="12"/>
        <v>7</v>
      </c>
      <c r="M398" s="55" t="s">
        <v>8348</v>
      </c>
      <c r="N398" s="90" t="s">
        <v>1104</v>
      </c>
      <c r="O398" s="55" t="s">
        <v>1026</v>
      </c>
      <c r="P398" s="94" t="s">
        <v>7078</v>
      </c>
      <c r="Q398" s="90" t="str">
        <f t="shared" si="13"/>
        <v>DENTRO DEL TIEMPO</v>
      </c>
      <c r="R398" s="24"/>
    </row>
    <row r="399" spans="1:18" ht="33.75" x14ac:dyDescent="0.25">
      <c r="A399" s="89">
        <v>394</v>
      </c>
      <c r="B399" s="90" t="s">
        <v>8349</v>
      </c>
      <c r="C399" s="91">
        <v>44760</v>
      </c>
      <c r="D399" s="91">
        <v>44764</v>
      </c>
      <c r="E399" s="24">
        <v>1</v>
      </c>
      <c r="F399" s="92" t="s">
        <v>22</v>
      </c>
      <c r="G399" s="55" t="s">
        <v>1101</v>
      </c>
      <c r="H399" s="55" t="s">
        <v>1102</v>
      </c>
      <c r="I399" s="55" t="s">
        <v>1101</v>
      </c>
      <c r="J399" s="91">
        <v>44764</v>
      </c>
      <c r="K399" s="91">
        <v>44764</v>
      </c>
      <c r="L399" s="93">
        <f t="shared" si="12"/>
        <v>0</v>
      </c>
      <c r="M399" s="55" t="s">
        <v>8350</v>
      </c>
      <c r="N399" s="90" t="s">
        <v>1104</v>
      </c>
      <c r="O399" s="55" t="s">
        <v>1026</v>
      </c>
      <c r="P399" s="94" t="s">
        <v>7078</v>
      </c>
      <c r="Q399" s="90" t="str">
        <f t="shared" si="13"/>
        <v>DENTRO DEL TIEMPO</v>
      </c>
      <c r="R399" s="24"/>
    </row>
    <row r="400" spans="1:18" ht="33.75" x14ac:dyDescent="0.25">
      <c r="A400" s="89">
        <v>395</v>
      </c>
      <c r="B400" s="90" t="s">
        <v>8351</v>
      </c>
      <c r="C400" s="91">
        <v>44763</v>
      </c>
      <c r="D400" s="91">
        <v>44764</v>
      </c>
      <c r="E400" s="24">
        <v>1</v>
      </c>
      <c r="F400" s="92" t="s">
        <v>22</v>
      </c>
      <c r="G400" s="55" t="s">
        <v>1101</v>
      </c>
      <c r="H400" s="55" t="s">
        <v>1102</v>
      </c>
      <c r="I400" s="55" t="s">
        <v>1101</v>
      </c>
      <c r="J400" s="91">
        <v>44775</v>
      </c>
      <c r="K400" s="91">
        <v>44775</v>
      </c>
      <c r="L400" s="93">
        <f t="shared" si="12"/>
        <v>7</v>
      </c>
      <c r="M400" s="55" t="s">
        <v>8352</v>
      </c>
      <c r="N400" s="90" t="s">
        <v>1104</v>
      </c>
      <c r="O400" s="55" t="s">
        <v>1026</v>
      </c>
      <c r="P400" s="94" t="s">
        <v>7078</v>
      </c>
      <c r="Q400" s="90" t="str">
        <f t="shared" si="13"/>
        <v>DENTRO DEL TIEMPO</v>
      </c>
      <c r="R400" s="24"/>
    </row>
    <row r="401" spans="1:18" ht="33.75" x14ac:dyDescent="0.25">
      <c r="A401" s="89">
        <v>396</v>
      </c>
      <c r="B401" s="90" t="s">
        <v>8353</v>
      </c>
      <c r="C401" s="91">
        <v>44764</v>
      </c>
      <c r="D401" s="91">
        <v>44764</v>
      </c>
      <c r="E401" s="24">
        <v>1</v>
      </c>
      <c r="F401" s="92" t="s">
        <v>22</v>
      </c>
      <c r="G401" s="55" t="s">
        <v>1101</v>
      </c>
      <c r="H401" s="55" t="s">
        <v>1102</v>
      </c>
      <c r="I401" s="55" t="s">
        <v>1101</v>
      </c>
      <c r="J401" s="91">
        <v>44775</v>
      </c>
      <c r="K401" s="91">
        <v>44775</v>
      </c>
      <c r="L401" s="93">
        <f t="shared" si="12"/>
        <v>7</v>
      </c>
      <c r="M401" s="55" t="s">
        <v>8354</v>
      </c>
      <c r="N401" s="90" t="s">
        <v>1104</v>
      </c>
      <c r="O401" s="55" t="s">
        <v>1026</v>
      </c>
      <c r="P401" s="94" t="s">
        <v>7078</v>
      </c>
      <c r="Q401" s="90" t="str">
        <f t="shared" si="13"/>
        <v>DENTRO DEL TIEMPO</v>
      </c>
      <c r="R401" s="24"/>
    </row>
    <row r="402" spans="1:18" ht="33.75" x14ac:dyDescent="0.25">
      <c r="A402" s="89">
        <v>397</v>
      </c>
      <c r="B402" s="90" t="s">
        <v>8355</v>
      </c>
      <c r="C402" s="91">
        <v>44764</v>
      </c>
      <c r="D402" s="91">
        <v>44764</v>
      </c>
      <c r="E402" s="24">
        <v>3</v>
      </c>
      <c r="F402" s="92" t="s">
        <v>22</v>
      </c>
      <c r="G402" s="55" t="s">
        <v>1101</v>
      </c>
      <c r="H402" s="55" t="s">
        <v>1102</v>
      </c>
      <c r="I402" s="55" t="s">
        <v>1101</v>
      </c>
      <c r="J402" s="91">
        <v>44767</v>
      </c>
      <c r="K402" s="91">
        <v>44767</v>
      </c>
      <c r="L402" s="93">
        <f t="shared" si="12"/>
        <v>1</v>
      </c>
      <c r="M402" s="55" t="s">
        <v>8356</v>
      </c>
      <c r="N402" s="90" t="s">
        <v>1104</v>
      </c>
      <c r="O402" s="55" t="s">
        <v>1026</v>
      </c>
      <c r="P402" s="94" t="s">
        <v>7078</v>
      </c>
      <c r="Q402" s="90" t="str">
        <f t="shared" si="13"/>
        <v>DENTRO DEL TIEMPO</v>
      </c>
      <c r="R402" s="24"/>
    </row>
    <row r="403" spans="1:18" ht="33.75" x14ac:dyDescent="0.25">
      <c r="A403" s="89">
        <v>398</v>
      </c>
      <c r="B403" s="90" t="s">
        <v>8357</v>
      </c>
      <c r="C403" s="91">
        <v>44764</v>
      </c>
      <c r="D403" s="91">
        <v>44764</v>
      </c>
      <c r="E403" s="24">
        <v>1</v>
      </c>
      <c r="F403" s="92" t="s">
        <v>22</v>
      </c>
      <c r="G403" s="55" t="s">
        <v>1101</v>
      </c>
      <c r="H403" s="55" t="s">
        <v>1102</v>
      </c>
      <c r="I403" s="55" t="s">
        <v>1101</v>
      </c>
      <c r="J403" s="91">
        <v>44775</v>
      </c>
      <c r="K403" s="91">
        <v>44775</v>
      </c>
      <c r="L403" s="93">
        <f t="shared" si="12"/>
        <v>7</v>
      </c>
      <c r="M403" s="55" t="s">
        <v>8358</v>
      </c>
      <c r="N403" s="90" t="s">
        <v>1104</v>
      </c>
      <c r="O403" s="55" t="s">
        <v>1026</v>
      </c>
      <c r="P403" s="94" t="s">
        <v>7078</v>
      </c>
      <c r="Q403" s="90" t="str">
        <f t="shared" si="13"/>
        <v>DENTRO DEL TIEMPO</v>
      </c>
      <c r="R403" s="24"/>
    </row>
    <row r="404" spans="1:18" ht="33.75" x14ac:dyDescent="0.25">
      <c r="A404" s="89">
        <v>399</v>
      </c>
      <c r="B404" s="90" t="s">
        <v>8359</v>
      </c>
      <c r="C404" s="91">
        <v>44768</v>
      </c>
      <c r="D404" s="91">
        <v>44764</v>
      </c>
      <c r="E404" s="24">
        <v>3</v>
      </c>
      <c r="F404" s="92" t="s">
        <v>22</v>
      </c>
      <c r="G404" s="55" t="s">
        <v>1101</v>
      </c>
      <c r="H404" s="55" t="s">
        <v>1102</v>
      </c>
      <c r="I404" s="55" t="s">
        <v>1101</v>
      </c>
      <c r="J404" s="91">
        <v>44771</v>
      </c>
      <c r="K404" s="91">
        <v>44771</v>
      </c>
      <c r="L404" s="93">
        <f t="shared" si="12"/>
        <v>5</v>
      </c>
      <c r="M404" s="55" t="s">
        <v>8360</v>
      </c>
      <c r="N404" s="90" t="s">
        <v>1104</v>
      </c>
      <c r="O404" s="55" t="s">
        <v>1026</v>
      </c>
      <c r="P404" s="94" t="s">
        <v>7078</v>
      </c>
      <c r="Q404" s="90" t="str">
        <f t="shared" si="13"/>
        <v>DENTRO DEL TIEMPO</v>
      </c>
      <c r="R404" s="24"/>
    </row>
    <row r="405" spans="1:18" ht="33.75" x14ac:dyDescent="0.25">
      <c r="A405" s="89">
        <v>400</v>
      </c>
      <c r="B405" s="90" t="s">
        <v>8361</v>
      </c>
      <c r="C405" s="91">
        <v>44743</v>
      </c>
      <c r="D405" s="91">
        <v>44767</v>
      </c>
      <c r="E405" s="24">
        <v>66</v>
      </c>
      <c r="F405" s="92" t="s">
        <v>22</v>
      </c>
      <c r="G405" s="55" t="s">
        <v>1101</v>
      </c>
      <c r="H405" s="55" t="s">
        <v>1102</v>
      </c>
      <c r="I405" s="55" t="s">
        <v>1101</v>
      </c>
      <c r="J405" s="91">
        <v>44769</v>
      </c>
      <c r="K405" s="91">
        <v>44769</v>
      </c>
      <c r="L405" s="93">
        <f t="shared" si="12"/>
        <v>2</v>
      </c>
      <c r="M405" s="55" t="s">
        <v>8270</v>
      </c>
      <c r="N405" s="90" t="s">
        <v>1104</v>
      </c>
      <c r="O405" s="55" t="s">
        <v>1026</v>
      </c>
      <c r="P405" s="94" t="s">
        <v>7078</v>
      </c>
      <c r="Q405" s="90" t="str">
        <f t="shared" si="13"/>
        <v>DENTRO DEL TIEMPO</v>
      </c>
      <c r="R405" s="24"/>
    </row>
    <row r="406" spans="1:18" ht="33.75" x14ac:dyDescent="0.25">
      <c r="A406" s="89">
        <v>401</v>
      </c>
      <c r="B406" s="90" t="s">
        <v>8362</v>
      </c>
      <c r="C406" s="91">
        <v>44761</v>
      </c>
      <c r="D406" s="91">
        <v>44767</v>
      </c>
      <c r="E406" s="24">
        <v>14</v>
      </c>
      <c r="F406" s="92" t="s">
        <v>22</v>
      </c>
      <c r="G406" s="55" t="s">
        <v>1101</v>
      </c>
      <c r="H406" s="55" t="s">
        <v>1102</v>
      </c>
      <c r="I406" s="55" t="s">
        <v>1101</v>
      </c>
      <c r="J406" s="91">
        <v>44774</v>
      </c>
      <c r="K406" s="91">
        <v>44774</v>
      </c>
      <c r="L406" s="93">
        <f t="shared" si="12"/>
        <v>5</v>
      </c>
      <c r="M406" s="55" t="s">
        <v>8363</v>
      </c>
      <c r="N406" s="90" t="s">
        <v>1104</v>
      </c>
      <c r="O406" s="55" t="s">
        <v>1026</v>
      </c>
      <c r="P406" s="94" t="s">
        <v>7078</v>
      </c>
      <c r="Q406" s="90" t="str">
        <f t="shared" si="13"/>
        <v>DENTRO DEL TIEMPO</v>
      </c>
      <c r="R406" s="24"/>
    </row>
    <row r="407" spans="1:18" ht="33.75" x14ac:dyDescent="0.25">
      <c r="A407" s="89">
        <v>402</v>
      </c>
      <c r="B407" s="90" t="s">
        <v>8364</v>
      </c>
      <c r="C407" s="91">
        <v>44764</v>
      </c>
      <c r="D407" s="91">
        <v>44767</v>
      </c>
      <c r="E407" s="24">
        <v>142</v>
      </c>
      <c r="F407" s="92" t="s">
        <v>22</v>
      </c>
      <c r="G407" s="55" t="s">
        <v>1101</v>
      </c>
      <c r="H407" s="55" t="s">
        <v>1102</v>
      </c>
      <c r="I407" s="55" t="s">
        <v>1101</v>
      </c>
      <c r="J407" s="91">
        <v>44776</v>
      </c>
      <c r="K407" s="91">
        <v>44776</v>
      </c>
      <c r="L407" s="93">
        <f t="shared" si="12"/>
        <v>7</v>
      </c>
      <c r="M407" s="55" t="s">
        <v>8365</v>
      </c>
      <c r="N407" s="90" t="s">
        <v>1104</v>
      </c>
      <c r="O407" s="55" t="s">
        <v>1026</v>
      </c>
      <c r="P407" s="94" t="s">
        <v>7078</v>
      </c>
      <c r="Q407" s="90" t="str">
        <f t="shared" si="13"/>
        <v>DENTRO DEL TIEMPO</v>
      </c>
      <c r="R407" s="24"/>
    </row>
    <row r="408" spans="1:18" ht="33.75" x14ac:dyDescent="0.25">
      <c r="A408" s="89">
        <v>403</v>
      </c>
      <c r="B408" s="90" t="s">
        <v>8366</v>
      </c>
      <c r="C408" s="91">
        <v>44761</v>
      </c>
      <c r="D408" s="91">
        <v>44768</v>
      </c>
      <c r="E408" s="24">
        <v>1</v>
      </c>
      <c r="F408" s="92" t="s">
        <v>22</v>
      </c>
      <c r="G408" s="55" t="s">
        <v>1101</v>
      </c>
      <c r="H408" s="55" t="s">
        <v>1102</v>
      </c>
      <c r="I408" s="55" t="s">
        <v>1101</v>
      </c>
      <c r="J408" s="91">
        <v>44771</v>
      </c>
      <c r="K408" s="91">
        <v>44771</v>
      </c>
      <c r="L408" s="93">
        <f t="shared" si="12"/>
        <v>3</v>
      </c>
      <c r="M408" s="55" t="s">
        <v>8367</v>
      </c>
      <c r="N408" s="90" t="s">
        <v>1104</v>
      </c>
      <c r="O408" s="55" t="s">
        <v>1026</v>
      </c>
      <c r="P408" s="94" t="s">
        <v>7078</v>
      </c>
      <c r="Q408" s="90" t="str">
        <f t="shared" si="13"/>
        <v>DENTRO DEL TIEMPO</v>
      </c>
      <c r="R408" s="24"/>
    </row>
    <row r="409" spans="1:18" ht="33.75" x14ac:dyDescent="0.25">
      <c r="A409" s="89">
        <v>404</v>
      </c>
      <c r="B409" s="90" t="s">
        <v>8368</v>
      </c>
      <c r="C409" s="91">
        <v>44762</v>
      </c>
      <c r="D409" s="91">
        <v>44768</v>
      </c>
      <c r="E409" s="24">
        <v>16</v>
      </c>
      <c r="F409" s="92" t="s">
        <v>22</v>
      </c>
      <c r="G409" s="55" t="s">
        <v>1101</v>
      </c>
      <c r="H409" s="55" t="s">
        <v>1102</v>
      </c>
      <c r="I409" s="55" t="s">
        <v>1101</v>
      </c>
      <c r="J409" s="91">
        <v>44775</v>
      </c>
      <c r="K409" s="91">
        <v>44775</v>
      </c>
      <c r="L409" s="93">
        <f t="shared" si="12"/>
        <v>5</v>
      </c>
      <c r="M409" s="55" t="s">
        <v>8369</v>
      </c>
      <c r="N409" s="90" t="s">
        <v>1104</v>
      </c>
      <c r="O409" s="55" t="s">
        <v>1026</v>
      </c>
      <c r="P409" s="94" t="s">
        <v>7078</v>
      </c>
      <c r="Q409" s="90" t="str">
        <f t="shared" si="13"/>
        <v>DENTRO DEL TIEMPO</v>
      </c>
      <c r="R409" s="24"/>
    </row>
    <row r="410" spans="1:18" ht="33.75" x14ac:dyDescent="0.25">
      <c r="A410" s="89">
        <v>405</v>
      </c>
      <c r="B410" s="90" t="s">
        <v>8370</v>
      </c>
      <c r="C410" s="91">
        <v>44767</v>
      </c>
      <c r="D410" s="91">
        <v>44768</v>
      </c>
      <c r="E410" s="24">
        <v>5</v>
      </c>
      <c r="F410" s="92" t="s">
        <v>22</v>
      </c>
      <c r="G410" s="55" t="s">
        <v>1101</v>
      </c>
      <c r="H410" s="55" t="s">
        <v>1102</v>
      </c>
      <c r="I410" s="55" t="s">
        <v>1101</v>
      </c>
      <c r="J410" s="91">
        <v>44769</v>
      </c>
      <c r="K410" s="91">
        <v>44769</v>
      </c>
      <c r="L410" s="93">
        <f t="shared" si="12"/>
        <v>1</v>
      </c>
      <c r="M410" s="55" t="s">
        <v>8315</v>
      </c>
      <c r="N410" s="90" t="s">
        <v>1104</v>
      </c>
      <c r="O410" s="55" t="s">
        <v>1026</v>
      </c>
      <c r="P410" s="94" t="s">
        <v>7078</v>
      </c>
      <c r="Q410" s="90" t="str">
        <f t="shared" si="13"/>
        <v>DENTRO DEL TIEMPO</v>
      </c>
      <c r="R410" s="24"/>
    </row>
    <row r="411" spans="1:18" ht="33.75" x14ac:dyDescent="0.25">
      <c r="A411" s="89">
        <v>406</v>
      </c>
      <c r="B411" s="90" t="s">
        <v>8371</v>
      </c>
      <c r="C411" s="91">
        <v>44768</v>
      </c>
      <c r="D411" s="91">
        <v>44768</v>
      </c>
      <c r="E411" s="24">
        <v>1</v>
      </c>
      <c r="F411" s="92" t="s">
        <v>22</v>
      </c>
      <c r="G411" s="55" t="s">
        <v>1101</v>
      </c>
      <c r="H411" s="55" t="s">
        <v>1102</v>
      </c>
      <c r="I411" s="55" t="s">
        <v>1101</v>
      </c>
      <c r="J411" s="91">
        <v>44775</v>
      </c>
      <c r="K411" s="91">
        <v>44775</v>
      </c>
      <c r="L411" s="93">
        <f t="shared" si="12"/>
        <v>5</v>
      </c>
      <c r="M411" s="55" t="s">
        <v>8372</v>
      </c>
      <c r="N411" s="90" t="s">
        <v>1104</v>
      </c>
      <c r="O411" s="55" t="s">
        <v>1026</v>
      </c>
      <c r="P411" s="94" t="s">
        <v>7078</v>
      </c>
      <c r="Q411" s="90" t="str">
        <f t="shared" si="13"/>
        <v>DENTRO DEL TIEMPO</v>
      </c>
      <c r="R411" s="24"/>
    </row>
    <row r="412" spans="1:18" ht="33.75" x14ac:dyDescent="0.25">
      <c r="A412" s="89">
        <v>407</v>
      </c>
      <c r="B412" s="90" t="s">
        <v>8373</v>
      </c>
      <c r="C412" s="91">
        <v>44768</v>
      </c>
      <c r="D412" s="91">
        <v>44768</v>
      </c>
      <c r="E412" s="24">
        <v>1</v>
      </c>
      <c r="F412" s="92" t="s">
        <v>22</v>
      </c>
      <c r="G412" s="55" t="s">
        <v>1101</v>
      </c>
      <c r="H412" s="55" t="s">
        <v>1102</v>
      </c>
      <c r="I412" s="55" t="s">
        <v>1101</v>
      </c>
      <c r="J412" s="91">
        <v>44775</v>
      </c>
      <c r="K412" s="91">
        <v>44775</v>
      </c>
      <c r="L412" s="93">
        <f t="shared" si="12"/>
        <v>5</v>
      </c>
      <c r="M412" s="55" t="s">
        <v>8374</v>
      </c>
      <c r="N412" s="90" t="s">
        <v>1104</v>
      </c>
      <c r="O412" s="55" t="s">
        <v>1026</v>
      </c>
      <c r="P412" s="94" t="s">
        <v>7078</v>
      </c>
      <c r="Q412" s="90" t="str">
        <f t="shared" si="13"/>
        <v>DENTRO DEL TIEMPO</v>
      </c>
      <c r="R412" s="24"/>
    </row>
    <row r="413" spans="1:18" ht="33.75" x14ac:dyDescent="0.25">
      <c r="A413" s="89">
        <v>408</v>
      </c>
      <c r="B413" s="90" t="s">
        <v>8375</v>
      </c>
      <c r="C413" s="91">
        <v>44768</v>
      </c>
      <c r="D413" s="91">
        <v>44768</v>
      </c>
      <c r="E413" s="24">
        <v>27</v>
      </c>
      <c r="F413" s="92" t="s">
        <v>22</v>
      </c>
      <c r="G413" s="55" t="s">
        <v>1101</v>
      </c>
      <c r="H413" s="55" t="s">
        <v>1102</v>
      </c>
      <c r="I413" s="55" t="s">
        <v>1101</v>
      </c>
      <c r="J413" s="91">
        <v>44778</v>
      </c>
      <c r="K413" s="91">
        <v>44778</v>
      </c>
      <c r="L413" s="93">
        <f t="shared" si="12"/>
        <v>8</v>
      </c>
      <c r="M413" s="55" t="s">
        <v>8376</v>
      </c>
      <c r="N413" s="90" t="s">
        <v>1104</v>
      </c>
      <c r="O413" s="55" t="s">
        <v>1026</v>
      </c>
      <c r="P413" s="94" t="s">
        <v>7078</v>
      </c>
      <c r="Q413" s="90" t="str">
        <f t="shared" si="13"/>
        <v>DENTRO DEL TIEMPO</v>
      </c>
      <c r="R413" s="24"/>
    </row>
    <row r="414" spans="1:18" ht="33.75" x14ac:dyDescent="0.25">
      <c r="A414" s="89">
        <v>409</v>
      </c>
      <c r="B414" s="90" t="s">
        <v>8377</v>
      </c>
      <c r="C414" s="91">
        <v>44750</v>
      </c>
      <c r="D414" s="91">
        <v>44769</v>
      </c>
      <c r="E414" s="24">
        <v>1</v>
      </c>
      <c r="F414" s="92" t="s">
        <v>22</v>
      </c>
      <c r="G414" s="55" t="s">
        <v>1101</v>
      </c>
      <c r="H414" s="55" t="s">
        <v>1102</v>
      </c>
      <c r="I414" s="55" t="s">
        <v>1101</v>
      </c>
      <c r="J414" s="91">
        <v>44769</v>
      </c>
      <c r="K414" s="91">
        <v>44769</v>
      </c>
      <c r="L414" s="93">
        <f t="shared" si="12"/>
        <v>0</v>
      </c>
      <c r="M414" s="55" t="s">
        <v>8378</v>
      </c>
      <c r="N414" s="90">
        <v>1</v>
      </c>
      <c r="O414" s="55" t="s">
        <v>1026</v>
      </c>
      <c r="P414" s="94" t="s">
        <v>7078</v>
      </c>
      <c r="Q414" s="90" t="str">
        <f t="shared" si="13"/>
        <v>DENTRO DEL TIEMPO</v>
      </c>
      <c r="R414" s="24"/>
    </row>
    <row r="415" spans="1:18" ht="33.75" x14ac:dyDescent="0.25">
      <c r="A415" s="89">
        <v>410</v>
      </c>
      <c r="B415" s="90" t="s">
        <v>8379</v>
      </c>
      <c r="C415" s="91">
        <v>44750</v>
      </c>
      <c r="D415" s="91">
        <v>44769</v>
      </c>
      <c r="E415" s="24">
        <v>1</v>
      </c>
      <c r="F415" s="92" t="s">
        <v>22</v>
      </c>
      <c r="G415" s="55" t="s">
        <v>1101</v>
      </c>
      <c r="H415" s="55" t="s">
        <v>1102</v>
      </c>
      <c r="I415" s="55" t="s">
        <v>1101</v>
      </c>
      <c r="J415" s="91">
        <v>44769</v>
      </c>
      <c r="K415" s="91">
        <v>44769</v>
      </c>
      <c r="L415" s="93">
        <f t="shared" si="12"/>
        <v>0</v>
      </c>
      <c r="M415" s="55" t="s">
        <v>8380</v>
      </c>
      <c r="N415" s="90" t="s">
        <v>1104</v>
      </c>
      <c r="O415" s="55" t="s">
        <v>1026</v>
      </c>
      <c r="P415" s="94" t="s">
        <v>7078</v>
      </c>
      <c r="Q415" s="90" t="str">
        <f t="shared" si="13"/>
        <v>DENTRO DEL TIEMPO</v>
      </c>
      <c r="R415" s="24"/>
    </row>
    <row r="416" spans="1:18" ht="33.75" x14ac:dyDescent="0.25">
      <c r="A416" s="89">
        <v>411</v>
      </c>
      <c r="B416" s="90" t="s">
        <v>8381</v>
      </c>
      <c r="C416" s="91">
        <v>44750</v>
      </c>
      <c r="D416" s="91">
        <v>44769</v>
      </c>
      <c r="E416" s="24">
        <v>1</v>
      </c>
      <c r="F416" s="92" t="s">
        <v>22</v>
      </c>
      <c r="G416" s="55" t="s">
        <v>1101</v>
      </c>
      <c r="H416" s="55" t="s">
        <v>1102</v>
      </c>
      <c r="I416" s="55" t="s">
        <v>1101</v>
      </c>
      <c r="J416" s="91">
        <v>44770</v>
      </c>
      <c r="K416" s="91">
        <v>44770</v>
      </c>
      <c r="L416" s="93">
        <f t="shared" si="12"/>
        <v>1</v>
      </c>
      <c r="M416" s="55" t="s">
        <v>8382</v>
      </c>
      <c r="N416" s="90" t="s">
        <v>1104</v>
      </c>
      <c r="O416" s="55" t="s">
        <v>1026</v>
      </c>
      <c r="P416" s="94" t="s">
        <v>7078</v>
      </c>
      <c r="Q416" s="90" t="str">
        <f t="shared" si="13"/>
        <v>DENTRO DEL TIEMPO</v>
      </c>
      <c r="R416" s="24"/>
    </row>
    <row r="417" spans="1:18" ht="33.75" x14ac:dyDescent="0.25">
      <c r="A417" s="89">
        <v>412</v>
      </c>
      <c r="B417" s="90" t="s">
        <v>8383</v>
      </c>
      <c r="C417" s="91">
        <v>44753</v>
      </c>
      <c r="D417" s="91">
        <v>44769</v>
      </c>
      <c r="E417" s="24">
        <v>22</v>
      </c>
      <c r="F417" s="92" t="s">
        <v>22</v>
      </c>
      <c r="G417" s="55" t="s">
        <v>1101</v>
      </c>
      <c r="H417" s="55" t="s">
        <v>1102</v>
      </c>
      <c r="I417" s="55" t="s">
        <v>1101</v>
      </c>
      <c r="J417" s="91">
        <v>44776</v>
      </c>
      <c r="K417" s="91">
        <v>44776</v>
      </c>
      <c r="L417" s="93">
        <f t="shared" si="12"/>
        <v>5</v>
      </c>
      <c r="M417" s="55" t="s">
        <v>8384</v>
      </c>
      <c r="N417" s="90" t="s">
        <v>1104</v>
      </c>
      <c r="O417" s="55" t="s">
        <v>1026</v>
      </c>
      <c r="P417" s="94" t="s">
        <v>7078</v>
      </c>
      <c r="Q417" s="90" t="str">
        <f t="shared" si="13"/>
        <v>DENTRO DEL TIEMPO</v>
      </c>
      <c r="R417" s="24"/>
    </row>
    <row r="418" spans="1:18" ht="33.75" x14ac:dyDescent="0.25">
      <c r="A418" s="89">
        <v>413</v>
      </c>
      <c r="B418" s="90" t="s">
        <v>8385</v>
      </c>
      <c r="C418" s="91">
        <v>44760</v>
      </c>
      <c r="D418" s="91">
        <v>44769</v>
      </c>
      <c r="E418" s="24">
        <v>1</v>
      </c>
      <c r="F418" s="92" t="s">
        <v>22</v>
      </c>
      <c r="G418" s="55" t="s">
        <v>1101</v>
      </c>
      <c r="H418" s="55" t="s">
        <v>1102</v>
      </c>
      <c r="I418" s="55" t="s">
        <v>1101</v>
      </c>
      <c r="J418" s="91">
        <v>44778</v>
      </c>
      <c r="K418" s="91">
        <v>44778</v>
      </c>
      <c r="L418" s="93">
        <f t="shared" si="12"/>
        <v>7</v>
      </c>
      <c r="M418" s="55" t="s">
        <v>8386</v>
      </c>
      <c r="N418" s="90" t="s">
        <v>1104</v>
      </c>
      <c r="O418" s="55" t="s">
        <v>1026</v>
      </c>
      <c r="P418" s="94" t="s">
        <v>7078</v>
      </c>
      <c r="Q418" s="90" t="str">
        <f t="shared" si="13"/>
        <v>DENTRO DEL TIEMPO</v>
      </c>
      <c r="R418" s="24"/>
    </row>
    <row r="419" spans="1:18" ht="33.75" x14ac:dyDescent="0.25">
      <c r="A419" s="89">
        <v>414</v>
      </c>
      <c r="B419" s="90" t="s">
        <v>8387</v>
      </c>
      <c r="C419" s="91">
        <v>44760</v>
      </c>
      <c r="D419" s="91">
        <v>44769</v>
      </c>
      <c r="E419" s="24">
        <v>122</v>
      </c>
      <c r="F419" s="92" t="s">
        <v>22</v>
      </c>
      <c r="G419" s="55" t="s">
        <v>1101</v>
      </c>
      <c r="H419" s="55" t="s">
        <v>1102</v>
      </c>
      <c r="I419" s="55" t="s">
        <v>1101</v>
      </c>
      <c r="J419" s="91">
        <v>44777</v>
      </c>
      <c r="K419" s="91">
        <v>44777</v>
      </c>
      <c r="L419" s="93">
        <f t="shared" si="12"/>
        <v>6</v>
      </c>
      <c r="M419" s="55" t="s">
        <v>8388</v>
      </c>
      <c r="N419" s="90" t="s">
        <v>1104</v>
      </c>
      <c r="O419" s="55" t="s">
        <v>1026</v>
      </c>
      <c r="P419" s="94" t="s">
        <v>7078</v>
      </c>
      <c r="Q419" s="90" t="str">
        <f t="shared" si="13"/>
        <v>DENTRO DEL TIEMPO</v>
      </c>
      <c r="R419" s="24"/>
    </row>
    <row r="420" spans="1:18" ht="33.75" x14ac:dyDescent="0.25">
      <c r="A420" s="89">
        <v>415</v>
      </c>
      <c r="B420" s="90" t="s">
        <v>8389</v>
      </c>
      <c r="C420" s="91">
        <v>44760</v>
      </c>
      <c r="D420" s="91">
        <v>44769</v>
      </c>
      <c r="E420" s="24">
        <v>1</v>
      </c>
      <c r="F420" s="92" t="s">
        <v>22</v>
      </c>
      <c r="G420" s="55" t="s">
        <v>1101</v>
      </c>
      <c r="H420" s="55" t="s">
        <v>1102</v>
      </c>
      <c r="I420" s="55" t="s">
        <v>1101</v>
      </c>
      <c r="J420" s="91">
        <v>44770</v>
      </c>
      <c r="K420" s="91">
        <v>44770</v>
      </c>
      <c r="L420" s="93">
        <f t="shared" ref="L420:L428" si="14">+NETWORKDAYS(D420,K420)-1</f>
        <v>1</v>
      </c>
      <c r="M420" s="55" t="s">
        <v>8390</v>
      </c>
      <c r="N420" s="90" t="s">
        <v>1104</v>
      </c>
      <c r="O420" s="55" t="s">
        <v>1026</v>
      </c>
      <c r="P420" s="94" t="s">
        <v>7078</v>
      </c>
      <c r="Q420" s="90" t="str">
        <f t="shared" si="13"/>
        <v>DENTRO DEL TIEMPO</v>
      </c>
      <c r="R420" s="24"/>
    </row>
    <row r="421" spans="1:18" ht="33.75" x14ac:dyDescent="0.25">
      <c r="A421" s="89">
        <v>416</v>
      </c>
      <c r="B421" s="90" t="s">
        <v>8391</v>
      </c>
      <c r="C421" s="91">
        <v>44763</v>
      </c>
      <c r="D421" s="91">
        <v>44769</v>
      </c>
      <c r="E421" s="24">
        <v>4</v>
      </c>
      <c r="F421" s="92" t="s">
        <v>22</v>
      </c>
      <c r="G421" s="55" t="s">
        <v>1101</v>
      </c>
      <c r="H421" s="55" t="s">
        <v>1102</v>
      </c>
      <c r="I421" s="55" t="s">
        <v>1101</v>
      </c>
      <c r="J421" s="91">
        <v>44778</v>
      </c>
      <c r="K421" s="91">
        <v>44778</v>
      </c>
      <c r="L421" s="93">
        <f t="shared" si="14"/>
        <v>7</v>
      </c>
      <c r="M421" s="55" t="s">
        <v>8392</v>
      </c>
      <c r="N421" s="90" t="s">
        <v>1104</v>
      </c>
      <c r="O421" s="55" t="s">
        <v>1026</v>
      </c>
      <c r="P421" s="94" t="s">
        <v>7078</v>
      </c>
      <c r="Q421" s="90" t="str">
        <f t="shared" si="13"/>
        <v>DENTRO DEL TIEMPO</v>
      </c>
      <c r="R421" s="24"/>
    </row>
    <row r="422" spans="1:18" ht="33.75" x14ac:dyDescent="0.25">
      <c r="A422" s="89">
        <v>417</v>
      </c>
      <c r="B422" s="90" t="s">
        <v>8393</v>
      </c>
      <c r="C422" s="91">
        <v>44767</v>
      </c>
      <c r="D422" s="91">
        <v>44769</v>
      </c>
      <c r="E422" s="24">
        <v>24</v>
      </c>
      <c r="F422" s="92" t="s">
        <v>22</v>
      </c>
      <c r="G422" s="55" t="s">
        <v>1101</v>
      </c>
      <c r="H422" s="55" t="s">
        <v>1102</v>
      </c>
      <c r="I422" s="55" t="s">
        <v>1101</v>
      </c>
      <c r="J422" s="91">
        <v>44777</v>
      </c>
      <c r="K422" s="91">
        <v>44777</v>
      </c>
      <c r="L422" s="93">
        <f t="shared" si="14"/>
        <v>6</v>
      </c>
      <c r="M422" s="55" t="s">
        <v>8394</v>
      </c>
      <c r="N422" s="90" t="s">
        <v>1104</v>
      </c>
      <c r="O422" s="55" t="s">
        <v>1026</v>
      </c>
      <c r="P422" s="94" t="s">
        <v>7078</v>
      </c>
      <c r="Q422" s="90" t="str">
        <f t="shared" si="13"/>
        <v>DENTRO DEL TIEMPO</v>
      </c>
      <c r="R422" s="24"/>
    </row>
    <row r="423" spans="1:18" ht="33.75" x14ac:dyDescent="0.25">
      <c r="A423" s="89">
        <v>418</v>
      </c>
      <c r="B423" s="90" t="s">
        <v>8395</v>
      </c>
      <c r="C423" s="91">
        <v>44768</v>
      </c>
      <c r="D423" s="91">
        <v>44769</v>
      </c>
      <c r="E423" s="24">
        <v>103</v>
      </c>
      <c r="F423" s="92" t="s">
        <v>22</v>
      </c>
      <c r="G423" s="55" t="s">
        <v>1101</v>
      </c>
      <c r="H423" s="55" t="s">
        <v>1102</v>
      </c>
      <c r="I423" s="55" t="s">
        <v>1101</v>
      </c>
      <c r="J423" s="91">
        <v>44777</v>
      </c>
      <c r="K423" s="91">
        <v>44777</v>
      </c>
      <c r="L423" s="93">
        <f t="shared" si="14"/>
        <v>6</v>
      </c>
      <c r="M423" s="55" t="s">
        <v>8396</v>
      </c>
      <c r="N423" s="90" t="s">
        <v>1104</v>
      </c>
      <c r="O423" s="55" t="s">
        <v>1026</v>
      </c>
      <c r="P423" s="94" t="s">
        <v>7078</v>
      </c>
      <c r="Q423" s="90" t="str">
        <f t="shared" si="13"/>
        <v>DENTRO DEL TIEMPO</v>
      </c>
      <c r="R423" s="24"/>
    </row>
    <row r="424" spans="1:18" ht="33.75" x14ac:dyDescent="0.25">
      <c r="A424" s="89">
        <v>419</v>
      </c>
      <c r="B424" s="90" t="s">
        <v>8397</v>
      </c>
      <c r="C424" s="91">
        <v>44771</v>
      </c>
      <c r="D424" s="91">
        <v>44769</v>
      </c>
      <c r="E424" s="24">
        <v>1</v>
      </c>
      <c r="F424" s="92" t="s">
        <v>22</v>
      </c>
      <c r="G424" s="55" t="s">
        <v>1101</v>
      </c>
      <c r="H424" s="55" t="s">
        <v>1102</v>
      </c>
      <c r="I424" s="55" t="s">
        <v>1101</v>
      </c>
      <c r="J424" s="91">
        <v>44771</v>
      </c>
      <c r="K424" s="91">
        <v>44771</v>
      </c>
      <c r="L424" s="93">
        <f t="shared" si="14"/>
        <v>2</v>
      </c>
      <c r="M424" s="55" t="s">
        <v>8398</v>
      </c>
      <c r="N424" s="90" t="s">
        <v>1104</v>
      </c>
      <c r="O424" s="55" t="s">
        <v>1026</v>
      </c>
      <c r="P424" s="94" t="s">
        <v>7078</v>
      </c>
      <c r="Q424" s="90" t="str">
        <f t="shared" si="13"/>
        <v>DENTRO DEL TIEMPO</v>
      </c>
      <c r="R424" s="24"/>
    </row>
    <row r="425" spans="1:18" ht="33.75" x14ac:dyDescent="0.25">
      <c r="A425" s="89">
        <v>420</v>
      </c>
      <c r="B425" s="90" t="s">
        <v>8399</v>
      </c>
      <c r="C425" s="91">
        <v>44764</v>
      </c>
      <c r="D425" s="91">
        <v>44771</v>
      </c>
      <c r="E425" s="24">
        <v>1</v>
      </c>
      <c r="F425" s="92" t="s">
        <v>22</v>
      </c>
      <c r="G425" s="55" t="s">
        <v>1101</v>
      </c>
      <c r="H425" s="55" t="s">
        <v>1102</v>
      </c>
      <c r="I425" s="55" t="s">
        <v>1101</v>
      </c>
      <c r="J425" s="91">
        <v>44771</v>
      </c>
      <c r="K425" s="91">
        <v>44771</v>
      </c>
      <c r="L425" s="93">
        <f t="shared" si="14"/>
        <v>0</v>
      </c>
      <c r="M425" s="55" t="s">
        <v>8400</v>
      </c>
      <c r="N425" s="90" t="s">
        <v>1104</v>
      </c>
      <c r="O425" s="55" t="s">
        <v>1026</v>
      </c>
      <c r="P425" s="94" t="s">
        <v>7078</v>
      </c>
      <c r="Q425" s="90" t="str">
        <f t="shared" si="13"/>
        <v>DENTRO DEL TIEMPO</v>
      </c>
      <c r="R425" s="24"/>
    </row>
    <row r="426" spans="1:18" ht="33.75" x14ac:dyDescent="0.25">
      <c r="A426" s="89">
        <v>421</v>
      </c>
      <c r="B426" s="90" t="s">
        <v>8401</v>
      </c>
      <c r="C426" s="91">
        <v>44768</v>
      </c>
      <c r="D426" s="91">
        <v>44771</v>
      </c>
      <c r="E426" s="24">
        <v>1</v>
      </c>
      <c r="F426" s="92" t="s">
        <v>22</v>
      </c>
      <c r="G426" s="55" t="s">
        <v>1101</v>
      </c>
      <c r="H426" s="55" t="s">
        <v>1102</v>
      </c>
      <c r="I426" s="55" t="s">
        <v>1101</v>
      </c>
      <c r="J426" s="91">
        <v>44775</v>
      </c>
      <c r="K426" s="91">
        <v>44775</v>
      </c>
      <c r="L426" s="93">
        <f t="shared" si="14"/>
        <v>2</v>
      </c>
      <c r="M426" s="55" t="s">
        <v>8402</v>
      </c>
      <c r="N426" s="90" t="s">
        <v>1104</v>
      </c>
      <c r="O426" s="55" t="s">
        <v>1026</v>
      </c>
      <c r="P426" s="94" t="s">
        <v>7078</v>
      </c>
      <c r="Q426" s="90" t="str">
        <f t="shared" si="13"/>
        <v>DENTRO DEL TIEMPO</v>
      </c>
      <c r="R426" s="24"/>
    </row>
    <row r="427" spans="1:18" ht="33.75" x14ac:dyDescent="0.25">
      <c r="A427" s="89">
        <v>422</v>
      </c>
      <c r="B427" s="90" t="s">
        <v>8403</v>
      </c>
      <c r="C427" s="91">
        <v>44771</v>
      </c>
      <c r="D427" s="91">
        <v>44771</v>
      </c>
      <c r="E427" s="24">
        <v>1</v>
      </c>
      <c r="F427" s="92" t="s">
        <v>22</v>
      </c>
      <c r="G427" s="55" t="s">
        <v>1101</v>
      </c>
      <c r="H427" s="55" t="s">
        <v>1102</v>
      </c>
      <c r="I427" s="55" t="s">
        <v>1101</v>
      </c>
      <c r="J427" s="91">
        <v>44776</v>
      </c>
      <c r="K427" s="91">
        <v>44776</v>
      </c>
      <c r="L427" s="93">
        <f t="shared" si="14"/>
        <v>3</v>
      </c>
      <c r="M427" s="55" t="s">
        <v>8404</v>
      </c>
      <c r="N427" s="90" t="s">
        <v>1104</v>
      </c>
      <c r="O427" s="55" t="s">
        <v>1026</v>
      </c>
      <c r="P427" s="94" t="s">
        <v>7078</v>
      </c>
      <c r="Q427" s="90" t="str">
        <f t="shared" si="13"/>
        <v>DENTRO DEL TIEMPO</v>
      </c>
      <c r="R427" s="24"/>
    </row>
    <row r="428" spans="1:18" ht="33.75" x14ac:dyDescent="0.25">
      <c r="A428" s="89">
        <v>423</v>
      </c>
      <c r="B428" s="90" t="s">
        <v>8405</v>
      </c>
      <c r="C428" s="91">
        <v>44771</v>
      </c>
      <c r="D428" s="91">
        <v>44771</v>
      </c>
      <c r="E428" s="24">
        <v>1</v>
      </c>
      <c r="F428" s="92" t="s">
        <v>22</v>
      </c>
      <c r="G428" s="55" t="s">
        <v>1101</v>
      </c>
      <c r="H428" s="55" t="s">
        <v>1102</v>
      </c>
      <c r="I428" s="55" t="s">
        <v>1101</v>
      </c>
      <c r="J428" s="91">
        <v>44776</v>
      </c>
      <c r="K428" s="91">
        <v>44776</v>
      </c>
      <c r="L428" s="93">
        <f t="shared" si="14"/>
        <v>3</v>
      </c>
      <c r="M428" s="55" t="s">
        <v>8406</v>
      </c>
      <c r="N428" s="90" t="s">
        <v>1104</v>
      </c>
      <c r="O428" s="55" t="s">
        <v>1026</v>
      </c>
      <c r="P428" s="94" t="s">
        <v>7078</v>
      </c>
      <c r="Q428" s="90" t="str">
        <f t="shared" si="13"/>
        <v>DENTRO DEL TIEMPO</v>
      </c>
      <c r="R428" s="24"/>
    </row>
    <row r="429" spans="1:18" s="95" customFormat="1" ht="45.75" customHeight="1" x14ac:dyDescent="0.2">
      <c r="A429" s="89">
        <v>424</v>
      </c>
      <c r="B429" s="90" t="s">
        <v>8407</v>
      </c>
      <c r="C429" s="91">
        <v>44743</v>
      </c>
      <c r="D429" s="91">
        <v>44746</v>
      </c>
      <c r="E429" s="24">
        <v>1</v>
      </c>
      <c r="F429" s="92" t="s">
        <v>22</v>
      </c>
      <c r="G429" s="55" t="s">
        <v>1238</v>
      </c>
      <c r="H429" s="55" t="s">
        <v>1239</v>
      </c>
      <c r="I429" s="55" t="s">
        <v>1240</v>
      </c>
      <c r="J429" s="91">
        <v>44746</v>
      </c>
      <c r="K429" s="91">
        <v>44746</v>
      </c>
      <c r="L429" s="93">
        <f>+NETWORKDAYS(D429,K429)-1</f>
        <v>0</v>
      </c>
      <c r="M429" s="55" t="s">
        <v>8408</v>
      </c>
      <c r="N429" s="90" t="s">
        <v>1242</v>
      </c>
      <c r="O429" s="55" t="s">
        <v>1026</v>
      </c>
      <c r="P429" s="94" t="s">
        <v>1030</v>
      </c>
      <c r="Q429" s="90" t="str">
        <f t="shared" si="13"/>
        <v>DENTRO DEL TIEMPO</v>
      </c>
      <c r="R429" s="24"/>
    </row>
    <row r="430" spans="1:18" s="95" customFormat="1" ht="45.75" customHeight="1" x14ac:dyDescent="0.2">
      <c r="A430" s="89">
        <v>425</v>
      </c>
      <c r="B430" s="90" t="s">
        <v>8409</v>
      </c>
      <c r="C430" s="91">
        <v>44756</v>
      </c>
      <c r="D430" s="91">
        <v>44756</v>
      </c>
      <c r="E430" s="24">
        <v>1</v>
      </c>
      <c r="F430" s="92" t="s">
        <v>22</v>
      </c>
      <c r="G430" s="55" t="s">
        <v>1246</v>
      </c>
      <c r="H430" s="55" t="s">
        <v>1239</v>
      </c>
      <c r="I430" s="55" t="s">
        <v>1240</v>
      </c>
      <c r="J430" s="91">
        <v>44756</v>
      </c>
      <c r="K430" s="91">
        <v>44756</v>
      </c>
      <c r="L430" s="93">
        <f>+NETWORKDAYS(D430,K430)-1</f>
        <v>0</v>
      </c>
      <c r="M430" s="55" t="s">
        <v>8410</v>
      </c>
      <c r="N430" s="90" t="s">
        <v>1242</v>
      </c>
      <c r="O430" s="55" t="s">
        <v>1026</v>
      </c>
      <c r="P430" s="94" t="s">
        <v>1030</v>
      </c>
      <c r="Q430" s="90" t="s">
        <v>5840</v>
      </c>
      <c r="R430" s="24"/>
    </row>
    <row r="431" spans="1:18" s="95" customFormat="1" ht="45.75" customHeight="1" x14ac:dyDescent="0.2">
      <c r="A431" s="89">
        <v>426</v>
      </c>
      <c r="B431" s="90" t="s">
        <v>8411</v>
      </c>
      <c r="C431" s="91">
        <v>44761</v>
      </c>
      <c r="D431" s="91">
        <v>44762</v>
      </c>
      <c r="E431" s="24">
        <v>1</v>
      </c>
      <c r="F431" s="92" t="s">
        <v>22</v>
      </c>
      <c r="G431" s="55" t="s">
        <v>1246</v>
      </c>
      <c r="H431" s="55" t="s">
        <v>1239</v>
      </c>
      <c r="I431" s="55" t="s">
        <v>1240</v>
      </c>
      <c r="J431" s="91">
        <v>44762</v>
      </c>
      <c r="K431" s="91">
        <v>44762</v>
      </c>
      <c r="L431" s="93">
        <f>+NETWORKDAYS(D431,K431)-1</f>
        <v>0</v>
      </c>
      <c r="M431" s="55" t="s">
        <v>8412</v>
      </c>
      <c r="N431" s="90" t="s">
        <v>1242</v>
      </c>
      <c r="O431" s="55" t="s">
        <v>1026</v>
      </c>
      <c r="P431" s="94" t="s">
        <v>1030</v>
      </c>
      <c r="Q431" s="90" t="s">
        <v>5840</v>
      </c>
      <c r="R431" s="24"/>
    </row>
    <row r="432" spans="1:18" s="95" customFormat="1" ht="45.75" customHeight="1" x14ac:dyDescent="0.2">
      <c r="A432" s="89">
        <v>427</v>
      </c>
      <c r="B432" s="90" t="s">
        <v>8413</v>
      </c>
      <c r="C432" s="91">
        <v>44770</v>
      </c>
      <c r="D432" s="91">
        <v>44803</v>
      </c>
      <c r="E432" s="24">
        <v>9</v>
      </c>
      <c r="F432" s="92" t="s">
        <v>22</v>
      </c>
      <c r="G432" s="55" t="s">
        <v>1246</v>
      </c>
      <c r="H432" s="55" t="s">
        <v>1239</v>
      </c>
      <c r="I432" s="55" t="s">
        <v>1240</v>
      </c>
      <c r="J432" s="91">
        <v>44803</v>
      </c>
      <c r="K432" s="91">
        <v>44803</v>
      </c>
      <c r="L432" s="93">
        <f>+NETWORKDAYS(D432,K432)-1</f>
        <v>0</v>
      </c>
      <c r="M432" s="55" t="s">
        <v>8414</v>
      </c>
      <c r="N432" s="90" t="s">
        <v>1242</v>
      </c>
      <c r="O432" s="55" t="s">
        <v>1026</v>
      </c>
      <c r="P432" s="94" t="s">
        <v>1030</v>
      </c>
      <c r="Q432" s="90" t="s">
        <v>5840</v>
      </c>
      <c r="R432" s="24"/>
    </row>
  </sheetData>
  <autoFilter ref="A5:R432">
    <filterColumn colId="5">
      <filters>
        <filter val="ATENDIDO"/>
        <filter val="EN TRÁMITE"/>
      </filters>
    </filterColumn>
  </autoFilter>
  <mergeCells count="3">
    <mergeCell ref="A1:R1"/>
    <mergeCell ref="A2:R2"/>
    <mergeCell ref="A3:R3"/>
  </mergeCells>
  <dataValidations count="1">
    <dataValidation type="list" allowBlank="1" showInputMessage="1" showErrorMessage="1" sqref="F429:F432 JB429:JB432 SX429:SX432 ACT429:ACT432 AMP429:AMP432 AWL429:AWL432 BGH429:BGH432 BQD429:BQD432 BZZ429:BZZ432 CJV429:CJV432 CTR429:CTR432 DDN429:DDN432 DNJ429:DNJ432 DXF429:DXF432 EHB429:EHB432 EQX429:EQX432 FAT429:FAT432 FKP429:FKP432 FUL429:FUL432 GEH429:GEH432 GOD429:GOD432 GXZ429:GXZ432 HHV429:HHV432 HRR429:HRR432 IBN429:IBN432 ILJ429:ILJ432 IVF429:IVF432 JFB429:JFB432 JOX429:JOX432 JYT429:JYT432 KIP429:KIP432 KSL429:KSL432 LCH429:LCH432 LMD429:LMD432 LVZ429:LVZ432 MFV429:MFV432 MPR429:MPR432 MZN429:MZN432 NJJ429:NJJ432 NTF429:NTF432 ODB429:ODB432 OMX429:OMX432 OWT429:OWT432 PGP429:PGP432 PQL429:PQL432 QAH429:QAH432 QKD429:QKD432 QTZ429:QTZ432 RDV429:RDV432 RNR429:RNR432 RXN429:RXN432 SHJ429:SHJ432 SRF429:SRF432 TBB429:TBB432 TKX429:TKX432 TUT429:TUT432 UEP429:UEP432 UOL429:UOL432 UYH429:UYH432 VID429:VID432 VRZ429:VRZ432 WBV429:WBV432 WLR429:WLR432 WVN429:WVN432">
      <formula1>#REF!</formula1>
    </dataValidation>
  </dataValidations>
  <pageMargins left="0.7" right="0.7" top="0.75" bottom="0.75" header="0.3" footer="0.3"/>
  <pageSetup orientation="portrait" horizontalDpi="4294967292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395"/>
  <sheetViews>
    <sheetView zoomScale="85" zoomScaleNormal="85" workbookViewId="0">
      <selection activeCell="J8" sqref="J8"/>
    </sheetView>
  </sheetViews>
  <sheetFormatPr baseColWidth="10" defaultRowHeight="15" x14ac:dyDescent="0.25"/>
  <cols>
    <col min="3" max="3" width="14.85546875" customWidth="1"/>
    <col min="4" max="4" width="14.140625" customWidth="1"/>
    <col min="8" max="8" width="14.42578125" customWidth="1"/>
  </cols>
  <sheetData>
    <row r="1" spans="1:18" ht="18" x14ac:dyDescent="0.25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</row>
    <row r="2" spans="1:18" ht="18" x14ac:dyDescent="0.25">
      <c r="A2" s="103" t="s">
        <v>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</row>
    <row r="3" spans="1:18" ht="18" x14ac:dyDescent="0.25">
      <c r="A3" s="103" t="s">
        <v>4889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</row>
    <row r="5" spans="1:18" ht="45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</row>
    <row r="6" spans="1:18" ht="66.75" customHeight="1" x14ac:dyDescent="0.25">
      <c r="A6" s="96">
        <v>1</v>
      </c>
      <c r="B6" s="97" t="s">
        <v>8415</v>
      </c>
      <c r="C6" s="98">
        <v>44774</v>
      </c>
      <c r="D6" s="98">
        <v>44774</v>
      </c>
      <c r="E6" s="99">
        <v>2</v>
      </c>
      <c r="F6" s="99" t="s">
        <v>22</v>
      </c>
      <c r="G6" s="97" t="s">
        <v>721</v>
      </c>
      <c r="H6" s="97" t="s">
        <v>24</v>
      </c>
      <c r="I6" s="97" t="s">
        <v>721</v>
      </c>
      <c r="J6" s="100">
        <v>44774</v>
      </c>
      <c r="K6" s="100">
        <v>44774</v>
      </c>
      <c r="L6" s="101">
        <f t="shared" ref="L6:L69" si="0">+NETWORKDAYS(D6,K6,$R$6:$R$9)-1</f>
        <v>0</v>
      </c>
      <c r="M6" s="97" t="s">
        <v>8416</v>
      </c>
      <c r="N6" s="68" t="s">
        <v>26</v>
      </c>
      <c r="O6" s="97" t="s">
        <v>7700</v>
      </c>
      <c r="P6" s="99" t="s">
        <v>7701</v>
      </c>
      <c r="Q6" s="68" t="str">
        <f t="shared" ref="Q6:Q69" si="1">IF(L6&gt;15,"FUERA DE TIEMPO","DENTRO DEL TIEMPO")</f>
        <v>DENTRO DEL TIEMPO</v>
      </c>
      <c r="R6" s="99"/>
    </row>
    <row r="7" spans="1:18" ht="60.75" x14ac:dyDescent="0.25">
      <c r="A7" s="96">
        <v>2</v>
      </c>
      <c r="B7" s="97" t="s">
        <v>8417</v>
      </c>
      <c r="C7" s="98">
        <v>44774</v>
      </c>
      <c r="D7" s="98">
        <v>44774</v>
      </c>
      <c r="E7" s="99">
        <v>2</v>
      </c>
      <c r="F7" s="99" t="s">
        <v>22</v>
      </c>
      <c r="G7" s="97" t="s">
        <v>721</v>
      </c>
      <c r="H7" s="97" t="s">
        <v>24</v>
      </c>
      <c r="I7" s="97" t="s">
        <v>721</v>
      </c>
      <c r="J7" s="100">
        <v>44774</v>
      </c>
      <c r="K7" s="100">
        <v>44774</v>
      </c>
      <c r="L7" s="101">
        <f t="shared" si="0"/>
        <v>0</v>
      </c>
      <c r="M7" s="97" t="s">
        <v>8418</v>
      </c>
      <c r="N7" s="68" t="s">
        <v>26</v>
      </c>
      <c r="O7" s="97" t="s">
        <v>8419</v>
      </c>
      <c r="P7" s="99" t="s">
        <v>7592</v>
      </c>
      <c r="Q7" s="68" t="str">
        <f t="shared" si="1"/>
        <v>DENTRO DEL TIEMPO</v>
      </c>
      <c r="R7" s="99"/>
    </row>
    <row r="8" spans="1:18" ht="60.75" x14ac:dyDescent="0.25">
      <c r="A8" s="96">
        <v>3</v>
      </c>
      <c r="B8" s="97" t="s">
        <v>8420</v>
      </c>
      <c r="C8" s="98">
        <v>44774</v>
      </c>
      <c r="D8" s="98">
        <v>44774</v>
      </c>
      <c r="E8" s="99">
        <v>2</v>
      </c>
      <c r="F8" s="99" t="s">
        <v>22</v>
      </c>
      <c r="G8" s="97" t="s">
        <v>721</v>
      </c>
      <c r="H8" s="97" t="s">
        <v>24</v>
      </c>
      <c r="I8" s="97" t="s">
        <v>721</v>
      </c>
      <c r="J8" s="100">
        <v>44774</v>
      </c>
      <c r="K8" s="100">
        <v>44774</v>
      </c>
      <c r="L8" s="101">
        <f t="shared" si="0"/>
        <v>0</v>
      </c>
      <c r="M8" s="97" t="s">
        <v>8421</v>
      </c>
      <c r="N8" s="68" t="s">
        <v>26</v>
      </c>
      <c r="O8" s="97" t="s">
        <v>4108</v>
      </c>
      <c r="P8" s="99" t="s">
        <v>8422</v>
      </c>
      <c r="Q8" s="68" t="str">
        <f t="shared" si="1"/>
        <v>DENTRO DEL TIEMPO</v>
      </c>
      <c r="R8" s="99"/>
    </row>
    <row r="9" spans="1:18" ht="60.75" x14ac:dyDescent="0.25">
      <c r="A9" s="96">
        <v>4</v>
      </c>
      <c r="B9" s="97" t="s">
        <v>8423</v>
      </c>
      <c r="C9" s="98">
        <v>44774</v>
      </c>
      <c r="D9" s="98">
        <v>44774</v>
      </c>
      <c r="E9" s="99">
        <v>2</v>
      </c>
      <c r="F9" s="99" t="s">
        <v>22</v>
      </c>
      <c r="G9" s="97" t="s">
        <v>721</v>
      </c>
      <c r="H9" s="97" t="s">
        <v>24</v>
      </c>
      <c r="I9" s="97" t="s">
        <v>721</v>
      </c>
      <c r="J9" s="100">
        <v>44774</v>
      </c>
      <c r="K9" s="100">
        <v>44774</v>
      </c>
      <c r="L9" s="101">
        <f t="shared" si="0"/>
        <v>0</v>
      </c>
      <c r="M9" s="97" t="s">
        <v>8424</v>
      </c>
      <c r="N9" s="68" t="s">
        <v>26</v>
      </c>
      <c r="O9" s="97" t="s">
        <v>8425</v>
      </c>
      <c r="P9" s="99" t="s">
        <v>8426</v>
      </c>
      <c r="Q9" s="68" t="str">
        <f t="shared" si="1"/>
        <v>DENTRO DEL TIEMPO</v>
      </c>
      <c r="R9" s="99"/>
    </row>
    <row r="10" spans="1:18" ht="60.75" x14ac:dyDescent="0.25">
      <c r="A10" s="96">
        <v>5</v>
      </c>
      <c r="B10" s="97" t="s">
        <v>8427</v>
      </c>
      <c r="C10" s="98">
        <v>44774</v>
      </c>
      <c r="D10" s="98">
        <v>44774</v>
      </c>
      <c r="E10" s="99">
        <v>2</v>
      </c>
      <c r="F10" s="99" t="s">
        <v>22</v>
      </c>
      <c r="G10" s="97" t="s">
        <v>721</v>
      </c>
      <c r="H10" s="97" t="s">
        <v>24</v>
      </c>
      <c r="I10" s="97" t="s">
        <v>721</v>
      </c>
      <c r="J10" s="100">
        <v>44774</v>
      </c>
      <c r="K10" s="100">
        <v>44774</v>
      </c>
      <c r="L10" s="101">
        <f t="shared" si="0"/>
        <v>0</v>
      </c>
      <c r="M10" s="97" t="s">
        <v>8428</v>
      </c>
      <c r="N10" s="68" t="s">
        <v>26</v>
      </c>
      <c r="O10" s="97" t="s">
        <v>6864</v>
      </c>
      <c r="P10" s="99" t="s">
        <v>8429</v>
      </c>
      <c r="Q10" s="68" t="str">
        <f t="shared" si="1"/>
        <v>DENTRO DEL TIEMPO</v>
      </c>
      <c r="R10" s="99"/>
    </row>
    <row r="11" spans="1:18" ht="60.75" x14ac:dyDescent="0.25">
      <c r="A11" s="96">
        <v>6</v>
      </c>
      <c r="B11" s="97" t="s">
        <v>8430</v>
      </c>
      <c r="C11" s="98">
        <v>44774</v>
      </c>
      <c r="D11" s="98">
        <v>44774</v>
      </c>
      <c r="E11" s="99">
        <v>2</v>
      </c>
      <c r="F11" s="99" t="s">
        <v>22</v>
      </c>
      <c r="G11" s="97" t="s">
        <v>721</v>
      </c>
      <c r="H11" s="97" t="s">
        <v>24</v>
      </c>
      <c r="I11" s="97" t="s">
        <v>721</v>
      </c>
      <c r="J11" s="100">
        <v>44774</v>
      </c>
      <c r="K11" s="100">
        <v>44774</v>
      </c>
      <c r="L11" s="101">
        <f t="shared" si="0"/>
        <v>0</v>
      </c>
      <c r="M11" s="97" t="s">
        <v>8431</v>
      </c>
      <c r="N11" s="68" t="s">
        <v>26</v>
      </c>
      <c r="O11" s="97" t="s">
        <v>8128</v>
      </c>
      <c r="P11" s="99" t="s">
        <v>8129</v>
      </c>
      <c r="Q11" s="68" t="str">
        <f t="shared" si="1"/>
        <v>DENTRO DEL TIEMPO</v>
      </c>
      <c r="R11" s="99"/>
    </row>
    <row r="12" spans="1:18" ht="60.75" x14ac:dyDescent="0.25">
      <c r="A12" s="96">
        <v>7</v>
      </c>
      <c r="B12" s="97" t="s">
        <v>8432</v>
      </c>
      <c r="C12" s="98">
        <v>44774</v>
      </c>
      <c r="D12" s="98">
        <v>44774</v>
      </c>
      <c r="E12" s="99">
        <v>2</v>
      </c>
      <c r="F12" s="99" t="s">
        <v>22</v>
      </c>
      <c r="G12" s="97" t="s">
        <v>721</v>
      </c>
      <c r="H12" s="97" t="s">
        <v>24</v>
      </c>
      <c r="I12" s="97" t="s">
        <v>721</v>
      </c>
      <c r="J12" s="100">
        <v>44775</v>
      </c>
      <c r="K12" s="100">
        <v>44775</v>
      </c>
      <c r="L12" s="101">
        <f t="shared" si="0"/>
        <v>1</v>
      </c>
      <c r="M12" s="97" t="s">
        <v>8433</v>
      </c>
      <c r="N12" s="68" t="s">
        <v>26</v>
      </c>
      <c r="O12" s="97" t="s">
        <v>8434</v>
      </c>
      <c r="P12" s="99" t="s">
        <v>8435</v>
      </c>
      <c r="Q12" s="68" t="str">
        <f t="shared" si="1"/>
        <v>DENTRO DEL TIEMPO</v>
      </c>
      <c r="R12" s="99"/>
    </row>
    <row r="13" spans="1:18" ht="60.75" x14ac:dyDescent="0.25">
      <c r="A13" s="96">
        <v>8</v>
      </c>
      <c r="B13" s="97" t="s">
        <v>8436</v>
      </c>
      <c r="C13" s="98">
        <v>44774</v>
      </c>
      <c r="D13" s="98">
        <v>44774</v>
      </c>
      <c r="E13" s="99">
        <v>2</v>
      </c>
      <c r="F13" s="99" t="s">
        <v>22</v>
      </c>
      <c r="G13" s="97" t="s">
        <v>721</v>
      </c>
      <c r="H13" s="97" t="s">
        <v>24</v>
      </c>
      <c r="I13" s="97" t="s">
        <v>721</v>
      </c>
      <c r="J13" s="100">
        <v>44775</v>
      </c>
      <c r="K13" s="100">
        <v>44775</v>
      </c>
      <c r="L13" s="101">
        <f t="shared" si="0"/>
        <v>1</v>
      </c>
      <c r="M13" s="97" t="s">
        <v>8437</v>
      </c>
      <c r="N13" s="68" t="s">
        <v>26</v>
      </c>
      <c r="O13" s="97" t="s">
        <v>8438</v>
      </c>
      <c r="P13" s="99" t="s">
        <v>8439</v>
      </c>
      <c r="Q13" s="68" t="str">
        <f t="shared" si="1"/>
        <v>DENTRO DEL TIEMPO</v>
      </c>
      <c r="R13" s="99"/>
    </row>
    <row r="14" spans="1:18" ht="60.75" x14ac:dyDescent="0.25">
      <c r="A14" s="96">
        <v>9</v>
      </c>
      <c r="B14" s="97" t="s">
        <v>8440</v>
      </c>
      <c r="C14" s="98">
        <v>44774</v>
      </c>
      <c r="D14" s="98">
        <v>44774</v>
      </c>
      <c r="E14" s="99">
        <v>2</v>
      </c>
      <c r="F14" s="99" t="s">
        <v>22</v>
      </c>
      <c r="G14" s="97" t="s">
        <v>721</v>
      </c>
      <c r="H14" s="97" t="s">
        <v>24</v>
      </c>
      <c r="I14" s="97" t="s">
        <v>721</v>
      </c>
      <c r="J14" s="100">
        <v>44775</v>
      </c>
      <c r="K14" s="100">
        <v>44775</v>
      </c>
      <c r="L14" s="101">
        <f t="shared" si="0"/>
        <v>1</v>
      </c>
      <c r="M14" s="97" t="s">
        <v>8441</v>
      </c>
      <c r="N14" s="68" t="s">
        <v>26</v>
      </c>
      <c r="O14" s="97" t="s">
        <v>8442</v>
      </c>
      <c r="P14" s="99" t="s">
        <v>8443</v>
      </c>
      <c r="Q14" s="68" t="str">
        <f t="shared" si="1"/>
        <v>DENTRO DEL TIEMPO</v>
      </c>
      <c r="R14" s="99"/>
    </row>
    <row r="15" spans="1:18" ht="60.75" x14ac:dyDescent="0.25">
      <c r="A15" s="96">
        <v>10</v>
      </c>
      <c r="B15" s="97" t="s">
        <v>8444</v>
      </c>
      <c r="C15" s="98">
        <v>44774</v>
      </c>
      <c r="D15" s="98">
        <v>44774</v>
      </c>
      <c r="E15" s="99">
        <v>2</v>
      </c>
      <c r="F15" s="99" t="s">
        <v>22</v>
      </c>
      <c r="G15" s="97" t="s">
        <v>721</v>
      </c>
      <c r="H15" s="97" t="s">
        <v>24</v>
      </c>
      <c r="I15" s="97" t="s">
        <v>721</v>
      </c>
      <c r="J15" s="100">
        <v>44776</v>
      </c>
      <c r="K15" s="100">
        <v>44776</v>
      </c>
      <c r="L15" s="101">
        <f t="shared" si="0"/>
        <v>2</v>
      </c>
      <c r="M15" s="97" t="s">
        <v>8445</v>
      </c>
      <c r="N15" s="68" t="s">
        <v>26</v>
      </c>
      <c r="O15" s="97" t="s">
        <v>2333</v>
      </c>
      <c r="P15" s="99" t="s">
        <v>2321</v>
      </c>
      <c r="Q15" s="68" t="str">
        <f t="shared" si="1"/>
        <v>DENTRO DEL TIEMPO</v>
      </c>
      <c r="R15" s="99"/>
    </row>
    <row r="16" spans="1:18" ht="60.75" x14ac:dyDescent="0.25">
      <c r="A16" s="96">
        <v>11</v>
      </c>
      <c r="B16" s="97" t="s">
        <v>8446</v>
      </c>
      <c r="C16" s="98">
        <v>44774</v>
      </c>
      <c r="D16" s="98">
        <v>44774</v>
      </c>
      <c r="E16" s="99">
        <v>2</v>
      </c>
      <c r="F16" s="99" t="s">
        <v>22</v>
      </c>
      <c r="G16" s="97" t="s">
        <v>721</v>
      </c>
      <c r="H16" s="97" t="s">
        <v>24</v>
      </c>
      <c r="I16" s="97" t="s">
        <v>721</v>
      </c>
      <c r="J16" s="100">
        <v>44776</v>
      </c>
      <c r="K16" s="100">
        <v>44776</v>
      </c>
      <c r="L16" s="101">
        <f t="shared" si="0"/>
        <v>2</v>
      </c>
      <c r="M16" s="97" t="s">
        <v>8447</v>
      </c>
      <c r="N16" s="68" t="s">
        <v>26</v>
      </c>
      <c r="O16" s="97" t="s">
        <v>2333</v>
      </c>
      <c r="P16" s="99" t="s">
        <v>2321</v>
      </c>
      <c r="Q16" s="68" t="str">
        <f t="shared" si="1"/>
        <v>DENTRO DEL TIEMPO</v>
      </c>
      <c r="R16" s="99"/>
    </row>
    <row r="17" spans="1:18" ht="60.75" x14ac:dyDescent="0.25">
      <c r="A17" s="96">
        <v>12</v>
      </c>
      <c r="B17" s="97" t="s">
        <v>8448</v>
      </c>
      <c r="C17" s="98">
        <v>44774</v>
      </c>
      <c r="D17" s="98">
        <v>44774</v>
      </c>
      <c r="E17" s="99">
        <v>2</v>
      </c>
      <c r="F17" s="99" t="s">
        <v>22</v>
      </c>
      <c r="G17" s="97" t="s">
        <v>721</v>
      </c>
      <c r="H17" s="97" t="s">
        <v>24</v>
      </c>
      <c r="I17" s="97" t="s">
        <v>721</v>
      </c>
      <c r="J17" s="100">
        <v>44776</v>
      </c>
      <c r="K17" s="100">
        <v>44776</v>
      </c>
      <c r="L17" s="101">
        <f t="shared" si="0"/>
        <v>2</v>
      </c>
      <c r="M17" s="97" t="s">
        <v>8449</v>
      </c>
      <c r="N17" s="68" t="s">
        <v>26</v>
      </c>
      <c r="O17" s="97" t="s">
        <v>2333</v>
      </c>
      <c r="P17" s="99" t="s">
        <v>2321</v>
      </c>
      <c r="Q17" s="68" t="str">
        <f t="shared" si="1"/>
        <v>DENTRO DEL TIEMPO</v>
      </c>
      <c r="R17" s="99"/>
    </row>
    <row r="18" spans="1:18" ht="60.75" x14ac:dyDescent="0.25">
      <c r="A18" s="96">
        <v>13</v>
      </c>
      <c r="B18" s="97" t="s">
        <v>8450</v>
      </c>
      <c r="C18" s="98">
        <v>44774</v>
      </c>
      <c r="D18" s="98">
        <v>44774</v>
      </c>
      <c r="E18" s="99">
        <v>2</v>
      </c>
      <c r="F18" s="99" t="s">
        <v>22</v>
      </c>
      <c r="G18" s="97" t="s">
        <v>721</v>
      </c>
      <c r="H18" s="97" t="s">
        <v>24</v>
      </c>
      <c r="I18" s="97" t="s">
        <v>721</v>
      </c>
      <c r="J18" s="100">
        <v>44776</v>
      </c>
      <c r="K18" s="100">
        <v>44776</v>
      </c>
      <c r="L18" s="101">
        <f t="shared" si="0"/>
        <v>2</v>
      </c>
      <c r="M18" s="97" t="s">
        <v>8451</v>
      </c>
      <c r="N18" s="68" t="s">
        <v>26</v>
      </c>
      <c r="O18" s="97" t="s">
        <v>2333</v>
      </c>
      <c r="P18" s="99" t="s">
        <v>2321</v>
      </c>
      <c r="Q18" s="68" t="str">
        <f t="shared" si="1"/>
        <v>DENTRO DEL TIEMPO</v>
      </c>
      <c r="R18" s="99"/>
    </row>
    <row r="19" spans="1:18" ht="60.75" x14ac:dyDescent="0.25">
      <c r="A19" s="96">
        <v>14</v>
      </c>
      <c r="B19" s="97" t="s">
        <v>8452</v>
      </c>
      <c r="C19" s="98">
        <v>44774</v>
      </c>
      <c r="D19" s="98">
        <v>44774</v>
      </c>
      <c r="E19" s="99">
        <v>2</v>
      </c>
      <c r="F19" s="99" t="s">
        <v>22</v>
      </c>
      <c r="G19" s="97" t="s">
        <v>721</v>
      </c>
      <c r="H19" s="97" t="s">
        <v>24</v>
      </c>
      <c r="I19" s="97" t="s">
        <v>721</v>
      </c>
      <c r="J19" s="100">
        <v>44776</v>
      </c>
      <c r="K19" s="100">
        <v>44776</v>
      </c>
      <c r="L19" s="101">
        <f t="shared" si="0"/>
        <v>2</v>
      </c>
      <c r="M19" s="97" t="s">
        <v>8453</v>
      </c>
      <c r="N19" s="68" t="s">
        <v>26</v>
      </c>
      <c r="O19" s="97" t="s">
        <v>2333</v>
      </c>
      <c r="P19" s="99" t="s">
        <v>2321</v>
      </c>
      <c r="Q19" s="68" t="str">
        <f t="shared" si="1"/>
        <v>DENTRO DEL TIEMPO</v>
      </c>
      <c r="R19" s="99"/>
    </row>
    <row r="20" spans="1:18" ht="60.75" x14ac:dyDescent="0.25">
      <c r="A20" s="96">
        <v>15</v>
      </c>
      <c r="B20" s="97" t="s">
        <v>8454</v>
      </c>
      <c r="C20" s="98">
        <v>44774</v>
      </c>
      <c r="D20" s="98">
        <v>44774</v>
      </c>
      <c r="E20" s="99">
        <v>2</v>
      </c>
      <c r="F20" s="99" t="s">
        <v>22</v>
      </c>
      <c r="G20" s="97" t="s">
        <v>721</v>
      </c>
      <c r="H20" s="97" t="s">
        <v>24</v>
      </c>
      <c r="I20" s="97" t="s">
        <v>721</v>
      </c>
      <c r="J20" s="100">
        <v>44776</v>
      </c>
      <c r="K20" s="100">
        <v>44776</v>
      </c>
      <c r="L20" s="101">
        <f t="shared" si="0"/>
        <v>2</v>
      </c>
      <c r="M20" s="97" t="s">
        <v>8455</v>
      </c>
      <c r="N20" s="68" t="s">
        <v>26</v>
      </c>
      <c r="O20" s="97" t="s">
        <v>2333</v>
      </c>
      <c r="P20" s="99" t="s">
        <v>2321</v>
      </c>
      <c r="Q20" s="68" t="str">
        <f t="shared" si="1"/>
        <v>DENTRO DEL TIEMPO</v>
      </c>
      <c r="R20" s="99"/>
    </row>
    <row r="21" spans="1:18" ht="60.75" x14ac:dyDescent="0.25">
      <c r="A21" s="96">
        <v>16</v>
      </c>
      <c r="B21" s="97" t="s">
        <v>8456</v>
      </c>
      <c r="C21" s="98">
        <v>44774</v>
      </c>
      <c r="D21" s="98">
        <v>44774</v>
      </c>
      <c r="E21" s="99">
        <v>2</v>
      </c>
      <c r="F21" s="99" t="s">
        <v>22</v>
      </c>
      <c r="G21" s="97" t="s">
        <v>721</v>
      </c>
      <c r="H21" s="97" t="s">
        <v>24</v>
      </c>
      <c r="I21" s="97" t="s">
        <v>721</v>
      </c>
      <c r="J21" s="100">
        <v>44776</v>
      </c>
      <c r="K21" s="100">
        <v>44776</v>
      </c>
      <c r="L21" s="101">
        <f t="shared" si="0"/>
        <v>2</v>
      </c>
      <c r="M21" s="97" t="s">
        <v>8457</v>
      </c>
      <c r="N21" s="68" t="s">
        <v>26</v>
      </c>
      <c r="O21" s="97" t="s">
        <v>2557</v>
      </c>
      <c r="P21" s="99" t="s">
        <v>1999</v>
      </c>
      <c r="Q21" s="68" t="str">
        <f t="shared" si="1"/>
        <v>DENTRO DEL TIEMPO</v>
      </c>
      <c r="R21" s="99"/>
    </row>
    <row r="22" spans="1:18" ht="60.75" x14ac:dyDescent="0.25">
      <c r="A22" s="96">
        <v>17</v>
      </c>
      <c r="B22" s="97" t="s">
        <v>8458</v>
      </c>
      <c r="C22" s="98">
        <v>44774</v>
      </c>
      <c r="D22" s="98">
        <v>44774</v>
      </c>
      <c r="E22" s="99">
        <v>2</v>
      </c>
      <c r="F22" s="99" t="s">
        <v>22</v>
      </c>
      <c r="G22" s="97" t="s">
        <v>721</v>
      </c>
      <c r="H22" s="97" t="s">
        <v>24</v>
      </c>
      <c r="I22" s="97" t="s">
        <v>721</v>
      </c>
      <c r="J22" s="100">
        <v>44776</v>
      </c>
      <c r="K22" s="100">
        <v>44776</v>
      </c>
      <c r="L22" s="101">
        <f t="shared" si="0"/>
        <v>2</v>
      </c>
      <c r="M22" s="97" t="s">
        <v>8459</v>
      </c>
      <c r="N22" s="68" t="s">
        <v>26</v>
      </c>
      <c r="O22" s="97" t="s">
        <v>3716</v>
      </c>
      <c r="P22" s="99" t="s">
        <v>7676</v>
      </c>
      <c r="Q22" s="68" t="str">
        <f t="shared" si="1"/>
        <v>DENTRO DEL TIEMPO</v>
      </c>
      <c r="R22" s="99"/>
    </row>
    <row r="23" spans="1:18" ht="60.75" x14ac:dyDescent="0.25">
      <c r="A23" s="96">
        <v>18</v>
      </c>
      <c r="B23" s="97" t="s">
        <v>8460</v>
      </c>
      <c r="C23" s="98">
        <v>44774</v>
      </c>
      <c r="D23" s="98">
        <v>44774</v>
      </c>
      <c r="E23" s="99">
        <v>2</v>
      </c>
      <c r="F23" s="99" t="s">
        <v>22</v>
      </c>
      <c r="G23" s="97" t="s">
        <v>721</v>
      </c>
      <c r="H23" s="97" t="s">
        <v>24</v>
      </c>
      <c r="I23" s="97" t="s">
        <v>721</v>
      </c>
      <c r="J23" s="100">
        <v>44776</v>
      </c>
      <c r="K23" s="100">
        <v>44776</v>
      </c>
      <c r="L23" s="101">
        <f t="shared" si="0"/>
        <v>2</v>
      </c>
      <c r="M23" s="97" t="s">
        <v>8461</v>
      </c>
      <c r="N23" s="68" t="s">
        <v>26</v>
      </c>
      <c r="O23" s="97" t="s">
        <v>3716</v>
      </c>
      <c r="P23" s="99" t="s">
        <v>7676</v>
      </c>
      <c r="Q23" s="68" t="str">
        <f t="shared" si="1"/>
        <v>DENTRO DEL TIEMPO</v>
      </c>
      <c r="R23" s="99"/>
    </row>
    <row r="24" spans="1:18" ht="60.75" x14ac:dyDescent="0.25">
      <c r="A24" s="96">
        <v>19</v>
      </c>
      <c r="B24" s="97" t="s">
        <v>8462</v>
      </c>
      <c r="C24" s="98">
        <v>44775</v>
      </c>
      <c r="D24" s="98">
        <v>44775</v>
      </c>
      <c r="E24" s="99">
        <v>40</v>
      </c>
      <c r="F24" s="99" t="s">
        <v>22</v>
      </c>
      <c r="G24" s="97" t="s">
        <v>721</v>
      </c>
      <c r="H24" s="97" t="s">
        <v>24</v>
      </c>
      <c r="I24" s="97" t="s">
        <v>721</v>
      </c>
      <c r="J24" s="100">
        <v>44777</v>
      </c>
      <c r="K24" s="100">
        <v>44777</v>
      </c>
      <c r="L24" s="101">
        <f t="shared" si="0"/>
        <v>2</v>
      </c>
      <c r="M24" s="97" t="s">
        <v>8463</v>
      </c>
      <c r="N24" s="68" t="s">
        <v>26</v>
      </c>
      <c r="O24" s="97" t="s">
        <v>8464</v>
      </c>
      <c r="P24" s="99" t="s">
        <v>8465</v>
      </c>
      <c r="Q24" s="68" t="str">
        <f t="shared" si="1"/>
        <v>DENTRO DEL TIEMPO</v>
      </c>
      <c r="R24" s="99"/>
    </row>
    <row r="25" spans="1:18" ht="60.75" x14ac:dyDescent="0.25">
      <c r="A25" s="96">
        <v>20</v>
      </c>
      <c r="B25" s="97" t="s">
        <v>8466</v>
      </c>
      <c r="C25" s="98">
        <v>44775</v>
      </c>
      <c r="D25" s="98">
        <v>44775</v>
      </c>
      <c r="E25" s="99">
        <v>2</v>
      </c>
      <c r="F25" s="99" t="s">
        <v>22</v>
      </c>
      <c r="G25" s="97" t="s">
        <v>721</v>
      </c>
      <c r="H25" s="97" t="s">
        <v>24</v>
      </c>
      <c r="I25" s="97" t="s">
        <v>721</v>
      </c>
      <c r="J25" s="100">
        <v>44775</v>
      </c>
      <c r="K25" s="100">
        <v>44775</v>
      </c>
      <c r="L25" s="101">
        <f t="shared" si="0"/>
        <v>0</v>
      </c>
      <c r="M25" s="97" t="s">
        <v>8467</v>
      </c>
      <c r="N25" s="68" t="s">
        <v>26</v>
      </c>
      <c r="O25" s="97" t="s">
        <v>8468</v>
      </c>
      <c r="P25" s="99" t="s">
        <v>8469</v>
      </c>
      <c r="Q25" s="68" t="str">
        <f t="shared" si="1"/>
        <v>DENTRO DEL TIEMPO</v>
      </c>
      <c r="R25" s="99"/>
    </row>
    <row r="26" spans="1:18" ht="60.75" x14ac:dyDescent="0.25">
      <c r="A26" s="96">
        <v>21</v>
      </c>
      <c r="B26" s="97" t="s">
        <v>8470</v>
      </c>
      <c r="C26" s="98">
        <v>44775</v>
      </c>
      <c r="D26" s="98">
        <v>44775</v>
      </c>
      <c r="E26" s="99">
        <v>2</v>
      </c>
      <c r="F26" s="99" t="s">
        <v>22</v>
      </c>
      <c r="G26" s="97" t="s">
        <v>721</v>
      </c>
      <c r="H26" s="97" t="s">
        <v>24</v>
      </c>
      <c r="I26" s="97" t="s">
        <v>721</v>
      </c>
      <c r="J26" s="100">
        <v>44776</v>
      </c>
      <c r="K26" s="100">
        <v>44776</v>
      </c>
      <c r="L26" s="101">
        <f t="shared" si="0"/>
        <v>1</v>
      </c>
      <c r="M26" s="97" t="s">
        <v>8471</v>
      </c>
      <c r="N26" s="68" t="s">
        <v>26</v>
      </c>
      <c r="O26" s="97" t="s">
        <v>8472</v>
      </c>
      <c r="P26" s="99" t="s">
        <v>8473</v>
      </c>
      <c r="Q26" s="68" t="str">
        <f t="shared" si="1"/>
        <v>DENTRO DEL TIEMPO</v>
      </c>
      <c r="R26" s="99"/>
    </row>
    <row r="27" spans="1:18" ht="60.75" x14ac:dyDescent="0.25">
      <c r="A27" s="96">
        <v>22</v>
      </c>
      <c r="B27" s="97" t="s">
        <v>8474</v>
      </c>
      <c r="C27" s="98">
        <v>44775</v>
      </c>
      <c r="D27" s="98">
        <v>44775</v>
      </c>
      <c r="E27" s="99">
        <v>2</v>
      </c>
      <c r="F27" s="99" t="s">
        <v>22</v>
      </c>
      <c r="G27" s="97" t="s">
        <v>721</v>
      </c>
      <c r="H27" s="97" t="s">
        <v>24</v>
      </c>
      <c r="I27" s="97" t="s">
        <v>721</v>
      </c>
      <c r="J27" s="100">
        <v>44777</v>
      </c>
      <c r="K27" s="100">
        <v>44777</v>
      </c>
      <c r="L27" s="101">
        <f t="shared" si="0"/>
        <v>2</v>
      </c>
      <c r="M27" s="97" t="s">
        <v>8475</v>
      </c>
      <c r="N27" s="68" t="s">
        <v>26</v>
      </c>
      <c r="O27" s="97" t="s">
        <v>8476</v>
      </c>
      <c r="P27" s="99" t="s">
        <v>8477</v>
      </c>
      <c r="Q27" s="68" t="str">
        <f t="shared" si="1"/>
        <v>DENTRO DEL TIEMPO</v>
      </c>
      <c r="R27" s="99"/>
    </row>
    <row r="28" spans="1:18" ht="60.75" x14ac:dyDescent="0.25">
      <c r="A28" s="96">
        <v>23</v>
      </c>
      <c r="B28" s="97" t="s">
        <v>8478</v>
      </c>
      <c r="C28" s="98">
        <v>44775</v>
      </c>
      <c r="D28" s="98">
        <v>44775</v>
      </c>
      <c r="E28" s="99">
        <v>2</v>
      </c>
      <c r="F28" s="99" t="s">
        <v>22</v>
      </c>
      <c r="G28" s="97" t="s">
        <v>721</v>
      </c>
      <c r="H28" s="97" t="s">
        <v>24</v>
      </c>
      <c r="I28" s="97" t="s">
        <v>721</v>
      </c>
      <c r="J28" s="100">
        <v>44776</v>
      </c>
      <c r="K28" s="100">
        <v>44776</v>
      </c>
      <c r="L28" s="101">
        <f t="shared" si="0"/>
        <v>1</v>
      </c>
      <c r="M28" s="97" t="s">
        <v>8479</v>
      </c>
      <c r="N28" s="68" t="s">
        <v>26</v>
      </c>
      <c r="O28" s="97" t="s">
        <v>6540</v>
      </c>
      <c r="P28" s="99" t="s">
        <v>8480</v>
      </c>
      <c r="Q28" s="68" t="str">
        <f t="shared" si="1"/>
        <v>DENTRO DEL TIEMPO</v>
      </c>
      <c r="R28" s="99"/>
    </row>
    <row r="29" spans="1:18" ht="60.75" x14ac:dyDescent="0.25">
      <c r="A29" s="96">
        <v>24</v>
      </c>
      <c r="B29" s="97" t="s">
        <v>8481</v>
      </c>
      <c r="C29" s="98">
        <v>44775</v>
      </c>
      <c r="D29" s="98">
        <v>44775</v>
      </c>
      <c r="E29" s="99">
        <v>2</v>
      </c>
      <c r="F29" s="99" t="s">
        <v>22</v>
      </c>
      <c r="G29" s="97" t="s">
        <v>721</v>
      </c>
      <c r="H29" s="97" t="s">
        <v>24</v>
      </c>
      <c r="I29" s="97" t="s">
        <v>721</v>
      </c>
      <c r="J29" s="100">
        <v>44777</v>
      </c>
      <c r="K29" s="100">
        <v>44777</v>
      </c>
      <c r="L29" s="101">
        <f t="shared" si="0"/>
        <v>2</v>
      </c>
      <c r="M29" s="97" t="s">
        <v>8482</v>
      </c>
      <c r="N29" s="68" t="s">
        <v>26</v>
      </c>
      <c r="O29" s="97" t="s">
        <v>8483</v>
      </c>
      <c r="P29" s="99" t="s">
        <v>8484</v>
      </c>
      <c r="Q29" s="68" t="str">
        <f t="shared" si="1"/>
        <v>DENTRO DEL TIEMPO</v>
      </c>
      <c r="R29" s="99"/>
    </row>
    <row r="30" spans="1:18" ht="60.75" x14ac:dyDescent="0.25">
      <c r="A30" s="96">
        <v>25</v>
      </c>
      <c r="B30" s="97" t="s">
        <v>8485</v>
      </c>
      <c r="C30" s="98">
        <v>44775</v>
      </c>
      <c r="D30" s="98">
        <v>44775</v>
      </c>
      <c r="E30" s="99">
        <v>2</v>
      </c>
      <c r="F30" s="99" t="s">
        <v>22</v>
      </c>
      <c r="G30" s="97" t="s">
        <v>721</v>
      </c>
      <c r="H30" s="97" t="s">
        <v>24</v>
      </c>
      <c r="I30" s="97" t="s">
        <v>721</v>
      </c>
      <c r="J30" s="100">
        <v>44776</v>
      </c>
      <c r="K30" s="100">
        <v>44776</v>
      </c>
      <c r="L30" s="101">
        <f t="shared" si="0"/>
        <v>1</v>
      </c>
      <c r="M30" s="97" t="s">
        <v>8486</v>
      </c>
      <c r="N30" s="68" t="s">
        <v>26</v>
      </c>
      <c r="O30" s="97" t="s">
        <v>2826</v>
      </c>
      <c r="P30" s="99" t="s">
        <v>8487</v>
      </c>
      <c r="Q30" s="68" t="str">
        <f t="shared" si="1"/>
        <v>DENTRO DEL TIEMPO</v>
      </c>
      <c r="R30" s="99"/>
    </row>
    <row r="31" spans="1:18" ht="60.75" x14ac:dyDescent="0.25">
      <c r="A31" s="96">
        <v>26</v>
      </c>
      <c r="B31" s="97" t="s">
        <v>8488</v>
      </c>
      <c r="C31" s="98">
        <v>44775</v>
      </c>
      <c r="D31" s="98">
        <v>44775</v>
      </c>
      <c r="E31" s="99">
        <v>2</v>
      </c>
      <c r="F31" s="99" t="s">
        <v>22</v>
      </c>
      <c r="G31" s="97" t="s">
        <v>721</v>
      </c>
      <c r="H31" s="97" t="s">
        <v>24</v>
      </c>
      <c r="I31" s="97" t="s">
        <v>721</v>
      </c>
      <c r="J31" s="100">
        <v>44776</v>
      </c>
      <c r="K31" s="100">
        <v>44776</v>
      </c>
      <c r="L31" s="101">
        <f t="shared" si="0"/>
        <v>1</v>
      </c>
      <c r="M31" s="97" t="s">
        <v>8489</v>
      </c>
      <c r="N31" s="68" t="s">
        <v>26</v>
      </c>
      <c r="O31" s="97" t="s">
        <v>8490</v>
      </c>
      <c r="P31" s="99" t="s">
        <v>1694</v>
      </c>
      <c r="Q31" s="68" t="str">
        <f t="shared" si="1"/>
        <v>DENTRO DEL TIEMPO</v>
      </c>
      <c r="R31" s="99"/>
    </row>
    <row r="32" spans="1:18" ht="60.75" x14ac:dyDescent="0.25">
      <c r="A32" s="96">
        <v>27</v>
      </c>
      <c r="B32" s="97" t="s">
        <v>8491</v>
      </c>
      <c r="C32" s="98">
        <v>44775</v>
      </c>
      <c r="D32" s="98">
        <v>44775</v>
      </c>
      <c r="E32" s="99">
        <v>2</v>
      </c>
      <c r="F32" s="99" t="s">
        <v>22</v>
      </c>
      <c r="G32" s="97" t="s">
        <v>721</v>
      </c>
      <c r="H32" s="97" t="s">
        <v>24</v>
      </c>
      <c r="I32" s="97" t="s">
        <v>721</v>
      </c>
      <c r="J32" s="100">
        <v>44777</v>
      </c>
      <c r="K32" s="100">
        <v>44777</v>
      </c>
      <c r="L32" s="101">
        <f t="shared" si="0"/>
        <v>2</v>
      </c>
      <c r="M32" s="97" t="s">
        <v>8492</v>
      </c>
      <c r="N32" s="68" t="s">
        <v>26</v>
      </c>
      <c r="O32" s="97" t="s">
        <v>8493</v>
      </c>
      <c r="P32" s="99" t="s">
        <v>8494</v>
      </c>
      <c r="Q32" s="68" t="str">
        <f t="shared" si="1"/>
        <v>DENTRO DEL TIEMPO</v>
      </c>
      <c r="R32" s="99"/>
    </row>
    <row r="33" spans="1:18" ht="60.75" x14ac:dyDescent="0.25">
      <c r="A33" s="96">
        <v>28</v>
      </c>
      <c r="B33" s="97" t="s">
        <v>8495</v>
      </c>
      <c r="C33" s="98">
        <v>44775</v>
      </c>
      <c r="D33" s="98">
        <v>44775</v>
      </c>
      <c r="E33" s="99">
        <v>2</v>
      </c>
      <c r="F33" s="99" t="s">
        <v>22</v>
      </c>
      <c r="G33" s="97" t="s">
        <v>721</v>
      </c>
      <c r="H33" s="97" t="s">
        <v>24</v>
      </c>
      <c r="I33" s="97" t="s">
        <v>721</v>
      </c>
      <c r="J33" s="100">
        <v>44777</v>
      </c>
      <c r="K33" s="100">
        <v>44777</v>
      </c>
      <c r="L33" s="101">
        <f t="shared" si="0"/>
        <v>2</v>
      </c>
      <c r="M33" s="97" t="s">
        <v>8496</v>
      </c>
      <c r="N33" s="68" t="s">
        <v>26</v>
      </c>
      <c r="O33" s="97" t="s">
        <v>8497</v>
      </c>
      <c r="P33" s="99" t="s">
        <v>8498</v>
      </c>
      <c r="Q33" s="68" t="str">
        <f t="shared" si="1"/>
        <v>DENTRO DEL TIEMPO</v>
      </c>
      <c r="R33" s="99"/>
    </row>
    <row r="34" spans="1:18" ht="60.75" x14ac:dyDescent="0.25">
      <c r="A34" s="96">
        <v>29</v>
      </c>
      <c r="B34" s="97" t="s">
        <v>8499</v>
      </c>
      <c r="C34" s="98">
        <v>44775</v>
      </c>
      <c r="D34" s="98">
        <v>44775</v>
      </c>
      <c r="E34" s="99">
        <v>2</v>
      </c>
      <c r="F34" s="99" t="s">
        <v>22</v>
      </c>
      <c r="G34" s="97" t="s">
        <v>721</v>
      </c>
      <c r="H34" s="97" t="s">
        <v>24</v>
      </c>
      <c r="I34" s="97" t="s">
        <v>721</v>
      </c>
      <c r="J34" s="100">
        <v>44777</v>
      </c>
      <c r="K34" s="100">
        <v>44777</v>
      </c>
      <c r="L34" s="101">
        <f t="shared" si="0"/>
        <v>2</v>
      </c>
      <c r="M34" s="97" t="s">
        <v>8500</v>
      </c>
      <c r="N34" s="68" t="s">
        <v>26</v>
      </c>
      <c r="O34" s="97" t="s">
        <v>8501</v>
      </c>
      <c r="P34" s="99" t="s">
        <v>8502</v>
      </c>
      <c r="Q34" s="68" t="str">
        <f t="shared" si="1"/>
        <v>DENTRO DEL TIEMPO</v>
      </c>
      <c r="R34" s="99"/>
    </row>
    <row r="35" spans="1:18" ht="60.75" x14ac:dyDescent="0.25">
      <c r="A35" s="96">
        <v>30</v>
      </c>
      <c r="B35" s="97" t="s">
        <v>8503</v>
      </c>
      <c r="C35" s="98">
        <v>44775</v>
      </c>
      <c r="D35" s="98">
        <v>44775</v>
      </c>
      <c r="E35" s="99">
        <v>2</v>
      </c>
      <c r="F35" s="99" t="s">
        <v>22</v>
      </c>
      <c r="G35" s="97" t="s">
        <v>721</v>
      </c>
      <c r="H35" s="97" t="s">
        <v>24</v>
      </c>
      <c r="I35" s="97" t="s">
        <v>721</v>
      </c>
      <c r="J35" s="100">
        <v>44777</v>
      </c>
      <c r="K35" s="100">
        <v>44777</v>
      </c>
      <c r="L35" s="101">
        <f t="shared" si="0"/>
        <v>2</v>
      </c>
      <c r="M35" s="97" t="s">
        <v>8504</v>
      </c>
      <c r="N35" s="68" t="s">
        <v>26</v>
      </c>
      <c r="O35" s="97" t="s">
        <v>8505</v>
      </c>
      <c r="P35" s="99" t="s">
        <v>8506</v>
      </c>
      <c r="Q35" s="68" t="str">
        <f t="shared" si="1"/>
        <v>DENTRO DEL TIEMPO</v>
      </c>
      <c r="R35" s="99"/>
    </row>
    <row r="36" spans="1:18" ht="60.75" x14ac:dyDescent="0.25">
      <c r="A36" s="96">
        <v>31</v>
      </c>
      <c r="B36" s="97" t="s">
        <v>8507</v>
      </c>
      <c r="C36" s="98">
        <v>44775</v>
      </c>
      <c r="D36" s="98">
        <v>44775</v>
      </c>
      <c r="E36" s="99">
        <v>2</v>
      </c>
      <c r="F36" s="99" t="s">
        <v>22</v>
      </c>
      <c r="G36" s="97" t="s">
        <v>721</v>
      </c>
      <c r="H36" s="97" t="s">
        <v>24</v>
      </c>
      <c r="I36" s="97" t="s">
        <v>721</v>
      </c>
      <c r="J36" s="100">
        <v>44777</v>
      </c>
      <c r="K36" s="100">
        <v>44777</v>
      </c>
      <c r="L36" s="101">
        <f t="shared" si="0"/>
        <v>2</v>
      </c>
      <c r="M36" s="97" t="s">
        <v>8508</v>
      </c>
      <c r="N36" s="68" t="s">
        <v>26</v>
      </c>
      <c r="O36" s="97" t="s">
        <v>8509</v>
      </c>
      <c r="P36" s="99" t="s">
        <v>8510</v>
      </c>
      <c r="Q36" s="68" t="str">
        <f t="shared" si="1"/>
        <v>DENTRO DEL TIEMPO</v>
      </c>
      <c r="R36" s="99"/>
    </row>
    <row r="37" spans="1:18" ht="60.75" x14ac:dyDescent="0.25">
      <c r="A37" s="96">
        <v>32</v>
      </c>
      <c r="B37" s="97" t="s">
        <v>8511</v>
      </c>
      <c r="C37" s="98">
        <v>44775</v>
      </c>
      <c r="D37" s="98">
        <v>44775</v>
      </c>
      <c r="E37" s="99">
        <v>2</v>
      </c>
      <c r="F37" s="99" t="s">
        <v>22</v>
      </c>
      <c r="G37" s="97" t="s">
        <v>721</v>
      </c>
      <c r="H37" s="97" t="s">
        <v>24</v>
      </c>
      <c r="I37" s="97" t="s">
        <v>721</v>
      </c>
      <c r="J37" s="100">
        <v>44777</v>
      </c>
      <c r="K37" s="100">
        <v>44777</v>
      </c>
      <c r="L37" s="101">
        <f t="shared" si="0"/>
        <v>2</v>
      </c>
      <c r="M37" s="97" t="s">
        <v>8512</v>
      </c>
      <c r="N37" s="68" t="s">
        <v>26</v>
      </c>
      <c r="O37" s="97" t="s">
        <v>2407</v>
      </c>
      <c r="P37" s="99" t="s">
        <v>3022</v>
      </c>
      <c r="Q37" s="68" t="str">
        <f t="shared" si="1"/>
        <v>DENTRO DEL TIEMPO</v>
      </c>
      <c r="R37" s="99"/>
    </row>
    <row r="38" spans="1:18" ht="60.75" x14ac:dyDescent="0.25">
      <c r="A38" s="96">
        <v>33</v>
      </c>
      <c r="B38" s="97" t="s">
        <v>8513</v>
      </c>
      <c r="C38" s="98">
        <v>44775</v>
      </c>
      <c r="D38" s="98">
        <v>44775</v>
      </c>
      <c r="E38" s="99">
        <v>2</v>
      </c>
      <c r="F38" s="99" t="s">
        <v>22</v>
      </c>
      <c r="G38" s="97" t="s">
        <v>721</v>
      </c>
      <c r="H38" s="97" t="s">
        <v>24</v>
      </c>
      <c r="I38" s="97" t="s">
        <v>721</v>
      </c>
      <c r="J38" s="100">
        <v>44777</v>
      </c>
      <c r="K38" s="100">
        <v>44777</v>
      </c>
      <c r="L38" s="101">
        <f t="shared" si="0"/>
        <v>2</v>
      </c>
      <c r="M38" s="97" t="s">
        <v>8514</v>
      </c>
      <c r="N38" s="68" t="s">
        <v>26</v>
      </c>
      <c r="O38" s="97" t="s">
        <v>3275</v>
      </c>
      <c r="P38" s="99" t="s">
        <v>3022</v>
      </c>
      <c r="Q38" s="68" t="str">
        <f t="shared" si="1"/>
        <v>DENTRO DEL TIEMPO</v>
      </c>
      <c r="R38" s="99"/>
    </row>
    <row r="39" spans="1:18" ht="60.75" x14ac:dyDescent="0.25">
      <c r="A39" s="96">
        <v>34</v>
      </c>
      <c r="B39" s="97" t="s">
        <v>8515</v>
      </c>
      <c r="C39" s="98">
        <v>44775</v>
      </c>
      <c r="D39" s="98">
        <v>44775</v>
      </c>
      <c r="E39" s="99">
        <v>2</v>
      </c>
      <c r="F39" s="99" t="s">
        <v>22</v>
      </c>
      <c r="G39" s="97" t="s">
        <v>721</v>
      </c>
      <c r="H39" s="97" t="s">
        <v>24</v>
      </c>
      <c r="I39" s="97" t="s">
        <v>721</v>
      </c>
      <c r="J39" s="100">
        <v>44777</v>
      </c>
      <c r="K39" s="100">
        <v>44777</v>
      </c>
      <c r="L39" s="101">
        <f t="shared" si="0"/>
        <v>2</v>
      </c>
      <c r="M39" s="97" t="s">
        <v>8516</v>
      </c>
      <c r="N39" s="68" t="s">
        <v>26</v>
      </c>
      <c r="O39" s="97" t="s">
        <v>2320</v>
      </c>
      <c r="P39" s="99" t="s">
        <v>3022</v>
      </c>
      <c r="Q39" s="68" t="str">
        <f t="shared" si="1"/>
        <v>DENTRO DEL TIEMPO</v>
      </c>
      <c r="R39" s="99"/>
    </row>
    <row r="40" spans="1:18" ht="60.75" x14ac:dyDescent="0.25">
      <c r="A40" s="96">
        <v>35</v>
      </c>
      <c r="B40" s="97" t="s">
        <v>8517</v>
      </c>
      <c r="C40" s="98">
        <v>44775</v>
      </c>
      <c r="D40" s="98">
        <v>44775</v>
      </c>
      <c r="E40" s="99">
        <v>2</v>
      </c>
      <c r="F40" s="99" t="s">
        <v>22</v>
      </c>
      <c r="G40" s="97" t="s">
        <v>721</v>
      </c>
      <c r="H40" s="97" t="s">
        <v>24</v>
      </c>
      <c r="I40" s="97" t="s">
        <v>721</v>
      </c>
      <c r="J40" s="100">
        <v>44777</v>
      </c>
      <c r="K40" s="100">
        <v>44777</v>
      </c>
      <c r="L40" s="101">
        <f t="shared" si="0"/>
        <v>2</v>
      </c>
      <c r="M40" s="97" t="s">
        <v>8518</v>
      </c>
      <c r="N40" s="68" t="s">
        <v>26</v>
      </c>
      <c r="O40" s="97" t="s">
        <v>2602</v>
      </c>
      <c r="P40" s="99" t="s">
        <v>3314</v>
      </c>
      <c r="Q40" s="68" t="str">
        <f t="shared" si="1"/>
        <v>DENTRO DEL TIEMPO</v>
      </c>
      <c r="R40" s="99"/>
    </row>
    <row r="41" spans="1:18" ht="60.75" x14ac:dyDescent="0.25">
      <c r="A41" s="96">
        <v>36</v>
      </c>
      <c r="B41" s="97" t="s">
        <v>8519</v>
      </c>
      <c r="C41" s="98">
        <v>44775</v>
      </c>
      <c r="D41" s="98">
        <v>44775</v>
      </c>
      <c r="E41" s="99">
        <v>2</v>
      </c>
      <c r="F41" s="99" t="s">
        <v>22</v>
      </c>
      <c r="G41" s="97" t="s">
        <v>721</v>
      </c>
      <c r="H41" s="97" t="s">
        <v>24</v>
      </c>
      <c r="I41" s="97" t="s">
        <v>721</v>
      </c>
      <c r="J41" s="100">
        <v>44777</v>
      </c>
      <c r="K41" s="100">
        <v>44777</v>
      </c>
      <c r="L41" s="101">
        <f t="shared" si="0"/>
        <v>2</v>
      </c>
      <c r="M41" s="97" t="s">
        <v>8520</v>
      </c>
      <c r="N41" s="68" t="s">
        <v>26</v>
      </c>
      <c r="O41" s="97" t="s">
        <v>6816</v>
      </c>
      <c r="P41" s="99" t="s">
        <v>8521</v>
      </c>
      <c r="Q41" s="68" t="str">
        <f t="shared" si="1"/>
        <v>DENTRO DEL TIEMPO</v>
      </c>
      <c r="R41" s="99"/>
    </row>
    <row r="42" spans="1:18" ht="60.75" x14ac:dyDescent="0.25">
      <c r="A42" s="96">
        <v>37</v>
      </c>
      <c r="B42" s="97" t="s">
        <v>8522</v>
      </c>
      <c r="C42" s="98">
        <v>44776</v>
      </c>
      <c r="D42" s="98">
        <v>44776</v>
      </c>
      <c r="E42" s="99">
        <v>2</v>
      </c>
      <c r="F42" s="99" t="s">
        <v>22</v>
      </c>
      <c r="G42" s="97" t="s">
        <v>721</v>
      </c>
      <c r="H42" s="97" t="s">
        <v>24</v>
      </c>
      <c r="I42" s="97" t="s">
        <v>721</v>
      </c>
      <c r="J42" s="100">
        <v>44777</v>
      </c>
      <c r="K42" s="100">
        <v>44777</v>
      </c>
      <c r="L42" s="101">
        <f t="shared" si="0"/>
        <v>1</v>
      </c>
      <c r="M42" s="97" t="s">
        <v>8523</v>
      </c>
      <c r="N42" s="68" t="s">
        <v>26</v>
      </c>
      <c r="O42" s="97" t="s">
        <v>8524</v>
      </c>
      <c r="P42" s="99" t="s">
        <v>8525</v>
      </c>
      <c r="Q42" s="68" t="str">
        <f t="shared" si="1"/>
        <v>DENTRO DEL TIEMPO</v>
      </c>
      <c r="R42" s="99"/>
    </row>
    <row r="43" spans="1:18" ht="60.75" x14ac:dyDescent="0.25">
      <c r="A43" s="96">
        <v>38</v>
      </c>
      <c r="B43" s="97" t="s">
        <v>8526</v>
      </c>
      <c r="C43" s="98">
        <v>44776</v>
      </c>
      <c r="D43" s="98">
        <v>44776</v>
      </c>
      <c r="E43" s="99">
        <v>2</v>
      </c>
      <c r="F43" s="99" t="s">
        <v>22</v>
      </c>
      <c r="G43" s="97" t="s">
        <v>721</v>
      </c>
      <c r="H43" s="97" t="s">
        <v>24</v>
      </c>
      <c r="I43" s="97" t="s">
        <v>721</v>
      </c>
      <c r="J43" s="100">
        <v>44777</v>
      </c>
      <c r="K43" s="100">
        <v>44777</v>
      </c>
      <c r="L43" s="101">
        <f t="shared" si="0"/>
        <v>1</v>
      </c>
      <c r="M43" s="97" t="s">
        <v>8527</v>
      </c>
      <c r="N43" s="68" t="s">
        <v>26</v>
      </c>
      <c r="O43" s="97" t="s">
        <v>2557</v>
      </c>
      <c r="P43" s="99" t="s">
        <v>2038</v>
      </c>
      <c r="Q43" s="68" t="str">
        <f t="shared" si="1"/>
        <v>DENTRO DEL TIEMPO</v>
      </c>
      <c r="R43" s="99"/>
    </row>
    <row r="44" spans="1:18" ht="60.75" x14ac:dyDescent="0.25">
      <c r="A44" s="96">
        <v>39</v>
      </c>
      <c r="B44" s="97" t="s">
        <v>8528</v>
      </c>
      <c r="C44" s="98">
        <v>44776</v>
      </c>
      <c r="D44" s="98">
        <v>44776</v>
      </c>
      <c r="E44" s="99">
        <v>2</v>
      </c>
      <c r="F44" s="99" t="s">
        <v>22</v>
      </c>
      <c r="G44" s="97" t="s">
        <v>721</v>
      </c>
      <c r="H44" s="97" t="s">
        <v>24</v>
      </c>
      <c r="I44" s="97" t="s">
        <v>721</v>
      </c>
      <c r="J44" s="100">
        <v>44777</v>
      </c>
      <c r="K44" s="100">
        <v>44777</v>
      </c>
      <c r="L44" s="101">
        <f t="shared" si="0"/>
        <v>1</v>
      </c>
      <c r="M44" s="97" t="s">
        <v>8529</v>
      </c>
      <c r="N44" s="68" t="s">
        <v>26</v>
      </c>
      <c r="O44" s="97" t="s">
        <v>6246</v>
      </c>
      <c r="P44" s="99" t="s">
        <v>8530</v>
      </c>
      <c r="Q44" s="68" t="str">
        <f t="shared" si="1"/>
        <v>DENTRO DEL TIEMPO</v>
      </c>
      <c r="R44" s="99"/>
    </row>
    <row r="45" spans="1:18" ht="60.75" x14ac:dyDescent="0.25">
      <c r="A45" s="96">
        <v>40</v>
      </c>
      <c r="B45" s="97" t="s">
        <v>8531</v>
      </c>
      <c r="C45" s="98">
        <v>44776</v>
      </c>
      <c r="D45" s="98">
        <v>44776</v>
      </c>
      <c r="E45" s="99">
        <v>2</v>
      </c>
      <c r="F45" s="99" t="s">
        <v>22</v>
      </c>
      <c r="G45" s="97" t="s">
        <v>721</v>
      </c>
      <c r="H45" s="97" t="s">
        <v>24</v>
      </c>
      <c r="I45" s="97" t="s">
        <v>721</v>
      </c>
      <c r="J45" s="100">
        <v>44777</v>
      </c>
      <c r="K45" s="100">
        <v>44777</v>
      </c>
      <c r="L45" s="101">
        <f t="shared" si="0"/>
        <v>1</v>
      </c>
      <c r="M45" s="97" t="s">
        <v>8532</v>
      </c>
      <c r="N45" s="68" t="s">
        <v>26</v>
      </c>
      <c r="O45" s="97" t="s">
        <v>6252</v>
      </c>
      <c r="P45" s="99" t="s">
        <v>8530</v>
      </c>
      <c r="Q45" s="68" t="str">
        <f t="shared" si="1"/>
        <v>DENTRO DEL TIEMPO</v>
      </c>
      <c r="R45" s="99"/>
    </row>
    <row r="46" spans="1:18" ht="60.75" x14ac:dyDescent="0.25">
      <c r="A46" s="96">
        <v>41</v>
      </c>
      <c r="B46" s="97" t="s">
        <v>8533</v>
      </c>
      <c r="C46" s="98">
        <v>44776</v>
      </c>
      <c r="D46" s="98">
        <v>44776</v>
      </c>
      <c r="E46" s="99">
        <v>2</v>
      </c>
      <c r="F46" s="99" t="s">
        <v>22</v>
      </c>
      <c r="G46" s="97" t="s">
        <v>721</v>
      </c>
      <c r="H46" s="97" t="s">
        <v>24</v>
      </c>
      <c r="I46" s="97" t="s">
        <v>721</v>
      </c>
      <c r="J46" s="100">
        <v>44778</v>
      </c>
      <c r="K46" s="100">
        <v>44778</v>
      </c>
      <c r="L46" s="101">
        <f t="shared" si="0"/>
        <v>2</v>
      </c>
      <c r="M46" s="97" t="s">
        <v>8534</v>
      </c>
      <c r="N46" s="68" t="s">
        <v>26</v>
      </c>
      <c r="O46" s="97" t="s">
        <v>6846</v>
      </c>
      <c r="P46" s="99" t="s">
        <v>8535</v>
      </c>
      <c r="Q46" s="68" t="str">
        <f t="shared" si="1"/>
        <v>DENTRO DEL TIEMPO</v>
      </c>
      <c r="R46" s="99"/>
    </row>
    <row r="47" spans="1:18" ht="60.75" x14ac:dyDescent="0.25">
      <c r="A47" s="96">
        <v>42</v>
      </c>
      <c r="B47" s="97" t="s">
        <v>8536</v>
      </c>
      <c r="C47" s="98">
        <v>44776</v>
      </c>
      <c r="D47" s="98">
        <v>44776</v>
      </c>
      <c r="E47" s="99">
        <v>2</v>
      </c>
      <c r="F47" s="99" t="s">
        <v>22</v>
      </c>
      <c r="G47" s="97" t="s">
        <v>721</v>
      </c>
      <c r="H47" s="97" t="s">
        <v>24</v>
      </c>
      <c r="I47" s="97" t="s">
        <v>721</v>
      </c>
      <c r="J47" s="100">
        <v>44777</v>
      </c>
      <c r="K47" s="100">
        <v>44777</v>
      </c>
      <c r="L47" s="101">
        <f t="shared" si="0"/>
        <v>1</v>
      </c>
      <c r="M47" s="97" t="s">
        <v>8537</v>
      </c>
      <c r="N47" s="68" t="s">
        <v>26</v>
      </c>
      <c r="O47" s="97" t="s">
        <v>8538</v>
      </c>
      <c r="P47" s="99" t="s">
        <v>8539</v>
      </c>
      <c r="Q47" s="68" t="str">
        <f t="shared" si="1"/>
        <v>DENTRO DEL TIEMPO</v>
      </c>
      <c r="R47" s="99"/>
    </row>
    <row r="48" spans="1:18" ht="60.75" x14ac:dyDescent="0.25">
      <c r="A48" s="96">
        <v>43</v>
      </c>
      <c r="B48" s="97" t="s">
        <v>8540</v>
      </c>
      <c r="C48" s="98">
        <v>44776</v>
      </c>
      <c r="D48" s="98">
        <v>44776</v>
      </c>
      <c r="E48" s="99">
        <v>2</v>
      </c>
      <c r="F48" s="99" t="s">
        <v>22</v>
      </c>
      <c r="G48" s="97" t="s">
        <v>721</v>
      </c>
      <c r="H48" s="97" t="s">
        <v>24</v>
      </c>
      <c r="I48" s="97" t="s">
        <v>721</v>
      </c>
      <c r="J48" s="100">
        <v>44778</v>
      </c>
      <c r="K48" s="100">
        <v>44778</v>
      </c>
      <c r="L48" s="101">
        <f t="shared" si="0"/>
        <v>2</v>
      </c>
      <c r="M48" s="97" t="s">
        <v>8541</v>
      </c>
      <c r="N48" s="68" t="s">
        <v>26</v>
      </c>
      <c r="O48" s="97" t="s">
        <v>8542</v>
      </c>
      <c r="P48" s="99" t="s">
        <v>8543</v>
      </c>
      <c r="Q48" s="68" t="str">
        <f t="shared" si="1"/>
        <v>DENTRO DEL TIEMPO</v>
      </c>
      <c r="R48" s="99"/>
    </row>
    <row r="49" spans="1:18" ht="60.75" x14ac:dyDescent="0.25">
      <c r="A49" s="96">
        <v>44</v>
      </c>
      <c r="B49" s="97" t="s">
        <v>8544</v>
      </c>
      <c r="C49" s="98">
        <v>44776</v>
      </c>
      <c r="D49" s="98">
        <v>44776</v>
      </c>
      <c r="E49" s="99">
        <v>2</v>
      </c>
      <c r="F49" s="99" t="s">
        <v>22</v>
      </c>
      <c r="G49" s="97" t="s">
        <v>721</v>
      </c>
      <c r="H49" s="97" t="s">
        <v>24</v>
      </c>
      <c r="I49" s="97" t="s">
        <v>721</v>
      </c>
      <c r="J49" s="100">
        <v>44778</v>
      </c>
      <c r="K49" s="100">
        <v>44778</v>
      </c>
      <c r="L49" s="101">
        <f t="shared" si="0"/>
        <v>2</v>
      </c>
      <c r="M49" s="97" t="s">
        <v>8545</v>
      </c>
      <c r="N49" s="68" t="s">
        <v>26</v>
      </c>
      <c r="O49" s="97" t="s">
        <v>8546</v>
      </c>
      <c r="P49" s="99" t="s">
        <v>8547</v>
      </c>
      <c r="Q49" s="68" t="str">
        <f t="shared" si="1"/>
        <v>DENTRO DEL TIEMPO</v>
      </c>
      <c r="R49" s="99"/>
    </row>
    <row r="50" spans="1:18" ht="60.75" x14ac:dyDescent="0.25">
      <c r="A50" s="96">
        <v>45</v>
      </c>
      <c r="B50" s="97" t="s">
        <v>8548</v>
      </c>
      <c r="C50" s="98">
        <v>44776</v>
      </c>
      <c r="D50" s="98">
        <v>44776</v>
      </c>
      <c r="E50" s="99">
        <v>2</v>
      </c>
      <c r="F50" s="99" t="s">
        <v>22</v>
      </c>
      <c r="G50" s="97" t="s">
        <v>721</v>
      </c>
      <c r="H50" s="97" t="s">
        <v>24</v>
      </c>
      <c r="I50" s="97" t="s">
        <v>721</v>
      </c>
      <c r="J50" s="100">
        <v>44778</v>
      </c>
      <c r="K50" s="100">
        <v>44778</v>
      </c>
      <c r="L50" s="101">
        <f t="shared" si="0"/>
        <v>2</v>
      </c>
      <c r="M50" s="97" t="s">
        <v>8549</v>
      </c>
      <c r="N50" s="68" t="s">
        <v>26</v>
      </c>
      <c r="O50" s="97" t="s">
        <v>8550</v>
      </c>
      <c r="P50" s="99" t="s">
        <v>8551</v>
      </c>
      <c r="Q50" s="68" t="str">
        <f t="shared" si="1"/>
        <v>DENTRO DEL TIEMPO</v>
      </c>
      <c r="R50" s="99"/>
    </row>
    <row r="51" spans="1:18" ht="60.75" x14ac:dyDescent="0.25">
      <c r="A51" s="96">
        <v>46</v>
      </c>
      <c r="B51" s="97" t="s">
        <v>8552</v>
      </c>
      <c r="C51" s="98">
        <v>44776</v>
      </c>
      <c r="D51" s="98">
        <v>44776</v>
      </c>
      <c r="E51" s="99">
        <v>2</v>
      </c>
      <c r="F51" s="99" t="s">
        <v>22</v>
      </c>
      <c r="G51" s="97" t="s">
        <v>721</v>
      </c>
      <c r="H51" s="97" t="s">
        <v>24</v>
      </c>
      <c r="I51" s="97" t="s">
        <v>721</v>
      </c>
      <c r="J51" s="100">
        <v>44778</v>
      </c>
      <c r="K51" s="100">
        <v>44778</v>
      </c>
      <c r="L51" s="101">
        <f t="shared" si="0"/>
        <v>2</v>
      </c>
      <c r="M51" s="97" t="s">
        <v>8553</v>
      </c>
      <c r="N51" s="68" t="s">
        <v>26</v>
      </c>
      <c r="O51" s="97" t="s">
        <v>8554</v>
      </c>
      <c r="P51" s="99" t="s">
        <v>8555</v>
      </c>
      <c r="Q51" s="68" t="str">
        <f t="shared" si="1"/>
        <v>DENTRO DEL TIEMPO</v>
      </c>
      <c r="R51" s="99"/>
    </row>
    <row r="52" spans="1:18" ht="60.75" x14ac:dyDescent="0.25">
      <c r="A52" s="96">
        <v>47</v>
      </c>
      <c r="B52" s="97" t="s">
        <v>8556</v>
      </c>
      <c r="C52" s="98">
        <v>44776</v>
      </c>
      <c r="D52" s="98">
        <v>44776</v>
      </c>
      <c r="E52" s="99">
        <v>2</v>
      </c>
      <c r="F52" s="99" t="s">
        <v>22</v>
      </c>
      <c r="G52" s="97" t="s">
        <v>721</v>
      </c>
      <c r="H52" s="97" t="s">
        <v>24</v>
      </c>
      <c r="I52" s="97" t="s">
        <v>721</v>
      </c>
      <c r="J52" s="100">
        <v>44788</v>
      </c>
      <c r="K52" s="100">
        <v>44788</v>
      </c>
      <c r="L52" s="101">
        <f t="shared" si="0"/>
        <v>8</v>
      </c>
      <c r="M52" s="97" t="s">
        <v>8557</v>
      </c>
      <c r="N52" s="68" t="s">
        <v>26</v>
      </c>
      <c r="O52" s="97" t="s">
        <v>8558</v>
      </c>
      <c r="P52" s="99" t="s">
        <v>8559</v>
      </c>
      <c r="Q52" s="68" t="str">
        <f t="shared" si="1"/>
        <v>DENTRO DEL TIEMPO</v>
      </c>
      <c r="R52" s="99"/>
    </row>
    <row r="53" spans="1:18" ht="60.75" x14ac:dyDescent="0.25">
      <c r="A53" s="96">
        <v>48</v>
      </c>
      <c r="B53" s="97" t="s">
        <v>8560</v>
      </c>
      <c r="C53" s="98">
        <v>44776</v>
      </c>
      <c r="D53" s="98">
        <v>44776</v>
      </c>
      <c r="E53" s="99">
        <v>2</v>
      </c>
      <c r="F53" s="99" t="s">
        <v>22</v>
      </c>
      <c r="G53" s="97" t="s">
        <v>721</v>
      </c>
      <c r="H53" s="97" t="s">
        <v>24</v>
      </c>
      <c r="I53" s="97" t="s">
        <v>721</v>
      </c>
      <c r="J53" s="100">
        <v>44778</v>
      </c>
      <c r="K53" s="100">
        <v>44778</v>
      </c>
      <c r="L53" s="101">
        <f t="shared" si="0"/>
        <v>2</v>
      </c>
      <c r="M53" s="97" t="s">
        <v>8561</v>
      </c>
      <c r="N53" s="68" t="s">
        <v>26</v>
      </c>
      <c r="O53" s="97" t="s">
        <v>8562</v>
      </c>
      <c r="P53" s="99" t="s">
        <v>8563</v>
      </c>
      <c r="Q53" s="68" t="str">
        <f t="shared" si="1"/>
        <v>DENTRO DEL TIEMPO</v>
      </c>
      <c r="R53" s="99"/>
    </row>
    <row r="54" spans="1:18" ht="60.75" x14ac:dyDescent="0.25">
      <c r="A54" s="96">
        <v>49</v>
      </c>
      <c r="B54" s="97" t="s">
        <v>8564</v>
      </c>
      <c r="C54" s="98">
        <v>44776</v>
      </c>
      <c r="D54" s="98">
        <v>44776</v>
      </c>
      <c r="E54" s="99">
        <v>2</v>
      </c>
      <c r="F54" s="99" t="s">
        <v>22</v>
      </c>
      <c r="G54" s="97" t="s">
        <v>721</v>
      </c>
      <c r="H54" s="97" t="s">
        <v>24</v>
      </c>
      <c r="I54" s="97" t="s">
        <v>721</v>
      </c>
      <c r="J54" s="100">
        <v>44778</v>
      </c>
      <c r="K54" s="100">
        <v>44778</v>
      </c>
      <c r="L54" s="101">
        <f t="shared" si="0"/>
        <v>2</v>
      </c>
      <c r="M54" s="97" t="s">
        <v>8565</v>
      </c>
      <c r="N54" s="68" t="s">
        <v>26</v>
      </c>
      <c r="O54" s="97" t="s">
        <v>8566</v>
      </c>
      <c r="P54" s="99" t="s">
        <v>8567</v>
      </c>
      <c r="Q54" s="68" t="str">
        <f t="shared" si="1"/>
        <v>DENTRO DEL TIEMPO</v>
      </c>
      <c r="R54" s="99"/>
    </row>
    <row r="55" spans="1:18" ht="60.75" x14ac:dyDescent="0.25">
      <c r="A55" s="96">
        <v>50</v>
      </c>
      <c r="B55" s="97" t="s">
        <v>8568</v>
      </c>
      <c r="C55" s="98">
        <v>44777</v>
      </c>
      <c r="D55" s="98">
        <v>44777</v>
      </c>
      <c r="E55" s="99">
        <v>2</v>
      </c>
      <c r="F55" s="99" t="s">
        <v>22</v>
      </c>
      <c r="G55" s="97" t="s">
        <v>721</v>
      </c>
      <c r="H55" s="97" t="s">
        <v>24</v>
      </c>
      <c r="I55" s="97" t="s">
        <v>721</v>
      </c>
      <c r="J55" s="100">
        <v>44778</v>
      </c>
      <c r="K55" s="100">
        <v>44778</v>
      </c>
      <c r="L55" s="101">
        <f t="shared" si="0"/>
        <v>1</v>
      </c>
      <c r="M55" s="97" t="s">
        <v>8557</v>
      </c>
      <c r="N55" s="68" t="s">
        <v>26</v>
      </c>
      <c r="O55" s="97" t="s">
        <v>8569</v>
      </c>
      <c r="P55" s="99" t="s">
        <v>8570</v>
      </c>
      <c r="Q55" s="68" t="str">
        <f t="shared" si="1"/>
        <v>DENTRO DEL TIEMPO</v>
      </c>
      <c r="R55" s="99"/>
    </row>
    <row r="56" spans="1:18" ht="60.75" x14ac:dyDescent="0.25">
      <c r="A56" s="96">
        <v>51</v>
      </c>
      <c r="B56" s="97" t="s">
        <v>8571</v>
      </c>
      <c r="C56" s="98">
        <v>44777</v>
      </c>
      <c r="D56" s="98">
        <v>44777</v>
      </c>
      <c r="E56" s="99">
        <v>2</v>
      </c>
      <c r="F56" s="99" t="s">
        <v>22</v>
      </c>
      <c r="G56" s="97" t="s">
        <v>721</v>
      </c>
      <c r="H56" s="97" t="s">
        <v>24</v>
      </c>
      <c r="I56" s="97" t="s">
        <v>721</v>
      </c>
      <c r="J56" s="100">
        <v>44778</v>
      </c>
      <c r="K56" s="100">
        <v>44778</v>
      </c>
      <c r="L56" s="101">
        <f t="shared" si="0"/>
        <v>1</v>
      </c>
      <c r="M56" s="97" t="s">
        <v>8572</v>
      </c>
      <c r="N56" s="68" t="s">
        <v>26</v>
      </c>
      <c r="O56" s="97" t="s">
        <v>8573</v>
      </c>
      <c r="P56" s="99" t="s">
        <v>8574</v>
      </c>
      <c r="Q56" s="68" t="str">
        <f t="shared" si="1"/>
        <v>DENTRO DEL TIEMPO</v>
      </c>
      <c r="R56" s="99"/>
    </row>
    <row r="57" spans="1:18" ht="60.75" x14ac:dyDescent="0.25">
      <c r="A57" s="96">
        <v>52</v>
      </c>
      <c r="B57" s="97" t="s">
        <v>8575</v>
      </c>
      <c r="C57" s="98">
        <v>44777</v>
      </c>
      <c r="D57" s="98">
        <v>44777</v>
      </c>
      <c r="E57" s="99">
        <v>2</v>
      </c>
      <c r="F57" s="99" t="s">
        <v>22</v>
      </c>
      <c r="G57" s="97" t="s">
        <v>721</v>
      </c>
      <c r="H57" s="97" t="s">
        <v>24</v>
      </c>
      <c r="I57" s="97" t="s">
        <v>721</v>
      </c>
      <c r="J57" s="100">
        <v>44778</v>
      </c>
      <c r="K57" s="100">
        <v>44778</v>
      </c>
      <c r="L57" s="101">
        <f t="shared" si="0"/>
        <v>1</v>
      </c>
      <c r="M57" s="97" t="s">
        <v>8576</v>
      </c>
      <c r="N57" s="68" t="s">
        <v>26</v>
      </c>
      <c r="O57" s="97" t="s">
        <v>3918</v>
      </c>
      <c r="P57" s="99" t="s">
        <v>1619</v>
      </c>
      <c r="Q57" s="68" t="str">
        <f t="shared" si="1"/>
        <v>DENTRO DEL TIEMPO</v>
      </c>
      <c r="R57" s="99"/>
    </row>
    <row r="58" spans="1:18" ht="60.75" x14ac:dyDescent="0.25">
      <c r="A58" s="96">
        <v>53</v>
      </c>
      <c r="B58" s="97" t="s">
        <v>8577</v>
      </c>
      <c r="C58" s="98">
        <v>44777</v>
      </c>
      <c r="D58" s="98">
        <v>44777</v>
      </c>
      <c r="E58" s="99">
        <v>2</v>
      </c>
      <c r="F58" s="99" t="s">
        <v>22</v>
      </c>
      <c r="G58" s="97" t="s">
        <v>721</v>
      </c>
      <c r="H58" s="97" t="s">
        <v>24</v>
      </c>
      <c r="I58" s="97" t="s">
        <v>721</v>
      </c>
      <c r="J58" s="100">
        <v>44778</v>
      </c>
      <c r="K58" s="100">
        <v>44778</v>
      </c>
      <c r="L58" s="101">
        <f t="shared" si="0"/>
        <v>1</v>
      </c>
      <c r="M58" s="97" t="s">
        <v>8578</v>
      </c>
      <c r="N58" s="68" t="s">
        <v>26</v>
      </c>
      <c r="O58" s="97" t="s">
        <v>3918</v>
      </c>
      <c r="P58" s="99" t="s">
        <v>1619</v>
      </c>
      <c r="Q58" s="68" t="str">
        <f t="shared" si="1"/>
        <v>DENTRO DEL TIEMPO</v>
      </c>
      <c r="R58" s="99"/>
    </row>
    <row r="59" spans="1:18" ht="60.75" x14ac:dyDescent="0.25">
      <c r="A59" s="96">
        <v>54</v>
      </c>
      <c r="B59" s="97" t="s">
        <v>8579</v>
      </c>
      <c r="C59" s="98">
        <v>44777</v>
      </c>
      <c r="D59" s="98">
        <v>44777</v>
      </c>
      <c r="E59" s="99">
        <v>2</v>
      </c>
      <c r="F59" s="99" t="s">
        <v>22</v>
      </c>
      <c r="G59" s="97" t="s">
        <v>721</v>
      </c>
      <c r="H59" s="97" t="s">
        <v>24</v>
      </c>
      <c r="I59" s="97" t="s">
        <v>721</v>
      </c>
      <c r="J59" s="100">
        <v>44778</v>
      </c>
      <c r="K59" s="100">
        <v>44778</v>
      </c>
      <c r="L59" s="101">
        <f t="shared" si="0"/>
        <v>1</v>
      </c>
      <c r="M59" s="97" t="s">
        <v>8580</v>
      </c>
      <c r="N59" s="68" t="s">
        <v>26</v>
      </c>
      <c r="O59" s="97" t="s">
        <v>3918</v>
      </c>
      <c r="P59" s="99" t="s">
        <v>1619</v>
      </c>
      <c r="Q59" s="68" t="str">
        <f t="shared" si="1"/>
        <v>DENTRO DEL TIEMPO</v>
      </c>
      <c r="R59" s="99"/>
    </row>
    <row r="60" spans="1:18" ht="60.75" x14ac:dyDescent="0.25">
      <c r="A60" s="96">
        <v>55</v>
      </c>
      <c r="B60" s="97" t="s">
        <v>8581</v>
      </c>
      <c r="C60" s="98">
        <v>44777</v>
      </c>
      <c r="D60" s="98">
        <v>44777</v>
      </c>
      <c r="E60" s="99">
        <v>2</v>
      </c>
      <c r="F60" s="99" t="s">
        <v>22</v>
      </c>
      <c r="G60" s="97" t="s">
        <v>721</v>
      </c>
      <c r="H60" s="97" t="s">
        <v>24</v>
      </c>
      <c r="I60" s="97" t="s">
        <v>721</v>
      </c>
      <c r="J60" s="100">
        <v>44778</v>
      </c>
      <c r="K60" s="100">
        <v>44778</v>
      </c>
      <c r="L60" s="101">
        <f t="shared" si="0"/>
        <v>1</v>
      </c>
      <c r="M60" s="97" t="s">
        <v>8582</v>
      </c>
      <c r="N60" s="68" t="s">
        <v>26</v>
      </c>
      <c r="O60" s="97" t="s">
        <v>3918</v>
      </c>
      <c r="P60" s="99" t="s">
        <v>1619</v>
      </c>
      <c r="Q60" s="68" t="str">
        <f t="shared" si="1"/>
        <v>DENTRO DEL TIEMPO</v>
      </c>
      <c r="R60" s="99"/>
    </row>
    <row r="61" spans="1:18" ht="60.75" x14ac:dyDescent="0.25">
      <c r="A61" s="96">
        <v>56</v>
      </c>
      <c r="B61" s="97" t="s">
        <v>8583</v>
      </c>
      <c r="C61" s="98">
        <v>44777</v>
      </c>
      <c r="D61" s="98">
        <v>44777</v>
      </c>
      <c r="E61" s="99">
        <v>2</v>
      </c>
      <c r="F61" s="99" t="s">
        <v>22</v>
      </c>
      <c r="G61" s="97" t="s">
        <v>721</v>
      </c>
      <c r="H61" s="97" t="s">
        <v>24</v>
      </c>
      <c r="I61" s="97" t="s">
        <v>721</v>
      </c>
      <c r="J61" s="100">
        <v>44778</v>
      </c>
      <c r="K61" s="100">
        <v>44778</v>
      </c>
      <c r="L61" s="101">
        <f t="shared" si="0"/>
        <v>1</v>
      </c>
      <c r="M61" s="97" t="s">
        <v>8584</v>
      </c>
      <c r="N61" s="68" t="s">
        <v>26</v>
      </c>
      <c r="O61" s="97" t="s">
        <v>3918</v>
      </c>
      <c r="P61" s="99" t="s">
        <v>1619</v>
      </c>
      <c r="Q61" s="68" t="str">
        <f t="shared" si="1"/>
        <v>DENTRO DEL TIEMPO</v>
      </c>
      <c r="R61" s="99"/>
    </row>
    <row r="62" spans="1:18" ht="60.75" x14ac:dyDescent="0.25">
      <c r="A62" s="96">
        <v>57</v>
      </c>
      <c r="B62" s="97" t="s">
        <v>8585</v>
      </c>
      <c r="C62" s="98">
        <v>44777</v>
      </c>
      <c r="D62" s="98">
        <v>44777</v>
      </c>
      <c r="E62" s="99">
        <v>2</v>
      </c>
      <c r="F62" s="99" t="s">
        <v>22</v>
      </c>
      <c r="G62" s="97" t="s">
        <v>721</v>
      </c>
      <c r="H62" s="97" t="s">
        <v>24</v>
      </c>
      <c r="I62" s="97" t="s">
        <v>721</v>
      </c>
      <c r="J62" s="100">
        <v>44778</v>
      </c>
      <c r="K62" s="100">
        <v>44778</v>
      </c>
      <c r="L62" s="101">
        <f t="shared" si="0"/>
        <v>1</v>
      </c>
      <c r="M62" s="97" t="s">
        <v>8586</v>
      </c>
      <c r="N62" s="68" t="s">
        <v>26</v>
      </c>
      <c r="O62" s="97" t="s">
        <v>3918</v>
      </c>
      <c r="P62" s="99" t="s">
        <v>1619</v>
      </c>
      <c r="Q62" s="68" t="str">
        <f t="shared" si="1"/>
        <v>DENTRO DEL TIEMPO</v>
      </c>
      <c r="R62" s="99"/>
    </row>
    <row r="63" spans="1:18" ht="60.75" x14ac:dyDescent="0.25">
      <c r="A63" s="96">
        <v>58</v>
      </c>
      <c r="B63" s="97" t="s">
        <v>8587</v>
      </c>
      <c r="C63" s="98">
        <v>44777</v>
      </c>
      <c r="D63" s="98">
        <v>44777</v>
      </c>
      <c r="E63" s="99">
        <v>2</v>
      </c>
      <c r="F63" s="99" t="s">
        <v>22</v>
      </c>
      <c r="G63" s="97" t="s">
        <v>721</v>
      </c>
      <c r="H63" s="97" t="s">
        <v>24</v>
      </c>
      <c r="I63" s="97" t="s">
        <v>721</v>
      </c>
      <c r="J63" s="100">
        <v>44778</v>
      </c>
      <c r="K63" s="100">
        <v>44778</v>
      </c>
      <c r="L63" s="101">
        <f t="shared" si="0"/>
        <v>1</v>
      </c>
      <c r="M63" s="97" t="s">
        <v>8588</v>
      </c>
      <c r="N63" s="68" t="s">
        <v>26</v>
      </c>
      <c r="O63" s="97" t="s">
        <v>3918</v>
      </c>
      <c r="P63" s="99" t="s">
        <v>1619</v>
      </c>
      <c r="Q63" s="68" t="str">
        <f t="shared" si="1"/>
        <v>DENTRO DEL TIEMPO</v>
      </c>
      <c r="R63" s="99"/>
    </row>
    <row r="64" spans="1:18" ht="60.75" x14ac:dyDescent="0.25">
      <c r="A64" s="96">
        <v>59</v>
      </c>
      <c r="B64" s="97" t="s">
        <v>8589</v>
      </c>
      <c r="C64" s="98">
        <v>44777</v>
      </c>
      <c r="D64" s="98">
        <v>44777</v>
      </c>
      <c r="E64" s="99">
        <v>2</v>
      </c>
      <c r="F64" s="99" t="s">
        <v>22</v>
      </c>
      <c r="G64" s="97" t="s">
        <v>721</v>
      </c>
      <c r="H64" s="97" t="s">
        <v>24</v>
      </c>
      <c r="I64" s="97" t="s">
        <v>721</v>
      </c>
      <c r="J64" s="100">
        <v>44778</v>
      </c>
      <c r="K64" s="100">
        <v>44778</v>
      </c>
      <c r="L64" s="101">
        <f t="shared" si="0"/>
        <v>1</v>
      </c>
      <c r="M64" s="97" t="s">
        <v>8590</v>
      </c>
      <c r="N64" s="68" t="s">
        <v>26</v>
      </c>
      <c r="O64" s="97" t="s">
        <v>8591</v>
      </c>
      <c r="P64" s="99" t="s">
        <v>8592</v>
      </c>
      <c r="Q64" s="68" t="str">
        <f t="shared" si="1"/>
        <v>DENTRO DEL TIEMPO</v>
      </c>
      <c r="R64" s="99"/>
    </row>
    <row r="65" spans="1:18" ht="60.75" x14ac:dyDescent="0.25">
      <c r="A65" s="96">
        <v>60</v>
      </c>
      <c r="B65" s="97" t="s">
        <v>8593</v>
      </c>
      <c r="C65" s="98">
        <v>44777</v>
      </c>
      <c r="D65" s="98">
        <v>44777</v>
      </c>
      <c r="E65" s="99">
        <v>2</v>
      </c>
      <c r="F65" s="99" t="s">
        <v>22</v>
      </c>
      <c r="G65" s="97" t="s">
        <v>721</v>
      </c>
      <c r="H65" s="97" t="s">
        <v>24</v>
      </c>
      <c r="I65" s="97" t="s">
        <v>721</v>
      </c>
      <c r="J65" s="100">
        <v>44778</v>
      </c>
      <c r="K65" s="100">
        <v>44778</v>
      </c>
      <c r="L65" s="101">
        <f t="shared" si="0"/>
        <v>1</v>
      </c>
      <c r="M65" s="97" t="s">
        <v>8594</v>
      </c>
      <c r="N65" s="68" t="s">
        <v>26</v>
      </c>
      <c r="O65" s="97" t="s">
        <v>8595</v>
      </c>
      <c r="P65" s="99" t="s">
        <v>8596</v>
      </c>
      <c r="Q65" s="68" t="str">
        <f t="shared" si="1"/>
        <v>DENTRO DEL TIEMPO</v>
      </c>
      <c r="R65" s="99"/>
    </row>
    <row r="66" spans="1:18" ht="60.75" x14ac:dyDescent="0.25">
      <c r="A66" s="96">
        <v>61</v>
      </c>
      <c r="B66" s="97" t="s">
        <v>8597</v>
      </c>
      <c r="C66" s="98">
        <v>44777</v>
      </c>
      <c r="D66" s="98">
        <v>44777</v>
      </c>
      <c r="E66" s="99">
        <v>2</v>
      </c>
      <c r="F66" s="99" t="s">
        <v>22</v>
      </c>
      <c r="G66" s="97" t="s">
        <v>721</v>
      </c>
      <c r="H66" s="97" t="s">
        <v>24</v>
      </c>
      <c r="I66" s="97" t="s">
        <v>721</v>
      </c>
      <c r="J66" s="100">
        <v>44778</v>
      </c>
      <c r="K66" s="100">
        <v>44778</v>
      </c>
      <c r="L66" s="101">
        <f t="shared" si="0"/>
        <v>1</v>
      </c>
      <c r="M66" s="97" t="s">
        <v>8598</v>
      </c>
      <c r="N66" s="68" t="s">
        <v>26</v>
      </c>
      <c r="O66" s="97" t="s">
        <v>6721</v>
      </c>
      <c r="P66" s="99" t="s">
        <v>7688</v>
      </c>
      <c r="Q66" s="68" t="str">
        <f t="shared" si="1"/>
        <v>DENTRO DEL TIEMPO</v>
      </c>
      <c r="R66" s="99"/>
    </row>
    <row r="67" spans="1:18" ht="60.75" x14ac:dyDescent="0.25">
      <c r="A67" s="96">
        <v>62</v>
      </c>
      <c r="B67" s="97" t="s">
        <v>8599</v>
      </c>
      <c r="C67" s="98">
        <v>44777</v>
      </c>
      <c r="D67" s="98">
        <v>44777</v>
      </c>
      <c r="E67" s="99">
        <v>2</v>
      </c>
      <c r="F67" s="99" t="s">
        <v>22</v>
      </c>
      <c r="G67" s="97" t="s">
        <v>721</v>
      </c>
      <c r="H67" s="97" t="s">
        <v>24</v>
      </c>
      <c r="I67" s="97" t="s">
        <v>721</v>
      </c>
      <c r="J67" s="100">
        <v>44778</v>
      </c>
      <c r="K67" s="100">
        <v>44778</v>
      </c>
      <c r="L67" s="101">
        <f t="shared" si="0"/>
        <v>1</v>
      </c>
      <c r="M67" s="97" t="s">
        <v>8600</v>
      </c>
      <c r="N67" s="68" t="s">
        <v>26</v>
      </c>
      <c r="O67" s="97" t="s">
        <v>2683</v>
      </c>
      <c r="P67" s="99" t="s">
        <v>1404</v>
      </c>
      <c r="Q67" s="68" t="str">
        <f t="shared" si="1"/>
        <v>DENTRO DEL TIEMPO</v>
      </c>
      <c r="R67" s="99"/>
    </row>
    <row r="68" spans="1:18" ht="60.75" x14ac:dyDescent="0.25">
      <c r="A68" s="96">
        <v>63</v>
      </c>
      <c r="B68" s="97" t="s">
        <v>8601</v>
      </c>
      <c r="C68" s="98">
        <v>44777</v>
      </c>
      <c r="D68" s="98">
        <v>44777</v>
      </c>
      <c r="E68" s="99">
        <v>2</v>
      </c>
      <c r="F68" s="99" t="s">
        <v>22</v>
      </c>
      <c r="G68" s="97" t="s">
        <v>721</v>
      </c>
      <c r="H68" s="97" t="s">
        <v>24</v>
      </c>
      <c r="I68" s="97" t="s">
        <v>721</v>
      </c>
      <c r="J68" s="100">
        <v>44781</v>
      </c>
      <c r="K68" s="100">
        <v>44781</v>
      </c>
      <c r="L68" s="101">
        <f t="shared" si="0"/>
        <v>2</v>
      </c>
      <c r="M68" s="97" t="s">
        <v>8602</v>
      </c>
      <c r="N68" s="68" t="s">
        <v>26</v>
      </c>
      <c r="O68" s="97" t="s">
        <v>8603</v>
      </c>
      <c r="P68" s="99" t="s">
        <v>1999</v>
      </c>
      <c r="Q68" s="68" t="str">
        <f t="shared" si="1"/>
        <v>DENTRO DEL TIEMPO</v>
      </c>
      <c r="R68" s="99"/>
    </row>
    <row r="69" spans="1:18" ht="60.75" x14ac:dyDescent="0.25">
      <c r="A69" s="96">
        <v>64</v>
      </c>
      <c r="B69" s="97" t="s">
        <v>8604</v>
      </c>
      <c r="C69" s="98">
        <v>44777</v>
      </c>
      <c r="D69" s="98">
        <v>44777</v>
      </c>
      <c r="E69" s="99">
        <v>2</v>
      </c>
      <c r="F69" s="99" t="s">
        <v>22</v>
      </c>
      <c r="G69" s="97" t="s">
        <v>721</v>
      </c>
      <c r="H69" s="97" t="s">
        <v>24</v>
      </c>
      <c r="I69" s="97" t="s">
        <v>721</v>
      </c>
      <c r="J69" s="100">
        <v>44781</v>
      </c>
      <c r="K69" s="100">
        <v>44781</v>
      </c>
      <c r="L69" s="101">
        <f t="shared" si="0"/>
        <v>2</v>
      </c>
      <c r="M69" s="97" t="s">
        <v>8605</v>
      </c>
      <c r="N69" s="68" t="s">
        <v>26</v>
      </c>
      <c r="O69" s="97" t="s">
        <v>2683</v>
      </c>
      <c r="P69" s="99" t="s">
        <v>1404</v>
      </c>
      <c r="Q69" s="68" t="str">
        <f t="shared" si="1"/>
        <v>DENTRO DEL TIEMPO</v>
      </c>
      <c r="R69" s="99"/>
    </row>
    <row r="70" spans="1:18" ht="60.75" x14ac:dyDescent="0.25">
      <c r="A70" s="96">
        <v>65</v>
      </c>
      <c r="B70" s="97" t="s">
        <v>8606</v>
      </c>
      <c r="C70" s="98">
        <v>44777</v>
      </c>
      <c r="D70" s="98">
        <v>44777</v>
      </c>
      <c r="E70" s="99">
        <v>2</v>
      </c>
      <c r="F70" s="99" t="s">
        <v>22</v>
      </c>
      <c r="G70" s="97" t="s">
        <v>721</v>
      </c>
      <c r="H70" s="97" t="s">
        <v>24</v>
      </c>
      <c r="I70" s="97" t="s">
        <v>721</v>
      </c>
      <c r="J70" s="100">
        <v>44781</v>
      </c>
      <c r="K70" s="100">
        <v>44781</v>
      </c>
      <c r="L70" s="101">
        <f t="shared" ref="L70:L133" si="2">+NETWORKDAYS(D70,K70,$R$6:$R$9)-1</f>
        <v>2</v>
      </c>
      <c r="M70" s="97" t="s">
        <v>8607</v>
      </c>
      <c r="N70" s="68" t="s">
        <v>26</v>
      </c>
      <c r="O70" s="97" t="s">
        <v>2683</v>
      </c>
      <c r="P70" s="99" t="s">
        <v>1404</v>
      </c>
      <c r="Q70" s="68" t="str">
        <f t="shared" ref="Q70:Q133" si="3">IF(L70&gt;15,"FUERA DE TIEMPO","DENTRO DEL TIEMPO")</f>
        <v>DENTRO DEL TIEMPO</v>
      </c>
      <c r="R70" s="99"/>
    </row>
    <row r="71" spans="1:18" ht="60.75" x14ac:dyDescent="0.25">
      <c r="A71" s="96">
        <v>66</v>
      </c>
      <c r="B71" s="97" t="s">
        <v>8608</v>
      </c>
      <c r="C71" s="98">
        <v>44777</v>
      </c>
      <c r="D71" s="98">
        <v>44777</v>
      </c>
      <c r="E71" s="99">
        <v>2</v>
      </c>
      <c r="F71" s="99" t="s">
        <v>22</v>
      </c>
      <c r="G71" s="97" t="s">
        <v>721</v>
      </c>
      <c r="H71" s="97" t="s">
        <v>24</v>
      </c>
      <c r="I71" s="97" t="s">
        <v>721</v>
      </c>
      <c r="J71" s="100">
        <v>44781</v>
      </c>
      <c r="K71" s="100">
        <v>44781</v>
      </c>
      <c r="L71" s="101">
        <f t="shared" si="2"/>
        <v>2</v>
      </c>
      <c r="M71" s="97" t="s">
        <v>8609</v>
      </c>
      <c r="N71" s="68" t="s">
        <v>26</v>
      </c>
      <c r="O71" s="97" t="s">
        <v>8610</v>
      </c>
      <c r="P71" s="99" t="s">
        <v>8611</v>
      </c>
      <c r="Q71" s="68" t="str">
        <f t="shared" si="3"/>
        <v>DENTRO DEL TIEMPO</v>
      </c>
      <c r="R71" s="99"/>
    </row>
    <row r="72" spans="1:18" ht="60.75" x14ac:dyDescent="0.25">
      <c r="A72" s="96">
        <v>67</v>
      </c>
      <c r="B72" s="97" t="s">
        <v>8612</v>
      </c>
      <c r="C72" s="98">
        <v>44777</v>
      </c>
      <c r="D72" s="98">
        <v>44777</v>
      </c>
      <c r="E72" s="99">
        <v>2</v>
      </c>
      <c r="F72" s="99" t="s">
        <v>22</v>
      </c>
      <c r="G72" s="97" t="s">
        <v>721</v>
      </c>
      <c r="H72" s="97" t="s">
        <v>24</v>
      </c>
      <c r="I72" s="97" t="s">
        <v>721</v>
      </c>
      <c r="J72" s="100">
        <v>44781</v>
      </c>
      <c r="K72" s="100">
        <v>44781</v>
      </c>
      <c r="L72" s="101">
        <f t="shared" si="2"/>
        <v>2</v>
      </c>
      <c r="M72" s="97" t="s">
        <v>8613</v>
      </c>
      <c r="N72" s="68" t="s">
        <v>26</v>
      </c>
      <c r="O72" s="97" t="s">
        <v>2683</v>
      </c>
      <c r="P72" s="99" t="s">
        <v>1404</v>
      </c>
      <c r="Q72" s="68" t="str">
        <f t="shared" si="3"/>
        <v>DENTRO DEL TIEMPO</v>
      </c>
      <c r="R72" s="99"/>
    </row>
    <row r="73" spans="1:18" ht="60.75" x14ac:dyDescent="0.25">
      <c r="A73" s="96">
        <v>68</v>
      </c>
      <c r="B73" s="97" t="s">
        <v>8614</v>
      </c>
      <c r="C73" s="98">
        <v>44777</v>
      </c>
      <c r="D73" s="98">
        <v>44777</v>
      </c>
      <c r="E73" s="99">
        <v>2</v>
      </c>
      <c r="F73" s="99" t="s">
        <v>22</v>
      </c>
      <c r="G73" s="97" t="s">
        <v>721</v>
      </c>
      <c r="H73" s="97" t="s">
        <v>24</v>
      </c>
      <c r="I73" s="97" t="s">
        <v>721</v>
      </c>
      <c r="J73" s="100">
        <v>44781</v>
      </c>
      <c r="K73" s="100">
        <v>44781</v>
      </c>
      <c r="L73" s="101">
        <f t="shared" si="2"/>
        <v>2</v>
      </c>
      <c r="M73" s="97" t="s">
        <v>8615</v>
      </c>
      <c r="N73" s="68" t="s">
        <v>26</v>
      </c>
      <c r="O73" s="97" t="s">
        <v>2683</v>
      </c>
      <c r="P73" s="99" t="s">
        <v>1404</v>
      </c>
      <c r="Q73" s="68" t="str">
        <f t="shared" si="3"/>
        <v>DENTRO DEL TIEMPO</v>
      </c>
      <c r="R73" s="99"/>
    </row>
    <row r="74" spans="1:18" ht="60.75" x14ac:dyDescent="0.25">
      <c r="A74" s="96">
        <v>69</v>
      </c>
      <c r="B74" s="97" t="s">
        <v>8616</v>
      </c>
      <c r="C74" s="98">
        <v>44777</v>
      </c>
      <c r="D74" s="98">
        <v>44777</v>
      </c>
      <c r="E74" s="99">
        <v>2</v>
      </c>
      <c r="F74" s="99" t="s">
        <v>22</v>
      </c>
      <c r="G74" s="97" t="s">
        <v>721</v>
      </c>
      <c r="H74" s="97" t="s">
        <v>24</v>
      </c>
      <c r="I74" s="97" t="s">
        <v>721</v>
      </c>
      <c r="J74" s="100">
        <v>44781</v>
      </c>
      <c r="K74" s="100">
        <v>44781</v>
      </c>
      <c r="L74" s="101">
        <f t="shared" si="2"/>
        <v>2</v>
      </c>
      <c r="M74" s="97" t="s">
        <v>8617</v>
      </c>
      <c r="N74" s="68" t="s">
        <v>26</v>
      </c>
      <c r="O74" s="97" t="s">
        <v>2683</v>
      </c>
      <c r="P74" s="99" t="s">
        <v>1404</v>
      </c>
      <c r="Q74" s="68" t="str">
        <f t="shared" si="3"/>
        <v>DENTRO DEL TIEMPO</v>
      </c>
      <c r="R74" s="99"/>
    </row>
    <row r="75" spans="1:18" ht="60.75" x14ac:dyDescent="0.25">
      <c r="A75" s="96">
        <v>70</v>
      </c>
      <c r="B75" s="97" t="s">
        <v>8618</v>
      </c>
      <c r="C75" s="98">
        <v>44777</v>
      </c>
      <c r="D75" s="98">
        <v>44777</v>
      </c>
      <c r="E75" s="99">
        <v>2</v>
      </c>
      <c r="F75" s="99" t="s">
        <v>22</v>
      </c>
      <c r="G75" s="97" t="s">
        <v>721</v>
      </c>
      <c r="H75" s="97" t="s">
        <v>24</v>
      </c>
      <c r="I75" s="97" t="s">
        <v>721</v>
      </c>
      <c r="J75" s="100">
        <v>44781</v>
      </c>
      <c r="K75" s="100">
        <v>44781</v>
      </c>
      <c r="L75" s="101">
        <f t="shared" si="2"/>
        <v>2</v>
      </c>
      <c r="M75" s="97" t="s">
        <v>8619</v>
      </c>
      <c r="N75" s="68" t="s">
        <v>26</v>
      </c>
      <c r="O75" s="97" t="s">
        <v>2683</v>
      </c>
      <c r="P75" s="99" t="s">
        <v>1404</v>
      </c>
      <c r="Q75" s="68" t="str">
        <f t="shared" si="3"/>
        <v>DENTRO DEL TIEMPO</v>
      </c>
      <c r="R75" s="99"/>
    </row>
    <row r="76" spans="1:18" ht="60.75" x14ac:dyDescent="0.25">
      <c r="A76" s="96">
        <v>71</v>
      </c>
      <c r="B76" s="97" t="s">
        <v>8620</v>
      </c>
      <c r="C76" s="98">
        <v>44777</v>
      </c>
      <c r="D76" s="98">
        <v>44777</v>
      </c>
      <c r="E76" s="99">
        <v>2</v>
      </c>
      <c r="F76" s="99" t="s">
        <v>22</v>
      </c>
      <c r="G76" s="97" t="s">
        <v>721</v>
      </c>
      <c r="H76" s="97" t="s">
        <v>24</v>
      </c>
      <c r="I76" s="97" t="s">
        <v>721</v>
      </c>
      <c r="J76" s="100">
        <v>44781</v>
      </c>
      <c r="K76" s="100">
        <v>44781</v>
      </c>
      <c r="L76" s="101">
        <f t="shared" si="2"/>
        <v>2</v>
      </c>
      <c r="M76" s="97" t="s">
        <v>8621</v>
      </c>
      <c r="N76" s="68" t="s">
        <v>26</v>
      </c>
      <c r="O76" s="97" t="s">
        <v>2683</v>
      </c>
      <c r="P76" s="99" t="s">
        <v>1404</v>
      </c>
      <c r="Q76" s="68" t="str">
        <f t="shared" si="3"/>
        <v>DENTRO DEL TIEMPO</v>
      </c>
      <c r="R76" s="99"/>
    </row>
    <row r="77" spans="1:18" ht="60.75" x14ac:dyDescent="0.25">
      <c r="A77" s="96">
        <v>72</v>
      </c>
      <c r="B77" s="97" t="s">
        <v>8622</v>
      </c>
      <c r="C77" s="98">
        <v>44777</v>
      </c>
      <c r="D77" s="98">
        <v>44777</v>
      </c>
      <c r="E77" s="99">
        <v>2</v>
      </c>
      <c r="F77" s="99" t="s">
        <v>22</v>
      </c>
      <c r="G77" s="97" t="s">
        <v>721</v>
      </c>
      <c r="H77" s="97" t="s">
        <v>24</v>
      </c>
      <c r="I77" s="97" t="s">
        <v>721</v>
      </c>
      <c r="J77" s="100">
        <v>44781</v>
      </c>
      <c r="K77" s="100">
        <v>44781</v>
      </c>
      <c r="L77" s="101">
        <f t="shared" si="2"/>
        <v>2</v>
      </c>
      <c r="M77" s="97" t="s">
        <v>8623</v>
      </c>
      <c r="N77" s="68" t="s">
        <v>26</v>
      </c>
      <c r="O77" s="97" t="s">
        <v>2683</v>
      </c>
      <c r="P77" s="99" t="s">
        <v>1404</v>
      </c>
      <c r="Q77" s="68" t="str">
        <f t="shared" si="3"/>
        <v>DENTRO DEL TIEMPO</v>
      </c>
      <c r="R77" s="99"/>
    </row>
    <row r="78" spans="1:18" ht="60.75" x14ac:dyDescent="0.25">
      <c r="A78" s="96">
        <v>73</v>
      </c>
      <c r="B78" s="97" t="s">
        <v>8624</v>
      </c>
      <c r="C78" s="98">
        <v>44777</v>
      </c>
      <c r="D78" s="98">
        <v>44777</v>
      </c>
      <c r="E78" s="99">
        <v>2</v>
      </c>
      <c r="F78" s="99" t="s">
        <v>22</v>
      </c>
      <c r="G78" s="97" t="s">
        <v>721</v>
      </c>
      <c r="H78" s="97" t="s">
        <v>24</v>
      </c>
      <c r="I78" s="97" t="s">
        <v>721</v>
      </c>
      <c r="J78" s="100">
        <v>44781</v>
      </c>
      <c r="K78" s="100">
        <v>44781</v>
      </c>
      <c r="L78" s="101">
        <f t="shared" si="2"/>
        <v>2</v>
      </c>
      <c r="M78" s="97" t="s">
        <v>8625</v>
      </c>
      <c r="N78" s="68" t="s">
        <v>26</v>
      </c>
      <c r="O78" s="97" t="s">
        <v>2683</v>
      </c>
      <c r="P78" s="99" t="s">
        <v>1404</v>
      </c>
      <c r="Q78" s="68" t="str">
        <f t="shared" si="3"/>
        <v>DENTRO DEL TIEMPO</v>
      </c>
      <c r="R78" s="99"/>
    </row>
    <row r="79" spans="1:18" ht="60.75" x14ac:dyDescent="0.25">
      <c r="A79" s="96">
        <v>74</v>
      </c>
      <c r="B79" s="97" t="s">
        <v>8626</v>
      </c>
      <c r="C79" s="98">
        <v>44777</v>
      </c>
      <c r="D79" s="98">
        <v>44777</v>
      </c>
      <c r="E79" s="99">
        <v>2</v>
      </c>
      <c r="F79" s="99" t="s">
        <v>22</v>
      </c>
      <c r="G79" s="97" t="s">
        <v>721</v>
      </c>
      <c r="H79" s="97" t="s">
        <v>24</v>
      </c>
      <c r="I79" s="97" t="s">
        <v>721</v>
      </c>
      <c r="J79" s="100">
        <v>44781</v>
      </c>
      <c r="K79" s="100">
        <v>44781</v>
      </c>
      <c r="L79" s="101">
        <f t="shared" si="2"/>
        <v>2</v>
      </c>
      <c r="M79" s="97" t="s">
        <v>8627</v>
      </c>
      <c r="N79" s="68" t="s">
        <v>26</v>
      </c>
      <c r="O79" s="97" t="s">
        <v>8628</v>
      </c>
      <c r="P79" s="99" t="s">
        <v>7925</v>
      </c>
      <c r="Q79" s="68" t="str">
        <f t="shared" si="3"/>
        <v>DENTRO DEL TIEMPO</v>
      </c>
      <c r="R79" s="99"/>
    </row>
    <row r="80" spans="1:18" ht="60.75" x14ac:dyDescent="0.25">
      <c r="A80" s="96">
        <v>75</v>
      </c>
      <c r="B80" s="97" t="s">
        <v>8629</v>
      </c>
      <c r="C80" s="98">
        <v>44777</v>
      </c>
      <c r="D80" s="98">
        <v>44777</v>
      </c>
      <c r="E80" s="99">
        <v>2</v>
      </c>
      <c r="F80" s="99" t="s">
        <v>22</v>
      </c>
      <c r="G80" s="97" t="s">
        <v>721</v>
      </c>
      <c r="H80" s="97" t="s">
        <v>24</v>
      </c>
      <c r="I80" s="97" t="s">
        <v>721</v>
      </c>
      <c r="J80" s="100">
        <v>44781</v>
      </c>
      <c r="K80" s="100">
        <v>44781</v>
      </c>
      <c r="L80" s="101">
        <f t="shared" si="2"/>
        <v>2</v>
      </c>
      <c r="M80" s="97" t="s">
        <v>8627</v>
      </c>
      <c r="N80" s="68" t="s">
        <v>26</v>
      </c>
      <c r="O80" s="97" t="s">
        <v>8630</v>
      </c>
      <c r="P80" s="99" t="s">
        <v>2038</v>
      </c>
      <c r="Q80" s="68" t="str">
        <f t="shared" si="3"/>
        <v>DENTRO DEL TIEMPO</v>
      </c>
      <c r="R80" s="99"/>
    </row>
    <row r="81" spans="1:18" ht="60.75" x14ac:dyDescent="0.25">
      <c r="A81" s="96">
        <v>76</v>
      </c>
      <c r="B81" s="97" t="s">
        <v>8631</v>
      </c>
      <c r="C81" s="98">
        <v>44777</v>
      </c>
      <c r="D81" s="98">
        <v>44777</v>
      </c>
      <c r="E81" s="99">
        <v>2</v>
      </c>
      <c r="F81" s="99" t="s">
        <v>22</v>
      </c>
      <c r="G81" s="97" t="s">
        <v>721</v>
      </c>
      <c r="H81" s="97" t="s">
        <v>24</v>
      </c>
      <c r="I81" s="97" t="s">
        <v>721</v>
      </c>
      <c r="J81" s="100">
        <v>44781</v>
      </c>
      <c r="K81" s="100">
        <v>44781</v>
      </c>
      <c r="L81" s="101">
        <f t="shared" si="2"/>
        <v>2</v>
      </c>
      <c r="M81" s="97" t="s">
        <v>8632</v>
      </c>
      <c r="N81" s="68" t="s">
        <v>26</v>
      </c>
      <c r="O81" s="97" t="s">
        <v>8633</v>
      </c>
      <c r="P81" s="99" t="s">
        <v>8535</v>
      </c>
      <c r="Q81" s="68" t="str">
        <f t="shared" si="3"/>
        <v>DENTRO DEL TIEMPO</v>
      </c>
      <c r="R81" s="99"/>
    </row>
    <row r="82" spans="1:18" ht="60.75" x14ac:dyDescent="0.25">
      <c r="A82" s="96">
        <v>77</v>
      </c>
      <c r="B82" s="97" t="s">
        <v>8634</v>
      </c>
      <c r="C82" s="98">
        <v>44778</v>
      </c>
      <c r="D82" s="98">
        <v>44778</v>
      </c>
      <c r="E82" s="99">
        <v>2</v>
      </c>
      <c r="F82" s="99" t="s">
        <v>22</v>
      </c>
      <c r="G82" s="97" t="s">
        <v>721</v>
      </c>
      <c r="H82" s="97" t="s">
        <v>24</v>
      </c>
      <c r="I82" s="97" t="s">
        <v>721</v>
      </c>
      <c r="J82" s="100">
        <v>44781</v>
      </c>
      <c r="K82" s="100">
        <v>44781</v>
      </c>
      <c r="L82" s="101">
        <f t="shared" si="2"/>
        <v>1</v>
      </c>
      <c r="M82" s="97" t="s">
        <v>8635</v>
      </c>
      <c r="N82" s="68" t="s">
        <v>26</v>
      </c>
      <c r="O82" s="97" t="s">
        <v>2407</v>
      </c>
      <c r="P82" s="99" t="s">
        <v>2083</v>
      </c>
      <c r="Q82" s="68" t="str">
        <f t="shared" si="3"/>
        <v>DENTRO DEL TIEMPO</v>
      </c>
      <c r="R82" s="99"/>
    </row>
    <row r="83" spans="1:18" ht="60.75" x14ac:dyDescent="0.25">
      <c r="A83" s="96">
        <v>78</v>
      </c>
      <c r="B83" s="97" t="s">
        <v>8636</v>
      </c>
      <c r="C83" s="98">
        <v>44778</v>
      </c>
      <c r="D83" s="98">
        <v>44778</v>
      </c>
      <c r="E83" s="99">
        <v>2</v>
      </c>
      <c r="F83" s="99" t="s">
        <v>22</v>
      </c>
      <c r="G83" s="97" t="s">
        <v>721</v>
      </c>
      <c r="H83" s="97" t="s">
        <v>24</v>
      </c>
      <c r="I83" s="97" t="s">
        <v>721</v>
      </c>
      <c r="J83" s="100">
        <v>44781</v>
      </c>
      <c r="K83" s="100">
        <v>44781</v>
      </c>
      <c r="L83" s="101">
        <f t="shared" si="2"/>
        <v>1</v>
      </c>
      <c r="M83" s="97" t="s">
        <v>8637</v>
      </c>
      <c r="N83" s="68" t="s">
        <v>26</v>
      </c>
      <c r="O83" s="97" t="s">
        <v>8638</v>
      </c>
      <c r="P83" s="99" t="s">
        <v>8639</v>
      </c>
      <c r="Q83" s="68" t="str">
        <f t="shared" si="3"/>
        <v>DENTRO DEL TIEMPO</v>
      </c>
      <c r="R83" s="99"/>
    </row>
    <row r="84" spans="1:18" ht="60.75" x14ac:dyDescent="0.25">
      <c r="A84" s="96">
        <v>79</v>
      </c>
      <c r="B84" s="97" t="s">
        <v>8640</v>
      </c>
      <c r="C84" s="98">
        <v>44778</v>
      </c>
      <c r="D84" s="98">
        <v>44778</v>
      </c>
      <c r="E84" s="99">
        <v>2</v>
      </c>
      <c r="F84" s="99" t="s">
        <v>22</v>
      </c>
      <c r="G84" s="97" t="s">
        <v>721</v>
      </c>
      <c r="H84" s="97" t="s">
        <v>24</v>
      </c>
      <c r="I84" s="97" t="s">
        <v>721</v>
      </c>
      <c r="J84" s="100">
        <v>44781</v>
      </c>
      <c r="K84" s="100">
        <v>44781</v>
      </c>
      <c r="L84" s="101">
        <f t="shared" si="2"/>
        <v>1</v>
      </c>
      <c r="M84" s="97" t="s">
        <v>8641</v>
      </c>
      <c r="N84" s="68" t="s">
        <v>26</v>
      </c>
      <c r="O84" s="97" t="s">
        <v>8642</v>
      </c>
      <c r="P84" s="99" t="s">
        <v>8643</v>
      </c>
      <c r="Q84" s="68" t="str">
        <f t="shared" si="3"/>
        <v>DENTRO DEL TIEMPO</v>
      </c>
      <c r="R84" s="99"/>
    </row>
    <row r="85" spans="1:18" ht="60.75" x14ac:dyDescent="0.25">
      <c r="A85" s="96">
        <v>80</v>
      </c>
      <c r="B85" s="97" t="s">
        <v>8644</v>
      </c>
      <c r="C85" s="98">
        <v>44778</v>
      </c>
      <c r="D85" s="98">
        <v>44778</v>
      </c>
      <c r="E85" s="99">
        <v>2</v>
      </c>
      <c r="F85" s="99" t="s">
        <v>22</v>
      </c>
      <c r="G85" s="97" t="s">
        <v>721</v>
      </c>
      <c r="H85" s="97" t="s">
        <v>24</v>
      </c>
      <c r="I85" s="97" t="s">
        <v>721</v>
      </c>
      <c r="J85" s="100">
        <v>44781</v>
      </c>
      <c r="K85" s="100">
        <v>44781</v>
      </c>
      <c r="L85" s="101">
        <f t="shared" si="2"/>
        <v>1</v>
      </c>
      <c r="M85" s="97" t="s">
        <v>8645</v>
      </c>
      <c r="N85" s="68" t="s">
        <v>26</v>
      </c>
      <c r="O85" s="97" t="s">
        <v>2826</v>
      </c>
      <c r="P85" s="99" t="s">
        <v>3022</v>
      </c>
      <c r="Q85" s="68" t="str">
        <f t="shared" si="3"/>
        <v>DENTRO DEL TIEMPO</v>
      </c>
      <c r="R85" s="99"/>
    </row>
    <row r="86" spans="1:18" ht="60.75" x14ac:dyDescent="0.25">
      <c r="A86" s="96">
        <v>81</v>
      </c>
      <c r="B86" s="97" t="s">
        <v>8646</v>
      </c>
      <c r="C86" s="98">
        <v>44778</v>
      </c>
      <c r="D86" s="98">
        <v>44778</v>
      </c>
      <c r="E86" s="99">
        <v>2</v>
      </c>
      <c r="F86" s="99" t="s">
        <v>22</v>
      </c>
      <c r="G86" s="97" t="s">
        <v>721</v>
      </c>
      <c r="H86" s="97" t="s">
        <v>24</v>
      </c>
      <c r="I86" s="97" t="s">
        <v>721</v>
      </c>
      <c r="J86" s="100">
        <v>44781</v>
      </c>
      <c r="K86" s="100">
        <v>44781</v>
      </c>
      <c r="L86" s="101">
        <f t="shared" si="2"/>
        <v>1</v>
      </c>
      <c r="M86" s="97" t="s">
        <v>8647</v>
      </c>
      <c r="N86" s="68" t="s">
        <v>26</v>
      </c>
      <c r="O86" s="97" t="s">
        <v>8648</v>
      </c>
      <c r="P86" s="99" t="s">
        <v>3109</v>
      </c>
      <c r="Q86" s="68" t="str">
        <f t="shared" si="3"/>
        <v>DENTRO DEL TIEMPO</v>
      </c>
      <c r="R86" s="99"/>
    </row>
    <row r="87" spans="1:18" ht="60.75" x14ac:dyDescent="0.25">
      <c r="A87" s="96">
        <v>82</v>
      </c>
      <c r="B87" s="97" t="s">
        <v>8649</v>
      </c>
      <c r="C87" s="98">
        <v>44778</v>
      </c>
      <c r="D87" s="98">
        <v>44778</v>
      </c>
      <c r="E87" s="99">
        <v>2</v>
      </c>
      <c r="F87" s="99" t="s">
        <v>22</v>
      </c>
      <c r="G87" s="97" t="s">
        <v>721</v>
      </c>
      <c r="H87" s="97" t="s">
        <v>24</v>
      </c>
      <c r="I87" s="97" t="s">
        <v>721</v>
      </c>
      <c r="J87" s="100">
        <v>44781</v>
      </c>
      <c r="K87" s="100">
        <v>44781</v>
      </c>
      <c r="L87" s="101">
        <f t="shared" si="2"/>
        <v>1</v>
      </c>
      <c r="M87" s="97" t="s">
        <v>8650</v>
      </c>
      <c r="N87" s="68" t="s">
        <v>26</v>
      </c>
      <c r="O87" s="97" t="s">
        <v>2683</v>
      </c>
      <c r="P87" s="99" t="s">
        <v>1404</v>
      </c>
      <c r="Q87" s="68" t="str">
        <f t="shared" si="3"/>
        <v>DENTRO DEL TIEMPO</v>
      </c>
      <c r="R87" s="99"/>
    </row>
    <row r="88" spans="1:18" ht="60.75" x14ac:dyDescent="0.25">
      <c r="A88" s="96">
        <v>83</v>
      </c>
      <c r="B88" s="97" t="s">
        <v>8651</v>
      </c>
      <c r="C88" s="98">
        <v>44778</v>
      </c>
      <c r="D88" s="98">
        <v>44778</v>
      </c>
      <c r="E88" s="99">
        <v>2</v>
      </c>
      <c r="F88" s="99" t="s">
        <v>22</v>
      </c>
      <c r="G88" s="97" t="s">
        <v>721</v>
      </c>
      <c r="H88" s="97" t="s">
        <v>24</v>
      </c>
      <c r="I88" s="97" t="s">
        <v>721</v>
      </c>
      <c r="J88" s="100">
        <v>44781</v>
      </c>
      <c r="K88" s="100">
        <v>44781</v>
      </c>
      <c r="L88" s="101">
        <f t="shared" si="2"/>
        <v>1</v>
      </c>
      <c r="M88" s="97" t="s">
        <v>8652</v>
      </c>
      <c r="N88" s="68" t="s">
        <v>26</v>
      </c>
      <c r="O88" s="97" t="s">
        <v>2683</v>
      </c>
      <c r="P88" s="99" t="s">
        <v>1404</v>
      </c>
      <c r="Q88" s="68" t="str">
        <f t="shared" si="3"/>
        <v>DENTRO DEL TIEMPO</v>
      </c>
      <c r="R88" s="99"/>
    </row>
    <row r="89" spans="1:18" ht="60.75" x14ac:dyDescent="0.25">
      <c r="A89" s="96">
        <v>84</v>
      </c>
      <c r="B89" s="97" t="s">
        <v>8653</v>
      </c>
      <c r="C89" s="98">
        <v>44778</v>
      </c>
      <c r="D89" s="98">
        <v>44778</v>
      </c>
      <c r="E89" s="99">
        <v>2</v>
      </c>
      <c r="F89" s="99" t="s">
        <v>22</v>
      </c>
      <c r="G89" s="97" t="s">
        <v>721</v>
      </c>
      <c r="H89" s="97" t="s">
        <v>24</v>
      </c>
      <c r="I89" s="97" t="s">
        <v>721</v>
      </c>
      <c r="J89" s="100">
        <v>44781</v>
      </c>
      <c r="K89" s="100">
        <v>44781</v>
      </c>
      <c r="L89" s="101">
        <f t="shared" si="2"/>
        <v>1</v>
      </c>
      <c r="M89" s="97" t="s">
        <v>8654</v>
      </c>
      <c r="N89" s="68" t="s">
        <v>26</v>
      </c>
      <c r="O89" s="97" t="s">
        <v>2683</v>
      </c>
      <c r="P89" s="99" t="s">
        <v>1404</v>
      </c>
      <c r="Q89" s="68" t="str">
        <f t="shared" si="3"/>
        <v>DENTRO DEL TIEMPO</v>
      </c>
      <c r="R89" s="99"/>
    </row>
    <row r="90" spans="1:18" ht="60.75" x14ac:dyDescent="0.25">
      <c r="A90" s="96">
        <v>85</v>
      </c>
      <c r="B90" s="97" t="s">
        <v>8655</v>
      </c>
      <c r="C90" s="98">
        <v>44778</v>
      </c>
      <c r="D90" s="98">
        <v>44778</v>
      </c>
      <c r="E90" s="99">
        <v>2</v>
      </c>
      <c r="F90" s="99" t="s">
        <v>22</v>
      </c>
      <c r="G90" s="97" t="s">
        <v>721</v>
      </c>
      <c r="H90" s="97" t="s">
        <v>24</v>
      </c>
      <c r="I90" s="97" t="s">
        <v>721</v>
      </c>
      <c r="J90" s="100">
        <v>44781</v>
      </c>
      <c r="K90" s="100">
        <v>44781</v>
      </c>
      <c r="L90" s="101">
        <f t="shared" si="2"/>
        <v>1</v>
      </c>
      <c r="M90" s="97" t="s">
        <v>8656</v>
      </c>
      <c r="N90" s="68" t="s">
        <v>26</v>
      </c>
      <c r="O90" s="97" t="s">
        <v>2683</v>
      </c>
      <c r="P90" s="99" t="s">
        <v>1404</v>
      </c>
      <c r="Q90" s="68" t="str">
        <f t="shared" si="3"/>
        <v>DENTRO DEL TIEMPO</v>
      </c>
      <c r="R90" s="99"/>
    </row>
    <row r="91" spans="1:18" ht="60.75" x14ac:dyDescent="0.25">
      <c r="A91" s="96">
        <v>86</v>
      </c>
      <c r="B91" s="97" t="s">
        <v>8657</v>
      </c>
      <c r="C91" s="98">
        <v>44778</v>
      </c>
      <c r="D91" s="98">
        <v>44778</v>
      </c>
      <c r="E91" s="99">
        <v>2</v>
      </c>
      <c r="F91" s="99" t="s">
        <v>22</v>
      </c>
      <c r="G91" s="97" t="s">
        <v>721</v>
      </c>
      <c r="H91" s="97" t="s">
        <v>24</v>
      </c>
      <c r="I91" s="97" t="s">
        <v>721</v>
      </c>
      <c r="J91" s="100">
        <v>44782</v>
      </c>
      <c r="K91" s="100">
        <v>44782</v>
      </c>
      <c r="L91" s="101">
        <f t="shared" si="2"/>
        <v>2</v>
      </c>
      <c r="M91" s="97" t="s">
        <v>8658</v>
      </c>
      <c r="N91" s="68" t="s">
        <v>26</v>
      </c>
      <c r="O91" s="97" t="s">
        <v>2683</v>
      </c>
      <c r="P91" s="99" t="s">
        <v>1404</v>
      </c>
      <c r="Q91" s="68" t="str">
        <f t="shared" si="3"/>
        <v>DENTRO DEL TIEMPO</v>
      </c>
      <c r="R91" s="99"/>
    </row>
    <row r="92" spans="1:18" ht="60.75" x14ac:dyDescent="0.25">
      <c r="A92" s="96">
        <v>87</v>
      </c>
      <c r="B92" s="97" t="s">
        <v>8659</v>
      </c>
      <c r="C92" s="98">
        <v>44778</v>
      </c>
      <c r="D92" s="98">
        <v>44778</v>
      </c>
      <c r="E92" s="99">
        <v>2</v>
      </c>
      <c r="F92" s="99" t="s">
        <v>22</v>
      </c>
      <c r="G92" s="97" t="s">
        <v>721</v>
      </c>
      <c r="H92" s="97" t="s">
        <v>24</v>
      </c>
      <c r="I92" s="97" t="s">
        <v>721</v>
      </c>
      <c r="J92" s="100">
        <v>44782</v>
      </c>
      <c r="K92" s="100">
        <v>44782</v>
      </c>
      <c r="L92" s="101">
        <f t="shared" si="2"/>
        <v>2</v>
      </c>
      <c r="M92" s="97" t="s">
        <v>8660</v>
      </c>
      <c r="N92" s="68" t="s">
        <v>26</v>
      </c>
      <c r="O92" s="97" t="s">
        <v>2683</v>
      </c>
      <c r="P92" s="99" t="s">
        <v>1404</v>
      </c>
      <c r="Q92" s="68" t="str">
        <f t="shared" si="3"/>
        <v>DENTRO DEL TIEMPO</v>
      </c>
      <c r="R92" s="99"/>
    </row>
    <row r="93" spans="1:18" ht="60.75" x14ac:dyDescent="0.25">
      <c r="A93" s="96">
        <v>88</v>
      </c>
      <c r="B93" s="97" t="s">
        <v>8661</v>
      </c>
      <c r="C93" s="98">
        <v>44778</v>
      </c>
      <c r="D93" s="98">
        <v>44778</v>
      </c>
      <c r="E93" s="99">
        <v>2</v>
      </c>
      <c r="F93" s="99" t="s">
        <v>22</v>
      </c>
      <c r="G93" s="97" t="s">
        <v>721</v>
      </c>
      <c r="H93" s="97" t="s">
        <v>24</v>
      </c>
      <c r="I93" s="97" t="s">
        <v>721</v>
      </c>
      <c r="J93" s="100">
        <v>44782</v>
      </c>
      <c r="K93" s="100">
        <v>44782</v>
      </c>
      <c r="L93" s="101">
        <f t="shared" si="2"/>
        <v>2</v>
      </c>
      <c r="M93" s="97" t="s">
        <v>8662</v>
      </c>
      <c r="N93" s="68" t="s">
        <v>26</v>
      </c>
      <c r="O93" s="97" t="s">
        <v>2683</v>
      </c>
      <c r="P93" s="99" t="s">
        <v>1404</v>
      </c>
      <c r="Q93" s="68" t="str">
        <f t="shared" si="3"/>
        <v>DENTRO DEL TIEMPO</v>
      </c>
      <c r="R93" s="99"/>
    </row>
    <row r="94" spans="1:18" ht="60.75" x14ac:dyDescent="0.25">
      <c r="A94" s="96">
        <v>89</v>
      </c>
      <c r="B94" s="97" t="s">
        <v>8663</v>
      </c>
      <c r="C94" s="98">
        <v>44778</v>
      </c>
      <c r="D94" s="98">
        <v>44778</v>
      </c>
      <c r="E94" s="99">
        <v>2</v>
      </c>
      <c r="F94" s="99" t="s">
        <v>22</v>
      </c>
      <c r="G94" s="97" t="s">
        <v>721</v>
      </c>
      <c r="H94" s="97" t="s">
        <v>24</v>
      </c>
      <c r="I94" s="97" t="s">
        <v>721</v>
      </c>
      <c r="J94" s="100">
        <v>44782</v>
      </c>
      <c r="K94" s="100">
        <v>44782</v>
      </c>
      <c r="L94" s="101">
        <f t="shared" si="2"/>
        <v>2</v>
      </c>
      <c r="M94" s="97" t="s">
        <v>8664</v>
      </c>
      <c r="N94" s="68" t="s">
        <v>26</v>
      </c>
      <c r="O94" s="97" t="s">
        <v>2683</v>
      </c>
      <c r="P94" s="99" t="s">
        <v>1404</v>
      </c>
      <c r="Q94" s="68" t="str">
        <f t="shared" si="3"/>
        <v>DENTRO DEL TIEMPO</v>
      </c>
      <c r="R94" s="99"/>
    </row>
    <row r="95" spans="1:18" ht="60.75" x14ac:dyDescent="0.25">
      <c r="A95" s="96">
        <v>90</v>
      </c>
      <c r="B95" s="97" t="s">
        <v>8665</v>
      </c>
      <c r="C95" s="98">
        <v>44778</v>
      </c>
      <c r="D95" s="98">
        <v>44778</v>
      </c>
      <c r="E95" s="99">
        <v>2</v>
      </c>
      <c r="F95" s="99" t="s">
        <v>22</v>
      </c>
      <c r="G95" s="97" t="s">
        <v>721</v>
      </c>
      <c r="H95" s="97" t="s">
        <v>24</v>
      </c>
      <c r="I95" s="97" t="s">
        <v>721</v>
      </c>
      <c r="J95" s="100">
        <v>44782</v>
      </c>
      <c r="K95" s="100">
        <v>44782</v>
      </c>
      <c r="L95" s="101">
        <f t="shared" si="2"/>
        <v>2</v>
      </c>
      <c r="M95" s="97" t="s">
        <v>8666</v>
      </c>
      <c r="N95" s="68" t="s">
        <v>26</v>
      </c>
      <c r="O95" s="97" t="s">
        <v>8667</v>
      </c>
      <c r="P95" s="99" t="s">
        <v>1404</v>
      </c>
      <c r="Q95" s="68" t="str">
        <f t="shared" si="3"/>
        <v>DENTRO DEL TIEMPO</v>
      </c>
      <c r="R95" s="99"/>
    </row>
    <row r="96" spans="1:18" ht="60.75" x14ac:dyDescent="0.25">
      <c r="A96" s="96">
        <v>91</v>
      </c>
      <c r="B96" s="97" t="s">
        <v>8668</v>
      </c>
      <c r="C96" s="98">
        <v>44778</v>
      </c>
      <c r="D96" s="98">
        <v>44778</v>
      </c>
      <c r="E96" s="99">
        <v>2</v>
      </c>
      <c r="F96" s="99" t="s">
        <v>22</v>
      </c>
      <c r="G96" s="97" t="s">
        <v>721</v>
      </c>
      <c r="H96" s="97" t="s">
        <v>24</v>
      </c>
      <c r="I96" s="97" t="s">
        <v>721</v>
      </c>
      <c r="J96" s="100">
        <v>44782</v>
      </c>
      <c r="K96" s="100">
        <v>44782</v>
      </c>
      <c r="L96" s="101">
        <f t="shared" si="2"/>
        <v>2</v>
      </c>
      <c r="M96" s="97" t="s">
        <v>8669</v>
      </c>
      <c r="N96" s="68" t="s">
        <v>26</v>
      </c>
      <c r="O96" s="97" t="s">
        <v>6205</v>
      </c>
      <c r="P96" s="99" t="s">
        <v>8670</v>
      </c>
      <c r="Q96" s="68" t="str">
        <f t="shared" si="3"/>
        <v>DENTRO DEL TIEMPO</v>
      </c>
      <c r="R96" s="99"/>
    </row>
    <row r="97" spans="1:18" ht="60.75" x14ac:dyDescent="0.25">
      <c r="A97" s="96">
        <v>92</v>
      </c>
      <c r="B97" s="97" t="s">
        <v>8671</v>
      </c>
      <c r="C97" s="98">
        <v>44778</v>
      </c>
      <c r="D97" s="98">
        <v>44778</v>
      </c>
      <c r="E97" s="99">
        <v>2</v>
      </c>
      <c r="F97" s="99" t="s">
        <v>22</v>
      </c>
      <c r="G97" s="97" t="s">
        <v>721</v>
      </c>
      <c r="H97" s="97" t="s">
        <v>24</v>
      </c>
      <c r="I97" s="97" t="s">
        <v>721</v>
      </c>
      <c r="J97" s="100">
        <v>44782</v>
      </c>
      <c r="K97" s="100">
        <v>44782</v>
      </c>
      <c r="L97" s="101">
        <f t="shared" si="2"/>
        <v>2</v>
      </c>
      <c r="M97" s="97" t="s">
        <v>8672</v>
      </c>
      <c r="N97" s="68" t="s">
        <v>26</v>
      </c>
      <c r="O97" s="97" t="s">
        <v>6205</v>
      </c>
      <c r="P97" s="99" t="s">
        <v>1551</v>
      </c>
      <c r="Q97" s="68" t="str">
        <f t="shared" si="3"/>
        <v>DENTRO DEL TIEMPO</v>
      </c>
      <c r="R97" s="99"/>
    </row>
    <row r="98" spans="1:18" ht="60.75" x14ac:dyDescent="0.25">
      <c r="A98" s="96">
        <v>93</v>
      </c>
      <c r="B98" s="97" t="s">
        <v>8673</v>
      </c>
      <c r="C98" s="98">
        <v>44778</v>
      </c>
      <c r="D98" s="98">
        <v>44778</v>
      </c>
      <c r="E98" s="99">
        <v>2</v>
      </c>
      <c r="F98" s="99" t="s">
        <v>22</v>
      </c>
      <c r="G98" s="97" t="s">
        <v>721</v>
      </c>
      <c r="H98" s="97" t="s">
        <v>24</v>
      </c>
      <c r="I98" s="97" t="s">
        <v>721</v>
      </c>
      <c r="J98" s="100">
        <v>44782</v>
      </c>
      <c r="K98" s="100">
        <v>44782</v>
      </c>
      <c r="L98" s="101">
        <f t="shared" si="2"/>
        <v>2</v>
      </c>
      <c r="M98" s="97" t="s">
        <v>8674</v>
      </c>
      <c r="N98" s="68" t="s">
        <v>26</v>
      </c>
      <c r="O98" s="97" t="s">
        <v>3716</v>
      </c>
      <c r="P98" s="99" t="s">
        <v>1551</v>
      </c>
      <c r="Q98" s="68" t="str">
        <f t="shared" si="3"/>
        <v>DENTRO DEL TIEMPO</v>
      </c>
      <c r="R98" s="99"/>
    </row>
    <row r="99" spans="1:18" ht="60.75" hidden="1" x14ac:dyDescent="0.25">
      <c r="A99" s="96">
        <v>94</v>
      </c>
      <c r="B99" s="97" t="s">
        <v>8675</v>
      </c>
      <c r="C99" s="98">
        <v>44778</v>
      </c>
      <c r="D99" s="98">
        <v>44778</v>
      </c>
      <c r="E99" s="99">
        <v>0</v>
      </c>
      <c r="F99" s="99" t="s">
        <v>790</v>
      </c>
      <c r="G99" s="97" t="s">
        <v>721</v>
      </c>
      <c r="H99" s="97" t="s">
        <v>24</v>
      </c>
      <c r="I99" s="97" t="s">
        <v>721</v>
      </c>
      <c r="J99" s="100">
        <v>44783</v>
      </c>
      <c r="K99" s="100">
        <v>44783</v>
      </c>
      <c r="L99" s="101">
        <f t="shared" si="2"/>
        <v>3</v>
      </c>
      <c r="M99" s="97" t="s">
        <v>8676</v>
      </c>
      <c r="N99" s="68" t="s">
        <v>26</v>
      </c>
      <c r="O99" s="97" t="s">
        <v>6463</v>
      </c>
      <c r="P99" s="99" t="s">
        <v>1551</v>
      </c>
      <c r="Q99" s="68" t="str">
        <f t="shared" si="3"/>
        <v>DENTRO DEL TIEMPO</v>
      </c>
      <c r="R99" s="99"/>
    </row>
    <row r="100" spans="1:18" ht="60.75" x14ac:dyDescent="0.25">
      <c r="A100" s="96">
        <v>95</v>
      </c>
      <c r="B100" s="97" t="s">
        <v>8677</v>
      </c>
      <c r="C100" s="98">
        <v>44778</v>
      </c>
      <c r="D100" s="98">
        <v>44778</v>
      </c>
      <c r="E100" s="99">
        <v>2</v>
      </c>
      <c r="F100" s="99" t="s">
        <v>22</v>
      </c>
      <c r="G100" s="97" t="s">
        <v>721</v>
      </c>
      <c r="H100" s="97" t="s">
        <v>24</v>
      </c>
      <c r="I100" s="97" t="s">
        <v>721</v>
      </c>
      <c r="J100" s="100">
        <v>44783</v>
      </c>
      <c r="K100" s="100">
        <v>44783</v>
      </c>
      <c r="L100" s="101">
        <f t="shared" si="2"/>
        <v>3</v>
      </c>
      <c r="M100" s="97" t="s">
        <v>8678</v>
      </c>
      <c r="N100" s="68" t="s">
        <v>26</v>
      </c>
      <c r="O100" s="97" t="s">
        <v>8679</v>
      </c>
      <c r="P100" s="99" t="s">
        <v>8680</v>
      </c>
      <c r="Q100" s="68" t="str">
        <f t="shared" si="3"/>
        <v>DENTRO DEL TIEMPO</v>
      </c>
      <c r="R100" s="99"/>
    </row>
    <row r="101" spans="1:18" ht="60.75" x14ac:dyDescent="0.25">
      <c r="A101" s="96">
        <v>96</v>
      </c>
      <c r="B101" s="97" t="s">
        <v>8681</v>
      </c>
      <c r="C101" s="98">
        <v>44778</v>
      </c>
      <c r="D101" s="98">
        <v>44778</v>
      </c>
      <c r="E101" s="99">
        <v>2</v>
      </c>
      <c r="F101" s="99" t="s">
        <v>22</v>
      </c>
      <c r="G101" s="97" t="s">
        <v>721</v>
      </c>
      <c r="H101" s="97" t="s">
        <v>24</v>
      </c>
      <c r="I101" s="97" t="s">
        <v>721</v>
      </c>
      <c r="J101" s="100">
        <v>44783</v>
      </c>
      <c r="K101" s="100">
        <v>44783</v>
      </c>
      <c r="L101" s="101">
        <f t="shared" si="2"/>
        <v>3</v>
      </c>
      <c r="M101" s="97" t="s">
        <v>8682</v>
      </c>
      <c r="N101" s="68" t="s">
        <v>26</v>
      </c>
      <c r="O101" s="97" t="s">
        <v>6452</v>
      </c>
      <c r="P101" s="99" t="s">
        <v>8683</v>
      </c>
      <c r="Q101" s="68" t="str">
        <f t="shared" si="3"/>
        <v>DENTRO DEL TIEMPO</v>
      </c>
      <c r="R101" s="99"/>
    </row>
    <row r="102" spans="1:18" ht="60.75" x14ac:dyDescent="0.25">
      <c r="A102" s="96">
        <v>97</v>
      </c>
      <c r="B102" s="97" t="s">
        <v>8684</v>
      </c>
      <c r="C102" s="98">
        <v>44781</v>
      </c>
      <c r="D102" s="98">
        <v>44781</v>
      </c>
      <c r="E102" s="99">
        <v>46</v>
      </c>
      <c r="F102" s="99" t="s">
        <v>22</v>
      </c>
      <c r="G102" s="97" t="s">
        <v>721</v>
      </c>
      <c r="H102" s="97" t="s">
        <v>24</v>
      </c>
      <c r="I102" s="97" t="s">
        <v>721</v>
      </c>
      <c r="J102" s="100">
        <v>44783</v>
      </c>
      <c r="K102" s="100">
        <v>44783</v>
      </c>
      <c r="L102" s="101">
        <f t="shared" si="2"/>
        <v>2</v>
      </c>
      <c r="M102" s="97" t="s">
        <v>8685</v>
      </c>
      <c r="N102" s="68" t="s">
        <v>26</v>
      </c>
      <c r="O102" s="97" t="s">
        <v>8686</v>
      </c>
      <c r="P102" s="99" t="s">
        <v>8687</v>
      </c>
      <c r="Q102" s="68" t="str">
        <f t="shared" si="3"/>
        <v>DENTRO DEL TIEMPO</v>
      </c>
      <c r="R102" s="99"/>
    </row>
    <row r="103" spans="1:18" ht="60.75" x14ac:dyDescent="0.25">
      <c r="A103" s="96">
        <v>98</v>
      </c>
      <c r="B103" s="97" t="s">
        <v>8688</v>
      </c>
      <c r="C103" s="98">
        <v>44781</v>
      </c>
      <c r="D103" s="98">
        <v>44781</v>
      </c>
      <c r="E103" s="99">
        <v>2</v>
      </c>
      <c r="F103" s="99" t="s">
        <v>22</v>
      </c>
      <c r="G103" s="97" t="s">
        <v>721</v>
      </c>
      <c r="H103" s="97" t="s">
        <v>24</v>
      </c>
      <c r="I103" s="97" t="s">
        <v>721</v>
      </c>
      <c r="J103" s="100">
        <v>44783</v>
      </c>
      <c r="K103" s="100">
        <v>44783</v>
      </c>
      <c r="L103" s="101">
        <f t="shared" si="2"/>
        <v>2</v>
      </c>
      <c r="M103" s="97" t="s">
        <v>8689</v>
      </c>
      <c r="N103" s="68" t="s">
        <v>26</v>
      </c>
      <c r="O103" s="97" t="s">
        <v>2381</v>
      </c>
      <c r="P103" s="99" t="s">
        <v>1033</v>
      </c>
      <c r="Q103" s="68" t="str">
        <f t="shared" si="3"/>
        <v>DENTRO DEL TIEMPO</v>
      </c>
      <c r="R103" s="99"/>
    </row>
    <row r="104" spans="1:18" ht="60.75" x14ac:dyDescent="0.25">
      <c r="A104" s="96">
        <v>99</v>
      </c>
      <c r="B104" s="97" t="s">
        <v>8690</v>
      </c>
      <c r="C104" s="98">
        <v>44781</v>
      </c>
      <c r="D104" s="98">
        <v>44781</v>
      </c>
      <c r="E104" s="99">
        <v>2</v>
      </c>
      <c r="F104" s="99" t="s">
        <v>22</v>
      </c>
      <c r="G104" s="97" t="s">
        <v>721</v>
      </c>
      <c r="H104" s="97" t="s">
        <v>24</v>
      </c>
      <c r="I104" s="97" t="s">
        <v>721</v>
      </c>
      <c r="J104" s="100">
        <v>44783</v>
      </c>
      <c r="K104" s="100">
        <v>44783</v>
      </c>
      <c r="L104" s="101">
        <f t="shared" si="2"/>
        <v>2</v>
      </c>
      <c r="M104" s="97" t="s">
        <v>8691</v>
      </c>
      <c r="N104" s="68" t="s">
        <v>26</v>
      </c>
      <c r="O104" s="97" t="s">
        <v>8692</v>
      </c>
      <c r="P104" s="99" t="s">
        <v>8693</v>
      </c>
      <c r="Q104" s="68" t="str">
        <f t="shared" si="3"/>
        <v>DENTRO DEL TIEMPO</v>
      </c>
      <c r="R104" s="99"/>
    </row>
    <row r="105" spans="1:18" ht="60.75" x14ac:dyDescent="0.25">
      <c r="A105" s="96">
        <v>100</v>
      </c>
      <c r="B105" s="97" t="s">
        <v>8694</v>
      </c>
      <c r="C105" s="98">
        <v>44781</v>
      </c>
      <c r="D105" s="98">
        <v>44781</v>
      </c>
      <c r="E105" s="99">
        <v>2</v>
      </c>
      <c r="F105" s="99" t="s">
        <v>22</v>
      </c>
      <c r="G105" s="97" t="s">
        <v>721</v>
      </c>
      <c r="H105" s="97" t="s">
        <v>24</v>
      </c>
      <c r="I105" s="97" t="s">
        <v>721</v>
      </c>
      <c r="J105" s="100">
        <v>44783</v>
      </c>
      <c r="K105" s="100">
        <v>44783</v>
      </c>
      <c r="L105" s="101">
        <f t="shared" si="2"/>
        <v>2</v>
      </c>
      <c r="M105" s="97" t="s">
        <v>8695</v>
      </c>
      <c r="N105" s="68" t="s">
        <v>26</v>
      </c>
      <c r="O105" s="97" t="s">
        <v>8696</v>
      </c>
      <c r="P105" s="99" t="s">
        <v>8697</v>
      </c>
      <c r="Q105" s="68" t="str">
        <f t="shared" si="3"/>
        <v>DENTRO DEL TIEMPO</v>
      </c>
      <c r="R105" s="99"/>
    </row>
    <row r="106" spans="1:18" ht="60.75" x14ac:dyDescent="0.25">
      <c r="A106" s="96">
        <v>101</v>
      </c>
      <c r="B106" s="97" t="s">
        <v>8698</v>
      </c>
      <c r="C106" s="98">
        <v>44781</v>
      </c>
      <c r="D106" s="98">
        <v>44781</v>
      </c>
      <c r="E106" s="99">
        <v>2</v>
      </c>
      <c r="F106" s="99" t="s">
        <v>22</v>
      </c>
      <c r="G106" s="97" t="s">
        <v>721</v>
      </c>
      <c r="H106" s="97" t="s">
        <v>24</v>
      </c>
      <c r="I106" s="97" t="s">
        <v>721</v>
      </c>
      <c r="J106" s="100">
        <v>44783</v>
      </c>
      <c r="K106" s="100">
        <v>44783</v>
      </c>
      <c r="L106" s="101">
        <f t="shared" si="2"/>
        <v>2</v>
      </c>
      <c r="M106" s="97" t="s">
        <v>8699</v>
      </c>
      <c r="N106" s="68" t="s">
        <v>26</v>
      </c>
      <c r="O106" s="97" t="s">
        <v>8700</v>
      </c>
      <c r="P106" s="99" t="s">
        <v>1694</v>
      </c>
      <c r="Q106" s="68" t="str">
        <f t="shared" si="3"/>
        <v>DENTRO DEL TIEMPO</v>
      </c>
      <c r="R106" s="99"/>
    </row>
    <row r="107" spans="1:18" ht="60.75" x14ac:dyDescent="0.25">
      <c r="A107" s="96">
        <v>102</v>
      </c>
      <c r="B107" s="97" t="s">
        <v>8701</v>
      </c>
      <c r="C107" s="98">
        <v>44781</v>
      </c>
      <c r="D107" s="98">
        <v>44781</v>
      </c>
      <c r="E107" s="99">
        <v>2</v>
      </c>
      <c r="F107" s="99" t="s">
        <v>22</v>
      </c>
      <c r="G107" s="97" t="s">
        <v>721</v>
      </c>
      <c r="H107" s="97" t="s">
        <v>24</v>
      </c>
      <c r="I107" s="97" t="s">
        <v>721</v>
      </c>
      <c r="J107" s="100">
        <v>44783</v>
      </c>
      <c r="K107" s="100">
        <v>44783</v>
      </c>
      <c r="L107" s="101">
        <f t="shared" si="2"/>
        <v>2</v>
      </c>
      <c r="M107" s="97" t="s">
        <v>8702</v>
      </c>
      <c r="N107" s="68" t="s">
        <v>26</v>
      </c>
      <c r="O107" s="97" t="s">
        <v>8703</v>
      </c>
      <c r="P107" s="99" t="s">
        <v>1694</v>
      </c>
      <c r="Q107" s="68" t="str">
        <f t="shared" si="3"/>
        <v>DENTRO DEL TIEMPO</v>
      </c>
      <c r="R107" s="99"/>
    </row>
    <row r="108" spans="1:18" ht="60.75" x14ac:dyDescent="0.25">
      <c r="A108" s="96">
        <v>103</v>
      </c>
      <c r="B108" s="97" t="s">
        <v>8704</v>
      </c>
      <c r="C108" s="98">
        <v>44781</v>
      </c>
      <c r="D108" s="98">
        <v>44781</v>
      </c>
      <c r="E108" s="99">
        <v>2</v>
      </c>
      <c r="F108" s="99" t="s">
        <v>22</v>
      </c>
      <c r="G108" s="97" t="s">
        <v>721</v>
      </c>
      <c r="H108" s="97" t="s">
        <v>24</v>
      </c>
      <c r="I108" s="97" t="s">
        <v>721</v>
      </c>
      <c r="J108" s="100">
        <v>44783</v>
      </c>
      <c r="K108" s="100">
        <v>44783</v>
      </c>
      <c r="L108" s="101">
        <f t="shared" si="2"/>
        <v>2</v>
      </c>
      <c r="M108" s="97" t="s">
        <v>8705</v>
      </c>
      <c r="N108" s="68" t="s">
        <v>26</v>
      </c>
      <c r="O108" s="97" t="s">
        <v>2333</v>
      </c>
      <c r="P108" s="99" t="s">
        <v>8706</v>
      </c>
      <c r="Q108" s="68" t="str">
        <f t="shared" si="3"/>
        <v>DENTRO DEL TIEMPO</v>
      </c>
      <c r="R108" s="99"/>
    </row>
    <row r="109" spans="1:18" ht="60.75" x14ac:dyDescent="0.25">
      <c r="A109" s="96">
        <v>104</v>
      </c>
      <c r="B109" s="97" t="s">
        <v>8707</v>
      </c>
      <c r="C109" s="98">
        <v>44781</v>
      </c>
      <c r="D109" s="98">
        <v>44781</v>
      </c>
      <c r="E109" s="99">
        <v>2</v>
      </c>
      <c r="F109" s="99" t="s">
        <v>22</v>
      </c>
      <c r="G109" s="97" t="s">
        <v>721</v>
      </c>
      <c r="H109" s="97" t="s">
        <v>24</v>
      </c>
      <c r="I109" s="97" t="s">
        <v>721</v>
      </c>
      <c r="J109" s="100">
        <v>44783</v>
      </c>
      <c r="K109" s="100">
        <v>44783</v>
      </c>
      <c r="L109" s="101">
        <f t="shared" si="2"/>
        <v>2</v>
      </c>
      <c r="M109" s="97" t="s">
        <v>8708</v>
      </c>
      <c r="N109" s="68" t="s">
        <v>26</v>
      </c>
      <c r="O109" s="97" t="s">
        <v>8709</v>
      </c>
      <c r="P109" s="99" t="s">
        <v>8710</v>
      </c>
      <c r="Q109" s="68" t="str">
        <f t="shared" si="3"/>
        <v>DENTRO DEL TIEMPO</v>
      </c>
      <c r="R109" s="99"/>
    </row>
    <row r="110" spans="1:18" ht="60.75" x14ac:dyDescent="0.25">
      <c r="A110" s="96">
        <v>105</v>
      </c>
      <c r="B110" s="97" t="s">
        <v>8711</v>
      </c>
      <c r="C110" s="98">
        <v>44781</v>
      </c>
      <c r="D110" s="98">
        <v>44781</v>
      </c>
      <c r="E110" s="99">
        <v>2</v>
      </c>
      <c r="F110" s="99" t="s">
        <v>22</v>
      </c>
      <c r="G110" s="97" t="s">
        <v>721</v>
      </c>
      <c r="H110" s="97" t="s">
        <v>24</v>
      </c>
      <c r="I110" s="97" t="s">
        <v>721</v>
      </c>
      <c r="J110" s="100">
        <v>44783</v>
      </c>
      <c r="K110" s="100">
        <v>44783</v>
      </c>
      <c r="L110" s="101">
        <f t="shared" si="2"/>
        <v>2</v>
      </c>
      <c r="M110" s="97" t="s">
        <v>8712</v>
      </c>
      <c r="N110" s="68" t="s">
        <v>26</v>
      </c>
      <c r="O110" s="97" t="s">
        <v>8713</v>
      </c>
      <c r="P110" s="99" t="s">
        <v>8714</v>
      </c>
      <c r="Q110" s="68" t="str">
        <f t="shared" si="3"/>
        <v>DENTRO DEL TIEMPO</v>
      </c>
      <c r="R110" s="99"/>
    </row>
    <row r="111" spans="1:18" ht="60.75" x14ac:dyDescent="0.25">
      <c r="A111" s="96">
        <v>106</v>
      </c>
      <c r="B111" s="97" t="s">
        <v>8715</v>
      </c>
      <c r="C111" s="98">
        <v>44781</v>
      </c>
      <c r="D111" s="98">
        <v>44781</v>
      </c>
      <c r="E111" s="99">
        <v>2</v>
      </c>
      <c r="F111" s="99" t="s">
        <v>22</v>
      </c>
      <c r="G111" s="97" t="s">
        <v>721</v>
      </c>
      <c r="H111" s="97" t="s">
        <v>24</v>
      </c>
      <c r="I111" s="97" t="s">
        <v>721</v>
      </c>
      <c r="J111" s="100">
        <v>44783</v>
      </c>
      <c r="K111" s="100">
        <v>44783</v>
      </c>
      <c r="L111" s="101">
        <f t="shared" si="2"/>
        <v>2</v>
      </c>
      <c r="M111" s="97" t="s">
        <v>8716</v>
      </c>
      <c r="N111" s="68" t="s">
        <v>26</v>
      </c>
      <c r="O111" s="97" t="s">
        <v>8717</v>
      </c>
      <c r="P111" s="99" t="s">
        <v>8718</v>
      </c>
      <c r="Q111" s="68" t="str">
        <f t="shared" si="3"/>
        <v>DENTRO DEL TIEMPO</v>
      </c>
      <c r="R111" s="99"/>
    </row>
    <row r="112" spans="1:18" ht="60.75" x14ac:dyDescent="0.25">
      <c r="A112" s="96">
        <v>107</v>
      </c>
      <c r="B112" s="97" t="s">
        <v>8719</v>
      </c>
      <c r="C112" s="98">
        <v>44781</v>
      </c>
      <c r="D112" s="98">
        <v>44781</v>
      </c>
      <c r="E112" s="99">
        <v>2</v>
      </c>
      <c r="F112" s="99" t="s">
        <v>22</v>
      </c>
      <c r="G112" s="97" t="s">
        <v>721</v>
      </c>
      <c r="H112" s="97" t="s">
        <v>24</v>
      </c>
      <c r="I112" s="97" t="s">
        <v>721</v>
      </c>
      <c r="J112" s="100">
        <v>44783</v>
      </c>
      <c r="K112" s="100">
        <v>44783</v>
      </c>
      <c r="L112" s="101">
        <f t="shared" si="2"/>
        <v>2</v>
      </c>
      <c r="M112" s="97" t="s">
        <v>8720</v>
      </c>
      <c r="N112" s="68" t="s">
        <v>26</v>
      </c>
      <c r="O112" s="97" t="s">
        <v>8721</v>
      </c>
      <c r="P112" s="99" t="s">
        <v>8722</v>
      </c>
      <c r="Q112" s="68" t="str">
        <f t="shared" si="3"/>
        <v>DENTRO DEL TIEMPO</v>
      </c>
      <c r="R112" s="99"/>
    </row>
    <row r="113" spans="1:18" ht="60.75" x14ac:dyDescent="0.25">
      <c r="A113" s="96">
        <v>108</v>
      </c>
      <c r="B113" s="97" t="s">
        <v>8723</v>
      </c>
      <c r="C113" s="98">
        <v>44781</v>
      </c>
      <c r="D113" s="98">
        <v>44781</v>
      </c>
      <c r="E113" s="99">
        <v>2</v>
      </c>
      <c r="F113" s="99" t="s">
        <v>22</v>
      </c>
      <c r="G113" s="97" t="s">
        <v>721</v>
      </c>
      <c r="H113" s="97" t="s">
        <v>24</v>
      </c>
      <c r="I113" s="97" t="s">
        <v>721</v>
      </c>
      <c r="J113" s="100">
        <v>44783</v>
      </c>
      <c r="K113" s="100">
        <v>44783</v>
      </c>
      <c r="L113" s="101">
        <f t="shared" si="2"/>
        <v>2</v>
      </c>
      <c r="M113" s="97" t="s">
        <v>8724</v>
      </c>
      <c r="N113" s="68" t="s">
        <v>26</v>
      </c>
      <c r="O113" s="97" t="s">
        <v>8725</v>
      </c>
      <c r="P113" s="99" t="s">
        <v>2757</v>
      </c>
      <c r="Q113" s="68" t="str">
        <f t="shared" si="3"/>
        <v>DENTRO DEL TIEMPO</v>
      </c>
      <c r="R113" s="99"/>
    </row>
    <row r="114" spans="1:18" ht="60.75" x14ac:dyDescent="0.25">
      <c r="A114" s="96">
        <v>109</v>
      </c>
      <c r="B114" s="97" t="s">
        <v>8726</v>
      </c>
      <c r="C114" s="98">
        <v>44781</v>
      </c>
      <c r="D114" s="98">
        <v>44781</v>
      </c>
      <c r="E114" s="99">
        <v>2</v>
      </c>
      <c r="F114" s="99" t="s">
        <v>22</v>
      </c>
      <c r="G114" s="97" t="s">
        <v>721</v>
      </c>
      <c r="H114" s="97" t="s">
        <v>24</v>
      </c>
      <c r="I114" s="97" t="s">
        <v>721</v>
      </c>
      <c r="J114" s="100">
        <v>44783</v>
      </c>
      <c r="K114" s="100">
        <v>44783</v>
      </c>
      <c r="L114" s="101">
        <f t="shared" si="2"/>
        <v>2</v>
      </c>
      <c r="M114" s="97" t="s">
        <v>8727</v>
      </c>
      <c r="N114" s="68" t="s">
        <v>26</v>
      </c>
      <c r="O114" s="97" t="s">
        <v>2557</v>
      </c>
      <c r="P114" s="99" t="s">
        <v>1784</v>
      </c>
      <c r="Q114" s="68" t="str">
        <f t="shared" si="3"/>
        <v>DENTRO DEL TIEMPO</v>
      </c>
      <c r="R114" s="99"/>
    </row>
    <row r="115" spans="1:18" ht="60.75" x14ac:dyDescent="0.25">
      <c r="A115" s="96">
        <v>110</v>
      </c>
      <c r="B115" s="97" t="s">
        <v>8728</v>
      </c>
      <c r="C115" s="98">
        <v>44781</v>
      </c>
      <c r="D115" s="98">
        <v>44781</v>
      </c>
      <c r="E115" s="99">
        <v>2</v>
      </c>
      <c r="F115" s="99" t="s">
        <v>22</v>
      </c>
      <c r="G115" s="97" t="s">
        <v>721</v>
      </c>
      <c r="H115" s="97" t="s">
        <v>24</v>
      </c>
      <c r="I115" s="97" t="s">
        <v>721</v>
      </c>
      <c r="J115" s="100">
        <v>44783</v>
      </c>
      <c r="K115" s="100">
        <v>44783</v>
      </c>
      <c r="L115" s="101">
        <f t="shared" si="2"/>
        <v>2</v>
      </c>
      <c r="M115" s="97" t="s">
        <v>8729</v>
      </c>
      <c r="N115" s="68" t="s">
        <v>26</v>
      </c>
      <c r="O115" s="97" t="s">
        <v>6655</v>
      </c>
      <c r="P115" s="99" t="s">
        <v>1502</v>
      </c>
      <c r="Q115" s="68" t="str">
        <f t="shared" si="3"/>
        <v>DENTRO DEL TIEMPO</v>
      </c>
      <c r="R115" s="99"/>
    </row>
    <row r="116" spans="1:18" ht="60.75" x14ac:dyDescent="0.25">
      <c r="A116" s="96">
        <v>111</v>
      </c>
      <c r="B116" s="97" t="s">
        <v>8730</v>
      </c>
      <c r="C116" s="98">
        <v>44781</v>
      </c>
      <c r="D116" s="98">
        <v>44781</v>
      </c>
      <c r="E116" s="99">
        <v>14</v>
      </c>
      <c r="F116" s="99" t="s">
        <v>22</v>
      </c>
      <c r="G116" s="97" t="s">
        <v>1256</v>
      </c>
      <c r="H116" s="97" t="s">
        <v>24</v>
      </c>
      <c r="I116" s="97" t="s">
        <v>1256</v>
      </c>
      <c r="J116" s="100">
        <v>44789</v>
      </c>
      <c r="K116" s="100">
        <v>44789</v>
      </c>
      <c r="L116" s="101">
        <f t="shared" si="2"/>
        <v>6</v>
      </c>
      <c r="M116" s="97" t="s">
        <v>8731</v>
      </c>
      <c r="N116" s="68" t="s">
        <v>26</v>
      </c>
      <c r="O116" s="97" t="s">
        <v>8732</v>
      </c>
      <c r="P116" s="99" t="s">
        <v>2775</v>
      </c>
      <c r="Q116" s="68" t="str">
        <f t="shared" si="3"/>
        <v>DENTRO DEL TIEMPO</v>
      </c>
      <c r="R116" s="99"/>
    </row>
    <row r="117" spans="1:18" ht="60.75" x14ac:dyDescent="0.25">
      <c r="A117" s="96">
        <v>112</v>
      </c>
      <c r="B117" s="97" t="s">
        <v>8733</v>
      </c>
      <c r="C117" s="98">
        <v>44781</v>
      </c>
      <c r="D117" s="98">
        <v>44781</v>
      </c>
      <c r="E117" s="99">
        <v>2</v>
      </c>
      <c r="F117" s="99" t="s">
        <v>22</v>
      </c>
      <c r="G117" s="97" t="s">
        <v>721</v>
      </c>
      <c r="H117" s="97" t="s">
        <v>24</v>
      </c>
      <c r="I117" s="97" t="s">
        <v>721</v>
      </c>
      <c r="J117" s="100">
        <v>44783</v>
      </c>
      <c r="K117" s="100">
        <v>44783</v>
      </c>
      <c r="L117" s="101">
        <f t="shared" si="2"/>
        <v>2</v>
      </c>
      <c r="M117" s="97" t="s">
        <v>8734</v>
      </c>
      <c r="N117" s="68" t="s">
        <v>26</v>
      </c>
      <c r="O117" s="97" t="s">
        <v>8735</v>
      </c>
      <c r="P117" s="99" t="s">
        <v>8736</v>
      </c>
      <c r="Q117" s="68" t="str">
        <f t="shared" si="3"/>
        <v>DENTRO DEL TIEMPO</v>
      </c>
      <c r="R117" s="99"/>
    </row>
    <row r="118" spans="1:18" ht="60.75" x14ac:dyDescent="0.25">
      <c r="A118" s="96">
        <v>113</v>
      </c>
      <c r="B118" s="97" t="s">
        <v>8737</v>
      </c>
      <c r="C118" s="98">
        <v>44782</v>
      </c>
      <c r="D118" s="98">
        <v>44782</v>
      </c>
      <c r="E118" s="99">
        <v>2</v>
      </c>
      <c r="F118" s="99" t="s">
        <v>22</v>
      </c>
      <c r="G118" s="97" t="s">
        <v>721</v>
      </c>
      <c r="H118" s="97" t="s">
        <v>24</v>
      </c>
      <c r="I118" s="97" t="s">
        <v>721</v>
      </c>
      <c r="J118" s="100">
        <v>44783</v>
      </c>
      <c r="K118" s="100">
        <v>44783</v>
      </c>
      <c r="L118" s="101">
        <f t="shared" si="2"/>
        <v>1</v>
      </c>
      <c r="M118" s="97" t="s">
        <v>8738</v>
      </c>
      <c r="N118" s="68" t="s">
        <v>26</v>
      </c>
      <c r="O118" s="97" t="s">
        <v>8739</v>
      </c>
      <c r="P118" s="99" t="s">
        <v>8740</v>
      </c>
      <c r="Q118" s="68" t="str">
        <f t="shared" si="3"/>
        <v>DENTRO DEL TIEMPO</v>
      </c>
      <c r="R118" s="99"/>
    </row>
    <row r="119" spans="1:18" ht="60.75" x14ac:dyDescent="0.25">
      <c r="A119" s="96">
        <v>114</v>
      </c>
      <c r="B119" s="97" t="s">
        <v>8741</v>
      </c>
      <c r="C119" s="98">
        <v>44782</v>
      </c>
      <c r="D119" s="98">
        <v>44782</v>
      </c>
      <c r="E119" s="99">
        <v>2</v>
      </c>
      <c r="F119" s="99" t="s">
        <v>22</v>
      </c>
      <c r="G119" s="97" t="s">
        <v>721</v>
      </c>
      <c r="H119" s="97" t="s">
        <v>24</v>
      </c>
      <c r="I119" s="97" t="s">
        <v>721</v>
      </c>
      <c r="J119" s="100">
        <v>44783</v>
      </c>
      <c r="K119" s="100">
        <v>44783</v>
      </c>
      <c r="L119" s="101">
        <f t="shared" si="2"/>
        <v>1</v>
      </c>
      <c r="M119" s="97" t="s">
        <v>8742</v>
      </c>
      <c r="N119" s="68" t="s">
        <v>26</v>
      </c>
      <c r="O119" s="97" t="s">
        <v>8743</v>
      </c>
      <c r="P119" s="99" t="s">
        <v>8744</v>
      </c>
      <c r="Q119" s="68" t="str">
        <f t="shared" si="3"/>
        <v>DENTRO DEL TIEMPO</v>
      </c>
      <c r="R119" s="99"/>
    </row>
    <row r="120" spans="1:18" ht="60.75" x14ac:dyDescent="0.25">
      <c r="A120" s="96">
        <v>115</v>
      </c>
      <c r="B120" s="97" t="s">
        <v>8745</v>
      </c>
      <c r="C120" s="98">
        <v>44782</v>
      </c>
      <c r="D120" s="98">
        <v>44782</v>
      </c>
      <c r="E120" s="99">
        <v>2</v>
      </c>
      <c r="F120" s="99" t="s">
        <v>22</v>
      </c>
      <c r="G120" s="97" t="s">
        <v>721</v>
      </c>
      <c r="H120" s="97" t="s">
        <v>24</v>
      </c>
      <c r="I120" s="97" t="s">
        <v>721</v>
      </c>
      <c r="J120" s="100">
        <v>44783</v>
      </c>
      <c r="K120" s="100">
        <v>44783</v>
      </c>
      <c r="L120" s="101">
        <f t="shared" si="2"/>
        <v>1</v>
      </c>
      <c r="M120" s="97" t="s">
        <v>8746</v>
      </c>
      <c r="N120" s="68" t="s">
        <v>26</v>
      </c>
      <c r="O120" s="97" t="s">
        <v>2333</v>
      </c>
      <c r="P120" s="99" t="s">
        <v>8747</v>
      </c>
      <c r="Q120" s="68" t="str">
        <f t="shared" si="3"/>
        <v>DENTRO DEL TIEMPO</v>
      </c>
      <c r="R120" s="99"/>
    </row>
    <row r="121" spans="1:18" ht="60.75" x14ac:dyDescent="0.25">
      <c r="A121" s="96">
        <v>116</v>
      </c>
      <c r="B121" s="97" t="s">
        <v>8748</v>
      </c>
      <c r="C121" s="98">
        <v>44782</v>
      </c>
      <c r="D121" s="98">
        <v>44782</v>
      </c>
      <c r="E121" s="99">
        <v>2</v>
      </c>
      <c r="F121" s="99" t="s">
        <v>22</v>
      </c>
      <c r="G121" s="97" t="s">
        <v>721</v>
      </c>
      <c r="H121" s="97" t="s">
        <v>24</v>
      </c>
      <c r="I121" s="97" t="s">
        <v>721</v>
      </c>
      <c r="J121" s="100">
        <v>44783</v>
      </c>
      <c r="K121" s="100">
        <v>44783</v>
      </c>
      <c r="L121" s="101">
        <f t="shared" si="2"/>
        <v>1</v>
      </c>
      <c r="M121" s="97" t="s">
        <v>8749</v>
      </c>
      <c r="N121" s="68" t="s">
        <v>26</v>
      </c>
      <c r="O121" s="97" t="s">
        <v>8750</v>
      </c>
      <c r="P121" s="99" t="s">
        <v>8751</v>
      </c>
      <c r="Q121" s="68" t="str">
        <f t="shared" si="3"/>
        <v>DENTRO DEL TIEMPO</v>
      </c>
      <c r="R121" s="99"/>
    </row>
    <row r="122" spans="1:18" ht="60.75" x14ac:dyDescent="0.25">
      <c r="A122" s="96">
        <v>117</v>
      </c>
      <c r="B122" s="97" t="s">
        <v>8752</v>
      </c>
      <c r="C122" s="98">
        <v>44782</v>
      </c>
      <c r="D122" s="98">
        <v>44782</v>
      </c>
      <c r="E122" s="99">
        <v>2</v>
      </c>
      <c r="F122" s="99" t="s">
        <v>22</v>
      </c>
      <c r="G122" s="97" t="s">
        <v>721</v>
      </c>
      <c r="H122" s="97" t="s">
        <v>24</v>
      </c>
      <c r="I122" s="97" t="s">
        <v>721</v>
      </c>
      <c r="J122" s="100">
        <v>44783</v>
      </c>
      <c r="K122" s="100">
        <v>44783</v>
      </c>
      <c r="L122" s="101">
        <f t="shared" si="2"/>
        <v>1</v>
      </c>
      <c r="M122" s="97" t="s">
        <v>8753</v>
      </c>
      <c r="N122" s="68" t="s">
        <v>26</v>
      </c>
      <c r="O122" s="97" t="s">
        <v>6655</v>
      </c>
      <c r="P122" s="99" t="s">
        <v>1502</v>
      </c>
      <c r="Q122" s="68" t="str">
        <f t="shared" si="3"/>
        <v>DENTRO DEL TIEMPO</v>
      </c>
      <c r="R122" s="99"/>
    </row>
    <row r="123" spans="1:18" ht="60.75" x14ac:dyDescent="0.25">
      <c r="A123" s="96">
        <v>118</v>
      </c>
      <c r="B123" s="97" t="s">
        <v>8754</v>
      </c>
      <c r="C123" s="98">
        <v>44782</v>
      </c>
      <c r="D123" s="98">
        <v>44782</v>
      </c>
      <c r="E123" s="99">
        <v>2</v>
      </c>
      <c r="F123" s="99" t="s">
        <v>22</v>
      </c>
      <c r="G123" s="97" t="s">
        <v>721</v>
      </c>
      <c r="H123" s="97" t="s">
        <v>24</v>
      </c>
      <c r="I123" s="97" t="s">
        <v>721</v>
      </c>
      <c r="J123" s="100">
        <v>44783</v>
      </c>
      <c r="K123" s="100">
        <v>44783</v>
      </c>
      <c r="L123" s="101">
        <f t="shared" si="2"/>
        <v>1</v>
      </c>
      <c r="M123" s="97" t="s">
        <v>8755</v>
      </c>
      <c r="N123" s="68" t="s">
        <v>26</v>
      </c>
      <c r="O123" s="97" t="s">
        <v>8756</v>
      </c>
      <c r="P123" s="99" t="s">
        <v>8757</v>
      </c>
      <c r="Q123" s="68" t="str">
        <f t="shared" si="3"/>
        <v>DENTRO DEL TIEMPO</v>
      </c>
      <c r="R123" s="99"/>
    </row>
    <row r="124" spans="1:18" ht="60.75" x14ac:dyDescent="0.25">
      <c r="A124" s="96">
        <v>119</v>
      </c>
      <c r="B124" s="97" t="s">
        <v>8758</v>
      </c>
      <c r="C124" s="98">
        <v>44782</v>
      </c>
      <c r="D124" s="98">
        <v>44782</v>
      </c>
      <c r="E124" s="99">
        <v>2</v>
      </c>
      <c r="F124" s="99" t="s">
        <v>22</v>
      </c>
      <c r="G124" s="97" t="s">
        <v>721</v>
      </c>
      <c r="H124" s="97" t="s">
        <v>24</v>
      </c>
      <c r="I124" s="97" t="s">
        <v>721</v>
      </c>
      <c r="J124" s="100">
        <v>44783</v>
      </c>
      <c r="K124" s="100">
        <v>44783</v>
      </c>
      <c r="L124" s="101">
        <f t="shared" si="2"/>
        <v>1</v>
      </c>
      <c r="M124" s="97" t="s">
        <v>8759</v>
      </c>
      <c r="N124" s="68" t="s">
        <v>26</v>
      </c>
      <c r="O124" s="97" t="s">
        <v>8566</v>
      </c>
      <c r="P124" s="99" t="s">
        <v>8760</v>
      </c>
      <c r="Q124" s="68" t="str">
        <f t="shared" si="3"/>
        <v>DENTRO DEL TIEMPO</v>
      </c>
      <c r="R124" s="99"/>
    </row>
    <row r="125" spans="1:18" ht="60.75" x14ac:dyDescent="0.25">
      <c r="A125" s="96">
        <v>120</v>
      </c>
      <c r="B125" s="97" t="s">
        <v>8761</v>
      </c>
      <c r="C125" s="98">
        <v>44782</v>
      </c>
      <c r="D125" s="98">
        <v>44782</v>
      </c>
      <c r="E125" s="99">
        <v>2</v>
      </c>
      <c r="F125" s="99" t="s">
        <v>22</v>
      </c>
      <c r="G125" s="97" t="s">
        <v>721</v>
      </c>
      <c r="H125" s="97" t="s">
        <v>24</v>
      </c>
      <c r="I125" s="97" t="s">
        <v>721</v>
      </c>
      <c r="J125" s="100">
        <v>44783</v>
      </c>
      <c r="K125" s="100">
        <v>44783</v>
      </c>
      <c r="L125" s="101">
        <f t="shared" si="2"/>
        <v>1</v>
      </c>
      <c r="M125" s="97" t="s">
        <v>8762</v>
      </c>
      <c r="N125" s="68" t="s">
        <v>26</v>
      </c>
      <c r="O125" s="97" t="s">
        <v>8763</v>
      </c>
      <c r="P125" s="99" t="s">
        <v>2643</v>
      </c>
      <c r="Q125" s="68" t="str">
        <f t="shared" si="3"/>
        <v>DENTRO DEL TIEMPO</v>
      </c>
      <c r="R125" s="99"/>
    </row>
    <row r="126" spans="1:18" ht="60.75" x14ac:dyDescent="0.25">
      <c r="A126" s="96">
        <v>121</v>
      </c>
      <c r="B126" s="97" t="s">
        <v>8764</v>
      </c>
      <c r="C126" s="98">
        <v>44782</v>
      </c>
      <c r="D126" s="98">
        <v>44782</v>
      </c>
      <c r="E126" s="99">
        <v>2</v>
      </c>
      <c r="F126" s="99" t="s">
        <v>22</v>
      </c>
      <c r="G126" s="97" t="s">
        <v>721</v>
      </c>
      <c r="H126" s="97" t="s">
        <v>24</v>
      </c>
      <c r="I126" s="97" t="s">
        <v>721</v>
      </c>
      <c r="J126" s="100">
        <v>44783</v>
      </c>
      <c r="K126" s="100">
        <v>44783</v>
      </c>
      <c r="L126" s="101">
        <f t="shared" si="2"/>
        <v>1</v>
      </c>
      <c r="M126" s="97" t="s">
        <v>8765</v>
      </c>
      <c r="N126" s="68" t="s">
        <v>26</v>
      </c>
      <c r="O126" s="97" t="s">
        <v>8763</v>
      </c>
      <c r="P126" s="99" t="s">
        <v>2643</v>
      </c>
      <c r="Q126" s="68" t="str">
        <f t="shared" si="3"/>
        <v>DENTRO DEL TIEMPO</v>
      </c>
      <c r="R126" s="99"/>
    </row>
    <row r="127" spans="1:18" ht="60.75" x14ac:dyDescent="0.25">
      <c r="A127" s="96">
        <v>122</v>
      </c>
      <c r="B127" s="97" t="s">
        <v>8766</v>
      </c>
      <c r="C127" s="98">
        <v>44782</v>
      </c>
      <c r="D127" s="98">
        <v>44782</v>
      </c>
      <c r="E127" s="99">
        <v>2</v>
      </c>
      <c r="F127" s="99" t="s">
        <v>22</v>
      </c>
      <c r="G127" s="97" t="s">
        <v>721</v>
      </c>
      <c r="H127" s="97" t="s">
        <v>24</v>
      </c>
      <c r="I127" s="97" t="s">
        <v>721</v>
      </c>
      <c r="J127" s="100">
        <v>44783</v>
      </c>
      <c r="K127" s="100">
        <v>44783</v>
      </c>
      <c r="L127" s="101">
        <f t="shared" si="2"/>
        <v>1</v>
      </c>
      <c r="M127" s="97" t="s">
        <v>8767</v>
      </c>
      <c r="N127" s="68" t="s">
        <v>26</v>
      </c>
      <c r="O127" s="97" t="s">
        <v>8768</v>
      </c>
      <c r="P127" s="99" t="s">
        <v>8769</v>
      </c>
      <c r="Q127" s="68" t="str">
        <f t="shared" si="3"/>
        <v>DENTRO DEL TIEMPO</v>
      </c>
      <c r="R127" s="99"/>
    </row>
    <row r="128" spans="1:18" ht="60.75" x14ac:dyDescent="0.25">
      <c r="A128" s="96">
        <v>123</v>
      </c>
      <c r="B128" s="97" t="s">
        <v>8770</v>
      </c>
      <c r="C128" s="98">
        <v>44782</v>
      </c>
      <c r="D128" s="98">
        <v>44782</v>
      </c>
      <c r="E128" s="99">
        <v>2</v>
      </c>
      <c r="F128" s="99" t="s">
        <v>22</v>
      </c>
      <c r="G128" s="97" t="s">
        <v>721</v>
      </c>
      <c r="H128" s="97" t="s">
        <v>24</v>
      </c>
      <c r="I128" s="97" t="s">
        <v>721</v>
      </c>
      <c r="J128" s="100">
        <v>44784</v>
      </c>
      <c r="K128" s="100">
        <v>44784</v>
      </c>
      <c r="L128" s="101">
        <f t="shared" si="2"/>
        <v>2</v>
      </c>
      <c r="M128" s="97" t="s">
        <v>8771</v>
      </c>
      <c r="N128" s="68" t="s">
        <v>26</v>
      </c>
      <c r="O128" s="97" t="s">
        <v>8772</v>
      </c>
      <c r="P128" s="99" t="s">
        <v>8773</v>
      </c>
      <c r="Q128" s="68" t="str">
        <f t="shared" si="3"/>
        <v>DENTRO DEL TIEMPO</v>
      </c>
      <c r="R128" s="99"/>
    </row>
    <row r="129" spans="1:18" ht="60.75" x14ac:dyDescent="0.25">
      <c r="A129" s="96">
        <v>124</v>
      </c>
      <c r="B129" s="97" t="s">
        <v>8774</v>
      </c>
      <c r="C129" s="98">
        <v>44783</v>
      </c>
      <c r="D129" s="98">
        <v>44783</v>
      </c>
      <c r="E129" s="99">
        <v>2</v>
      </c>
      <c r="F129" s="99" t="s">
        <v>22</v>
      </c>
      <c r="G129" s="97" t="s">
        <v>721</v>
      </c>
      <c r="H129" s="97" t="s">
        <v>24</v>
      </c>
      <c r="I129" s="97" t="s">
        <v>721</v>
      </c>
      <c r="J129" s="100">
        <v>44784</v>
      </c>
      <c r="K129" s="100">
        <v>44784</v>
      </c>
      <c r="L129" s="101">
        <f t="shared" si="2"/>
        <v>1</v>
      </c>
      <c r="M129" s="97" t="s">
        <v>8775</v>
      </c>
      <c r="N129" s="68" t="s">
        <v>26</v>
      </c>
      <c r="O129" s="97" t="s">
        <v>8776</v>
      </c>
      <c r="P129" s="99" t="s">
        <v>8777</v>
      </c>
      <c r="Q129" s="68" t="str">
        <f t="shared" si="3"/>
        <v>DENTRO DEL TIEMPO</v>
      </c>
      <c r="R129" s="99"/>
    </row>
    <row r="130" spans="1:18" ht="60.75" x14ac:dyDescent="0.25">
      <c r="A130" s="96">
        <v>125</v>
      </c>
      <c r="B130" s="97" t="s">
        <v>8778</v>
      </c>
      <c r="C130" s="98">
        <v>44783</v>
      </c>
      <c r="D130" s="98">
        <v>44783</v>
      </c>
      <c r="E130" s="99">
        <v>2</v>
      </c>
      <c r="F130" s="99" t="s">
        <v>22</v>
      </c>
      <c r="G130" s="97" t="s">
        <v>721</v>
      </c>
      <c r="H130" s="97" t="s">
        <v>24</v>
      </c>
      <c r="I130" s="97" t="s">
        <v>721</v>
      </c>
      <c r="J130" s="100">
        <v>44784</v>
      </c>
      <c r="K130" s="100">
        <v>44784</v>
      </c>
      <c r="L130" s="101">
        <f t="shared" si="2"/>
        <v>1</v>
      </c>
      <c r="M130" s="97" t="s">
        <v>8779</v>
      </c>
      <c r="N130" s="68" t="s">
        <v>26</v>
      </c>
      <c r="O130" s="97" t="s">
        <v>8780</v>
      </c>
      <c r="P130" s="99" t="s">
        <v>8781</v>
      </c>
      <c r="Q130" s="68" t="str">
        <f t="shared" si="3"/>
        <v>DENTRO DEL TIEMPO</v>
      </c>
      <c r="R130" s="99"/>
    </row>
    <row r="131" spans="1:18" ht="60.75" x14ac:dyDescent="0.25">
      <c r="A131" s="96">
        <v>126</v>
      </c>
      <c r="B131" s="97" t="s">
        <v>8782</v>
      </c>
      <c r="C131" s="98">
        <v>44783</v>
      </c>
      <c r="D131" s="98">
        <v>44783</v>
      </c>
      <c r="E131" s="99">
        <v>2</v>
      </c>
      <c r="F131" s="99" t="s">
        <v>22</v>
      </c>
      <c r="G131" s="97" t="s">
        <v>721</v>
      </c>
      <c r="H131" s="97" t="s">
        <v>24</v>
      </c>
      <c r="I131" s="97" t="s">
        <v>721</v>
      </c>
      <c r="J131" s="100">
        <v>44784</v>
      </c>
      <c r="K131" s="100">
        <v>44784</v>
      </c>
      <c r="L131" s="101">
        <f t="shared" si="2"/>
        <v>1</v>
      </c>
      <c r="M131" s="97" t="s">
        <v>8783</v>
      </c>
      <c r="N131" s="68" t="s">
        <v>26</v>
      </c>
      <c r="O131" s="97" t="s">
        <v>8784</v>
      </c>
      <c r="P131" s="99" t="s">
        <v>1354</v>
      </c>
      <c r="Q131" s="68" t="str">
        <f t="shared" si="3"/>
        <v>DENTRO DEL TIEMPO</v>
      </c>
      <c r="R131" s="99"/>
    </row>
    <row r="132" spans="1:18" ht="60.75" x14ac:dyDescent="0.25">
      <c r="A132" s="96">
        <v>127</v>
      </c>
      <c r="B132" s="97" t="s">
        <v>8785</v>
      </c>
      <c r="C132" s="98">
        <v>44783</v>
      </c>
      <c r="D132" s="98">
        <v>44783</v>
      </c>
      <c r="E132" s="99">
        <v>2</v>
      </c>
      <c r="F132" s="99" t="s">
        <v>22</v>
      </c>
      <c r="G132" s="97" t="s">
        <v>721</v>
      </c>
      <c r="H132" s="97" t="s">
        <v>24</v>
      </c>
      <c r="I132" s="97" t="s">
        <v>721</v>
      </c>
      <c r="J132" s="100">
        <v>44784</v>
      </c>
      <c r="K132" s="100">
        <v>44784</v>
      </c>
      <c r="L132" s="101">
        <f t="shared" si="2"/>
        <v>1</v>
      </c>
      <c r="M132" s="97" t="s">
        <v>8786</v>
      </c>
      <c r="N132" s="68" t="s">
        <v>26</v>
      </c>
      <c r="O132" s="97" t="s">
        <v>2530</v>
      </c>
      <c r="P132" s="99" t="s">
        <v>8787</v>
      </c>
      <c r="Q132" s="68" t="str">
        <f t="shared" si="3"/>
        <v>DENTRO DEL TIEMPO</v>
      </c>
      <c r="R132" s="99"/>
    </row>
    <row r="133" spans="1:18" ht="60.75" x14ac:dyDescent="0.25">
      <c r="A133" s="96">
        <v>128</v>
      </c>
      <c r="B133" s="97" t="s">
        <v>8788</v>
      </c>
      <c r="C133" s="98">
        <v>44783</v>
      </c>
      <c r="D133" s="98">
        <v>44783</v>
      </c>
      <c r="E133" s="99">
        <v>2</v>
      </c>
      <c r="F133" s="99" t="s">
        <v>22</v>
      </c>
      <c r="G133" s="97" t="s">
        <v>721</v>
      </c>
      <c r="H133" s="97" t="s">
        <v>24</v>
      </c>
      <c r="I133" s="97" t="s">
        <v>721</v>
      </c>
      <c r="J133" s="100">
        <v>44784</v>
      </c>
      <c r="K133" s="100">
        <v>44784</v>
      </c>
      <c r="L133" s="101">
        <f t="shared" si="2"/>
        <v>1</v>
      </c>
      <c r="M133" s="97" t="s">
        <v>8789</v>
      </c>
      <c r="N133" s="68" t="s">
        <v>26</v>
      </c>
      <c r="O133" s="97" t="s">
        <v>8790</v>
      </c>
      <c r="P133" s="99" t="s">
        <v>8791</v>
      </c>
      <c r="Q133" s="68" t="str">
        <f t="shared" si="3"/>
        <v>DENTRO DEL TIEMPO</v>
      </c>
      <c r="R133" s="99"/>
    </row>
    <row r="134" spans="1:18" ht="60.75" x14ac:dyDescent="0.25">
      <c r="A134" s="96">
        <v>129</v>
      </c>
      <c r="B134" s="97" t="s">
        <v>8792</v>
      </c>
      <c r="C134" s="98">
        <v>44783</v>
      </c>
      <c r="D134" s="98">
        <v>44783</v>
      </c>
      <c r="E134" s="99">
        <v>2</v>
      </c>
      <c r="F134" s="99" t="s">
        <v>22</v>
      </c>
      <c r="G134" s="97" t="s">
        <v>721</v>
      </c>
      <c r="H134" s="97" t="s">
        <v>24</v>
      </c>
      <c r="I134" s="97" t="s">
        <v>721</v>
      </c>
      <c r="J134" s="100">
        <v>44784</v>
      </c>
      <c r="K134" s="100">
        <v>44784</v>
      </c>
      <c r="L134" s="101">
        <f t="shared" ref="L134:L197" si="4">+NETWORKDAYS(D134,K134,$R$6:$R$9)-1</f>
        <v>1</v>
      </c>
      <c r="M134" s="97" t="s">
        <v>8793</v>
      </c>
      <c r="N134" s="68" t="s">
        <v>26</v>
      </c>
      <c r="O134" s="97" t="s">
        <v>8794</v>
      </c>
      <c r="P134" s="99" t="s">
        <v>8795</v>
      </c>
      <c r="Q134" s="68" t="str">
        <f t="shared" ref="Q134:Q197" si="5">IF(L134&gt;15,"FUERA DE TIEMPO","DENTRO DEL TIEMPO")</f>
        <v>DENTRO DEL TIEMPO</v>
      </c>
      <c r="R134" s="99"/>
    </row>
    <row r="135" spans="1:18" ht="60.75" x14ac:dyDescent="0.25">
      <c r="A135" s="96">
        <v>130</v>
      </c>
      <c r="B135" s="97" t="s">
        <v>8796</v>
      </c>
      <c r="C135" s="98">
        <v>44783</v>
      </c>
      <c r="D135" s="98">
        <v>44783</v>
      </c>
      <c r="E135" s="99">
        <v>2</v>
      </c>
      <c r="F135" s="99" t="s">
        <v>22</v>
      </c>
      <c r="G135" s="97" t="s">
        <v>721</v>
      </c>
      <c r="H135" s="97" t="s">
        <v>24</v>
      </c>
      <c r="I135" s="97" t="s">
        <v>721</v>
      </c>
      <c r="J135" s="100">
        <v>44784</v>
      </c>
      <c r="K135" s="100">
        <v>44784</v>
      </c>
      <c r="L135" s="101">
        <f t="shared" si="4"/>
        <v>1</v>
      </c>
      <c r="M135" s="97" t="s">
        <v>8797</v>
      </c>
      <c r="N135" s="68" t="s">
        <v>26</v>
      </c>
      <c r="O135" s="97" t="s">
        <v>8798</v>
      </c>
      <c r="P135" s="99" t="s">
        <v>8799</v>
      </c>
      <c r="Q135" s="68" t="str">
        <f t="shared" si="5"/>
        <v>DENTRO DEL TIEMPO</v>
      </c>
      <c r="R135" s="99"/>
    </row>
    <row r="136" spans="1:18" ht="60.75" x14ac:dyDescent="0.25">
      <c r="A136" s="96">
        <v>131</v>
      </c>
      <c r="B136" s="97" t="s">
        <v>8800</v>
      </c>
      <c r="C136" s="98">
        <v>44783</v>
      </c>
      <c r="D136" s="98">
        <v>44783</v>
      </c>
      <c r="E136" s="99">
        <v>2</v>
      </c>
      <c r="F136" s="99" t="s">
        <v>22</v>
      </c>
      <c r="G136" s="97" t="s">
        <v>721</v>
      </c>
      <c r="H136" s="97" t="s">
        <v>24</v>
      </c>
      <c r="I136" s="97" t="s">
        <v>721</v>
      </c>
      <c r="J136" s="100">
        <v>44790</v>
      </c>
      <c r="K136" s="100">
        <v>44790</v>
      </c>
      <c r="L136" s="101">
        <f t="shared" si="4"/>
        <v>5</v>
      </c>
      <c r="M136" s="97" t="s">
        <v>8801</v>
      </c>
      <c r="N136" s="68" t="s">
        <v>26</v>
      </c>
      <c r="O136" s="97" t="s">
        <v>8802</v>
      </c>
      <c r="P136" s="99" t="s">
        <v>8803</v>
      </c>
      <c r="Q136" s="68" t="str">
        <f t="shared" si="5"/>
        <v>DENTRO DEL TIEMPO</v>
      </c>
      <c r="R136" s="99"/>
    </row>
    <row r="137" spans="1:18" ht="60.75" x14ac:dyDescent="0.25">
      <c r="A137" s="96">
        <v>132</v>
      </c>
      <c r="B137" s="97" t="s">
        <v>8804</v>
      </c>
      <c r="C137" s="98">
        <v>44783</v>
      </c>
      <c r="D137" s="98">
        <v>44783</v>
      </c>
      <c r="E137" s="99">
        <v>2</v>
      </c>
      <c r="F137" s="99" t="s">
        <v>22</v>
      </c>
      <c r="G137" s="97" t="s">
        <v>721</v>
      </c>
      <c r="H137" s="97" t="s">
        <v>24</v>
      </c>
      <c r="I137" s="97" t="s">
        <v>721</v>
      </c>
      <c r="J137" s="100">
        <v>44784</v>
      </c>
      <c r="K137" s="100">
        <v>44784</v>
      </c>
      <c r="L137" s="101">
        <f t="shared" si="4"/>
        <v>1</v>
      </c>
      <c r="M137" s="97" t="s">
        <v>8805</v>
      </c>
      <c r="N137" s="68" t="s">
        <v>26</v>
      </c>
      <c r="O137" s="97" t="s">
        <v>7873</v>
      </c>
      <c r="P137" s="99" t="s">
        <v>7874</v>
      </c>
      <c r="Q137" s="68" t="str">
        <f t="shared" si="5"/>
        <v>DENTRO DEL TIEMPO</v>
      </c>
      <c r="R137" s="99"/>
    </row>
    <row r="138" spans="1:18" ht="60.75" x14ac:dyDescent="0.25">
      <c r="A138" s="96">
        <v>133</v>
      </c>
      <c r="B138" s="97" t="s">
        <v>8806</v>
      </c>
      <c r="C138" s="98">
        <v>44783</v>
      </c>
      <c r="D138" s="98">
        <v>44783</v>
      </c>
      <c r="E138" s="99">
        <v>2</v>
      </c>
      <c r="F138" s="99" t="s">
        <v>22</v>
      </c>
      <c r="G138" s="97" t="s">
        <v>721</v>
      </c>
      <c r="H138" s="97" t="s">
        <v>24</v>
      </c>
      <c r="I138" s="97" t="s">
        <v>721</v>
      </c>
      <c r="J138" s="100">
        <v>44784</v>
      </c>
      <c r="K138" s="100">
        <v>44784</v>
      </c>
      <c r="L138" s="101">
        <f t="shared" si="4"/>
        <v>1</v>
      </c>
      <c r="M138" s="97" t="s">
        <v>8807</v>
      </c>
      <c r="N138" s="68" t="s">
        <v>26</v>
      </c>
      <c r="O138" s="97" t="s">
        <v>3787</v>
      </c>
      <c r="P138" s="99" t="s">
        <v>8808</v>
      </c>
      <c r="Q138" s="68" t="str">
        <f t="shared" si="5"/>
        <v>DENTRO DEL TIEMPO</v>
      </c>
      <c r="R138" s="99"/>
    </row>
    <row r="139" spans="1:18" ht="60.75" x14ac:dyDescent="0.25">
      <c r="A139" s="96">
        <v>134</v>
      </c>
      <c r="B139" s="97" t="s">
        <v>8809</v>
      </c>
      <c r="C139" s="98">
        <v>44783</v>
      </c>
      <c r="D139" s="98">
        <v>44783</v>
      </c>
      <c r="E139" s="99">
        <v>2</v>
      </c>
      <c r="F139" s="99" t="s">
        <v>22</v>
      </c>
      <c r="G139" s="97" t="s">
        <v>721</v>
      </c>
      <c r="H139" s="97" t="s">
        <v>24</v>
      </c>
      <c r="I139" s="97" t="s">
        <v>721</v>
      </c>
      <c r="J139" s="100">
        <v>44784</v>
      </c>
      <c r="K139" s="100">
        <v>44784</v>
      </c>
      <c r="L139" s="101">
        <f t="shared" si="4"/>
        <v>1</v>
      </c>
      <c r="M139" s="97" t="s">
        <v>8810</v>
      </c>
      <c r="N139" s="68" t="s">
        <v>26</v>
      </c>
      <c r="O139" s="97" t="s">
        <v>8811</v>
      </c>
      <c r="P139" s="99" t="s">
        <v>7833</v>
      </c>
      <c r="Q139" s="68" t="str">
        <f t="shared" si="5"/>
        <v>DENTRO DEL TIEMPO</v>
      </c>
      <c r="R139" s="99"/>
    </row>
    <row r="140" spans="1:18" ht="60.75" x14ac:dyDescent="0.25">
      <c r="A140" s="96">
        <v>135</v>
      </c>
      <c r="B140" s="97" t="s">
        <v>8812</v>
      </c>
      <c r="C140" s="98">
        <v>44784</v>
      </c>
      <c r="D140" s="98">
        <v>44784</v>
      </c>
      <c r="E140" s="99">
        <v>2</v>
      </c>
      <c r="F140" s="99" t="s">
        <v>22</v>
      </c>
      <c r="G140" s="97" t="s">
        <v>721</v>
      </c>
      <c r="H140" s="97" t="s">
        <v>24</v>
      </c>
      <c r="I140" s="97" t="s">
        <v>721</v>
      </c>
      <c r="J140" s="100">
        <v>44788</v>
      </c>
      <c r="K140" s="100">
        <v>44788</v>
      </c>
      <c r="L140" s="101">
        <f t="shared" si="4"/>
        <v>2</v>
      </c>
      <c r="M140" s="97" t="s">
        <v>8813</v>
      </c>
      <c r="N140" s="68" t="s">
        <v>26</v>
      </c>
      <c r="O140" s="97" t="s">
        <v>8814</v>
      </c>
      <c r="P140" s="99" t="s">
        <v>8815</v>
      </c>
      <c r="Q140" s="68" t="str">
        <f t="shared" si="5"/>
        <v>DENTRO DEL TIEMPO</v>
      </c>
      <c r="R140" s="99"/>
    </row>
    <row r="141" spans="1:18" ht="60.75" x14ac:dyDescent="0.25">
      <c r="A141" s="96">
        <v>136</v>
      </c>
      <c r="B141" s="97" t="s">
        <v>8816</v>
      </c>
      <c r="C141" s="98">
        <v>44784</v>
      </c>
      <c r="D141" s="98">
        <v>44784</v>
      </c>
      <c r="E141" s="99">
        <v>2</v>
      </c>
      <c r="F141" s="99" t="s">
        <v>22</v>
      </c>
      <c r="G141" s="97" t="s">
        <v>721</v>
      </c>
      <c r="H141" s="97" t="s">
        <v>24</v>
      </c>
      <c r="I141" s="97" t="s">
        <v>721</v>
      </c>
      <c r="J141" s="100">
        <v>44788</v>
      </c>
      <c r="K141" s="100">
        <v>44788</v>
      </c>
      <c r="L141" s="101">
        <f t="shared" si="4"/>
        <v>2</v>
      </c>
      <c r="M141" s="97" t="s">
        <v>8817</v>
      </c>
      <c r="N141" s="68" t="s">
        <v>26</v>
      </c>
      <c r="O141" s="97" t="s">
        <v>8818</v>
      </c>
      <c r="P141" s="99" t="s">
        <v>8819</v>
      </c>
      <c r="Q141" s="68" t="str">
        <f t="shared" si="5"/>
        <v>DENTRO DEL TIEMPO</v>
      </c>
      <c r="R141" s="99"/>
    </row>
    <row r="142" spans="1:18" ht="60.75" x14ac:dyDescent="0.25">
      <c r="A142" s="96">
        <v>137</v>
      </c>
      <c r="B142" s="97" t="s">
        <v>8820</v>
      </c>
      <c r="C142" s="98">
        <v>44784</v>
      </c>
      <c r="D142" s="98">
        <v>44784</v>
      </c>
      <c r="E142" s="99">
        <v>2</v>
      </c>
      <c r="F142" s="99" t="s">
        <v>22</v>
      </c>
      <c r="G142" s="97" t="s">
        <v>721</v>
      </c>
      <c r="H142" s="97" t="s">
        <v>24</v>
      </c>
      <c r="I142" s="97" t="s">
        <v>721</v>
      </c>
      <c r="J142" s="100">
        <v>44788</v>
      </c>
      <c r="K142" s="100">
        <v>44788</v>
      </c>
      <c r="L142" s="101">
        <f t="shared" si="4"/>
        <v>2</v>
      </c>
      <c r="M142" s="97" t="s">
        <v>8821</v>
      </c>
      <c r="N142" s="68" t="s">
        <v>26</v>
      </c>
      <c r="O142" s="97" t="s">
        <v>2614</v>
      </c>
      <c r="P142" s="99" t="s">
        <v>1588</v>
      </c>
      <c r="Q142" s="68" t="str">
        <f t="shared" si="5"/>
        <v>DENTRO DEL TIEMPO</v>
      </c>
      <c r="R142" s="99"/>
    </row>
    <row r="143" spans="1:18" ht="60.75" x14ac:dyDescent="0.25">
      <c r="A143" s="96">
        <v>138</v>
      </c>
      <c r="B143" s="97" t="s">
        <v>8822</v>
      </c>
      <c r="C143" s="98">
        <v>44784</v>
      </c>
      <c r="D143" s="98">
        <v>44784</v>
      </c>
      <c r="E143" s="99">
        <v>2</v>
      </c>
      <c r="F143" s="99" t="s">
        <v>22</v>
      </c>
      <c r="G143" s="97" t="s">
        <v>721</v>
      </c>
      <c r="H143" s="97" t="s">
        <v>24</v>
      </c>
      <c r="I143" s="97" t="s">
        <v>721</v>
      </c>
      <c r="J143" s="100">
        <v>44788</v>
      </c>
      <c r="K143" s="100">
        <v>44788</v>
      </c>
      <c r="L143" s="101">
        <f t="shared" si="4"/>
        <v>2</v>
      </c>
      <c r="M143" s="97" t="s">
        <v>8823</v>
      </c>
      <c r="N143" s="68" t="s">
        <v>26</v>
      </c>
      <c r="O143" s="97" t="s">
        <v>8713</v>
      </c>
      <c r="P143" s="99" t="s">
        <v>8714</v>
      </c>
      <c r="Q143" s="68" t="str">
        <f t="shared" si="5"/>
        <v>DENTRO DEL TIEMPO</v>
      </c>
      <c r="R143" s="99"/>
    </row>
    <row r="144" spans="1:18" ht="60.75" x14ac:dyDescent="0.25">
      <c r="A144" s="96">
        <v>139</v>
      </c>
      <c r="B144" s="97" t="s">
        <v>8824</v>
      </c>
      <c r="C144" s="98">
        <v>44784</v>
      </c>
      <c r="D144" s="98">
        <v>44784</v>
      </c>
      <c r="E144" s="99">
        <v>2</v>
      </c>
      <c r="F144" s="99" t="s">
        <v>22</v>
      </c>
      <c r="G144" s="97" t="s">
        <v>721</v>
      </c>
      <c r="H144" s="97" t="s">
        <v>24</v>
      </c>
      <c r="I144" s="97" t="s">
        <v>721</v>
      </c>
      <c r="J144" s="100">
        <v>44788</v>
      </c>
      <c r="K144" s="100">
        <v>44788</v>
      </c>
      <c r="L144" s="101">
        <f t="shared" si="4"/>
        <v>2</v>
      </c>
      <c r="M144" s="97" t="s">
        <v>8825</v>
      </c>
      <c r="N144" s="68" t="s">
        <v>26</v>
      </c>
      <c r="O144" s="97" t="s">
        <v>8826</v>
      </c>
      <c r="P144" s="99" t="s">
        <v>1502</v>
      </c>
      <c r="Q144" s="68" t="str">
        <f t="shared" si="5"/>
        <v>DENTRO DEL TIEMPO</v>
      </c>
      <c r="R144" s="99"/>
    </row>
    <row r="145" spans="1:18" ht="60.75" x14ac:dyDescent="0.25">
      <c r="A145" s="96">
        <v>140</v>
      </c>
      <c r="B145" s="97" t="s">
        <v>8827</v>
      </c>
      <c r="C145" s="98">
        <v>44784</v>
      </c>
      <c r="D145" s="98">
        <v>44784</v>
      </c>
      <c r="E145" s="99">
        <v>2</v>
      </c>
      <c r="F145" s="99" t="s">
        <v>22</v>
      </c>
      <c r="G145" s="97" t="s">
        <v>721</v>
      </c>
      <c r="H145" s="97" t="s">
        <v>24</v>
      </c>
      <c r="I145" s="97" t="s">
        <v>721</v>
      </c>
      <c r="J145" s="100">
        <v>44788</v>
      </c>
      <c r="K145" s="100">
        <v>44788</v>
      </c>
      <c r="L145" s="101">
        <f t="shared" si="4"/>
        <v>2</v>
      </c>
      <c r="M145" s="97" t="s">
        <v>8828</v>
      </c>
      <c r="N145" s="68" t="s">
        <v>26</v>
      </c>
      <c r="O145" s="97" t="s">
        <v>8829</v>
      </c>
      <c r="P145" s="99" t="s">
        <v>8769</v>
      </c>
      <c r="Q145" s="68" t="str">
        <f t="shared" si="5"/>
        <v>DENTRO DEL TIEMPO</v>
      </c>
      <c r="R145" s="99"/>
    </row>
    <row r="146" spans="1:18" ht="60.75" x14ac:dyDescent="0.25">
      <c r="A146" s="96">
        <v>141</v>
      </c>
      <c r="B146" s="97" t="s">
        <v>8830</v>
      </c>
      <c r="C146" s="98">
        <v>44788</v>
      </c>
      <c r="D146" s="98">
        <v>44788</v>
      </c>
      <c r="E146" s="99">
        <v>2</v>
      </c>
      <c r="F146" s="99" t="s">
        <v>22</v>
      </c>
      <c r="G146" s="97" t="s">
        <v>1256</v>
      </c>
      <c r="H146" s="97" t="s">
        <v>24</v>
      </c>
      <c r="I146" s="97" t="s">
        <v>1256</v>
      </c>
      <c r="J146" s="100">
        <v>44802</v>
      </c>
      <c r="K146" s="100">
        <v>44802</v>
      </c>
      <c r="L146" s="101">
        <f t="shared" si="4"/>
        <v>10</v>
      </c>
      <c r="M146" s="97" t="s">
        <v>8831</v>
      </c>
      <c r="N146" s="68" t="s">
        <v>26</v>
      </c>
      <c r="O146" s="97" t="s">
        <v>8832</v>
      </c>
      <c r="P146" s="99" t="s">
        <v>8833</v>
      </c>
      <c r="Q146" s="68" t="str">
        <f t="shared" si="5"/>
        <v>DENTRO DEL TIEMPO</v>
      </c>
      <c r="R146" s="99"/>
    </row>
    <row r="147" spans="1:18" ht="60.75" x14ac:dyDescent="0.25">
      <c r="A147" s="96">
        <v>142</v>
      </c>
      <c r="B147" s="97" t="s">
        <v>8834</v>
      </c>
      <c r="C147" s="98">
        <v>44788</v>
      </c>
      <c r="D147" s="98">
        <v>44788</v>
      </c>
      <c r="E147" s="99">
        <v>2</v>
      </c>
      <c r="F147" s="99" t="s">
        <v>22</v>
      </c>
      <c r="G147" s="97" t="s">
        <v>721</v>
      </c>
      <c r="H147" s="97" t="s">
        <v>24</v>
      </c>
      <c r="I147" s="97" t="s">
        <v>721</v>
      </c>
      <c r="J147" s="100">
        <v>44789</v>
      </c>
      <c r="K147" s="100">
        <v>44789</v>
      </c>
      <c r="L147" s="101">
        <f t="shared" si="4"/>
        <v>1</v>
      </c>
      <c r="M147" s="97" t="s">
        <v>8835</v>
      </c>
      <c r="N147" s="68" t="s">
        <v>26</v>
      </c>
      <c r="O147" s="97" t="s">
        <v>3716</v>
      </c>
      <c r="P147" s="99" t="s">
        <v>7676</v>
      </c>
      <c r="Q147" s="68" t="str">
        <f t="shared" si="5"/>
        <v>DENTRO DEL TIEMPO</v>
      </c>
      <c r="R147" s="99"/>
    </row>
    <row r="148" spans="1:18" ht="60.75" x14ac:dyDescent="0.25">
      <c r="A148" s="96">
        <v>143</v>
      </c>
      <c r="B148" s="97" t="s">
        <v>8836</v>
      </c>
      <c r="C148" s="98">
        <v>44788</v>
      </c>
      <c r="D148" s="98">
        <v>44788</v>
      </c>
      <c r="E148" s="99">
        <v>2</v>
      </c>
      <c r="F148" s="99" t="s">
        <v>22</v>
      </c>
      <c r="G148" s="97" t="s">
        <v>721</v>
      </c>
      <c r="H148" s="97" t="s">
        <v>24</v>
      </c>
      <c r="I148" s="97" t="s">
        <v>721</v>
      </c>
      <c r="J148" s="100">
        <v>44789</v>
      </c>
      <c r="K148" s="100">
        <v>44789</v>
      </c>
      <c r="L148" s="101">
        <f t="shared" si="4"/>
        <v>1</v>
      </c>
      <c r="M148" s="97" t="s">
        <v>8837</v>
      </c>
      <c r="N148" s="68" t="s">
        <v>26</v>
      </c>
      <c r="O148" s="97" t="s">
        <v>3716</v>
      </c>
      <c r="P148" s="99" t="s">
        <v>7676</v>
      </c>
      <c r="Q148" s="68" t="str">
        <f t="shared" si="5"/>
        <v>DENTRO DEL TIEMPO</v>
      </c>
      <c r="R148" s="99"/>
    </row>
    <row r="149" spans="1:18" ht="60.75" x14ac:dyDescent="0.25">
      <c r="A149" s="96">
        <v>144</v>
      </c>
      <c r="B149" s="97" t="s">
        <v>8838</v>
      </c>
      <c r="C149" s="98">
        <v>44788</v>
      </c>
      <c r="D149" s="98">
        <v>44788</v>
      </c>
      <c r="E149" s="99">
        <v>2</v>
      </c>
      <c r="F149" s="99" t="s">
        <v>22</v>
      </c>
      <c r="G149" s="97" t="s">
        <v>721</v>
      </c>
      <c r="H149" s="97" t="s">
        <v>24</v>
      </c>
      <c r="I149" s="97" t="s">
        <v>721</v>
      </c>
      <c r="J149" s="100">
        <v>44789</v>
      </c>
      <c r="K149" s="100">
        <v>44789</v>
      </c>
      <c r="L149" s="101">
        <f t="shared" si="4"/>
        <v>1</v>
      </c>
      <c r="M149" s="97" t="s">
        <v>8839</v>
      </c>
      <c r="N149" s="68" t="s">
        <v>26</v>
      </c>
      <c r="O149" s="97" t="s">
        <v>3716</v>
      </c>
      <c r="P149" s="99" t="s">
        <v>7676</v>
      </c>
      <c r="Q149" s="68" t="str">
        <f t="shared" si="5"/>
        <v>DENTRO DEL TIEMPO</v>
      </c>
      <c r="R149" s="99"/>
    </row>
    <row r="150" spans="1:18" ht="60.75" x14ac:dyDescent="0.25">
      <c r="A150" s="96">
        <v>145</v>
      </c>
      <c r="B150" s="97" t="s">
        <v>8840</v>
      </c>
      <c r="C150" s="98">
        <v>44788</v>
      </c>
      <c r="D150" s="98">
        <v>44788</v>
      </c>
      <c r="E150" s="99">
        <v>2</v>
      </c>
      <c r="F150" s="99" t="s">
        <v>22</v>
      </c>
      <c r="G150" s="97" t="s">
        <v>1256</v>
      </c>
      <c r="H150" s="97" t="s">
        <v>24</v>
      </c>
      <c r="I150" s="97" t="s">
        <v>1256</v>
      </c>
      <c r="J150" s="100">
        <v>44789</v>
      </c>
      <c r="K150" s="100">
        <v>44789</v>
      </c>
      <c r="L150" s="101">
        <f t="shared" si="4"/>
        <v>1</v>
      </c>
      <c r="M150" s="97" t="s">
        <v>8841</v>
      </c>
      <c r="N150" s="68" t="s">
        <v>26</v>
      </c>
      <c r="O150" s="97" t="s">
        <v>2550</v>
      </c>
      <c r="P150" s="99" t="s">
        <v>7676</v>
      </c>
      <c r="Q150" s="68" t="str">
        <f t="shared" si="5"/>
        <v>DENTRO DEL TIEMPO</v>
      </c>
      <c r="R150" s="99"/>
    </row>
    <row r="151" spans="1:18" ht="60.75" hidden="1" x14ac:dyDescent="0.25">
      <c r="A151" s="96">
        <v>146</v>
      </c>
      <c r="B151" s="97" t="s">
        <v>8842</v>
      </c>
      <c r="C151" s="98">
        <v>44788</v>
      </c>
      <c r="D151" s="98">
        <v>44788</v>
      </c>
      <c r="E151" s="99">
        <v>0</v>
      </c>
      <c r="F151" s="99" t="s">
        <v>790</v>
      </c>
      <c r="G151" s="97" t="s">
        <v>721</v>
      </c>
      <c r="H151" s="97" t="s">
        <v>24</v>
      </c>
      <c r="I151" s="97" t="s">
        <v>721</v>
      </c>
      <c r="J151" s="100">
        <v>44789</v>
      </c>
      <c r="K151" s="100">
        <v>44789</v>
      </c>
      <c r="L151" s="101">
        <f t="shared" si="4"/>
        <v>1</v>
      </c>
      <c r="M151" s="97" t="s">
        <v>8843</v>
      </c>
      <c r="N151" s="68" t="s">
        <v>26</v>
      </c>
      <c r="O151" s="97" t="s">
        <v>4388</v>
      </c>
      <c r="P151" s="99" t="s">
        <v>7676</v>
      </c>
      <c r="Q151" s="68" t="str">
        <f t="shared" si="5"/>
        <v>DENTRO DEL TIEMPO</v>
      </c>
      <c r="R151" s="99"/>
    </row>
    <row r="152" spans="1:18" ht="60.75" x14ac:dyDescent="0.25">
      <c r="A152" s="96">
        <v>147</v>
      </c>
      <c r="B152" s="97" t="s">
        <v>8844</v>
      </c>
      <c r="C152" s="98">
        <v>44788</v>
      </c>
      <c r="D152" s="98">
        <v>44788</v>
      </c>
      <c r="E152" s="99">
        <v>2</v>
      </c>
      <c r="F152" s="99" t="s">
        <v>22</v>
      </c>
      <c r="G152" s="97" t="s">
        <v>721</v>
      </c>
      <c r="H152" s="97" t="s">
        <v>24</v>
      </c>
      <c r="I152" s="97" t="s">
        <v>721</v>
      </c>
      <c r="J152" s="100">
        <v>44789</v>
      </c>
      <c r="K152" s="100">
        <v>44789</v>
      </c>
      <c r="L152" s="101">
        <f t="shared" si="4"/>
        <v>1</v>
      </c>
      <c r="M152" s="97" t="s">
        <v>8845</v>
      </c>
      <c r="N152" s="68" t="s">
        <v>26</v>
      </c>
      <c r="O152" s="97" t="s">
        <v>8846</v>
      </c>
      <c r="P152" s="99" t="s">
        <v>8847</v>
      </c>
      <c r="Q152" s="68" t="str">
        <f t="shared" si="5"/>
        <v>DENTRO DEL TIEMPO</v>
      </c>
      <c r="R152" s="99"/>
    </row>
    <row r="153" spans="1:18" ht="60.75" x14ac:dyDescent="0.25">
      <c r="A153" s="96">
        <v>148</v>
      </c>
      <c r="B153" s="97" t="s">
        <v>8848</v>
      </c>
      <c r="C153" s="98">
        <v>44788</v>
      </c>
      <c r="D153" s="98">
        <v>44788</v>
      </c>
      <c r="E153" s="99">
        <v>2</v>
      </c>
      <c r="F153" s="99" t="s">
        <v>22</v>
      </c>
      <c r="G153" s="97" t="s">
        <v>721</v>
      </c>
      <c r="H153" s="97" t="s">
        <v>24</v>
      </c>
      <c r="I153" s="97" t="s">
        <v>721</v>
      </c>
      <c r="J153" s="100">
        <v>44789</v>
      </c>
      <c r="K153" s="100">
        <v>44789</v>
      </c>
      <c r="L153" s="101">
        <f t="shared" si="4"/>
        <v>1</v>
      </c>
      <c r="M153" s="97" t="s">
        <v>8849</v>
      </c>
      <c r="N153" s="68" t="s">
        <v>26</v>
      </c>
      <c r="O153" s="97" t="s">
        <v>8829</v>
      </c>
      <c r="P153" s="99" t="s">
        <v>8769</v>
      </c>
      <c r="Q153" s="68" t="str">
        <f t="shared" si="5"/>
        <v>DENTRO DEL TIEMPO</v>
      </c>
      <c r="R153" s="99"/>
    </row>
    <row r="154" spans="1:18" ht="60.75" x14ac:dyDescent="0.25">
      <c r="A154" s="96">
        <v>149</v>
      </c>
      <c r="B154" s="97" t="s">
        <v>8850</v>
      </c>
      <c r="C154" s="98">
        <v>44788</v>
      </c>
      <c r="D154" s="98">
        <v>44788</v>
      </c>
      <c r="E154" s="99">
        <v>2</v>
      </c>
      <c r="F154" s="99" t="s">
        <v>22</v>
      </c>
      <c r="G154" s="97" t="s">
        <v>721</v>
      </c>
      <c r="H154" s="97" t="s">
        <v>24</v>
      </c>
      <c r="I154" s="97" t="s">
        <v>721</v>
      </c>
      <c r="J154" s="100">
        <v>44789</v>
      </c>
      <c r="K154" s="100">
        <v>44789</v>
      </c>
      <c r="L154" s="101">
        <f t="shared" si="4"/>
        <v>1</v>
      </c>
      <c r="M154" s="97" t="s">
        <v>8851</v>
      </c>
      <c r="N154" s="68" t="s">
        <v>26</v>
      </c>
      <c r="O154" s="97" t="s">
        <v>2614</v>
      </c>
      <c r="P154" s="99" t="s">
        <v>2321</v>
      </c>
      <c r="Q154" s="68" t="str">
        <f t="shared" si="5"/>
        <v>DENTRO DEL TIEMPO</v>
      </c>
      <c r="R154" s="99"/>
    </row>
    <row r="155" spans="1:18" ht="60.75" x14ac:dyDescent="0.25">
      <c r="A155" s="96">
        <v>150</v>
      </c>
      <c r="B155" s="97" t="s">
        <v>8852</v>
      </c>
      <c r="C155" s="98">
        <v>44788</v>
      </c>
      <c r="D155" s="98">
        <v>44788</v>
      </c>
      <c r="E155" s="99">
        <v>2</v>
      </c>
      <c r="F155" s="99" t="s">
        <v>22</v>
      </c>
      <c r="G155" s="97" t="s">
        <v>721</v>
      </c>
      <c r="H155" s="97" t="s">
        <v>24</v>
      </c>
      <c r="I155" s="97" t="s">
        <v>721</v>
      </c>
      <c r="J155" s="100">
        <v>44789</v>
      </c>
      <c r="K155" s="100">
        <v>44789</v>
      </c>
      <c r="L155" s="101">
        <f t="shared" si="4"/>
        <v>1</v>
      </c>
      <c r="M155" s="97" t="s">
        <v>8853</v>
      </c>
      <c r="N155" s="68" t="s">
        <v>26</v>
      </c>
      <c r="O155" s="97" t="s">
        <v>2614</v>
      </c>
      <c r="P155" s="99" t="s">
        <v>2321</v>
      </c>
      <c r="Q155" s="68" t="str">
        <f t="shared" si="5"/>
        <v>DENTRO DEL TIEMPO</v>
      </c>
      <c r="R155" s="99"/>
    </row>
    <row r="156" spans="1:18" ht="60.75" x14ac:dyDescent="0.25">
      <c r="A156" s="96">
        <v>151</v>
      </c>
      <c r="B156" s="97" t="s">
        <v>8854</v>
      </c>
      <c r="C156" s="98">
        <v>44788</v>
      </c>
      <c r="D156" s="98">
        <v>44788</v>
      </c>
      <c r="E156" s="99">
        <v>2</v>
      </c>
      <c r="F156" s="99" t="s">
        <v>22</v>
      </c>
      <c r="G156" s="97" t="s">
        <v>721</v>
      </c>
      <c r="H156" s="97" t="s">
        <v>24</v>
      </c>
      <c r="I156" s="97" t="s">
        <v>721</v>
      </c>
      <c r="J156" s="100">
        <v>44789</v>
      </c>
      <c r="K156" s="100">
        <v>44789</v>
      </c>
      <c r="L156" s="101">
        <f t="shared" si="4"/>
        <v>1</v>
      </c>
      <c r="M156" s="97" t="s">
        <v>8855</v>
      </c>
      <c r="N156" s="68" t="s">
        <v>26</v>
      </c>
      <c r="O156" s="97" t="s">
        <v>2320</v>
      </c>
      <c r="P156" s="99" t="s">
        <v>2321</v>
      </c>
      <c r="Q156" s="68" t="str">
        <f t="shared" si="5"/>
        <v>DENTRO DEL TIEMPO</v>
      </c>
      <c r="R156" s="99"/>
    </row>
    <row r="157" spans="1:18" ht="60.75" x14ac:dyDescent="0.25">
      <c r="A157" s="96">
        <v>152</v>
      </c>
      <c r="B157" s="97" t="s">
        <v>8856</v>
      </c>
      <c r="C157" s="98">
        <v>44788</v>
      </c>
      <c r="D157" s="98">
        <v>44788</v>
      </c>
      <c r="E157" s="99">
        <v>2</v>
      </c>
      <c r="F157" s="99" t="s">
        <v>22</v>
      </c>
      <c r="G157" s="97" t="s">
        <v>721</v>
      </c>
      <c r="H157" s="97" t="s">
        <v>24</v>
      </c>
      <c r="I157" s="97" t="s">
        <v>721</v>
      </c>
      <c r="J157" s="100">
        <v>44789</v>
      </c>
      <c r="K157" s="100">
        <v>44789</v>
      </c>
      <c r="L157" s="101">
        <f t="shared" si="4"/>
        <v>1</v>
      </c>
      <c r="M157" s="97" t="s">
        <v>8857</v>
      </c>
      <c r="N157" s="68" t="s">
        <v>26</v>
      </c>
      <c r="O157" s="97" t="s">
        <v>8858</v>
      </c>
      <c r="P157" s="99" t="s">
        <v>8859</v>
      </c>
      <c r="Q157" s="68" t="str">
        <f t="shared" si="5"/>
        <v>DENTRO DEL TIEMPO</v>
      </c>
      <c r="R157" s="99"/>
    </row>
    <row r="158" spans="1:18" ht="60.75" x14ac:dyDescent="0.25">
      <c r="A158" s="96">
        <v>153</v>
      </c>
      <c r="B158" s="97" t="s">
        <v>8860</v>
      </c>
      <c r="C158" s="98">
        <v>44788</v>
      </c>
      <c r="D158" s="98">
        <v>44788</v>
      </c>
      <c r="E158" s="99">
        <v>2</v>
      </c>
      <c r="F158" s="99" t="s">
        <v>22</v>
      </c>
      <c r="G158" s="97" t="s">
        <v>721</v>
      </c>
      <c r="H158" s="97" t="s">
        <v>24</v>
      </c>
      <c r="I158" s="97" t="s">
        <v>721</v>
      </c>
      <c r="J158" s="100">
        <v>44789</v>
      </c>
      <c r="K158" s="100">
        <v>44789</v>
      </c>
      <c r="L158" s="101">
        <f t="shared" si="4"/>
        <v>1</v>
      </c>
      <c r="M158" s="97" t="s">
        <v>8861</v>
      </c>
      <c r="N158" s="68" t="s">
        <v>26</v>
      </c>
      <c r="O158" s="97" t="s">
        <v>2614</v>
      </c>
      <c r="P158" s="99" t="s">
        <v>2321</v>
      </c>
      <c r="Q158" s="68" t="str">
        <f t="shared" si="5"/>
        <v>DENTRO DEL TIEMPO</v>
      </c>
      <c r="R158" s="99"/>
    </row>
    <row r="159" spans="1:18" ht="60.75" x14ac:dyDescent="0.25">
      <c r="A159" s="96">
        <v>154</v>
      </c>
      <c r="B159" s="97" t="s">
        <v>8862</v>
      </c>
      <c r="C159" s="98">
        <v>44788</v>
      </c>
      <c r="D159" s="98">
        <v>44788</v>
      </c>
      <c r="E159" s="99">
        <v>2</v>
      </c>
      <c r="F159" s="99" t="s">
        <v>22</v>
      </c>
      <c r="G159" s="97" t="s">
        <v>721</v>
      </c>
      <c r="H159" s="97" t="s">
        <v>24</v>
      </c>
      <c r="I159" s="97" t="s">
        <v>721</v>
      </c>
      <c r="J159" s="100">
        <v>44789</v>
      </c>
      <c r="K159" s="100">
        <v>44789</v>
      </c>
      <c r="L159" s="101">
        <f t="shared" si="4"/>
        <v>1</v>
      </c>
      <c r="M159" s="97" t="s">
        <v>8863</v>
      </c>
      <c r="N159" s="68" t="s">
        <v>26</v>
      </c>
      <c r="O159" s="97" t="s">
        <v>2614</v>
      </c>
      <c r="P159" s="99" t="s">
        <v>2321</v>
      </c>
      <c r="Q159" s="68" t="str">
        <f t="shared" si="5"/>
        <v>DENTRO DEL TIEMPO</v>
      </c>
      <c r="R159" s="99"/>
    </row>
    <row r="160" spans="1:18" ht="60.75" x14ac:dyDescent="0.25">
      <c r="A160" s="96">
        <v>155</v>
      </c>
      <c r="B160" s="97" t="s">
        <v>8864</v>
      </c>
      <c r="C160" s="98">
        <v>44788</v>
      </c>
      <c r="D160" s="98">
        <v>44788</v>
      </c>
      <c r="E160" s="99">
        <v>2</v>
      </c>
      <c r="F160" s="99" t="s">
        <v>22</v>
      </c>
      <c r="G160" s="97" t="s">
        <v>721</v>
      </c>
      <c r="H160" s="97" t="s">
        <v>24</v>
      </c>
      <c r="I160" s="97" t="s">
        <v>721</v>
      </c>
      <c r="J160" s="100">
        <v>44789</v>
      </c>
      <c r="K160" s="100">
        <v>44789</v>
      </c>
      <c r="L160" s="101">
        <f t="shared" si="4"/>
        <v>1</v>
      </c>
      <c r="M160" s="97" t="s">
        <v>8865</v>
      </c>
      <c r="N160" s="68" t="s">
        <v>26</v>
      </c>
      <c r="O160" s="97" t="s">
        <v>2614</v>
      </c>
      <c r="P160" s="99" t="s">
        <v>2321</v>
      </c>
      <c r="Q160" s="68" t="str">
        <f t="shared" si="5"/>
        <v>DENTRO DEL TIEMPO</v>
      </c>
      <c r="R160" s="99"/>
    </row>
    <row r="161" spans="1:18" ht="60.75" x14ac:dyDescent="0.25">
      <c r="A161" s="96">
        <v>156</v>
      </c>
      <c r="B161" s="97" t="s">
        <v>8866</v>
      </c>
      <c r="C161" s="98">
        <v>44788</v>
      </c>
      <c r="D161" s="98">
        <v>44788</v>
      </c>
      <c r="E161" s="99">
        <v>2</v>
      </c>
      <c r="F161" s="99" t="s">
        <v>22</v>
      </c>
      <c r="G161" s="97" t="s">
        <v>721</v>
      </c>
      <c r="H161" s="97" t="s">
        <v>24</v>
      </c>
      <c r="I161" s="97" t="s">
        <v>721</v>
      </c>
      <c r="J161" s="100">
        <v>44789</v>
      </c>
      <c r="K161" s="100">
        <v>44789</v>
      </c>
      <c r="L161" s="101">
        <f t="shared" si="4"/>
        <v>1</v>
      </c>
      <c r="M161" s="97" t="s">
        <v>8867</v>
      </c>
      <c r="N161" s="68" t="s">
        <v>26</v>
      </c>
      <c r="O161" s="97" t="s">
        <v>2826</v>
      </c>
      <c r="P161" s="99" t="s">
        <v>2321</v>
      </c>
      <c r="Q161" s="68" t="str">
        <f t="shared" si="5"/>
        <v>DENTRO DEL TIEMPO</v>
      </c>
      <c r="R161" s="99"/>
    </row>
    <row r="162" spans="1:18" ht="60.75" x14ac:dyDescent="0.25">
      <c r="A162" s="96">
        <v>157</v>
      </c>
      <c r="B162" s="97" t="s">
        <v>8868</v>
      </c>
      <c r="C162" s="98">
        <v>44788</v>
      </c>
      <c r="D162" s="98">
        <v>44788</v>
      </c>
      <c r="E162" s="99">
        <v>2</v>
      </c>
      <c r="F162" s="99" t="s">
        <v>22</v>
      </c>
      <c r="G162" s="97" t="s">
        <v>721</v>
      </c>
      <c r="H162" s="97" t="s">
        <v>24</v>
      </c>
      <c r="I162" s="97" t="s">
        <v>721</v>
      </c>
      <c r="J162" s="100">
        <v>44789</v>
      </c>
      <c r="K162" s="100">
        <v>44789</v>
      </c>
      <c r="L162" s="101">
        <f t="shared" si="4"/>
        <v>1</v>
      </c>
      <c r="M162" s="97" t="s">
        <v>8869</v>
      </c>
      <c r="N162" s="68" t="s">
        <v>26</v>
      </c>
      <c r="O162" s="97" t="s">
        <v>2826</v>
      </c>
      <c r="P162" s="99" t="s">
        <v>2321</v>
      </c>
      <c r="Q162" s="68" t="str">
        <f t="shared" si="5"/>
        <v>DENTRO DEL TIEMPO</v>
      </c>
      <c r="R162" s="99"/>
    </row>
    <row r="163" spans="1:18" ht="60.75" x14ac:dyDescent="0.25">
      <c r="A163" s="96">
        <v>158</v>
      </c>
      <c r="B163" s="97" t="s">
        <v>8870</v>
      </c>
      <c r="C163" s="98">
        <v>44788</v>
      </c>
      <c r="D163" s="98">
        <v>44788</v>
      </c>
      <c r="E163" s="99">
        <v>2</v>
      </c>
      <c r="F163" s="99" t="s">
        <v>22</v>
      </c>
      <c r="G163" s="97" t="s">
        <v>721</v>
      </c>
      <c r="H163" s="97" t="s">
        <v>24</v>
      </c>
      <c r="I163" s="97" t="s">
        <v>721</v>
      </c>
      <c r="J163" s="100">
        <v>44790</v>
      </c>
      <c r="K163" s="100">
        <v>44790</v>
      </c>
      <c r="L163" s="101">
        <f t="shared" si="4"/>
        <v>2</v>
      </c>
      <c r="M163" s="97" t="s">
        <v>8871</v>
      </c>
      <c r="N163" s="68" t="s">
        <v>26</v>
      </c>
      <c r="O163" s="97" t="s">
        <v>2826</v>
      </c>
      <c r="P163" s="99" t="s">
        <v>2321</v>
      </c>
      <c r="Q163" s="68" t="str">
        <f t="shared" si="5"/>
        <v>DENTRO DEL TIEMPO</v>
      </c>
      <c r="R163" s="99"/>
    </row>
    <row r="164" spans="1:18" ht="60.75" x14ac:dyDescent="0.25">
      <c r="A164" s="96">
        <v>159</v>
      </c>
      <c r="B164" s="97" t="s">
        <v>8872</v>
      </c>
      <c r="C164" s="98">
        <v>44788</v>
      </c>
      <c r="D164" s="98">
        <v>44788</v>
      </c>
      <c r="E164" s="99">
        <v>2</v>
      </c>
      <c r="F164" s="99" t="s">
        <v>22</v>
      </c>
      <c r="G164" s="97" t="s">
        <v>721</v>
      </c>
      <c r="H164" s="97" t="s">
        <v>24</v>
      </c>
      <c r="I164" s="97" t="s">
        <v>721</v>
      </c>
      <c r="J164" s="100">
        <v>44790</v>
      </c>
      <c r="K164" s="100">
        <v>44790</v>
      </c>
      <c r="L164" s="101">
        <f t="shared" si="4"/>
        <v>2</v>
      </c>
      <c r="M164" s="97" t="s">
        <v>8873</v>
      </c>
      <c r="N164" s="68" t="s">
        <v>26</v>
      </c>
      <c r="O164" s="97" t="s">
        <v>2826</v>
      </c>
      <c r="P164" s="99" t="s">
        <v>2321</v>
      </c>
      <c r="Q164" s="68" t="str">
        <f t="shared" si="5"/>
        <v>DENTRO DEL TIEMPO</v>
      </c>
      <c r="R164" s="99"/>
    </row>
    <row r="165" spans="1:18" ht="60.75" x14ac:dyDescent="0.25">
      <c r="A165" s="96">
        <v>160</v>
      </c>
      <c r="B165" s="97" t="s">
        <v>8874</v>
      </c>
      <c r="C165" s="98">
        <v>44788</v>
      </c>
      <c r="D165" s="98">
        <v>44788</v>
      </c>
      <c r="E165" s="99">
        <v>2</v>
      </c>
      <c r="F165" s="99" t="s">
        <v>22</v>
      </c>
      <c r="G165" s="97" t="s">
        <v>721</v>
      </c>
      <c r="H165" s="97" t="s">
        <v>24</v>
      </c>
      <c r="I165" s="97" t="s">
        <v>721</v>
      </c>
      <c r="J165" s="100">
        <v>44790</v>
      </c>
      <c r="K165" s="100">
        <v>44790</v>
      </c>
      <c r="L165" s="101">
        <f t="shared" si="4"/>
        <v>2</v>
      </c>
      <c r="M165" s="97" t="s">
        <v>8875</v>
      </c>
      <c r="N165" s="68" t="s">
        <v>26</v>
      </c>
      <c r="O165" s="97" t="s">
        <v>2826</v>
      </c>
      <c r="P165" s="99" t="s">
        <v>2321</v>
      </c>
      <c r="Q165" s="68" t="str">
        <f t="shared" si="5"/>
        <v>DENTRO DEL TIEMPO</v>
      </c>
      <c r="R165" s="99"/>
    </row>
    <row r="166" spans="1:18" ht="60.75" x14ac:dyDescent="0.25">
      <c r="A166" s="96">
        <v>161</v>
      </c>
      <c r="B166" s="97" t="s">
        <v>8876</v>
      </c>
      <c r="C166" s="98">
        <v>44788</v>
      </c>
      <c r="D166" s="98">
        <v>44788</v>
      </c>
      <c r="E166" s="99">
        <v>2</v>
      </c>
      <c r="F166" s="99" t="s">
        <v>22</v>
      </c>
      <c r="G166" s="97" t="s">
        <v>721</v>
      </c>
      <c r="H166" s="97" t="s">
        <v>24</v>
      </c>
      <c r="I166" s="97" t="s">
        <v>721</v>
      </c>
      <c r="J166" s="100">
        <v>44790</v>
      </c>
      <c r="K166" s="100">
        <v>44790</v>
      </c>
      <c r="L166" s="101">
        <f t="shared" si="4"/>
        <v>2</v>
      </c>
      <c r="M166" s="97" t="s">
        <v>8877</v>
      </c>
      <c r="N166" s="68" t="s">
        <v>26</v>
      </c>
      <c r="O166" s="97" t="s">
        <v>2826</v>
      </c>
      <c r="P166" s="99" t="s">
        <v>2321</v>
      </c>
      <c r="Q166" s="68" t="str">
        <f t="shared" si="5"/>
        <v>DENTRO DEL TIEMPO</v>
      </c>
      <c r="R166" s="99"/>
    </row>
    <row r="167" spans="1:18" ht="60.75" x14ac:dyDescent="0.25">
      <c r="A167" s="96">
        <v>162</v>
      </c>
      <c r="B167" s="97" t="s">
        <v>8878</v>
      </c>
      <c r="C167" s="98">
        <v>44788</v>
      </c>
      <c r="D167" s="98">
        <v>44788</v>
      </c>
      <c r="E167" s="99">
        <v>2</v>
      </c>
      <c r="F167" s="99" t="s">
        <v>22</v>
      </c>
      <c r="G167" s="97" t="s">
        <v>721</v>
      </c>
      <c r="H167" s="97" t="s">
        <v>24</v>
      </c>
      <c r="I167" s="97" t="s">
        <v>721</v>
      </c>
      <c r="J167" s="100">
        <v>44790</v>
      </c>
      <c r="K167" s="100">
        <v>44790</v>
      </c>
      <c r="L167" s="101">
        <f t="shared" si="4"/>
        <v>2</v>
      </c>
      <c r="M167" s="97" t="s">
        <v>8879</v>
      </c>
      <c r="N167" s="68" t="s">
        <v>26</v>
      </c>
      <c r="O167" s="97" t="s">
        <v>2826</v>
      </c>
      <c r="P167" s="99" t="s">
        <v>2321</v>
      </c>
      <c r="Q167" s="68" t="str">
        <f t="shared" si="5"/>
        <v>DENTRO DEL TIEMPO</v>
      </c>
      <c r="R167" s="99"/>
    </row>
    <row r="168" spans="1:18" ht="60.75" x14ac:dyDescent="0.25">
      <c r="A168" s="96">
        <v>163</v>
      </c>
      <c r="B168" s="97" t="s">
        <v>8880</v>
      </c>
      <c r="C168" s="98">
        <v>44789</v>
      </c>
      <c r="D168" s="98">
        <v>44789</v>
      </c>
      <c r="E168" s="99">
        <v>336</v>
      </c>
      <c r="F168" s="99" t="s">
        <v>22</v>
      </c>
      <c r="G168" s="97" t="s">
        <v>1256</v>
      </c>
      <c r="H168" s="97" t="s">
        <v>24</v>
      </c>
      <c r="I168" s="97" t="s">
        <v>1256</v>
      </c>
      <c r="J168" s="100">
        <v>44792</v>
      </c>
      <c r="K168" s="100">
        <v>44792</v>
      </c>
      <c r="L168" s="101">
        <f t="shared" si="4"/>
        <v>3</v>
      </c>
      <c r="M168" s="97" t="s">
        <v>8881</v>
      </c>
      <c r="N168" s="68" t="s">
        <v>26</v>
      </c>
      <c r="O168" s="97" t="s">
        <v>7696</v>
      </c>
      <c r="P168" s="99" t="s">
        <v>7697</v>
      </c>
      <c r="Q168" s="68" t="str">
        <f t="shared" si="5"/>
        <v>DENTRO DEL TIEMPO</v>
      </c>
      <c r="R168" s="99"/>
    </row>
    <row r="169" spans="1:18" ht="60.75" x14ac:dyDescent="0.25">
      <c r="A169" s="96">
        <v>164</v>
      </c>
      <c r="B169" s="97" t="s">
        <v>8882</v>
      </c>
      <c r="C169" s="98">
        <v>44789</v>
      </c>
      <c r="D169" s="98">
        <v>44789</v>
      </c>
      <c r="E169" s="99">
        <v>2</v>
      </c>
      <c r="F169" s="99" t="s">
        <v>22</v>
      </c>
      <c r="G169" s="97" t="s">
        <v>721</v>
      </c>
      <c r="H169" s="97" t="s">
        <v>24</v>
      </c>
      <c r="I169" s="97" t="s">
        <v>721</v>
      </c>
      <c r="J169" s="100">
        <v>44790</v>
      </c>
      <c r="K169" s="100">
        <v>44790</v>
      </c>
      <c r="L169" s="101">
        <f t="shared" si="4"/>
        <v>1</v>
      </c>
      <c r="M169" s="97" t="s">
        <v>8883</v>
      </c>
      <c r="N169" s="68" t="s">
        <v>26</v>
      </c>
      <c r="O169" s="97" t="s">
        <v>7873</v>
      </c>
      <c r="P169" s="99" t="s">
        <v>7874</v>
      </c>
      <c r="Q169" s="68" t="str">
        <f t="shared" si="5"/>
        <v>DENTRO DEL TIEMPO</v>
      </c>
      <c r="R169" s="99"/>
    </row>
    <row r="170" spans="1:18" ht="60.75" hidden="1" x14ac:dyDescent="0.25">
      <c r="A170" s="96">
        <v>165</v>
      </c>
      <c r="B170" s="97" t="s">
        <v>8884</v>
      </c>
      <c r="C170" s="98">
        <v>44789</v>
      </c>
      <c r="D170" s="98">
        <v>44789</v>
      </c>
      <c r="E170" s="99">
        <v>0</v>
      </c>
      <c r="F170" s="99" t="s">
        <v>790</v>
      </c>
      <c r="G170" s="97" t="s">
        <v>721</v>
      </c>
      <c r="H170" s="97" t="s">
        <v>24</v>
      </c>
      <c r="I170" s="97" t="s">
        <v>721</v>
      </c>
      <c r="J170" s="100">
        <v>44795</v>
      </c>
      <c r="K170" s="100">
        <v>44795</v>
      </c>
      <c r="L170" s="101">
        <f t="shared" si="4"/>
        <v>4</v>
      </c>
      <c r="M170" s="97" t="s">
        <v>8885</v>
      </c>
      <c r="N170" s="68" t="s">
        <v>26</v>
      </c>
      <c r="O170" s="97" t="s">
        <v>8886</v>
      </c>
      <c r="P170" s="99" t="s">
        <v>1480</v>
      </c>
      <c r="Q170" s="68" t="str">
        <f t="shared" si="5"/>
        <v>DENTRO DEL TIEMPO</v>
      </c>
      <c r="R170" s="99"/>
    </row>
    <row r="171" spans="1:18" ht="60.75" x14ac:dyDescent="0.25">
      <c r="A171" s="96">
        <v>166</v>
      </c>
      <c r="B171" s="97" t="s">
        <v>8887</v>
      </c>
      <c r="C171" s="98">
        <v>44789</v>
      </c>
      <c r="D171" s="98">
        <v>44789</v>
      </c>
      <c r="E171" s="99">
        <v>15</v>
      </c>
      <c r="F171" s="99" t="s">
        <v>22</v>
      </c>
      <c r="G171" s="97" t="s">
        <v>1256</v>
      </c>
      <c r="H171" s="97" t="s">
        <v>24</v>
      </c>
      <c r="I171" s="97" t="s">
        <v>1256</v>
      </c>
      <c r="J171" s="100">
        <v>44789</v>
      </c>
      <c r="K171" s="100">
        <v>44789</v>
      </c>
      <c r="L171" s="101">
        <f t="shared" si="4"/>
        <v>0</v>
      </c>
      <c r="M171" s="97" t="s">
        <v>8888</v>
      </c>
      <c r="N171" s="68" t="s">
        <v>26</v>
      </c>
      <c r="O171" s="97" t="s">
        <v>2361</v>
      </c>
      <c r="P171" s="99" t="s">
        <v>8889</v>
      </c>
      <c r="Q171" s="68" t="str">
        <f t="shared" si="5"/>
        <v>DENTRO DEL TIEMPO</v>
      </c>
      <c r="R171" s="99"/>
    </row>
    <row r="172" spans="1:18" ht="60.75" x14ac:dyDescent="0.25">
      <c r="A172" s="96">
        <v>167</v>
      </c>
      <c r="B172" s="97" t="s">
        <v>8890</v>
      </c>
      <c r="C172" s="98">
        <v>44789</v>
      </c>
      <c r="D172" s="98">
        <v>44789</v>
      </c>
      <c r="E172" s="99">
        <v>2</v>
      </c>
      <c r="F172" s="99" t="s">
        <v>22</v>
      </c>
      <c r="G172" s="97" t="s">
        <v>721</v>
      </c>
      <c r="H172" s="97" t="s">
        <v>24</v>
      </c>
      <c r="I172" s="97" t="s">
        <v>721</v>
      </c>
      <c r="J172" s="100">
        <v>44790</v>
      </c>
      <c r="K172" s="100">
        <v>44790</v>
      </c>
      <c r="L172" s="101">
        <f t="shared" si="4"/>
        <v>1</v>
      </c>
      <c r="M172" s="97" t="s">
        <v>8891</v>
      </c>
      <c r="N172" s="68" t="s">
        <v>26</v>
      </c>
      <c r="O172" s="97" t="s">
        <v>8892</v>
      </c>
      <c r="P172" s="99" t="s">
        <v>2005</v>
      </c>
      <c r="Q172" s="68" t="str">
        <f t="shared" si="5"/>
        <v>DENTRO DEL TIEMPO</v>
      </c>
      <c r="R172" s="99"/>
    </row>
    <row r="173" spans="1:18" ht="60.75" x14ac:dyDescent="0.25">
      <c r="A173" s="96">
        <v>168</v>
      </c>
      <c r="B173" s="97" t="s">
        <v>8893</v>
      </c>
      <c r="C173" s="98">
        <v>44789</v>
      </c>
      <c r="D173" s="98">
        <v>44789</v>
      </c>
      <c r="E173" s="99">
        <v>56</v>
      </c>
      <c r="F173" s="99" t="s">
        <v>22</v>
      </c>
      <c r="G173" s="97" t="s">
        <v>1256</v>
      </c>
      <c r="H173" s="97" t="s">
        <v>24</v>
      </c>
      <c r="I173" s="97" t="s">
        <v>1256</v>
      </c>
      <c r="J173" s="100">
        <v>44790</v>
      </c>
      <c r="K173" s="100">
        <v>44790</v>
      </c>
      <c r="L173" s="101">
        <f t="shared" si="4"/>
        <v>1</v>
      </c>
      <c r="M173" s="97" t="s">
        <v>8894</v>
      </c>
      <c r="N173" s="68" t="s">
        <v>26</v>
      </c>
      <c r="O173" s="97" t="s">
        <v>7873</v>
      </c>
      <c r="P173" s="99" t="s">
        <v>7874</v>
      </c>
      <c r="Q173" s="68" t="str">
        <f t="shared" si="5"/>
        <v>DENTRO DEL TIEMPO</v>
      </c>
      <c r="R173" s="99"/>
    </row>
    <row r="174" spans="1:18" ht="60.75" x14ac:dyDescent="0.25">
      <c r="A174" s="96">
        <v>169</v>
      </c>
      <c r="B174" s="97" t="s">
        <v>8895</v>
      </c>
      <c r="C174" s="98">
        <v>44789</v>
      </c>
      <c r="D174" s="98">
        <v>44789</v>
      </c>
      <c r="E174" s="99">
        <v>2</v>
      </c>
      <c r="F174" s="99" t="s">
        <v>22</v>
      </c>
      <c r="G174" s="97" t="s">
        <v>721</v>
      </c>
      <c r="H174" s="97" t="s">
        <v>24</v>
      </c>
      <c r="I174" s="97" t="s">
        <v>721</v>
      </c>
      <c r="J174" s="100">
        <v>44790</v>
      </c>
      <c r="K174" s="100">
        <v>44790</v>
      </c>
      <c r="L174" s="101">
        <f t="shared" si="4"/>
        <v>1</v>
      </c>
      <c r="M174" s="97" t="s">
        <v>8896</v>
      </c>
      <c r="N174" s="68" t="s">
        <v>26</v>
      </c>
      <c r="O174" s="97" t="s">
        <v>8897</v>
      </c>
      <c r="P174" s="99" t="s">
        <v>8898</v>
      </c>
      <c r="Q174" s="68" t="str">
        <f t="shared" si="5"/>
        <v>DENTRO DEL TIEMPO</v>
      </c>
      <c r="R174" s="99"/>
    </row>
    <row r="175" spans="1:18" ht="60.75" x14ac:dyDescent="0.25">
      <c r="A175" s="96">
        <v>170</v>
      </c>
      <c r="B175" s="97" t="s">
        <v>8899</v>
      </c>
      <c r="C175" s="98">
        <v>44789</v>
      </c>
      <c r="D175" s="98">
        <v>44789</v>
      </c>
      <c r="E175" s="99">
        <v>2</v>
      </c>
      <c r="F175" s="99" t="s">
        <v>22</v>
      </c>
      <c r="G175" s="97" t="s">
        <v>721</v>
      </c>
      <c r="H175" s="97" t="s">
        <v>24</v>
      </c>
      <c r="I175" s="97" t="s">
        <v>721</v>
      </c>
      <c r="J175" s="100">
        <v>44790</v>
      </c>
      <c r="K175" s="100">
        <v>44790</v>
      </c>
      <c r="L175" s="101">
        <f t="shared" si="4"/>
        <v>1</v>
      </c>
      <c r="M175" s="97" t="s">
        <v>8900</v>
      </c>
      <c r="N175" s="68" t="s">
        <v>26</v>
      </c>
      <c r="O175" s="97" t="s">
        <v>8901</v>
      </c>
      <c r="P175" s="99" t="s">
        <v>8902</v>
      </c>
      <c r="Q175" s="68" t="str">
        <f t="shared" si="5"/>
        <v>DENTRO DEL TIEMPO</v>
      </c>
      <c r="R175" s="99"/>
    </row>
    <row r="176" spans="1:18" ht="60.75" x14ac:dyDescent="0.25">
      <c r="A176" s="96">
        <v>171</v>
      </c>
      <c r="B176" s="97" t="s">
        <v>8903</v>
      </c>
      <c r="C176" s="98">
        <v>44789</v>
      </c>
      <c r="D176" s="98">
        <v>44789</v>
      </c>
      <c r="E176" s="99">
        <v>2</v>
      </c>
      <c r="F176" s="99" t="s">
        <v>22</v>
      </c>
      <c r="G176" s="97" t="s">
        <v>721</v>
      </c>
      <c r="H176" s="97" t="s">
        <v>24</v>
      </c>
      <c r="I176" s="97" t="s">
        <v>721</v>
      </c>
      <c r="J176" s="100">
        <v>44790</v>
      </c>
      <c r="K176" s="100">
        <v>44790</v>
      </c>
      <c r="L176" s="101">
        <f t="shared" si="4"/>
        <v>1</v>
      </c>
      <c r="M176" s="97" t="s">
        <v>8904</v>
      </c>
      <c r="N176" s="68" t="s">
        <v>26</v>
      </c>
      <c r="O176" s="97" t="s">
        <v>2333</v>
      </c>
      <c r="P176" s="99" t="s">
        <v>3022</v>
      </c>
      <c r="Q176" s="68" t="str">
        <f t="shared" si="5"/>
        <v>DENTRO DEL TIEMPO</v>
      </c>
      <c r="R176" s="99"/>
    </row>
    <row r="177" spans="1:18" ht="60.75" x14ac:dyDescent="0.25">
      <c r="A177" s="96">
        <v>172</v>
      </c>
      <c r="B177" s="97" t="s">
        <v>8905</v>
      </c>
      <c r="C177" s="98">
        <v>44789</v>
      </c>
      <c r="D177" s="98">
        <v>44789</v>
      </c>
      <c r="E177" s="99">
        <v>2</v>
      </c>
      <c r="F177" s="99" t="s">
        <v>22</v>
      </c>
      <c r="G177" s="97" t="s">
        <v>721</v>
      </c>
      <c r="H177" s="97" t="s">
        <v>24</v>
      </c>
      <c r="I177" s="97" t="s">
        <v>721</v>
      </c>
      <c r="J177" s="100">
        <v>44790</v>
      </c>
      <c r="K177" s="100">
        <v>44790</v>
      </c>
      <c r="L177" s="101">
        <f t="shared" si="4"/>
        <v>1</v>
      </c>
      <c r="M177" s="97" t="s">
        <v>8906</v>
      </c>
      <c r="N177" s="68" t="s">
        <v>26</v>
      </c>
      <c r="O177" s="97" t="s">
        <v>2407</v>
      </c>
      <c r="P177" s="99" t="s">
        <v>3022</v>
      </c>
      <c r="Q177" s="68" t="str">
        <f t="shared" si="5"/>
        <v>DENTRO DEL TIEMPO</v>
      </c>
      <c r="R177" s="99"/>
    </row>
    <row r="178" spans="1:18" ht="60.75" x14ac:dyDescent="0.25">
      <c r="A178" s="96">
        <v>173</v>
      </c>
      <c r="B178" s="97" t="s">
        <v>8907</v>
      </c>
      <c r="C178" s="98">
        <v>44789</v>
      </c>
      <c r="D178" s="98">
        <v>44789</v>
      </c>
      <c r="E178" s="99">
        <v>2</v>
      </c>
      <c r="F178" s="99" t="s">
        <v>22</v>
      </c>
      <c r="G178" s="97" t="s">
        <v>721</v>
      </c>
      <c r="H178" s="97" t="s">
        <v>24</v>
      </c>
      <c r="I178" s="97" t="s">
        <v>721</v>
      </c>
      <c r="J178" s="100">
        <v>44791</v>
      </c>
      <c r="K178" s="100">
        <v>44791</v>
      </c>
      <c r="L178" s="101">
        <f t="shared" si="4"/>
        <v>2</v>
      </c>
      <c r="M178" s="97" t="s">
        <v>8908</v>
      </c>
      <c r="N178" s="68" t="s">
        <v>26</v>
      </c>
      <c r="O178" s="97" t="s">
        <v>2407</v>
      </c>
      <c r="P178" s="99" t="s">
        <v>3022</v>
      </c>
      <c r="Q178" s="68" t="str">
        <f t="shared" si="5"/>
        <v>DENTRO DEL TIEMPO</v>
      </c>
      <c r="R178" s="99"/>
    </row>
    <row r="179" spans="1:18" ht="60.75" x14ac:dyDescent="0.25">
      <c r="A179" s="96">
        <v>174</v>
      </c>
      <c r="B179" s="97" t="s">
        <v>8909</v>
      </c>
      <c r="C179" s="98">
        <v>44789</v>
      </c>
      <c r="D179" s="98">
        <v>44789</v>
      </c>
      <c r="E179" s="99">
        <v>2</v>
      </c>
      <c r="F179" s="99" t="s">
        <v>22</v>
      </c>
      <c r="G179" s="97" t="s">
        <v>721</v>
      </c>
      <c r="H179" s="97" t="s">
        <v>24</v>
      </c>
      <c r="I179" s="97" t="s">
        <v>721</v>
      </c>
      <c r="J179" s="100">
        <v>44791</v>
      </c>
      <c r="K179" s="100">
        <v>44791</v>
      </c>
      <c r="L179" s="101">
        <f t="shared" si="4"/>
        <v>2</v>
      </c>
      <c r="M179" s="97" t="s">
        <v>8910</v>
      </c>
      <c r="N179" s="68" t="s">
        <v>26</v>
      </c>
      <c r="O179" s="97" t="s">
        <v>8911</v>
      </c>
      <c r="P179" s="99" t="s">
        <v>8912</v>
      </c>
      <c r="Q179" s="68" t="str">
        <f t="shared" si="5"/>
        <v>DENTRO DEL TIEMPO</v>
      </c>
      <c r="R179" s="99"/>
    </row>
    <row r="180" spans="1:18" ht="60.75" x14ac:dyDescent="0.25">
      <c r="A180" s="96">
        <v>175</v>
      </c>
      <c r="B180" s="97" t="s">
        <v>8913</v>
      </c>
      <c r="C180" s="98">
        <v>44789</v>
      </c>
      <c r="D180" s="98">
        <v>44789</v>
      </c>
      <c r="E180" s="99">
        <v>2</v>
      </c>
      <c r="F180" s="99" t="s">
        <v>22</v>
      </c>
      <c r="G180" s="97" t="s">
        <v>721</v>
      </c>
      <c r="H180" s="97" t="s">
        <v>24</v>
      </c>
      <c r="I180" s="97" t="s">
        <v>721</v>
      </c>
      <c r="J180" s="100">
        <v>44791</v>
      </c>
      <c r="K180" s="100">
        <v>44791</v>
      </c>
      <c r="L180" s="101">
        <f t="shared" si="4"/>
        <v>2</v>
      </c>
      <c r="M180" s="97" t="s">
        <v>8914</v>
      </c>
      <c r="N180" s="68" t="s">
        <v>26</v>
      </c>
      <c r="O180" s="97" t="s">
        <v>8915</v>
      </c>
      <c r="P180" s="99" t="s">
        <v>1487</v>
      </c>
      <c r="Q180" s="68" t="str">
        <f t="shared" si="5"/>
        <v>DENTRO DEL TIEMPO</v>
      </c>
      <c r="R180" s="99"/>
    </row>
    <row r="181" spans="1:18" ht="60.75" x14ac:dyDescent="0.25">
      <c r="A181" s="96">
        <v>176</v>
      </c>
      <c r="B181" s="97" t="s">
        <v>8916</v>
      </c>
      <c r="C181" s="98">
        <v>44789</v>
      </c>
      <c r="D181" s="98">
        <v>44789</v>
      </c>
      <c r="E181" s="99">
        <v>2</v>
      </c>
      <c r="F181" s="99" t="s">
        <v>22</v>
      </c>
      <c r="G181" s="97" t="s">
        <v>721</v>
      </c>
      <c r="H181" s="97" t="s">
        <v>24</v>
      </c>
      <c r="I181" s="97" t="s">
        <v>721</v>
      </c>
      <c r="J181" s="100">
        <v>44791</v>
      </c>
      <c r="K181" s="100">
        <v>44791</v>
      </c>
      <c r="L181" s="101">
        <f t="shared" si="4"/>
        <v>2</v>
      </c>
      <c r="M181" s="97" t="s">
        <v>8917</v>
      </c>
      <c r="N181" s="68" t="s">
        <v>26</v>
      </c>
      <c r="O181" s="97" t="s">
        <v>8918</v>
      </c>
      <c r="P181" s="99" t="s">
        <v>8919</v>
      </c>
      <c r="Q181" s="68" t="str">
        <f t="shared" si="5"/>
        <v>DENTRO DEL TIEMPO</v>
      </c>
      <c r="R181" s="99"/>
    </row>
    <row r="182" spans="1:18" ht="60.75" x14ac:dyDescent="0.25">
      <c r="A182" s="96">
        <v>177</v>
      </c>
      <c r="B182" s="97" t="s">
        <v>8920</v>
      </c>
      <c r="C182" s="98">
        <v>44790</v>
      </c>
      <c r="D182" s="98">
        <v>44790</v>
      </c>
      <c r="E182" s="99">
        <v>2</v>
      </c>
      <c r="F182" s="99" t="s">
        <v>22</v>
      </c>
      <c r="G182" s="97" t="s">
        <v>721</v>
      </c>
      <c r="H182" s="97" t="s">
        <v>24</v>
      </c>
      <c r="I182" s="97" t="s">
        <v>721</v>
      </c>
      <c r="J182" s="100">
        <v>44791</v>
      </c>
      <c r="K182" s="100">
        <v>44791</v>
      </c>
      <c r="L182" s="101">
        <f t="shared" si="4"/>
        <v>1</v>
      </c>
      <c r="M182" s="97" t="s">
        <v>8921</v>
      </c>
      <c r="N182" s="68" t="s">
        <v>26</v>
      </c>
      <c r="O182" s="97" t="s">
        <v>8922</v>
      </c>
      <c r="P182" s="99" t="s">
        <v>8923</v>
      </c>
      <c r="Q182" s="68" t="str">
        <f t="shared" si="5"/>
        <v>DENTRO DEL TIEMPO</v>
      </c>
      <c r="R182" s="99"/>
    </row>
    <row r="183" spans="1:18" ht="60.75" x14ac:dyDescent="0.25">
      <c r="A183" s="96">
        <v>178</v>
      </c>
      <c r="B183" s="97" t="s">
        <v>8924</v>
      </c>
      <c r="C183" s="98">
        <v>44790</v>
      </c>
      <c r="D183" s="98">
        <v>44790</v>
      </c>
      <c r="E183" s="99">
        <v>2</v>
      </c>
      <c r="F183" s="99" t="s">
        <v>22</v>
      </c>
      <c r="G183" s="97" t="s">
        <v>721</v>
      </c>
      <c r="H183" s="97" t="s">
        <v>24</v>
      </c>
      <c r="I183" s="97" t="s">
        <v>721</v>
      </c>
      <c r="J183" s="100">
        <v>44791</v>
      </c>
      <c r="K183" s="100">
        <v>44791</v>
      </c>
      <c r="L183" s="101">
        <f t="shared" si="4"/>
        <v>1</v>
      </c>
      <c r="M183" s="97" t="s">
        <v>8925</v>
      </c>
      <c r="N183" s="68" t="s">
        <v>26</v>
      </c>
      <c r="O183" s="97" t="s">
        <v>8926</v>
      </c>
      <c r="P183" s="99" t="s">
        <v>8927</v>
      </c>
      <c r="Q183" s="68" t="str">
        <f t="shared" si="5"/>
        <v>DENTRO DEL TIEMPO</v>
      </c>
      <c r="R183" s="99"/>
    </row>
    <row r="184" spans="1:18" ht="60.75" x14ac:dyDescent="0.25">
      <c r="A184" s="96">
        <v>179</v>
      </c>
      <c r="B184" s="97" t="s">
        <v>8928</v>
      </c>
      <c r="C184" s="98">
        <v>44790</v>
      </c>
      <c r="D184" s="98">
        <v>44790</v>
      </c>
      <c r="E184" s="99">
        <v>2</v>
      </c>
      <c r="F184" s="99" t="s">
        <v>22</v>
      </c>
      <c r="G184" s="97" t="s">
        <v>721</v>
      </c>
      <c r="H184" s="97" t="s">
        <v>24</v>
      </c>
      <c r="I184" s="97" t="s">
        <v>721</v>
      </c>
      <c r="J184" s="100">
        <v>44791</v>
      </c>
      <c r="K184" s="100">
        <v>44791</v>
      </c>
      <c r="L184" s="101">
        <f t="shared" si="4"/>
        <v>1</v>
      </c>
      <c r="M184" s="97" t="s">
        <v>8929</v>
      </c>
      <c r="N184" s="68" t="s">
        <v>26</v>
      </c>
      <c r="O184" s="97" t="s">
        <v>2999</v>
      </c>
      <c r="P184" s="99" t="s">
        <v>8930</v>
      </c>
      <c r="Q184" s="68" t="str">
        <f t="shared" si="5"/>
        <v>DENTRO DEL TIEMPO</v>
      </c>
      <c r="R184" s="99"/>
    </row>
    <row r="185" spans="1:18" ht="60.75" x14ac:dyDescent="0.25">
      <c r="A185" s="96">
        <v>180</v>
      </c>
      <c r="B185" s="97" t="s">
        <v>8931</v>
      </c>
      <c r="C185" s="98">
        <v>44790</v>
      </c>
      <c r="D185" s="98">
        <v>44790</v>
      </c>
      <c r="E185" s="99">
        <v>2</v>
      </c>
      <c r="F185" s="99" t="s">
        <v>22</v>
      </c>
      <c r="G185" s="97" t="s">
        <v>1256</v>
      </c>
      <c r="H185" s="97" t="s">
        <v>24</v>
      </c>
      <c r="I185" s="97" t="s">
        <v>1256</v>
      </c>
      <c r="J185" s="100">
        <v>44799</v>
      </c>
      <c r="K185" s="100">
        <v>44799</v>
      </c>
      <c r="L185" s="101">
        <f t="shared" si="4"/>
        <v>7</v>
      </c>
      <c r="M185" s="97" t="s">
        <v>8932</v>
      </c>
      <c r="N185" s="68" t="s">
        <v>26</v>
      </c>
      <c r="O185" s="97" t="s">
        <v>8933</v>
      </c>
      <c r="P185" s="99" t="s">
        <v>8934</v>
      </c>
      <c r="Q185" s="68" t="str">
        <f t="shared" si="5"/>
        <v>DENTRO DEL TIEMPO</v>
      </c>
      <c r="R185" s="99"/>
    </row>
    <row r="186" spans="1:18" ht="60.75" x14ac:dyDescent="0.25">
      <c r="A186" s="96">
        <v>181</v>
      </c>
      <c r="B186" s="97" t="s">
        <v>8935</v>
      </c>
      <c r="C186" s="98">
        <v>44790</v>
      </c>
      <c r="D186" s="98">
        <v>44790</v>
      </c>
      <c r="E186" s="99">
        <v>2</v>
      </c>
      <c r="F186" s="99" t="s">
        <v>22</v>
      </c>
      <c r="G186" s="97" t="s">
        <v>721</v>
      </c>
      <c r="H186" s="97" t="s">
        <v>24</v>
      </c>
      <c r="I186" s="97" t="s">
        <v>721</v>
      </c>
      <c r="J186" s="100">
        <v>44791</v>
      </c>
      <c r="K186" s="100">
        <v>44791</v>
      </c>
      <c r="L186" s="101">
        <f t="shared" si="4"/>
        <v>1</v>
      </c>
      <c r="M186" s="97" t="s">
        <v>8936</v>
      </c>
      <c r="N186" s="68" t="s">
        <v>26</v>
      </c>
      <c r="O186" s="97" t="s">
        <v>8937</v>
      </c>
      <c r="P186" s="99" t="s">
        <v>8938</v>
      </c>
      <c r="Q186" s="68" t="str">
        <f t="shared" si="5"/>
        <v>DENTRO DEL TIEMPO</v>
      </c>
      <c r="R186" s="99"/>
    </row>
    <row r="187" spans="1:18" ht="60.75" x14ac:dyDescent="0.25">
      <c r="A187" s="96">
        <v>182</v>
      </c>
      <c r="B187" s="97" t="s">
        <v>8939</v>
      </c>
      <c r="C187" s="98">
        <v>44790</v>
      </c>
      <c r="D187" s="98">
        <v>44790</v>
      </c>
      <c r="E187" s="99">
        <v>2</v>
      </c>
      <c r="F187" s="99" t="s">
        <v>22</v>
      </c>
      <c r="G187" s="97" t="s">
        <v>721</v>
      </c>
      <c r="H187" s="97" t="s">
        <v>24</v>
      </c>
      <c r="I187" s="97" t="s">
        <v>721</v>
      </c>
      <c r="J187" s="100">
        <v>44791</v>
      </c>
      <c r="K187" s="100">
        <v>44791</v>
      </c>
      <c r="L187" s="101">
        <f t="shared" si="4"/>
        <v>1</v>
      </c>
      <c r="M187" s="97" t="s">
        <v>8940</v>
      </c>
      <c r="N187" s="68" t="s">
        <v>26</v>
      </c>
      <c r="O187" s="97" t="s">
        <v>4108</v>
      </c>
      <c r="P187" s="99" t="s">
        <v>1673</v>
      </c>
      <c r="Q187" s="68" t="str">
        <f t="shared" si="5"/>
        <v>DENTRO DEL TIEMPO</v>
      </c>
      <c r="R187" s="99"/>
    </row>
    <row r="188" spans="1:18" ht="60.75" x14ac:dyDescent="0.25">
      <c r="A188" s="96">
        <v>183</v>
      </c>
      <c r="B188" s="97" t="s">
        <v>8941</v>
      </c>
      <c r="C188" s="98">
        <v>44790</v>
      </c>
      <c r="D188" s="98">
        <v>44790</v>
      </c>
      <c r="E188" s="99">
        <v>2</v>
      </c>
      <c r="F188" s="99" t="s">
        <v>22</v>
      </c>
      <c r="G188" s="97" t="s">
        <v>721</v>
      </c>
      <c r="H188" s="97" t="s">
        <v>24</v>
      </c>
      <c r="I188" s="97" t="s">
        <v>721</v>
      </c>
      <c r="J188" s="100">
        <v>44791</v>
      </c>
      <c r="K188" s="100">
        <v>44791</v>
      </c>
      <c r="L188" s="101">
        <f t="shared" si="4"/>
        <v>1</v>
      </c>
      <c r="M188" s="97" t="s">
        <v>8942</v>
      </c>
      <c r="N188" s="68" t="s">
        <v>26</v>
      </c>
      <c r="O188" s="97" t="s">
        <v>2327</v>
      </c>
      <c r="P188" s="99" t="s">
        <v>1673</v>
      </c>
      <c r="Q188" s="68" t="str">
        <f t="shared" si="5"/>
        <v>DENTRO DEL TIEMPO</v>
      </c>
      <c r="R188" s="99"/>
    </row>
    <row r="189" spans="1:18" ht="60.75" x14ac:dyDescent="0.25">
      <c r="A189" s="96">
        <v>184</v>
      </c>
      <c r="B189" s="97" t="s">
        <v>8943</v>
      </c>
      <c r="C189" s="98">
        <v>44790</v>
      </c>
      <c r="D189" s="98">
        <v>44790</v>
      </c>
      <c r="E189" s="99">
        <v>2</v>
      </c>
      <c r="F189" s="99" t="s">
        <v>22</v>
      </c>
      <c r="G189" s="97" t="s">
        <v>721</v>
      </c>
      <c r="H189" s="97" t="s">
        <v>24</v>
      </c>
      <c r="I189" s="97" t="s">
        <v>721</v>
      </c>
      <c r="J189" s="100">
        <v>44791</v>
      </c>
      <c r="K189" s="100">
        <v>44791</v>
      </c>
      <c r="L189" s="101">
        <f t="shared" si="4"/>
        <v>1</v>
      </c>
      <c r="M189" s="97" t="s">
        <v>8944</v>
      </c>
      <c r="N189" s="68" t="s">
        <v>26</v>
      </c>
      <c r="O189" s="97" t="s">
        <v>3159</v>
      </c>
      <c r="P189" s="99" t="s">
        <v>3160</v>
      </c>
      <c r="Q189" s="68" t="str">
        <f t="shared" si="5"/>
        <v>DENTRO DEL TIEMPO</v>
      </c>
      <c r="R189" s="99"/>
    </row>
    <row r="190" spans="1:18" ht="60.75" x14ac:dyDescent="0.25">
      <c r="A190" s="96">
        <v>185</v>
      </c>
      <c r="B190" s="97" t="s">
        <v>8945</v>
      </c>
      <c r="C190" s="98">
        <v>44790</v>
      </c>
      <c r="D190" s="98">
        <v>44790</v>
      </c>
      <c r="E190" s="99">
        <v>2</v>
      </c>
      <c r="F190" s="99" t="s">
        <v>22</v>
      </c>
      <c r="G190" s="97" t="s">
        <v>721</v>
      </c>
      <c r="H190" s="97" t="s">
        <v>24</v>
      </c>
      <c r="I190" s="97" t="s">
        <v>721</v>
      </c>
      <c r="J190" s="100">
        <v>44791</v>
      </c>
      <c r="K190" s="100">
        <v>44791</v>
      </c>
      <c r="L190" s="101">
        <f t="shared" si="4"/>
        <v>1</v>
      </c>
      <c r="M190" s="97" t="s">
        <v>8946</v>
      </c>
      <c r="N190" s="68" t="s">
        <v>26</v>
      </c>
      <c r="O190" s="97" t="s">
        <v>8947</v>
      </c>
      <c r="P190" s="99" t="s">
        <v>8948</v>
      </c>
      <c r="Q190" s="68" t="str">
        <f t="shared" si="5"/>
        <v>DENTRO DEL TIEMPO</v>
      </c>
      <c r="R190" s="99"/>
    </row>
    <row r="191" spans="1:18" ht="60.75" x14ac:dyDescent="0.25">
      <c r="A191" s="96">
        <v>186</v>
      </c>
      <c r="B191" s="97" t="s">
        <v>8949</v>
      </c>
      <c r="C191" s="98">
        <v>44790</v>
      </c>
      <c r="D191" s="98">
        <v>44790</v>
      </c>
      <c r="E191" s="99">
        <v>2</v>
      </c>
      <c r="F191" s="99" t="s">
        <v>22</v>
      </c>
      <c r="G191" s="97" t="s">
        <v>721</v>
      </c>
      <c r="H191" s="97" t="s">
        <v>24</v>
      </c>
      <c r="I191" s="97" t="s">
        <v>721</v>
      </c>
      <c r="J191" s="100">
        <v>44791</v>
      </c>
      <c r="K191" s="100">
        <v>44791</v>
      </c>
      <c r="L191" s="101">
        <f t="shared" si="4"/>
        <v>1</v>
      </c>
      <c r="M191" s="97" t="s">
        <v>8950</v>
      </c>
      <c r="N191" s="68" t="s">
        <v>26</v>
      </c>
      <c r="O191" s="97" t="s">
        <v>2999</v>
      </c>
      <c r="P191" s="99" t="s">
        <v>3022</v>
      </c>
      <c r="Q191" s="68" t="str">
        <f t="shared" si="5"/>
        <v>DENTRO DEL TIEMPO</v>
      </c>
      <c r="R191" s="99"/>
    </row>
    <row r="192" spans="1:18" ht="60.75" x14ac:dyDescent="0.25">
      <c r="A192" s="96">
        <v>187</v>
      </c>
      <c r="B192" s="97" t="s">
        <v>8951</v>
      </c>
      <c r="C192" s="98">
        <v>44791</v>
      </c>
      <c r="D192" s="98">
        <v>44791</v>
      </c>
      <c r="E192" s="99">
        <v>2</v>
      </c>
      <c r="F192" s="99" t="s">
        <v>22</v>
      </c>
      <c r="G192" s="97" t="s">
        <v>721</v>
      </c>
      <c r="H192" s="97" t="s">
        <v>24</v>
      </c>
      <c r="I192" s="97" t="s">
        <v>721</v>
      </c>
      <c r="J192" s="100">
        <v>44791</v>
      </c>
      <c r="K192" s="100">
        <v>44791</v>
      </c>
      <c r="L192" s="101">
        <f t="shared" si="4"/>
        <v>0</v>
      </c>
      <c r="M192" s="97" t="s">
        <v>8952</v>
      </c>
      <c r="N192" s="68" t="s">
        <v>26</v>
      </c>
      <c r="O192" s="97" t="s">
        <v>2327</v>
      </c>
      <c r="P192" s="99" t="s">
        <v>2321</v>
      </c>
      <c r="Q192" s="68" t="str">
        <f t="shared" si="5"/>
        <v>DENTRO DEL TIEMPO</v>
      </c>
      <c r="R192" s="99"/>
    </row>
    <row r="193" spans="1:18" ht="72.75" hidden="1" x14ac:dyDescent="0.25">
      <c r="A193" s="96">
        <v>188</v>
      </c>
      <c r="B193" s="97" t="s">
        <v>8953</v>
      </c>
      <c r="C193" s="98">
        <v>44791</v>
      </c>
      <c r="D193" s="98">
        <v>44791</v>
      </c>
      <c r="E193" s="99">
        <v>0</v>
      </c>
      <c r="F193" s="99" t="s">
        <v>790</v>
      </c>
      <c r="G193" s="97" t="s">
        <v>8954</v>
      </c>
      <c r="H193" s="97" t="s">
        <v>6466</v>
      </c>
      <c r="I193" s="97" t="s">
        <v>8954</v>
      </c>
      <c r="J193" s="100">
        <v>44792</v>
      </c>
      <c r="K193" s="100">
        <v>44792</v>
      </c>
      <c r="L193" s="101">
        <f t="shared" si="4"/>
        <v>1</v>
      </c>
      <c r="M193" s="97" t="s">
        <v>8955</v>
      </c>
      <c r="N193" s="68" t="s">
        <v>26</v>
      </c>
      <c r="O193" s="97" t="s">
        <v>7710</v>
      </c>
      <c r="P193" s="99" t="s">
        <v>1480</v>
      </c>
      <c r="Q193" s="68" t="str">
        <f t="shared" si="5"/>
        <v>DENTRO DEL TIEMPO</v>
      </c>
      <c r="R193" s="99"/>
    </row>
    <row r="194" spans="1:18" ht="60.75" x14ac:dyDescent="0.25">
      <c r="A194" s="96">
        <v>189</v>
      </c>
      <c r="B194" s="97" t="s">
        <v>8956</v>
      </c>
      <c r="C194" s="98">
        <v>44791</v>
      </c>
      <c r="D194" s="98">
        <v>44791</v>
      </c>
      <c r="E194" s="99">
        <v>2</v>
      </c>
      <c r="F194" s="99" t="s">
        <v>22</v>
      </c>
      <c r="G194" s="97" t="s">
        <v>721</v>
      </c>
      <c r="H194" s="97" t="s">
        <v>24</v>
      </c>
      <c r="I194" s="97" t="s">
        <v>721</v>
      </c>
      <c r="J194" s="100">
        <v>44792</v>
      </c>
      <c r="K194" s="100">
        <v>44792</v>
      </c>
      <c r="L194" s="101">
        <f t="shared" si="4"/>
        <v>1</v>
      </c>
      <c r="M194" s="97" t="s">
        <v>8957</v>
      </c>
      <c r="N194" s="68" t="s">
        <v>26</v>
      </c>
      <c r="O194" s="97" t="s">
        <v>2999</v>
      </c>
      <c r="P194" s="99" t="s">
        <v>8177</v>
      </c>
      <c r="Q194" s="68" t="str">
        <f t="shared" si="5"/>
        <v>DENTRO DEL TIEMPO</v>
      </c>
      <c r="R194" s="99"/>
    </row>
    <row r="195" spans="1:18" ht="72.75" hidden="1" x14ac:dyDescent="0.25">
      <c r="A195" s="96">
        <v>190</v>
      </c>
      <c r="B195" s="97" t="s">
        <v>8958</v>
      </c>
      <c r="C195" s="98">
        <v>44791</v>
      </c>
      <c r="D195" s="98">
        <v>44791</v>
      </c>
      <c r="E195" s="99">
        <v>0</v>
      </c>
      <c r="F195" s="99" t="s">
        <v>790</v>
      </c>
      <c r="G195" s="97" t="s">
        <v>1256</v>
      </c>
      <c r="H195" s="97" t="s">
        <v>4578</v>
      </c>
      <c r="I195" s="97" t="s">
        <v>1256</v>
      </c>
      <c r="J195" s="100">
        <v>44792</v>
      </c>
      <c r="K195" s="100">
        <v>44792</v>
      </c>
      <c r="L195" s="101">
        <f t="shared" si="4"/>
        <v>1</v>
      </c>
      <c r="M195" s="97" t="s">
        <v>8959</v>
      </c>
      <c r="N195" s="68" t="s">
        <v>26</v>
      </c>
      <c r="O195" s="97" t="s">
        <v>8960</v>
      </c>
      <c r="P195" s="99"/>
      <c r="Q195" s="68" t="str">
        <f t="shared" si="5"/>
        <v>DENTRO DEL TIEMPO</v>
      </c>
      <c r="R195" s="99"/>
    </row>
    <row r="196" spans="1:18" ht="60.75" x14ac:dyDescent="0.25">
      <c r="A196" s="96">
        <v>191</v>
      </c>
      <c r="B196" s="97" t="s">
        <v>8961</v>
      </c>
      <c r="C196" s="98">
        <v>44791</v>
      </c>
      <c r="D196" s="98">
        <v>44791</v>
      </c>
      <c r="E196" s="99">
        <v>2</v>
      </c>
      <c r="F196" s="99" t="s">
        <v>22</v>
      </c>
      <c r="G196" s="97" t="s">
        <v>721</v>
      </c>
      <c r="H196" s="97" t="s">
        <v>24</v>
      </c>
      <c r="I196" s="97" t="s">
        <v>721</v>
      </c>
      <c r="J196" s="100">
        <v>44792</v>
      </c>
      <c r="K196" s="100">
        <v>44792</v>
      </c>
      <c r="L196" s="101">
        <f t="shared" si="4"/>
        <v>1</v>
      </c>
      <c r="M196" s="97" t="s">
        <v>8962</v>
      </c>
      <c r="N196" s="68" t="s">
        <v>26</v>
      </c>
      <c r="O196" s="97" t="s">
        <v>2642</v>
      </c>
      <c r="P196" s="99" t="s">
        <v>2643</v>
      </c>
      <c r="Q196" s="68" t="str">
        <f t="shared" si="5"/>
        <v>DENTRO DEL TIEMPO</v>
      </c>
      <c r="R196" s="99"/>
    </row>
    <row r="197" spans="1:18" ht="60.75" x14ac:dyDescent="0.25">
      <c r="A197" s="96">
        <v>192</v>
      </c>
      <c r="B197" s="97" t="s">
        <v>8963</v>
      </c>
      <c r="C197" s="98">
        <v>44791</v>
      </c>
      <c r="D197" s="98">
        <v>44791</v>
      </c>
      <c r="E197" s="99">
        <v>2</v>
      </c>
      <c r="F197" s="99" t="s">
        <v>22</v>
      </c>
      <c r="G197" s="97" t="s">
        <v>721</v>
      </c>
      <c r="H197" s="97" t="s">
        <v>24</v>
      </c>
      <c r="I197" s="97" t="s">
        <v>721</v>
      </c>
      <c r="J197" s="100">
        <v>44792</v>
      </c>
      <c r="K197" s="100">
        <v>44792</v>
      </c>
      <c r="L197" s="101">
        <f t="shared" si="4"/>
        <v>1</v>
      </c>
      <c r="M197" s="97" t="s">
        <v>8964</v>
      </c>
      <c r="N197" s="68" t="s">
        <v>26</v>
      </c>
      <c r="O197" s="97" t="s">
        <v>3159</v>
      </c>
      <c r="P197" s="99" t="s">
        <v>3160</v>
      </c>
      <c r="Q197" s="68" t="str">
        <f t="shared" si="5"/>
        <v>DENTRO DEL TIEMPO</v>
      </c>
      <c r="R197" s="99"/>
    </row>
    <row r="198" spans="1:18" ht="60.75" x14ac:dyDescent="0.25">
      <c r="A198" s="96">
        <v>193</v>
      </c>
      <c r="B198" s="97" t="s">
        <v>8965</v>
      </c>
      <c r="C198" s="98">
        <v>44791</v>
      </c>
      <c r="D198" s="98">
        <v>44791</v>
      </c>
      <c r="E198" s="99">
        <v>2</v>
      </c>
      <c r="F198" s="99" t="s">
        <v>22</v>
      </c>
      <c r="G198" s="97" t="s">
        <v>721</v>
      </c>
      <c r="H198" s="97" t="s">
        <v>24</v>
      </c>
      <c r="I198" s="97" t="s">
        <v>721</v>
      </c>
      <c r="J198" s="100">
        <v>44792</v>
      </c>
      <c r="K198" s="100">
        <v>44792</v>
      </c>
      <c r="L198" s="101">
        <f t="shared" ref="L198:L261" si="6">+NETWORKDAYS(D198,K198,$R$6:$R$9)-1</f>
        <v>1</v>
      </c>
      <c r="M198" s="97" t="s">
        <v>8966</v>
      </c>
      <c r="N198" s="68" t="s">
        <v>26</v>
      </c>
      <c r="O198" s="97" t="s">
        <v>3159</v>
      </c>
      <c r="P198" s="99" t="s">
        <v>3160</v>
      </c>
      <c r="Q198" s="68" t="str">
        <f t="shared" ref="Q198:Q261" si="7">IF(L198&gt;15,"FUERA DE TIEMPO","DENTRO DEL TIEMPO")</f>
        <v>DENTRO DEL TIEMPO</v>
      </c>
      <c r="R198" s="99"/>
    </row>
    <row r="199" spans="1:18" ht="60.75" x14ac:dyDescent="0.25">
      <c r="A199" s="96">
        <v>194</v>
      </c>
      <c r="B199" s="97" t="s">
        <v>8967</v>
      </c>
      <c r="C199" s="98">
        <v>44791</v>
      </c>
      <c r="D199" s="98">
        <v>44791</v>
      </c>
      <c r="E199" s="99">
        <v>2</v>
      </c>
      <c r="F199" s="99" t="s">
        <v>22</v>
      </c>
      <c r="G199" s="97" t="s">
        <v>721</v>
      </c>
      <c r="H199" s="97" t="s">
        <v>24</v>
      </c>
      <c r="I199" s="97" t="s">
        <v>721</v>
      </c>
      <c r="J199" s="100">
        <v>44792</v>
      </c>
      <c r="K199" s="100">
        <v>44792</v>
      </c>
      <c r="L199" s="101">
        <f t="shared" si="6"/>
        <v>1</v>
      </c>
      <c r="M199" s="97" t="s">
        <v>8968</v>
      </c>
      <c r="N199" s="68" t="s">
        <v>26</v>
      </c>
      <c r="O199" s="97" t="s">
        <v>3159</v>
      </c>
      <c r="P199" s="99" t="s">
        <v>3160</v>
      </c>
      <c r="Q199" s="68" t="str">
        <f t="shared" si="7"/>
        <v>DENTRO DEL TIEMPO</v>
      </c>
      <c r="R199" s="99"/>
    </row>
    <row r="200" spans="1:18" ht="60.75" x14ac:dyDescent="0.25">
      <c r="A200" s="96">
        <v>195</v>
      </c>
      <c r="B200" s="97" t="s">
        <v>8969</v>
      </c>
      <c r="C200" s="98">
        <v>44791</v>
      </c>
      <c r="D200" s="98">
        <v>44791</v>
      </c>
      <c r="E200" s="99">
        <v>2</v>
      </c>
      <c r="F200" s="99" t="s">
        <v>22</v>
      </c>
      <c r="G200" s="97" t="s">
        <v>721</v>
      </c>
      <c r="H200" s="97" t="s">
        <v>24</v>
      </c>
      <c r="I200" s="97" t="s">
        <v>721</v>
      </c>
      <c r="J200" s="100">
        <v>44792</v>
      </c>
      <c r="K200" s="100">
        <v>44792</v>
      </c>
      <c r="L200" s="101">
        <f t="shared" si="6"/>
        <v>1</v>
      </c>
      <c r="M200" s="97" t="s">
        <v>8970</v>
      </c>
      <c r="N200" s="68" t="s">
        <v>26</v>
      </c>
      <c r="O200" s="97" t="s">
        <v>3159</v>
      </c>
      <c r="P200" s="99" t="s">
        <v>3160</v>
      </c>
      <c r="Q200" s="68" t="str">
        <f t="shared" si="7"/>
        <v>DENTRO DEL TIEMPO</v>
      </c>
      <c r="R200" s="99"/>
    </row>
    <row r="201" spans="1:18" ht="60.75" x14ac:dyDescent="0.25">
      <c r="A201" s="96">
        <v>196</v>
      </c>
      <c r="B201" s="97" t="s">
        <v>8971</v>
      </c>
      <c r="C201" s="98">
        <v>44791</v>
      </c>
      <c r="D201" s="98">
        <v>44791</v>
      </c>
      <c r="E201" s="99">
        <v>2</v>
      </c>
      <c r="F201" s="99" t="s">
        <v>22</v>
      </c>
      <c r="G201" s="97" t="s">
        <v>721</v>
      </c>
      <c r="H201" s="97" t="s">
        <v>24</v>
      </c>
      <c r="I201" s="97" t="s">
        <v>721</v>
      </c>
      <c r="J201" s="100">
        <v>44792</v>
      </c>
      <c r="K201" s="100">
        <v>44792</v>
      </c>
      <c r="L201" s="101">
        <f t="shared" si="6"/>
        <v>1</v>
      </c>
      <c r="M201" s="97" t="s">
        <v>8972</v>
      </c>
      <c r="N201" s="68" t="s">
        <v>26</v>
      </c>
      <c r="O201" s="97" t="s">
        <v>8973</v>
      </c>
      <c r="P201" s="99" t="s">
        <v>8803</v>
      </c>
      <c r="Q201" s="68" t="str">
        <f t="shared" si="7"/>
        <v>DENTRO DEL TIEMPO</v>
      </c>
      <c r="R201" s="99"/>
    </row>
    <row r="202" spans="1:18" ht="60.75" x14ac:dyDescent="0.25">
      <c r="A202" s="96">
        <v>197</v>
      </c>
      <c r="B202" s="97" t="s">
        <v>8974</v>
      </c>
      <c r="C202" s="98">
        <v>44791</v>
      </c>
      <c r="D202" s="98">
        <v>44791</v>
      </c>
      <c r="E202" s="99">
        <v>2</v>
      </c>
      <c r="F202" s="99" t="s">
        <v>22</v>
      </c>
      <c r="G202" s="97" t="s">
        <v>721</v>
      </c>
      <c r="H202" s="97" t="s">
        <v>24</v>
      </c>
      <c r="I202" s="97" t="s">
        <v>721</v>
      </c>
      <c r="J202" s="100">
        <v>44792</v>
      </c>
      <c r="K202" s="100">
        <v>44792</v>
      </c>
      <c r="L202" s="101">
        <f t="shared" si="6"/>
        <v>1</v>
      </c>
      <c r="M202" s="97" t="s">
        <v>8975</v>
      </c>
      <c r="N202" s="68" t="s">
        <v>26</v>
      </c>
      <c r="O202" s="97" t="s">
        <v>8976</v>
      </c>
      <c r="P202" s="99" t="s">
        <v>8977</v>
      </c>
      <c r="Q202" s="68" t="str">
        <f t="shared" si="7"/>
        <v>DENTRO DEL TIEMPO</v>
      </c>
      <c r="R202" s="99"/>
    </row>
    <row r="203" spans="1:18" ht="60.75" x14ac:dyDescent="0.25">
      <c r="A203" s="96">
        <v>198</v>
      </c>
      <c r="B203" s="97" t="s">
        <v>8978</v>
      </c>
      <c r="C203" s="98">
        <v>44791</v>
      </c>
      <c r="D203" s="98">
        <v>44791</v>
      </c>
      <c r="E203" s="99">
        <v>2</v>
      </c>
      <c r="F203" s="99" t="s">
        <v>22</v>
      </c>
      <c r="G203" s="97" t="s">
        <v>721</v>
      </c>
      <c r="H203" s="97" t="s">
        <v>24</v>
      </c>
      <c r="I203" s="97" t="s">
        <v>721</v>
      </c>
      <c r="J203" s="100">
        <v>44792</v>
      </c>
      <c r="K203" s="100">
        <v>44792</v>
      </c>
      <c r="L203" s="101">
        <f t="shared" si="6"/>
        <v>1</v>
      </c>
      <c r="M203" s="97" t="s">
        <v>8979</v>
      </c>
      <c r="N203" s="68" t="s">
        <v>26</v>
      </c>
      <c r="O203" s="97" t="s">
        <v>8901</v>
      </c>
      <c r="P203" s="99" t="s">
        <v>8902</v>
      </c>
      <c r="Q203" s="68" t="str">
        <f t="shared" si="7"/>
        <v>DENTRO DEL TIEMPO</v>
      </c>
      <c r="R203" s="99"/>
    </row>
    <row r="204" spans="1:18" ht="60.75" x14ac:dyDescent="0.25">
      <c r="A204" s="96">
        <v>199</v>
      </c>
      <c r="B204" s="97" t="s">
        <v>8980</v>
      </c>
      <c r="C204" s="98">
        <v>44791</v>
      </c>
      <c r="D204" s="98">
        <v>44791</v>
      </c>
      <c r="E204" s="99">
        <v>2</v>
      </c>
      <c r="F204" s="99" t="s">
        <v>22</v>
      </c>
      <c r="G204" s="97" t="s">
        <v>721</v>
      </c>
      <c r="H204" s="97" t="s">
        <v>24</v>
      </c>
      <c r="I204" s="97" t="s">
        <v>721</v>
      </c>
      <c r="J204" s="100">
        <v>44791</v>
      </c>
      <c r="K204" s="100">
        <v>44791</v>
      </c>
      <c r="L204" s="101">
        <f t="shared" si="6"/>
        <v>0</v>
      </c>
      <c r="M204" s="97" t="s">
        <v>8981</v>
      </c>
      <c r="N204" s="68" t="s">
        <v>26</v>
      </c>
      <c r="O204" s="97" t="s">
        <v>8982</v>
      </c>
      <c r="P204" s="99" t="s">
        <v>8983</v>
      </c>
      <c r="Q204" s="68" t="str">
        <f t="shared" si="7"/>
        <v>DENTRO DEL TIEMPO</v>
      </c>
      <c r="R204" s="99"/>
    </row>
    <row r="205" spans="1:18" ht="60.75" x14ac:dyDescent="0.25">
      <c r="A205" s="96">
        <v>200</v>
      </c>
      <c r="B205" s="97" t="s">
        <v>8984</v>
      </c>
      <c r="C205" s="98">
        <v>44791</v>
      </c>
      <c r="D205" s="98">
        <v>44791</v>
      </c>
      <c r="E205" s="99">
        <v>2</v>
      </c>
      <c r="F205" s="99" t="s">
        <v>22</v>
      </c>
      <c r="G205" s="97" t="s">
        <v>721</v>
      </c>
      <c r="H205" s="97" t="s">
        <v>24</v>
      </c>
      <c r="I205" s="97" t="s">
        <v>721</v>
      </c>
      <c r="J205" s="100">
        <v>44792</v>
      </c>
      <c r="K205" s="100">
        <v>44792</v>
      </c>
      <c r="L205" s="101">
        <f t="shared" si="6"/>
        <v>1</v>
      </c>
      <c r="M205" s="97" t="s">
        <v>8985</v>
      </c>
      <c r="N205" s="68" t="s">
        <v>26</v>
      </c>
      <c r="O205" s="97" t="s">
        <v>2982</v>
      </c>
      <c r="P205" s="99" t="s">
        <v>2965</v>
      </c>
      <c r="Q205" s="68" t="str">
        <f t="shared" si="7"/>
        <v>DENTRO DEL TIEMPO</v>
      </c>
      <c r="R205" s="99"/>
    </row>
    <row r="206" spans="1:18" ht="60.75" x14ac:dyDescent="0.25">
      <c r="A206" s="96">
        <v>201</v>
      </c>
      <c r="B206" s="97" t="s">
        <v>8986</v>
      </c>
      <c r="C206" s="98">
        <v>44792</v>
      </c>
      <c r="D206" s="98">
        <v>44792</v>
      </c>
      <c r="E206" s="99">
        <v>2</v>
      </c>
      <c r="F206" s="99" t="s">
        <v>22</v>
      </c>
      <c r="G206" s="97" t="s">
        <v>721</v>
      </c>
      <c r="H206" s="97" t="s">
        <v>24</v>
      </c>
      <c r="I206" s="97" t="s">
        <v>721</v>
      </c>
      <c r="J206" s="100">
        <v>44792</v>
      </c>
      <c r="K206" s="100">
        <v>44792</v>
      </c>
      <c r="L206" s="101">
        <f t="shared" si="6"/>
        <v>0</v>
      </c>
      <c r="M206" s="97" t="s">
        <v>8987</v>
      </c>
      <c r="N206" s="68" t="s">
        <v>26</v>
      </c>
      <c r="O206" s="97" t="s">
        <v>8988</v>
      </c>
      <c r="P206" s="99" t="s">
        <v>8989</v>
      </c>
      <c r="Q206" s="68" t="str">
        <f t="shared" si="7"/>
        <v>DENTRO DEL TIEMPO</v>
      </c>
      <c r="R206" s="99"/>
    </row>
    <row r="207" spans="1:18" ht="60.75" x14ac:dyDescent="0.25">
      <c r="A207" s="96">
        <v>202</v>
      </c>
      <c r="B207" s="97" t="s">
        <v>8990</v>
      </c>
      <c r="C207" s="98">
        <v>44792</v>
      </c>
      <c r="D207" s="98">
        <v>44792</v>
      </c>
      <c r="E207" s="99">
        <v>2</v>
      </c>
      <c r="F207" s="99" t="s">
        <v>22</v>
      </c>
      <c r="G207" s="97" t="s">
        <v>721</v>
      </c>
      <c r="H207" s="97" t="s">
        <v>24</v>
      </c>
      <c r="I207" s="97" t="s">
        <v>721</v>
      </c>
      <c r="J207" s="100">
        <v>44792</v>
      </c>
      <c r="K207" s="100">
        <v>44792</v>
      </c>
      <c r="L207" s="101">
        <f t="shared" si="6"/>
        <v>0</v>
      </c>
      <c r="M207" s="97" t="s">
        <v>8991</v>
      </c>
      <c r="N207" s="68" t="s">
        <v>26</v>
      </c>
      <c r="O207" s="97" t="s">
        <v>8992</v>
      </c>
      <c r="P207" s="99" t="s">
        <v>8993</v>
      </c>
      <c r="Q207" s="68" t="str">
        <f t="shared" si="7"/>
        <v>DENTRO DEL TIEMPO</v>
      </c>
      <c r="R207" s="99"/>
    </row>
    <row r="208" spans="1:18" ht="60.75" x14ac:dyDescent="0.25">
      <c r="A208" s="96">
        <v>203</v>
      </c>
      <c r="B208" s="97" t="s">
        <v>8994</v>
      </c>
      <c r="C208" s="98">
        <v>44792</v>
      </c>
      <c r="D208" s="98">
        <v>44792</v>
      </c>
      <c r="E208" s="99">
        <v>2</v>
      </c>
      <c r="F208" s="99" t="s">
        <v>22</v>
      </c>
      <c r="G208" s="97" t="s">
        <v>721</v>
      </c>
      <c r="H208" s="97" t="s">
        <v>24</v>
      </c>
      <c r="I208" s="97" t="s">
        <v>721</v>
      </c>
      <c r="J208" s="100">
        <v>44792</v>
      </c>
      <c r="K208" s="100">
        <v>44792</v>
      </c>
      <c r="L208" s="101">
        <f t="shared" si="6"/>
        <v>0</v>
      </c>
      <c r="M208" s="97" t="s">
        <v>8995</v>
      </c>
      <c r="N208" s="68" t="s">
        <v>26</v>
      </c>
      <c r="O208" s="97" t="s">
        <v>8996</v>
      </c>
      <c r="P208" s="99" t="s">
        <v>2493</v>
      </c>
      <c r="Q208" s="68" t="str">
        <f t="shared" si="7"/>
        <v>DENTRO DEL TIEMPO</v>
      </c>
      <c r="R208" s="99"/>
    </row>
    <row r="209" spans="1:18" ht="48.75" hidden="1" x14ac:dyDescent="0.25">
      <c r="A209" s="96">
        <v>204</v>
      </c>
      <c r="B209" s="97" t="s">
        <v>8997</v>
      </c>
      <c r="C209" s="98">
        <v>44792</v>
      </c>
      <c r="D209" s="98">
        <v>44792</v>
      </c>
      <c r="E209" s="99">
        <v>0</v>
      </c>
      <c r="F209" s="99" t="s">
        <v>790</v>
      </c>
      <c r="G209" s="97" t="s">
        <v>8998</v>
      </c>
      <c r="H209" s="97" t="s">
        <v>6971</v>
      </c>
      <c r="I209" s="97" t="s">
        <v>8998</v>
      </c>
      <c r="J209" s="100">
        <v>44795</v>
      </c>
      <c r="K209" s="100">
        <v>44795</v>
      </c>
      <c r="L209" s="101">
        <f t="shared" si="6"/>
        <v>1</v>
      </c>
      <c r="M209" s="97" t="s">
        <v>8999</v>
      </c>
      <c r="N209" s="68" t="s">
        <v>26</v>
      </c>
      <c r="O209" s="97" t="s">
        <v>8996</v>
      </c>
      <c r="P209" s="99" t="s">
        <v>2493</v>
      </c>
      <c r="Q209" s="68" t="str">
        <f t="shared" si="7"/>
        <v>DENTRO DEL TIEMPO</v>
      </c>
      <c r="R209" s="99"/>
    </row>
    <row r="210" spans="1:18" ht="60.75" x14ac:dyDescent="0.25">
      <c r="A210" s="96">
        <v>205</v>
      </c>
      <c r="B210" s="97" t="s">
        <v>9000</v>
      </c>
      <c r="C210" s="98">
        <v>44792</v>
      </c>
      <c r="D210" s="98">
        <v>44792</v>
      </c>
      <c r="E210" s="99">
        <v>2</v>
      </c>
      <c r="F210" s="99" t="s">
        <v>22</v>
      </c>
      <c r="G210" s="97" t="s">
        <v>721</v>
      </c>
      <c r="H210" s="97" t="s">
        <v>24</v>
      </c>
      <c r="I210" s="97" t="s">
        <v>721</v>
      </c>
      <c r="J210" s="100">
        <v>44792</v>
      </c>
      <c r="K210" s="100">
        <v>44792</v>
      </c>
      <c r="L210" s="101">
        <f t="shared" si="6"/>
        <v>0</v>
      </c>
      <c r="M210" s="97" t="s">
        <v>9001</v>
      </c>
      <c r="N210" s="68" t="s">
        <v>26</v>
      </c>
      <c r="O210" s="97" t="s">
        <v>8717</v>
      </c>
      <c r="P210" s="99" t="s">
        <v>8718</v>
      </c>
      <c r="Q210" s="68" t="str">
        <f t="shared" si="7"/>
        <v>DENTRO DEL TIEMPO</v>
      </c>
      <c r="R210" s="99"/>
    </row>
    <row r="211" spans="1:18" ht="60.75" x14ac:dyDescent="0.25">
      <c r="A211" s="96">
        <v>206</v>
      </c>
      <c r="B211" s="97" t="s">
        <v>9002</v>
      </c>
      <c r="C211" s="98">
        <v>44792</v>
      </c>
      <c r="D211" s="98">
        <v>44792</v>
      </c>
      <c r="E211" s="99">
        <v>2</v>
      </c>
      <c r="F211" s="99" t="s">
        <v>22</v>
      </c>
      <c r="G211" s="97" t="s">
        <v>721</v>
      </c>
      <c r="H211" s="97" t="s">
        <v>24</v>
      </c>
      <c r="I211" s="97" t="s">
        <v>721</v>
      </c>
      <c r="J211" s="100">
        <v>44792</v>
      </c>
      <c r="K211" s="100">
        <v>44792</v>
      </c>
      <c r="L211" s="101">
        <f t="shared" si="6"/>
        <v>0</v>
      </c>
      <c r="M211" s="97" t="s">
        <v>9003</v>
      </c>
      <c r="N211" s="68" t="s">
        <v>26</v>
      </c>
      <c r="O211" s="97" t="s">
        <v>9004</v>
      </c>
      <c r="P211" s="99" t="s">
        <v>8781</v>
      </c>
      <c r="Q211" s="68" t="str">
        <f t="shared" si="7"/>
        <v>DENTRO DEL TIEMPO</v>
      </c>
      <c r="R211" s="99"/>
    </row>
    <row r="212" spans="1:18" ht="60.75" x14ac:dyDescent="0.25">
      <c r="A212" s="96">
        <v>207</v>
      </c>
      <c r="B212" s="97" t="s">
        <v>9005</v>
      </c>
      <c r="C212" s="98">
        <v>44792</v>
      </c>
      <c r="D212" s="98">
        <v>44792</v>
      </c>
      <c r="E212" s="99">
        <v>2</v>
      </c>
      <c r="F212" s="99" t="s">
        <v>22</v>
      </c>
      <c r="G212" s="97" t="s">
        <v>721</v>
      </c>
      <c r="H212" s="97" t="s">
        <v>24</v>
      </c>
      <c r="I212" s="97" t="s">
        <v>721</v>
      </c>
      <c r="J212" s="100">
        <v>44792</v>
      </c>
      <c r="K212" s="100">
        <v>44792</v>
      </c>
      <c r="L212" s="101">
        <f t="shared" si="6"/>
        <v>0</v>
      </c>
      <c r="M212" s="97" t="s">
        <v>9006</v>
      </c>
      <c r="N212" s="68" t="s">
        <v>26</v>
      </c>
      <c r="O212" s="97" t="s">
        <v>2357</v>
      </c>
      <c r="P212" s="99" t="s">
        <v>2358</v>
      </c>
      <c r="Q212" s="68" t="str">
        <f t="shared" si="7"/>
        <v>DENTRO DEL TIEMPO</v>
      </c>
      <c r="R212" s="99"/>
    </row>
    <row r="213" spans="1:18" ht="60.75" x14ac:dyDescent="0.25">
      <c r="A213" s="96">
        <v>208</v>
      </c>
      <c r="B213" s="97" t="s">
        <v>9007</v>
      </c>
      <c r="C213" s="98">
        <v>44792</v>
      </c>
      <c r="D213" s="98">
        <v>44792</v>
      </c>
      <c r="E213" s="99">
        <v>2</v>
      </c>
      <c r="F213" s="99" t="s">
        <v>22</v>
      </c>
      <c r="G213" s="97" t="s">
        <v>1256</v>
      </c>
      <c r="H213" s="97" t="s">
        <v>24</v>
      </c>
      <c r="I213" s="97" t="s">
        <v>1256</v>
      </c>
      <c r="J213" s="100">
        <v>44802</v>
      </c>
      <c r="K213" s="100">
        <v>44802</v>
      </c>
      <c r="L213" s="101">
        <f t="shared" si="6"/>
        <v>6</v>
      </c>
      <c r="M213" s="97" t="s">
        <v>9008</v>
      </c>
      <c r="N213" s="68" t="s">
        <v>26</v>
      </c>
      <c r="O213" s="97" t="s">
        <v>9009</v>
      </c>
      <c r="P213" s="99" t="s">
        <v>1354</v>
      </c>
      <c r="Q213" s="68" t="str">
        <f t="shared" si="7"/>
        <v>DENTRO DEL TIEMPO</v>
      </c>
      <c r="R213" s="99"/>
    </row>
    <row r="214" spans="1:18" ht="60.75" x14ac:dyDescent="0.25">
      <c r="A214" s="96">
        <v>209</v>
      </c>
      <c r="B214" s="97" t="s">
        <v>9010</v>
      </c>
      <c r="C214" s="98">
        <v>44795</v>
      </c>
      <c r="D214" s="98">
        <v>44795</v>
      </c>
      <c r="E214" s="99">
        <v>2</v>
      </c>
      <c r="F214" s="99" t="s">
        <v>22</v>
      </c>
      <c r="G214" s="97" t="s">
        <v>1256</v>
      </c>
      <c r="H214" s="97" t="s">
        <v>24</v>
      </c>
      <c r="I214" s="97" t="s">
        <v>1256</v>
      </c>
      <c r="J214" s="100">
        <v>44795</v>
      </c>
      <c r="K214" s="100">
        <v>44795</v>
      </c>
      <c r="L214" s="101">
        <f t="shared" si="6"/>
        <v>0</v>
      </c>
      <c r="M214" s="97" t="s">
        <v>9011</v>
      </c>
      <c r="N214" s="68" t="s">
        <v>26</v>
      </c>
      <c r="O214" s="97" t="s">
        <v>9012</v>
      </c>
      <c r="P214" s="99" t="s">
        <v>9013</v>
      </c>
      <c r="Q214" s="68" t="str">
        <f t="shared" si="7"/>
        <v>DENTRO DEL TIEMPO</v>
      </c>
      <c r="R214" s="99"/>
    </row>
    <row r="215" spans="1:18" ht="60.75" x14ac:dyDescent="0.25">
      <c r="A215" s="96">
        <v>210</v>
      </c>
      <c r="B215" s="97" t="s">
        <v>9014</v>
      </c>
      <c r="C215" s="98">
        <v>44795</v>
      </c>
      <c r="D215" s="98">
        <v>44795</v>
      </c>
      <c r="E215" s="99">
        <v>2</v>
      </c>
      <c r="F215" s="99" t="s">
        <v>22</v>
      </c>
      <c r="G215" s="97" t="s">
        <v>1256</v>
      </c>
      <c r="H215" s="97" t="s">
        <v>24</v>
      </c>
      <c r="I215" s="97" t="s">
        <v>1256</v>
      </c>
      <c r="J215" s="100">
        <v>44796</v>
      </c>
      <c r="K215" s="100">
        <v>44796</v>
      </c>
      <c r="L215" s="101">
        <f t="shared" si="6"/>
        <v>1</v>
      </c>
      <c r="M215" s="97" t="s">
        <v>9015</v>
      </c>
      <c r="N215" s="68" t="s">
        <v>26</v>
      </c>
      <c r="O215" s="97" t="s">
        <v>3716</v>
      </c>
      <c r="P215" s="99" t="s">
        <v>7676</v>
      </c>
      <c r="Q215" s="68" t="str">
        <f t="shared" si="7"/>
        <v>DENTRO DEL TIEMPO</v>
      </c>
      <c r="R215" s="99"/>
    </row>
    <row r="216" spans="1:18" ht="60.75" x14ac:dyDescent="0.25">
      <c r="A216" s="96">
        <v>211</v>
      </c>
      <c r="B216" s="97" t="s">
        <v>9016</v>
      </c>
      <c r="C216" s="98">
        <v>44795</v>
      </c>
      <c r="D216" s="98">
        <v>44795</v>
      </c>
      <c r="E216" s="99">
        <v>2</v>
      </c>
      <c r="F216" s="99" t="s">
        <v>22</v>
      </c>
      <c r="G216" s="97" t="s">
        <v>1256</v>
      </c>
      <c r="H216" s="97" t="s">
        <v>24</v>
      </c>
      <c r="I216" s="97" t="s">
        <v>1256</v>
      </c>
      <c r="J216" s="100">
        <v>44796</v>
      </c>
      <c r="K216" s="100">
        <v>44796</v>
      </c>
      <c r="L216" s="101">
        <f t="shared" si="6"/>
        <v>1</v>
      </c>
      <c r="M216" s="97" t="s">
        <v>9017</v>
      </c>
      <c r="N216" s="68" t="s">
        <v>26</v>
      </c>
      <c r="O216" s="97" t="s">
        <v>2544</v>
      </c>
      <c r="P216" s="99" t="s">
        <v>9018</v>
      </c>
      <c r="Q216" s="68" t="str">
        <f t="shared" si="7"/>
        <v>DENTRO DEL TIEMPO</v>
      </c>
      <c r="R216" s="99"/>
    </row>
    <row r="217" spans="1:18" ht="60.75" x14ac:dyDescent="0.25">
      <c r="A217" s="96">
        <v>212</v>
      </c>
      <c r="B217" s="97" t="s">
        <v>9019</v>
      </c>
      <c r="C217" s="98">
        <v>44795</v>
      </c>
      <c r="D217" s="98">
        <v>44795</v>
      </c>
      <c r="E217" s="99">
        <v>2</v>
      </c>
      <c r="F217" s="99" t="s">
        <v>22</v>
      </c>
      <c r="G217" s="97" t="s">
        <v>1256</v>
      </c>
      <c r="H217" s="97" t="s">
        <v>24</v>
      </c>
      <c r="I217" s="97" t="s">
        <v>1256</v>
      </c>
      <c r="J217" s="100">
        <v>44796</v>
      </c>
      <c r="K217" s="100">
        <v>44796</v>
      </c>
      <c r="L217" s="101">
        <f t="shared" si="6"/>
        <v>1</v>
      </c>
      <c r="M217" s="97" t="s">
        <v>9020</v>
      </c>
      <c r="N217" s="68" t="s">
        <v>26</v>
      </c>
      <c r="O217" s="97" t="s">
        <v>9021</v>
      </c>
      <c r="P217" s="99" t="s">
        <v>9022</v>
      </c>
      <c r="Q217" s="68" t="str">
        <f t="shared" si="7"/>
        <v>DENTRO DEL TIEMPO</v>
      </c>
      <c r="R217" s="99"/>
    </row>
    <row r="218" spans="1:18" ht="60.75" x14ac:dyDescent="0.25">
      <c r="A218" s="96">
        <v>213</v>
      </c>
      <c r="B218" s="97" t="s">
        <v>9023</v>
      </c>
      <c r="C218" s="98">
        <v>44795</v>
      </c>
      <c r="D218" s="98">
        <v>44795</v>
      </c>
      <c r="E218" s="99">
        <v>2</v>
      </c>
      <c r="F218" s="99" t="s">
        <v>22</v>
      </c>
      <c r="G218" s="97" t="s">
        <v>1256</v>
      </c>
      <c r="H218" s="97" t="s">
        <v>24</v>
      </c>
      <c r="I218" s="97" t="s">
        <v>1256</v>
      </c>
      <c r="J218" s="100">
        <v>44799</v>
      </c>
      <c r="K218" s="100">
        <v>44799</v>
      </c>
      <c r="L218" s="101">
        <f t="shared" si="6"/>
        <v>4</v>
      </c>
      <c r="M218" s="97" t="s">
        <v>9024</v>
      </c>
      <c r="N218" s="68" t="s">
        <v>26</v>
      </c>
      <c r="O218" s="97" t="s">
        <v>9025</v>
      </c>
      <c r="P218" s="99" t="s">
        <v>9026</v>
      </c>
      <c r="Q218" s="68" t="str">
        <f t="shared" si="7"/>
        <v>DENTRO DEL TIEMPO</v>
      </c>
      <c r="R218" s="99"/>
    </row>
    <row r="219" spans="1:18" ht="60.75" x14ac:dyDescent="0.25">
      <c r="A219" s="96">
        <v>214</v>
      </c>
      <c r="B219" s="97" t="s">
        <v>9027</v>
      </c>
      <c r="C219" s="98">
        <v>44795</v>
      </c>
      <c r="D219" s="98">
        <v>44795</v>
      </c>
      <c r="E219" s="99">
        <v>130</v>
      </c>
      <c r="F219" s="99" t="s">
        <v>22</v>
      </c>
      <c r="G219" s="97" t="s">
        <v>1256</v>
      </c>
      <c r="H219" s="97" t="s">
        <v>24</v>
      </c>
      <c r="I219" s="97" t="s">
        <v>1256</v>
      </c>
      <c r="J219" s="100">
        <v>44798</v>
      </c>
      <c r="K219" s="100">
        <v>44798</v>
      </c>
      <c r="L219" s="101">
        <f t="shared" si="6"/>
        <v>3</v>
      </c>
      <c r="M219" s="97" t="s">
        <v>9028</v>
      </c>
      <c r="N219" s="68" t="s">
        <v>26</v>
      </c>
      <c r="O219" s="97" t="s">
        <v>7873</v>
      </c>
      <c r="P219" s="99" t="s">
        <v>7874</v>
      </c>
      <c r="Q219" s="68" t="str">
        <f t="shared" si="7"/>
        <v>DENTRO DEL TIEMPO</v>
      </c>
      <c r="R219" s="99"/>
    </row>
    <row r="220" spans="1:18" ht="60.75" x14ac:dyDescent="0.25">
      <c r="A220" s="96">
        <v>215</v>
      </c>
      <c r="B220" s="97" t="s">
        <v>9029</v>
      </c>
      <c r="C220" s="98">
        <v>44795</v>
      </c>
      <c r="D220" s="98">
        <v>44795</v>
      </c>
      <c r="E220" s="99">
        <v>2</v>
      </c>
      <c r="F220" s="99" t="s">
        <v>22</v>
      </c>
      <c r="G220" s="97" t="s">
        <v>1256</v>
      </c>
      <c r="H220" s="97" t="s">
        <v>24</v>
      </c>
      <c r="I220" s="97" t="s">
        <v>1256</v>
      </c>
      <c r="J220" s="100">
        <v>44799</v>
      </c>
      <c r="K220" s="100">
        <v>44799</v>
      </c>
      <c r="L220" s="101">
        <f t="shared" si="6"/>
        <v>4</v>
      </c>
      <c r="M220" s="97" t="s">
        <v>9030</v>
      </c>
      <c r="N220" s="68" t="s">
        <v>26</v>
      </c>
      <c r="O220" s="97" t="s">
        <v>9031</v>
      </c>
      <c r="P220" s="99" t="s">
        <v>9032</v>
      </c>
      <c r="Q220" s="68" t="str">
        <f t="shared" si="7"/>
        <v>DENTRO DEL TIEMPO</v>
      </c>
      <c r="R220" s="99"/>
    </row>
    <row r="221" spans="1:18" ht="60.75" x14ac:dyDescent="0.25">
      <c r="A221" s="96">
        <v>216</v>
      </c>
      <c r="B221" s="97" t="s">
        <v>9033</v>
      </c>
      <c r="C221" s="98">
        <v>44795</v>
      </c>
      <c r="D221" s="98">
        <v>44795</v>
      </c>
      <c r="E221" s="99">
        <v>2</v>
      </c>
      <c r="F221" s="99" t="s">
        <v>22</v>
      </c>
      <c r="G221" s="97" t="s">
        <v>1256</v>
      </c>
      <c r="H221" s="97" t="s">
        <v>24</v>
      </c>
      <c r="I221" s="97" t="s">
        <v>1256</v>
      </c>
      <c r="J221" s="100">
        <v>44796</v>
      </c>
      <c r="K221" s="100">
        <v>44796</v>
      </c>
      <c r="L221" s="101">
        <f t="shared" si="6"/>
        <v>1</v>
      </c>
      <c r="M221" s="97" t="s">
        <v>9034</v>
      </c>
      <c r="N221" s="68" t="s">
        <v>26</v>
      </c>
      <c r="O221" s="97" t="s">
        <v>7989</v>
      </c>
      <c r="P221" s="99" t="s">
        <v>7990</v>
      </c>
      <c r="Q221" s="68" t="str">
        <f t="shared" si="7"/>
        <v>DENTRO DEL TIEMPO</v>
      </c>
      <c r="R221" s="99"/>
    </row>
    <row r="222" spans="1:18" ht="60.75" x14ac:dyDescent="0.25">
      <c r="A222" s="96">
        <v>217</v>
      </c>
      <c r="B222" s="97" t="s">
        <v>9035</v>
      </c>
      <c r="C222" s="98">
        <v>44795</v>
      </c>
      <c r="D222" s="98">
        <v>44795</v>
      </c>
      <c r="E222" s="99">
        <v>2</v>
      </c>
      <c r="F222" s="99" t="s">
        <v>22</v>
      </c>
      <c r="G222" s="97" t="s">
        <v>1256</v>
      </c>
      <c r="H222" s="97" t="s">
        <v>24</v>
      </c>
      <c r="I222" s="97" t="s">
        <v>1256</v>
      </c>
      <c r="J222" s="100">
        <v>44796</v>
      </c>
      <c r="K222" s="100">
        <v>44796</v>
      </c>
      <c r="L222" s="101">
        <f t="shared" si="6"/>
        <v>1</v>
      </c>
      <c r="M222" s="97" t="s">
        <v>9036</v>
      </c>
      <c r="N222" s="68" t="s">
        <v>26</v>
      </c>
      <c r="O222" s="97" t="s">
        <v>9037</v>
      </c>
      <c r="P222" s="99" t="s">
        <v>8787</v>
      </c>
      <c r="Q222" s="68" t="str">
        <f t="shared" si="7"/>
        <v>DENTRO DEL TIEMPO</v>
      </c>
      <c r="R222" s="99"/>
    </row>
    <row r="223" spans="1:18" ht="60.75" x14ac:dyDescent="0.25">
      <c r="A223" s="96">
        <v>218</v>
      </c>
      <c r="B223" s="97" t="s">
        <v>9038</v>
      </c>
      <c r="C223" s="98">
        <v>44795</v>
      </c>
      <c r="D223" s="98">
        <v>44795</v>
      </c>
      <c r="E223" s="99">
        <v>2</v>
      </c>
      <c r="F223" s="99" t="s">
        <v>22</v>
      </c>
      <c r="G223" s="97" t="s">
        <v>1256</v>
      </c>
      <c r="H223" s="97" t="s">
        <v>24</v>
      </c>
      <c r="I223" s="97" t="s">
        <v>1256</v>
      </c>
      <c r="J223" s="100">
        <v>44796</v>
      </c>
      <c r="K223" s="100">
        <v>44796</v>
      </c>
      <c r="L223" s="101">
        <f t="shared" si="6"/>
        <v>1</v>
      </c>
      <c r="M223" s="97" t="s">
        <v>9039</v>
      </c>
      <c r="N223" s="68" t="s">
        <v>26</v>
      </c>
      <c r="O223" s="97" t="s">
        <v>9040</v>
      </c>
      <c r="P223" s="99" t="s">
        <v>9041</v>
      </c>
      <c r="Q223" s="68" t="str">
        <f t="shared" si="7"/>
        <v>DENTRO DEL TIEMPO</v>
      </c>
      <c r="R223" s="99"/>
    </row>
    <row r="224" spans="1:18" ht="60.75" x14ac:dyDescent="0.25">
      <c r="A224" s="96">
        <v>219</v>
      </c>
      <c r="B224" s="97" t="s">
        <v>9042</v>
      </c>
      <c r="C224" s="98">
        <v>44795</v>
      </c>
      <c r="D224" s="98">
        <v>44795</v>
      </c>
      <c r="E224" s="99">
        <v>2</v>
      </c>
      <c r="F224" s="99" t="s">
        <v>22</v>
      </c>
      <c r="G224" s="97" t="s">
        <v>1256</v>
      </c>
      <c r="H224" s="97" t="s">
        <v>24</v>
      </c>
      <c r="I224" s="97" t="s">
        <v>1256</v>
      </c>
      <c r="J224" s="100">
        <v>44796</v>
      </c>
      <c r="K224" s="100">
        <v>44796</v>
      </c>
      <c r="L224" s="101">
        <f t="shared" si="6"/>
        <v>1</v>
      </c>
      <c r="M224" s="97" t="s">
        <v>9043</v>
      </c>
      <c r="N224" s="68" t="s">
        <v>26</v>
      </c>
      <c r="O224" s="97" t="s">
        <v>4356</v>
      </c>
      <c r="P224" s="99" t="s">
        <v>1638</v>
      </c>
      <c r="Q224" s="68" t="str">
        <f t="shared" si="7"/>
        <v>DENTRO DEL TIEMPO</v>
      </c>
      <c r="R224" s="99"/>
    </row>
    <row r="225" spans="1:18" ht="60.75" x14ac:dyDescent="0.25">
      <c r="A225" s="96">
        <v>220</v>
      </c>
      <c r="B225" s="97" t="s">
        <v>9044</v>
      </c>
      <c r="C225" s="98">
        <v>44795</v>
      </c>
      <c r="D225" s="98">
        <v>44795</v>
      </c>
      <c r="E225" s="99">
        <v>2</v>
      </c>
      <c r="F225" s="99" t="s">
        <v>22</v>
      </c>
      <c r="G225" s="97" t="s">
        <v>1256</v>
      </c>
      <c r="H225" s="97" t="s">
        <v>24</v>
      </c>
      <c r="I225" s="97" t="s">
        <v>1256</v>
      </c>
      <c r="J225" s="100">
        <v>44797</v>
      </c>
      <c r="K225" s="100">
        <v>44797</v>
      </c>
      <c r="L225" s="101">
        <f t="shared" si="6"/>
        <v>2</v>
      </c>
      <c r="M225" s="97" t="s">
        <v>9045</v>
      </c>
      <c r="N225" s="68" t="s">
        <v>26</v>
      </c>
      <c r="O225" s="97" t="s">
        <v>9046</v>
      </c>
      <c r="P225" s="99" t="s">
        <v>9047</v>
      </c>
      <c r="Q225" s="68" t="str">
        <f t="shared" si="7"/>
        <v>DENTRO DEL TIEMPO</v>
      </c>
      <c r="R225" s="99"/>
    </row>
    <row r="226" spans="1:18" ht="60.75" x14ac:dyDescent="0.25">
      <c r="A226" s="96">
        <v>221</v>
      </c>
      <c r="B226" s="97" t="s">
        <v>9048</v>
      </c>
      <c r="C226" s="98">
        <v>44795</v>
      </c>
      <c r="D226" s="98">
        <v>44795</v>
      </c>
      <c r="E226" s="99">
        <v>2</v>
      </c>
      <c r="F226" s="99" t="s">
        <v>22</v>
      </c>
      <c r="G226" s="97" t="s">
        <v>1256</v>
      </c>
      <c r="H226" s="97" t="s">
        <v>24</v>
      </c>
      <c r="I226" s="97" t="s">
        <v>1256</v>
      </c>
      <c r="J226" s="100">
        <v>44796</v>
      </c>
      <c r="K226" s="100">
        <v>44796</v>
      </c>
      <c r="L226" s="101">
        <f t="shared" si="6"/>
        <v>1</v>
      </c>
      <c r="M226" s="97" t="s">
        <v>9049</v>
      </c>
      <c r="N226" s="68" t="s">
        <v>26</v>
      </c>
      <c r="O226" s="97" t="s">
        <v>2735</v>
      </c>
      <c r="P226" s="99" t="s">
        <v>2736</v>
      </c>
      <c r="Q226" s="68" t="str">
        <f t="shared" si="7"/>
        <v>DENTRO DEL TIEMPO</v>
      </c>
      <c r="R226" s="99"/>
    </row>
    <row r="227" spans="1:18" ht="60.75" x14ac:dyDescent="0.25">
      <c r="A227" s="96">
        <v>222</v>
      </c>
      <c r="B227" s="97" t="s">
        <v>9050</v>
      </c>
      <c r="C227" s="98">
        <v>44796</v>
      </c>
      <c r="D227" s="98">
        <v>44796</v>
      </c>
      <c r="E227" s="99">
        <v>2</v>
      </c>
      <c r="F227" s="99" t="s">
        <v>22</v>
      </c>
      <c r="G227" s="97" t="s">
        <v>1256</v>
      </c>
      <c r="H227" s="97" t="s">
        <v>24</v>
      </c>
      <c r="I227" s="97" t="s">
        <v>1256</v>
      </c>
      <c r="J227" s="100">
        <v>44797</v>
      </c>
      <c r="K227" s="100">
        <v>44797</v>
      </c>
      <c r="L227" s="101">
        <f t="shared" si="6"/>
        <v>1</v>
      </c>
      <c r="M227" s="97" t="s">
        <v>9051</v>
      </c>
      <c r="N227" s="68" t="s">
        <v>26</v>
      </c>
      <c r="O227" s="97" t="s">
        <v>9052</v>
      </c>
      <c r="P227" s="99" t="s">
        <v>2038</v>
      </c>
      <c r="Q227" s="68" t="str">
        <f t="shared" si="7"/>
        <v>DENTRO DEL TIEMPO</v>
      </c>
      <c r="R227" s="99"/>
    </row>
    <row r="228" spans="1:18" ht="60.75" x14ac:dyDescent="0.25">
      <c r="A228" s="96">
        <v>223</v>
      </c>
      <c r="B228" s="97" t="s">
        <v>9053</v>
      </c>
      <c r="C228" s="98">
        <v>44796</v>
      </c>
      <c r="D228" s="98">
        <v>44796</v>
      </c>
      <c r="E228" s="99">
        <v>2</v>
      </c>
      <c r="F228" s="99" t="s">
        <v>22</v>
      </c>
      <c r="G228" s="97" t="s">
        <v>1256</v>
      </c>
      <c r="H228" s="97" t="s">
        <v>24</v>
      </c>
      <c r="I228" s="97" t="s">
        <v>1256</v>
      </c>
      <c r="J228" s="100">
        <v>44797</v>
      </c>
      <c r="K228" s="100">
        <v>44797</v>
      </c>
      <c r="L228" s="101">
        <f t="shared" si="6"/>
        <v>1</v>
      </c>
      <c r="M228" s="97" t="s">
        <v>9054</v>
      </c>
      <c r="N228" s="68" t="s">
        <v>26</v>
      </c>
      <c r="O228" s="97" t="s">
        <v>2396</v>
      </c>
      <c r="P228" s="99" t="s">
        <v>1315</v>
      </c>
      <c r="Q228" s="68" t="str">
        <f t="shared" si="7"/>
        <v>DENTRO DEL TIEMPO</v>
      </c>
      <c r="R228" s="99"/>
    </row>
    <row r="229" spans="1:18" ht="60.75" x14ac:dyDescent="0.25">
      <c r="A229" s="96">
        <v>224</v>
      </c>
      <c r="B229" s="97" t="s">
        <v>9055</v>
      </c>
      <c r="C229" s="98">
        <v>44796</v>
      </c>
      <c r="D229" s="98">
        <v>44796</v>
      </c>
      <c r="E229" s="99">
        <v>2</v>
      </c>
      <c r="F229" s="99" t="s">
        <v>22</v>
      </c>
      <c r="G229" s="97" t="s">
        <v>1256</v>
      </c>
      <c r="H229" s="97" t="s">
        <v>24</v>
      </c>
      <c r="I229" s="97" t="s">
        <v>1256</v>
      </c>
      <c r="J229" s="100">
        <v>44797</v>
      </c>
      <c r="K229" s="100">
        <v>44797</v>
      </c>
      <c r="L229" s="101">
        <f t="shared" si="6"/>
        <v>1</v>
      </c>
      <c r="M229" s="97" t="s">
        <v>9056</v>
      </c>
      <c r="N229" s="68" t="s">
        <v>26</v>
      </c>
      <c r="O229" s="97" t="s">
        <v>2396</v>
      </c>
      <c r="P229" s="99" t="s">
        <v>1315</v>
      </c>
      <c r="Q229" s="68" t="str">
        <f t="shared" si="7"/>
        <v>DENTRO DEL TIEMPO</v>
      </c>
      <c r="R229" s="99"/>
    </row>
    <row r="230" spans="1:18" ht="60.75" x14ac:dyDescent="0.25">
      <c r="A230" s="96">
        <v>225</v>
      </c>
      <c r="B230" s="97" t="s">
        <v>9057</v>
      </c>
      <c r="C230" s="98">
        <v>44796</v>
      </c>
      <c r="D230" s="98">
        <v>44796</v>
      </c>
      <c r="E230" s="99">
        <v>2</v>
      </c>
      <c r="F230" s="99" t="s">
        <v>22</v>
      </c>
      <c r="G230" s="97" t="s">
        <v>1256</v>
      </c>
      <c r="H230" s="97" t="s">
        <v>24</v>
      </c>
      <c r="I230" s="97" t="s">
        <v>1256</v>
      </c>
      <c r="J230" s="100">
        <v>44797</v>
      </c>
      <c r="K230" s="100">
        <v>44797</v>
      </c>
      <c r="L230" s="101">
        <f t="shared" si="6"/>
        <v>1</v>
      </c>
      <c r="M230" s="97" t="s">
        <v>9058</v>
      </c>
      <c r="N230" s="68" t="s">
        <v>26</v>
      </c>
      <c r="O230" s="97" t="s">
        <v>2396</v>
      </c>
      <c r="P230" s="99" t="s">
        <v>1315</v>
      </c>
      <c r="Q230" s="68" t="str">
        <f t="shared" si="7"/>
        <v>DENTRO DEL TIEMPO</v>
      </c>
      <c r="R230" s="99"/>
    </row>
    <row r="231" spans="1:18" ht="60.75" x14ac:dyDescent="0.25">
      <c r="A231" s="96">
        <v>226</v>
      </c>
      <c r="B231" s="97" t="s">
        <v>9059</v>
      </c>
      <c r="C231" s="98">
        <v>44796</v>
      </c>
      <c r="D231" s="98">
        <v>44796</v>
      </c>
      <c r="E231" s="99">
        <v>2</v>
      </c>
      <c r="F231" s="99" t="s">
        <v>22</v>
      </c>
      <c r="G231" s="97" t="s">
        <v>1256</v>
      </c>
      <c r="H231" s="97" t="s">
        <v>24</v>
      </c>
      <c r="I231" s="97" t="s">
        <v>1256</v>
      </c>
      <c r="J231" s="100">
        <v>44797</v>
      </c>
      <c r="K231" s="100">
        <v>44797</v>
      </c>
      <c r="L231" s="101">
        <f t="shared" si="6"/>
        <v>1</v>
      </c>
      <c r="M231" s="97" t="s">
        <v>9060</v>
      </c>
      <c r="N231" s="68" t="s">
        <v>26</v>
      </c>
      <c r="O231" s="97" t="s">
        <v>9061</v>
      </c>
      <c r="P231" s="99" t="s">
        <v>9062</v>
      </c>
      <c r="Q231" s="68" t="str">
        <f t="shared" si="7"/>
        <v>DENTRO DEL TIEMPO</v>
      </c>
      <c r="R231" s="99"/>
    </row>
    <row r="232" spans="1:18" ht="60.75" x14ac:dyDescent="0.25">
      <c r="A232" s="96">
        <v>227</v>
      </c>
      <c r="B232" s="97" t="s">
        <v>9063</v>
      </c>
      <c r="C232" s="98">
        <v>44796</v>
      </c>
      <c r="D232" s="98">
        <v>44796</v>
      </c>
      <c r="E232" s="99">
        <v>2</v>
      </c>
      <c r="F232" s="99" t="s">
        <v>22</v>
      </c>
      <c r="G232" s="97" t="s">
        <v>1256</v>
      </c>
      <c r="H232" s="97" t="s">
        <v>24</v>
      </c>
      <c r="I232" s="97" t="s">
        <v>1256</v>
      </c>
      <c r="J232" s="100">
        <v>44797</v>
      </c>
      <c r="K232" s="100">
        <v>44797</v>
      </c>
      <c r="L232" s="101">
        <f t="shared" si="6"/>
        <v>1</v>
      </c>
      <c r="M232" s="97" t="s">
        <v>9064</v>
      </c>
      <c r="N232" s="68" t="s">
        <v>26</v>
      </c>
      <c r="O232" s="97" t="s">
        <v>9065</v>
      </c>
      <c r="P232" s="99" t="s">
        <v>9062</v>
      </c>
      <c r="Q232" s="68" t="str">
        <f t="shared" si="7"/>
        <v>DENTRO DEL TIEMPO</v>
      </c>
      <c r="R232" s="99"/>
    </row>
    <row r="233" spans="1:18" ht="60.75" x14ac:dyDescent="0.25">
      <c r="A233" s="96">
        <v>228</v>
      </c>
      <c r="B233" s="97" t="s">
        <v>9066</v>
      </c>
      <c r="C233" s="98">
        <v>44796</v>
      </c>
      <c r="D233" s="98">
        <v>44796</v>
      </c>
      <c r="E233" s="99">
        <v>2</v>
      </c>
      <c r="F233" s="99" t="s">
        <v>22</v>
      </c>
      <c r="G233" s="97" t="s">
        <v>1256</v>
      </c>
      <c r="H233" s="97" t="s">
        <v>24</v>
      </c>
      <c r="I233" s="97" t="s">
        <v>1256</v>
      </c>
      <c r="J233" s="100">
        <v>44797</v>
      </c>
      <c r="K233" s="100">
        <v>44797</v>
      </c>
      <c r="L233" s="101">
        <f t="shared" si="6"/>
        <v>1</v>
      </c>
      <c r="M233" s="97" t="s">
        <v>9067</v>
      </c>
      <c r="N233" s="68" t="s">
        <v>26</v>
      </c>
      <c r="O233" s="97" t="s">
        <v>9068</v>
      </c>
      <c r="P233" s="99" t="s">
        <v>9069</v>
      </c>
      <c r="Q233" s="68" t="str">
        <f t="shared" si="7"/>
        <v>DENTRO DEL TIEMPO</v>
      </c>
      <c r="R233" s="99"/>
    </row>
    <row r="234" spans="1:18" ht="60.75" x14ac:dyDescent="0.25">
      <c r="A234" s="96">
        <v>229</v>
      </c>
      <c r="B234" s="97" t="s">
        <v>9070</v>
      </c>
      <c r="C234" s="98">
        <v>44796</v>
      </c>
      <c r="D234" s="98">
        <v>44796</v>
      </c>
      <c r="E234" s="99">
        <v>2</v>
      </c>
      <c r="F234" s="99" t="s">
        <v>22</v>
      </c>
      <c r="G234" s="97" t="s">
        <v>1256</v>
      </c>
      <c r="H234" s="97" t="s">
        <v>24</v>
      </c>
      <c r="I234" s="97" t="s">
        <v>1256</v>
      </c>
      <c r="J234" s="100">
        <v>44797</v>
      </c>
      <c r="K234" s="100">
        <v>44797</v>
      </c>
      <c r="L234" s="101">
        <f t="shared" si="6"/>
        <v>1</v>
      </c>
      <c r="M234" s="97" t="s">
        <v>9071</v>
      </c>
      <c r="N234" s="68" t="s">
        <v>26</v>
      </c>
      <c r="O234" s="97" t="s">
        <v>9072</v>
      </c>
      <c r="P234" s="99" t="s">
        <v>9073</v>
      </c>
      <c r="Q234" s="68" t="str">
        <f t="shared" si="7"/>
        <v>DENTRO DEL TIEMPO</v>
      </c>
      <c r="R234" s="99"/>
    </row>
    <row r="235" spans="1:18" ht="60.75" x14ac:dyDescent="0.25">
      <c r="A235" s="96">
        <v>230</v>
      </c>
      <c r="B235" s="97" t="s">
        <v>9074</v>
      </c>
      <c r="C235" s="98">
        <v>44796</v>
      </c>
      <c r="D235" s="98">
        <v>44796</v>
      </c>
      <c r="E235" s="99">
        <v>2</v>
      </c>
      <c r="F235" s="99" t="s">
        <v>22</v>
      </c>
      <c r="G235" s="97" t="s">
        <v>1256</v>
      </c>
      <c r="H235" s="97" t="s">
        <v>24</v>
      </c>
      <c r="I235" s="97" t="s">
        <v>1256</v>
      </c>
      <c r="J235" s="100">
        <v>44797</v>
      </c>
      <c r="K235" s="100">
        <v>44797</v>
      </c>
      <c r="L235" s="101">
        <f t="shared" si="6"/>
        <v>1</v>
      </c>
      <c r="M235" s="97" t="s">
        <v>9075</v>
      </c>
      <c r="N235" s="68" t="s">
        <v>26</v>
      </c>
      <c r="O235" s="97" t="s">
        <v>9076</v>
      </c>
      <c r="P235" s="99" t="s">
        <v>9077</v>
      </c>
      <c r="Q235" s="68" t="str">
        <f t="shared" si="7"/>
        <v>DENTRO DEL TIEMPO</v>
      </c>
      <c r="R235" s="99"/>
    </row>
    <row r="236" spans="1:18" ht="60.75" x14ac:dyDescent="0.25">
      <c r="A236" s="96">
        <v>231</v>
      </c>
      <c r="B236" s="97" t="s">
        <v>9078</v>
      </c>
      <c r="C236" s="98">
        <v>44796</v>
      </c>
      <c r="D236" s="98">
        <v>44796</v>
      </c>
      <c r="E236" s="99">
        <v>2</v>
      </c>
      <c r="F236" s="99" t="s">
        <v>22</v>
      </c>
      <c r="G236" s="97" t="s">
        <v>1256</v>
      </c>
      <c r="H236" s="97" t="s">
        <v>24</v>
      </c>
      <c r="I236" s="97" t="s">
        <v>1256</v>
      </c>
      <c r="J236" s="100">
        <v>44797</v>
      </c>
      <c r="K236" s="100">
        <v>44797</v>
      </c>
      <c r="L236" s="101">
        <f t="shared" si="6"/>
        <v>1</v>
      </c>
      <c r="M236" s="97" t="s">
        <v>9079</v>
      </c>
      <c r="N236" s="68" t="s">
        <v>26</v>
      </c>
      <c r="O236" s="97" t="s">
        <v>9080</v>
      </c>
      <c r="P236" s="99" t="s">
        <v>9081</v>
      </c>
      <c r="Q236" s="68" t="str">
        <f t="shared" si="7"/>
        <v>DENTRO DEL TIEMPO</v>
      </c>
      <c r="R236" s="99"/>
    </row>
    <row r="237" spans="1:18" ht="60.75" x14ac:dyDescent="0.25">
      <c r="A237" s="96">
        <v>232</v>
      </c>
      <c r="B237" s="97" t="s">
        <v>9082</v>
      </c>
      <c r="C237" s="98">
        <v>44796</v>
      </c>
      <c r="D237" s="98">
        <v>44796</v>
      </c>
      <c r="E237" s="99">
        <v>2</v>
      </c>
      <c r="F237" s="99" t="s">
        <v>22</v>
      </c>
      <c r="G237" s="97" t="s">
        <v>1256</v>
      </c>
      <c r="H237" s="97" t="s">
        <v>24</v>
      </c>
      <c r="I237" s="97" t="s">
        <v>1256</v>
      </c>
      <c r="J237" s="100">
        <v>44797</v>
      </c>
      <c r="K237" s="100">
        <v>44797</v>
      </c>
      <c r="L237" s="101">
        <f t="shared" si="6"/>
        <v>1</v>
      </c>
      <c r="M237" s="97" t="s">
        <v>9083</v>
      </c>
      <c r="N237" s="68" t="s">
        <v>26</v>
      </c>
      <c r="O237" s="97" t="s">
        <v>8709</v>
      </c>
      <c r="P237" s="99" t="s">
        <v>7460</v>
      </c>
      <c r="Q237" s="68" t="str">
        <f t="shared" si="7"/>
        <v>DENTRO DEL TIEMPO</v>
      </c>
      <c r="R237" s="99"/>
    </row>
    <row r="238" spans="1:18" ht="60.75" x14ac:dyDescent="0.25">
      <c r="A238" s="96">
        <v>233</v>
      </c>
      <c r="B238" s="97" t="s">
        <v>9084</v>
      </c>
      <c r="C238" s="98">
        <v>44796</v>
      </c>
      <c r="D238" s="98">
        <v>44796</v>
      </c>
      <c r="E238" s="99">
        <v>2</v>
      </c>
      <c r="F238" s="99" t="s">
        <v>22</v>
      </c>
      <c r="G238" s="97" t="s">
        <v>1256</v>
      </c>
      <c r="H238" s="97" t="s">
        <v>24</v>
      </c>
      <c r="I238" s="97" t="s">
        <v>1256</v>
      </c>
      <c r="J238" s="100">
        <v>44798</v>
      </c>
      <c r="K238" s="100">
        <v>44798</v>
      </c>
      <c r="L238" s="101">
        <f t="shared" si="6"/>
        <v>2</v>
      </c>
      <c r="M238" s="97" t="s">
        <v>9085</v>
      </c>
      <c r="N238" s="68" t="s">
        <v>26</v>
      </c>
      <c r="O238" s="97" t="s">
        <v>9086</v>
      </c>
      <c r="P238" s="99" t="s">
        <v>7460</v>
      </c>
      <c r="Q238" s="68" t="str">
        <f t="shared" si="7"/>
        <v>DENTRO DEL TIEMPO</v>
      </c>
      <c r="R238" s="99"/>
    </row>
    <row r="239" spans="1:18" ht="60.75" x14ac:dyDescent="0.25">
      <c r="A239" s="96">
        <v>234</v>
      </c>
      <c r="B239" s="97" t="s">
        <v>9087</v>
      </c>
      <c r="C239" s="98">
        <v>44796</v>
      </c>
      <c r="D239" s="98">
        <v>44796</v>
      </c>
      <c r="E239" s="99">
        <v>2</v>
      </c>
      <c r="F239" s="99" t="s">
        <v>22</v>
      </c>
      <c r="G239" s="97" t="s">
        <v>1256</v>
      </c>
      <c r="H239" s="97" t="s">
        <v>24</v>
      </c>
      <c r="I239" s="97" t="s">
        <v>1256</v>
      </c>
      <c r="J239" s="100">
        <v>44797</v>
      </c>
      <c r="K239" s="100">
        <v>44797</v>
      </c>
      <c r="L239" s="101">
        <f t="shared" si="6"/>
        <v>1</v>
      </c>
      <c r="M239" s="97" t="s">
        <v>9088</v>
      </c>
      <c r="N239" s="68" t="s">
        <v>26</v>
      </c>
      <c r="O239" s="97" t="s">
        <v>2333</v>
      </c>
      <c r="P239" s="99" t="s">
        <v>9089</v>
      </c>
      <c r="Q239" s="68" t="str">
        <f t="shared" si="7"/>
        <v>DENTRO DEL TIEMPO</v>
      </c>
      <c r="R239" s="99"/>
    </row>
    <row r="240" spans="1:18" ht="60.75" x14ac:dyDescent="0.25">
      <c r="A240" s="96">
        <v>235</v>
      </c>
      <c r="B240" s="97" t="s">
        <v>9090</v>
      </c>
      <c r="C240" s="98">
        <v>44796</v>
      </c>
      <c r="D240" s="98">
        <v>44796</v>
      </c>
      <c r="E240" s="99">
        <v>2</v>
      </c>
      <c r="F240" s="99" t="s">
        <v>22</v>
      </c>
      <c r="G240" s="97" t="s">
        <v>1256</v>
      </c>
      <c r="H240" s="97" t="s">
        <v>24</v>
      </c>
      <c r="I240" s="97" t="s">
        <v>1256</v>
      </c>
      <c r="J240" s="100">
        <v>44798</v>
      </c>
      <c r="K240" s="100">
        <v>44798</v>
      </c>
      <c r="L240" s="101">
        <f t="shared" si="6"/>
        <v>2</v>
      </c>
      <c r="M240" s="97" t="s">
        <v>9091</v>
      </c>
      <c r="N240" s="68" t="s">
        <v>26</v>
      </c>
      <c r="O240" s="97" t="s">
        <v>9092</v>
      </c>
      <c r="P240" s="99" t="s">
        <v>2813</v>
      </c>
      <c r="Q240" s="68" t="str">
        <f t="shared" si="7"/>
        <v>DENTRO DEL TIEMPO</v>
      </c>
      <c r="R240" s="99"/>
    </row>
    <row r="241" spans="1:18" ht="60.75" x14ac:dyDescent="0.25">
      <c r="A241" s="96">
        <v>236</v>
      </c>
      <c r="B241" s="97" t="s">
        <v>9093</v>
      </c>
      <c r="C241" s="98">
        <v>44796</v>
      </c>
      <c r="D241" s="98">
        <v>44796</v>
      </c>
      <c r="E241" s="99">
        <v>2</v>
      </c>
      <c r="F241" s="99" t="s">
        <v>22</v>
      </c>
      <c r="G241" s="97" t="s">
        <v>1256</v>
      </c>
      <c r="H241" s="97" t="s">
        <v>24</v>
      </c>
      <c r="I241" s="97" t="s">
        <v>1256</v>
      </c>
      <c r="J241" s="100">
        <v>44798</v>
      </c>
      <c r="K241" s="100">
        <v>44798</v>
      </c>
      <c r="L241" s="101">
        <f t="shared" si="6"/>
        <v>2</v>
      </c>
      <c r="M241" s="97" t="s">
        <v>9094</v>
      </c>
      <c r="N241" s="68" t="s">
        <v>26</v>
      </c>
      <c r="O241" s="97" t="s">
        <v>6655</v>
      </c>
      <c r="P241" s="99" t="s">
        <v>1502</v>
      </c>
      <c r="Q241" s="68" t="str">
        <f t="shared" si="7"/>
        <v>DENTRO DEL TIEMPO</v>
      </c>
      <c r="R241" s="99"/>
    </row>
    <row r="242" spans="1:18" ht="60.75" x14ac:dyDescent="0.25">
      <c r="A242" s="96">
        <v>237</v>
      </c>
      <c r="B242" s="97" t="s">
        <v>9095</v>
      </c>
      <c r="C242" s="98">
        <v>44797</v>
      </c>
      <c r="D242" s="98">
        <v>44797</v>
      </c>
      <c r="E242" s="99">
        <v>2</v>
      </c>
      <c r="F242" s="99" t="s">
        <v>22</v>
      </c>
      <c r="G242" s="97" t="s">
        <v>1256</v>
      </c>
      <c r="H242" s="97" t="s">
        <v>24</v>
      </c>
      <c r="I242" s="97" t="s">
        <v>1256</v>
      </c>
      <c r="J242" s="100">
        <v>44802</v>
      </c>
      <c r="K242" s="100">
        <v>44802</v>
      </c>
      <c r="L242" s="101">
        <f t="shared" si="6"/>
        <v>3</v>
      </c>
      <c r="M242" s="97" t="s">
        <v>9096</v>
      </c>
      <c r="N242" s="68" t="s">
        <v>26</v>
      </c>
      <c r="O242" s="97" t="s">
        <v>2407</v>
      </c>
      <c r="P242" s="99" t="s">
        <v>1354</v>
      </c>
      <c r="Q242" s="68" t="str">
        <f t="shared" si="7"/>
        <v>DENTRO DEL TIEMPO</v>
      </c>
      <c r="R242" s="99"/>
    </row>
    <row r="243" spans="1:18" ht="60.75" x14ac:dyDescent="0.25">
      <c r="A243" s="96">
        <v>238</v>
      </c>
      <c r="B243" s="97" t="s">
        <v>9097</v>
      </c>
      <c r="C243" s="98">
        <v>44797</v>
      </c>
      <c r="D243" s="98">
        <v>44797</v>
      </c>
      <c r="E243" s="99">
        <v>2</v>
      </c>
      <c r="F243" s="99" t="s">
        <v>22</v>
      </c>
      <c r="G243" s="97" t="s">
        <v>1256</v>
      </c>
      <c r="H243" s="97" t="s">
        <v>24</v>
      </c>
      <c r="I243" s="97" t="s">
        <v>1256</v>
      </c>
      <c r="J243" s="100">
        <v>44798</v>
      </c>
      <c r="K243" s="100">
        <v>44798</v>
      </c>
      <c r="L243" s="101">
        <f t="shared" si="6"/>
        <v>1</v>
      </c>
      <c r="M243" s="97" t="s">
        <v>9098</v>
      </c>
      <c r="N243" s="68" t="s">
        <v>26</v>
      </c>
      <c r="O243" s="97" t="s">
        <v>2999</v>
      </c>
      <c r="P243" s="99" t="s">
        <v>9099</v>
      </c>
      <c r="Q243" s="68" t="str">
        <f t="shared" si="7"/>
        <v>DENTRO DEL TIEMPO</v>
      </c>
      <c r="R243" s="99"/>
    </row>
    <row r="244" spans="1:18" ht="60.75" x14ac:dyDescent="0.25">
      <c r="A244" s="96">
        <v>239</v>
      </c>
      <c r="B244" s="97" t="s">
        <v>9100</v>
      </c>
      <c r="C244" s="98">
        <v>44797</v>
      </c>
      <c r="D244" s="98">
        <v>44797</v>
      </c>
      <c r="E244" s="99">
        <v>2</v>
      </c>
      <c r="F244" s="99" t="s">
        <v>22</v>
      </c>
      <c r="G244" s="97" t="s">
        <v>1256</v>
      </c>
      <c r="H244" s="97" t="s">
        <v>24</v>
      </c>
      <c r="I244" s="97" t="s">
        <v>1256</v>
      </c>
      <c r="J244" s="100">
        <v>44798</v>
      </c>
      <c r="K244" s="100">
        <v>44798</v>
      </c>
      <c r="L244" s="101">
        <f t="shared" si="6"/>
        <v>1</v>
      </c>
      <c r="M244" s="97" t="s">
        <v>9101</v>
      </c>
      <c r="N244" s="68" t="s">
        <v>26</v>
      </c>
      <c r="O244" s="97" t="s">
        <v>9102</v>
      </c>
      <c r="P244" s="99" t="s">
        <v>9103</v>
      </c>
      <c r="Q244" s="68" t="str">
        <f t="shared" si="7"/>
        <v>DENTRO DEL TIEMPO</v>
      </c>
      <c r="R244" s="99"/>
    </row>
    <row r="245" spans="1:18" ht="60.75" x14ac:dyDescent="0.25">
      <c r="A245" s="96">
        <v>240</v>
      </c>
      <c r="B245" s="97" t="s">
        <v>9104</v>
      </c>
      <c r="C245" s="98">
        <v>44797</v>
      </c>
      <c r="D245" s="98">
        <v>44797</v>
      </c>
      <c r="E245" s="99">
        <v>2</v>
      </c>
      <c r="F245" s="99" t="s">
        <v>22</v>
      </c>
      <c r="G245" s="97" t="s">
        <v>1256</v>
      </c>
      <c r="H245" s="97" t="s">
        <v>24</v>
      </c>
      <c r="I245" s="97" t="s">
        <v>1256</v>
      </c>
      <c r="J245" s="100">
        <v>44798</v>
      </c>
      <c r="K245" s="100">
        <v>44798</v>
      </c>
      <c r="L245" s="101">
        <f t="shared" si="6"/>
        <v>1</v>
      </c>
      <c r="M245" s="97" t="s">
        <v>9105</v>
      </c>
      <c r="N245" s="68" t="s">
        <v>26</v>
      </c>
      <c r="O245" s="97" t="s">
        <v>2683</v>
      </c>
      <c r="P245" s="99" t="s">
        <v>1404</v>
      </c>
      <c r="Q245" s="68" t="str">
        <f t="shared" si="7"/>
        <v>DENTRO DEL TIEMPO</v>
      </c>
      <c r="R245" s="99"/>
    </row>
    <row r="246" spans="1:18" ht="60.75" x14ac:dyDescent="0.25">
      <c r="A246" s="96">
        <v>241</v>
      </c>
      <c r="B246" s="97" t="s">
        <v>9106</v>
      </c>
      <c r="C246" s="98">
        <v>44797</v>
      </c>
      <c r="D246" s="98">
        <v>44797</v>
      </c>
      <c r="E246" s="99">
        <v>2</v>
      </c>
      <c r="F246" s="99" t="s">
        <v>22</v>
      </c>
      <c r="G246" s="97" t="s">
        <v>1256</v>
      </c>
      <c r="H246" s="97" t="s">
        <v>24</v>
      </c>
      <c r="I246" s="97" t="s">
        <v>1256</v>
      </c>
      <c r="J246" s="100">
        <v>44798</v>
      </c>
      <c r="K246" s="100">
        <v>44798</v>
      </c>
      <c r="L246" s="101">
        <f t="shared" si="6"/>
        <v>1</v>
      </c>
      <c r="M246" s="97" t="s">
        <v>9107</v>
      </c>
      <c r="N246" s="68" t="s">
        <v>26</v>
      </c>
      <c r="O246" s="97" t="s">
        <v>2683</v>
      </c>
      <c r="P246" s="99" t="s">
        <v>1404</v>
      </c>
      <c r="Q246" s="68" t="str">
        <f t="shared" si="7"/>
        <v>DENTRO DEL TIEMPO</v>
      </c>
      <c r="R246" s="99"/>
    </row>
    <row r="247" spans="1:18" ht="60.75" x14ac:dyDescent="0.25">
      <c r="A247" s="96">
        <v>242</v>
      </c>
      <c r="B247" s="97" t="s">
        <v>9108</v>
      </c>
      <c r="C247" s="98">
        <v>44797</v>
      </c>
      <c r="D247" s="98">
        <v>44797</v>
      </c>
      <c r="E247" s="99">
        <v>2</v>
      </c>
      <c r="F247" s="99" t="s">
        <v>22</v>
      </c>
      <c r="G247" s="97" t="s">
        <v>1256</v>
      </c>
      <c r="H247" s="97" t="s">
        <v>24</v>
      </c>
      <c r="I247" s="97" t="s">
        <v>1256</v>
      </c>
      <c r="J247" s="100">
        <v>44798</v>
      </c>
      <c r="K247" s="100">
        <v>44798</v>
      </c>
      <c r="L247" s="101">
        <f t="shared" si="6"/>
        <v>1</v>
      </c>
      <c r="M247" s="97" t="s">
        <v>9109</v>
      </c>
      <c r="N247" s="68" t="s">
        <v>26</v>
      </c>
      <c r="O247" s="97" t="s">
        <v>2683</v>
      </c>
      <c r="P247" s="99" t="s">
        <v>1404</v>
      </c>
      <c r="Q247" s="68" t="str">
        <f t="shared" si="7"/>
        <v>DENTRO DEL TIEMPO</v>
      </c>
      <c r="R247" s="99"/>
    </row>
    <row r="248" spans="1:18" ht="60.75" x14ac:dyDescent="0.25">
      <c r="A248" s="96">
        <v>243</v>
      </c>
      <c r="B248" s="97" t="s">
        <v>9110</v>
      </c>
      <c r="C248" s="98">
        <v>44797</v>
      </c>
      <c r="D248" s="98">
        <v>44797</v>
      </c>
      <c r="E248" s="99">
        <v>2</v>
      </c>
      <c r="F248" s="99" t="s">
        <v>22</v>
      </c>
      <c r="G248" s="97" t="s">
        <v>1256</v>
      </c>
      <c r="H248" s="97" t="s">
        <v>24</v>
      </c>
      <c r="I248" s="97" t="s">
        <v>1256</v>
      </c>
      <c r="J248" s="100">
        <v>44798</v>
      </c>
      <c r="K248" s="100">
        <v>44798</v>
      </c>
      <c r="L248" s="101">
        <f t="shared" si="6"/>
        <v>1</v>
      </c>
      <c r="M248" s="97" t="s">
        <v>9111</v>
      </c>
      <c r="N248" s="68" t="s">
        <v>26</v>
      </c>
      <c r="O248" s="97" t="s">
        <v>9112</v>
      </c>
      <c r="P248" s="99" t="s">
        <v>9113</v>
      </c>
      <c r="Q248" s="68" t="str">
        <f t="shared" si="7"/>
        <v>DENTRO DEL TIEMPO</v>
      </c>
      <c r="R248" s="99"/>
    </row>
    <row r="249" spans="1:18" ht="60.75" x14ac:dyDescent="0.25">
      <c r="A249" s="96">
        <v>244</v>
      </c>
      <c r="B249" s="97" t="s">
        <v>9114</v>
      </c>
      <c r="C249" s="98">
        <v>44797</v>
      </c>
      <c r="D249" s="98">
        <v>44797</v>
      </c>
      <c r="E249" s="99">
        <v>2</v>
      </c>
      <c r="F249" s="99" t="s">
        <v>22</v>
      </c>
      <c r="G249" s="97" t="s">
        <v>1256</v>
      </c>
      <c r="H249" s="97" t="s">
        <v>24</v>
      </c>
      <c r="I249" s="97" t="s">
        <v>1256</v>
      </c>
      <c r="J249" s="100">
        <v>44798</v>
      </c>
      <c r="K249" s="100">
        <v>44798</v>
      </c>
      <c r="L249" s="101">
        <f t="shared" si="6"/>
        <v>1</v>
      </c>
      <c r="M249" s="97" t="s">
        <v>9115</v>
      </c>
      <c r="N249" s="68" t="s">
        <v>26</v>
      </c>
      <c r="O249" s="97" t="s">
        <v>9116</v>
      </c>
      <c r="P249" s="99" t="s">
        <v>9117</v>
      </c>
      <c r="Q249" s="68" t="str">
        <f t="shared" si="7"/>
        <v>DENTRO DEL TIEMPO</v>
      </c>
      <c r="R249" s="99"/>
    </row>
    <row r="250" spans="1:18" ht="60.75" x14ac:dyDescent="0.25">
      <c r="A250" s="96">
        <v>245</v>
      </c>
      <c r="B250" s="97" t="s">
        <v>9118</v>
      </c>
      <c r="C250" s="98">
        <v>44797</v>
      </c>
      <c r="D250" s="98">
        <v>44797</v>
      </c>
      <c r="E250" s="99">
        <v>2</v>
      </c>
      <c r="F250" s="99" t="s">
        <v>22</v>
      </c>
      <c r="G250" s="97" t="s">
        <v>1256</v>
      </c>
      <c r="H250" s="97" t="s">
        <v>24</v>
      </c>
      <c r="I250" s="97" t="s">
        <v>1256</v>
      </c>
      <c r="J250" s="100">
        <v>44798</v>
      </c>
      <c r="K250" s="100">
        <v>44798</v>
      </c>
      <c r="L250" s="101">
        <f t="shared" si="6"/>
        <v>1</v>
      </c>
      <c r="M250" s="97" t="s">
        <v>9119</v>
      </c>
      <c r="N250" s="68" t="s">
        <v>26</v>
      </c>
      <c r="O250" s="97" t="s">
        <v>2306</v>
      </c>
      <c r="P250" s="99" t="s">
        <v>1768</v>
      </c>
      <c r="Q250" s="68" t="str">
        <f t="shared" si="7"/>
        <v>DENTRO DEL TIEMPO</v>
      </c>
      <c r="R250" s="99"/>
    </row>
    <row r="251" spans="1:18" ht="60.75" x14ac:dyDescent="0.25">
      <c r="A251" s="96">
        <v>246</v>
      </c>
      <c r="B251" s="97" t="s">
        <v>9120</v>
      </c>
      <c r="C251" s="98">
        <v>44797</v>
      </c>
      <c r="D251" s="98">
        <v>44797</v>
      </c>
      <c r="E251" s="99">
        <v>2</v>
      </c>
      <c r="F251" s="99" t="s">
        <v>22</v>
      </c>
      <c r="G251" s="97" t="s">
        <v>1256</v>
      </c>
      <c r="H251" s="97" t="s">
        <v>24</v>
      </c>
      <c r="I251" s="97" t="s">
        <v>1256</v>
      </c>
      <c r="J251" s="100">
        <v>44798</v>
      </c>
      <c r="K251" s="100">
        <v>44798</v>
      </c>
      <c r="L251" s="101">
        <f t="shared" si="6"/>
        <v>1</v>
      </c>
      <c r="M251" s="97" t="s">
        <v>9121</v>
      </c>
      <c r="N251" s="68" t="s">
        <v>26</v>
      </c>
      <c r="O251" s="97" t="s">
        <v>2320</v>
      </c>
      <c r="P251" s="99" t="s">
        <v>9122</v>
      </c>
      <c r="Q251" s="68" t="str">
        <f t="shared" si="7"/>
        <v>DENTRO DEL TIEMPO</v>
      </c>
      <c r="R251" s="99"/>
    </row>
    <row r="252" spans="1:18" ht="60.75" x14ac:dyDescent="0.25">
      <c r="A252" s="96">
        <v>247</v>
      </c>
      <c r="B252" s="97" t="s">
        <v>9123</v>
      </c>
      <c r="C252" s="98">
        <v>44797</v>
      </c>
      <c r="D252" s="98">
        <v>44797</v>
      </c>
      <c r="E252" s="99">
        <v>2</v>
      </c>
      <c r="F252" s="99" t="s">
        <v>22</v>
      </c>
      <c r="G252" s="97" t="s">
        <v>1256</v>
      </c>
      <c r="H252" s="97" t="s">
        <v>24</v>
      </c>
      <c r="I252" s="97" t="s">
        <v>1256</v>
      </c>
      <c r="J252" s="100">
        <v>44799</v>
      </c>
      <c r="K252" s="100">
        <v>44799</v>
      </c>
      <c r="L252" s="101">
        <f t="shared" si="6"/>
        <v>2</v>
      </c>
      <c r="M252" s="97" t="s">
        <v>9124</v>
      </c>
      <c r="N252" s="68" t="s">
        <v>26</v>
      </c>
      <c r="O252" s="97" t="s">
        <v>9125</v>
      </c>
      <c r="P252" s="99" t="s">
        <v>1304</v>
      </c>
      <c r="Q252" s="68" t="str">
        <f t="shared" si="7"/>
        <v>DENTRO DEL TIEMPO</v>
      </c>
      <c r="R252" s="99"/>
    </row>
    <row r="253" spans="1:18" ht="60.75" x14ac:dyDescent="0.25">
      <c r="A253" s="96">
        <v>248</v>
      </c>
      <c r="B253" s="97" t="s">
        <v>9126</v>
      </c>
      <c r="C253" s="98">
        <v>44797</v>
      </c>
      <c r="D253" s="98">
        <v>44797</v>
      </c>
      <c r="E253" s="99">
        <v>2</v>
      </c>
      <c r="F253" s="99" t="s">
        <v>22</v>
      </c>
      <c r="G253" s="97" t="s">
        <v>1256</v>
      </c>
      <c r="H253" s="97" t="s">
        <v>24</v>
      </c>
      <c r="I253" s="97" t="s">
        <v>1256</v>
      </c>
      <c r="J253" s="100">
        <v>44798</v>
      </c>
      <c r="K253" s="100">
        <v>44798</v>
      </c>
      <c r="L253" s="101">
        <f t="shared" si="6"/>
        <v>1</v>
      </c>
      <c r="M253" s="97" t="s">
        <v>9127</v>
      </c>
      <c r="N253" s="68" t="s">
        <v>26</v>
      </c>
      <c r="O253" s="97" t="s">
        <v>9128</v>
      </c>
      <c r="P253" s="99" t="s">
        <v>1670</v>
      </c>
      <c r="Q253" s="68" t="str">
        <f t="shared" si="7"/>
        <v>DENTRO DEL TIEMPO</v>
      </c>
      <c r="R253" s="99"/>
    </row>
    <row r="254" spans="1:18" ht="60.75" x14ac:dyDescent="0.25">
      <c r="A254" s="96">
        <v>249</v>
      </c>
      <c r="B254" s="97" t="s">
        <v>9129</v>
      </c>
      <c r="C254" s="98">
        <v>44798</v>
      </c>
      <c r="D254" s="98">
        <v>44798</v>
      </c>
      <c r="E254" s="99">
        <v>2</v>
      </c>
      <c r="F254" s="99" t="s">
        <v>22</v>
      </c>
      <c r="G254" s="97" t="s">
        <v>1256</v>
      </c>
      <c r="H254" s="97" t="s">
        <v>24</v>
      </c>
      <c r="I254" s="97" t="s">
        <v>1256</v>
      </c>
      <c r="J254" s="100">
        <v>44798</v>
      </c>
      <c r="K254" s="100">
        <v>44798</v>
      </c>
      <c r="L254" s="101">
        <f t="shared" si="6"/>
        <v>0</v>
      </c>
      <c r="M254" s="97" t="s">
        <v>9130</v>
      </c>
      <c r="N254" s="68" t="s">
        <v>26</v>
      </c>
      <c r="O254" s="97" t="s">
        <v>9131</v>
      </c>
      <c r="P254" s="99" t="s">
        <v>9132</v>
      </c>
      <c r="Q254" s="68" t="str">
        <f t="shared" si="7"/>
        <v>DENTRO DEL TIEMPO</v>
      </c>
      <c r="R254" s="99"/>
    </row>
    <row r="255" spans="1:18" ht="60.75" x14ac:dyDescent="0.25">
      <c r="A255" s="96">
        <v>250</v>
      </c>
      <c r="B255" s="97" t="s">
        <v>9133</v>
      </c>
      <c r="C255" s="98">
        <v>44798</v>
      </c>
      <c r="D255" s="98">
        <v>44798</v>
      </c>
      <c r="E255" s="99">
        <v>2</v>
      </c>
      <c r="F255" s="99" t="s">
        <v>22</v>
      </c>
      <c r="G255" s="97" t="s">
        <v>1256</v>
      </c>
      <c r="H255" s="97" t="s">
        <v>24</v>
      </c>
      <c r="I255" s="97" t="s">
        <v>1256</v>
      </c>
      <c r="J255" s="100">
        <v>44798</v>
      </c>
      <c r="K255" s="100">
        <v>44798</v>
      </c>
      <c r="L255" s="101">
        <f t="shared" si="6"/>
        <v>0</v>
      </c>
      <c r="M255" s="97" t="s">
        <v>9134</v>
      </c>
      <c r="N255" s="68" t="s">
        <v>26</v>
      </c>
      <c r="O255" s="97" t="s">
        <v>9135</v>
      </c>
      <c r="P255" s="99" t="s">
        <v>9136</v>
      </c>
      <c r="Q255" s="68" t="str">
        <f t="shared" si="7"/>
        <v>DENTRO DEL TIEMPO</v>
      </c>
      <c r="R255" s="99"/>
    </row>
    <row r="256" spans="1:18" ht="60.75" x14ac:dyDescent="0.25">
      <c r="A256" s="96">
        <v>251</v>
      </c>
      <c r="B256" s="97" t="s">
        <v>9137</v>
      </c>
      <c r="C256" s="98">
        <v>44798</v>
      </c>
      <c r="D256" s="98">
        <v>44798</v>
      </c>
      <c r="E256" s="99">
        <v>282</v>
      </c>
      <c r="F256" s="99" t="s">
        <v>22</v>
      </c>
      <c r="G256" s="97" t="s">
        <v>1256</v>
      </c>
      <c r="H256" s="97" t="s">
        <v>24</v>
      </c>
      <c r="I256" s="97" t="s">
        <v>1256</v>
      </c>
      <c r="J256" s="100">
        <v>44798</v>
      </c>
      <c r="K256" s="100">
        <v>44798</v>
      </c>
      <c r="L256" s="101">
        <f t="shared" si="6"/>
        <v>0</v>
      </c>
      <c r="M256" s="97" t="s">
        <v>9134</v>
      </c>
      <c r="N256" s="68" t="s">
        <v>26</v>
      </c>
      <c r="O256" s="97" t="s">
        <v>9138</v>
      </c>
      <c r="P256" s="99" t="s">
        <v>2775</v>
      </c>
      <c r="Q256" s="68" t="str">
        <f t="shared" si="7"/>
        <v>DENTRO DEL TIEMPO</v>
      </c>
      <c r="R256" s="99"/>
    </row>
    <row r="257" spans="1:18" ht="60.75" x14ac:dyDescent="0.25">
      <c r="A257" s="96">
        <v>252</v>
      </c>
      <c r="B257" s="97" t="s">
        <v>9139</v>
      </c>
      <c r="C257" s="98">
        <v>44798</v>
      </c>
      <c r="D257" s="98">
        <v>44798</v>
      </c>
      <c r="E257" s="99">
        <v>2</v>
      </c>
      <c r="F257" s="99" t="s">
        <v>22</v>
      </c>
      <c r="G257" s="97" t="s">
        <v>1256</v>
      </c>
      <c r="H257" s="97" t="s">
        <v>24</v>
      </c>
      <c r="I257" s="97" t="s">
        <v>1256</v>
      </c>
      <c r="J257" s="100">
        <v>44799</v>
      </c>
      <c r="K257" s="100">
        <v>44799</v>
      </c>
      <c r="L257" s="101">
        <f t="shared" si="6"/>
        <v>1</v>
      </c>
      <c r="M257" s="97" t="s">
        <v>9140</v>
      </c>
      <c r="N257" s="68" t="s">
        <v>26</v>
      </c>
      <c r="O257" s="97" t="s">
        <v>2306</v>
      </c>
      <c r="P257" s="99" t="s">
        <v>1768</v>
      </c>
      <c r="Q257" s="68" t="str">
        <f t="shared" si="7"/>
        <v>DENTRO DEL TIEMPO</v>
      </c>
      <c r="R257" s="99"/>
    </row>
    <row r="258" spans="1:18" ht="60.75" x14ac:dyDescent="0.25">
      <c r="A258" s="96">
        <v>253</v>
      </c>
      <c r="B258" s="97" t="s">
        <v>9141</v>
      </c>
      <c r="C258" s="98">
        <v>44798</v>
      </c>
      <c r="D258" s="98">
        <v>44798</v>
      </c>
      <c r="E258" s="99">
        <v>656</v>
      </c>
      <c r="F258" s="99" t="s">
        <v>22</v>
      </c>
      <c r="G258" s="97" t="s">
        <v>1256</v>
      </c>
      <c r="H258" s="97" t="s">
        <v>24</v>
      </c>
      <c r="I258" s="97" t="s">
        <v>1256</v>
      </c>
      <c r="J258" s="100">
        <v>44799</v>
      </c>
      <c r="K258" s="100">
        <v>44799</v>
      </c>
      <c r="L258" s="101">
        <f t="shared" si="6"/>
        <v>1</v>
      </c>
      <c r="M258" s="97" t="s">
        <v>9142</v>
      </c>
      <c r="N258" s="68" t="s">
        <v>26</v>
      </c>
      <c r="O258" s="97" t="s">
        <v>9143</v>
      </c>
      <c r="P258" s="99" t="s">
        <v>9144</v>
      </c>
      <c r="Q258" s="68" t="str">
        <f t="shared" si="7"/>
        <v>DENTRO DEL TIEMPO</v>
      </c>
      <c r="R258" s="99"/>
    </row>
    <row r="259" spans="1:18" ht="60.75" x14ac:dyDescent="0.25">
      <c r="A259" s="96">
        <v>254</v>
      </c>
      <c r="B259" s="97" t="s">
        <v>9145</v>
      </c>
      <c r="C259" s="98">
        <v>44798</v>
      </c>
      <c r="D259" s="98">
        <v>44798</v>
      </c>
      <c r="E259" s="99">
        <v>2</v>
      </c>
      <c r="F259" s="99" t="s">
        <v>22</v>
      </c>
      <c r="G259" s="97" t="s">
        <v>1256</v>
      </c>
      <c r="H259" s="97" t="s">
        <v>24</v>
      </c>
      <c r="I259" s="97" t="s">
        <v>1256</v>
      </c>
      <c r="J259" s="100">
        <v>44799</v>
      </c>
      <c r="K259" s="100">
        <v>44799</v>
      </c>
      <c r="L259" s="101">
        <f t="shared" si="6"/>
        <v>1</v>
      </c>
      <c r="M259" s="97" t="s">
        <v>9146</v>
      </c>
      <c r="N259" s="68" t="s">
        <v>26</v>
      </c>
      <c r="O259" s="97" t="s">
        <v>9147</v>
      </c>
      <c r="P259" s="99" t="s">
        <v>9148</v>
      </c>
      <c r="Q259" s="68" t="str">
        <f t="shared" si="7"/>
        <v>DENTRO DEL TIEMPO</v>
      </c>
      <c r="R259" s="99"/>
    </row>
    <row r="260" spans="1:18" ht="60.75" x14ac:dyDescent="0.25">
      <c r="A260" s="96">
        <v>255</v>
      </c>
      <c r="B260" s="97" t="s">
        <v>9149</v>
      </c>
      <c r="C260" s="98">
        <v>44798</v>
      </c>
      <c r="D260" s="98">
        <v>44798</v>
      </c>
      <c r="E260" s="99">
        <v>2</v>
      </c>
      <c r="F260" s="99" t="s">
        <v>22</v>
      </c>
      <c r="G260" s="97" t="s">
        <v>1256</v>
      </c>
      <c r="H260" s="97" t="s">
        <v>24</v>
      </c>
      <c r="I260" s="97" t="s">
        <v>1256</v>
      </c>
      <c r="J260" s="100">
        <v>44799</v>
      </c>
      <c r="K260" s="100">
        <v>44799</v>
      </c>
      <c r="L260" s="101">
        <f t="shared" si="6"/>
        <v>1</v>
      </c>
      <c r="M260" s="97" t="s">
        <v>9150</v>
      </c>
      <c r="N260" s="68" t="s">
        <v>26</v>
      </c>
      <c r="O260" s="97" t="s">
        <v>2614</v>
      </c>
      <c r="P260" s="99" t="s">
        <v>1033</v>
      </c>
      <c r="Q260" s="68" t="str">
        <f t="shared" si="7"/>
        <v>DENTRO DEL TIEMPO</v>
      </c>
      <c r="R260" s="99"/>
    </row>
    <row r="261" spans="1:18" ht="60.75" x14ac:dyDescent="0.25">
      <c r="A261" s="96">
        <v>256</v>
      </c>
      <c r="B261" s="97" t="s">
        <v>9151</v>
      </c>
      <c r="C261" s="98">
        <v>44799</v>
      </c>
      <c r="D261" s="98">
        <v>44799</v>
      </c>
      <c r="E261" s="99">
        <v>2</v>
      </c>
      <c r="F261" s="99" t="s">
        <v>22</v>
      </c>
      <c r="G261" s="97" t="s">
        <v>1256</v>
      </c>
      <c r="H261" s="97" t="s">
        <v>24</v>
      </c>
      <c r="I261" s="97" t="s">
        <v>1256</v>
      </c>
      <c r="J261" s="100">
        <v>44799</v>
      </c>
      <c r="K261" s="100">
        <v>44799</v>
      </c>
      <c r="L261" s="101">
        <f t="shared" si="6"/>
        <v>0</v>
      </c>
      <c r="M261" s="97" t="s">
        <v>9152</v>
      </c>
      <c r="N261" s="68" t="s">
        <v>26</v>
      </c>
      <c r="O261" s="97" t="s">
        <v>2333</v>
      </c>
      <c r="P261" s="99" t="s">
        <v>9153</v>
      </c>
      <c r="Q261" s="68" t="str">
        <f t="shared" si="7"/>
        <v>DENTRO DEL TIEMPO</v>
      </c>
      <c r="R261" s="99"/>
    </row>
    <row r="262" spans="1:18" ht="60.75" x14ac:dyDescent="0.25">
      <c r="A262" s="96">
        <v>257</v>
      </c>
      <c r="B262" s="97" t="s">
        <v>9154</v>
      </c>
      <c r="C262" s="98">
        <v>44799</v>
      </c>
      <c r="D262" s="98">
        <v>44799</v>
      </c>
      <c r="E262" s="99">
        <v>2</v>
      </c>
      <c r="F262" s="99" t="s">
        <v>22</v>
      </c>
      <c r="G262" s="97" t="s">
        <v>1256</v>
      </c>
      <c r="H262" s="97" t="s">
        <v>24</v>
      </c>
      <c r="I262" s="97" t="s">
        <v>1256</v>
      </c>
      <c r="J262" s="100">
        <v>44802</v>
      </c>
      <c r="K262" s="100">
        <v>44802</v>
      </c>
      <c r="L262" s="101">
        <f t="shared" ref="L262:L296" si="8">+NETWORKDAYS(D262,K262,$R$6:$R$9)-1</f>
        <v>1</v>
      </c>
      <c r="M262" s="97" t="s">
        <v>9155</v>
      </c>
      <c r="N262" s="68" t="s">
        <v>26</v>
      </c>
      <c r="O262" s="97" t="s">
        <v>4331</v>
      </c>
      <c r="P262" s="99" t="s">
        <v>1784</v>
      </c>
      <c r="Q262" s="68" t="str">
        <f t="shared" ref="Q262:Q325" si="9">IF(L262&gt;15,"FUERA DE TIEMPO","DENTRO DEL TIEMPO")</f>
        <v>DENTRO DEL TIEMPO</v>
      </c>
      <c r="R262" s="99"/>
    </row>
    <row r="263" spans="1:18" ht="60.75" x14ac:dyDescent="0.25">
      <c r="A263" s="96">
        <v>258</v>
      </c>
      <c r="B263" s="97" t="s">
        <v>9156</v>
      </c>
      <c r="C263" s="98">
        <v>44799</v>
      </c>
      <c r="D263" s="98">
        <v>44799</v>
      </c>
      <c r="E263" s="99">
        <v>2</v>
      </c>
      <c r="F263" s="99" t="s">
        <v>22</v>
      </c>
      <c r="G263" s="97" t="s">
        <v>1256</v>
      </c>
      <c r="H263" s="97" t="s">
        <v>24</v>
      </c>
      <c r="I263" s="97" t="s">
        <v>1256</v>
      </c>
      <c r="J263" s="100">
        <v>44802</v>
      </c>
      <c r="K263" s="100">
        <v>44802</v>
      </c>
      <c r="L263" s="101">
        <f t="shared" si="8"/>
        <v>1</v>
      </c>
      <c r="M263" s="97" t="s">
        <v>9157</v>
      </c>
      <c r="N263" s="68" t="s">
        <v>26</v>
      </c>
      <c r="O263" s="97" t="s">
        <v>2456</v>
      </c>
      <c r="P263" s="99" t="s">
        <v>1605</v>
      </c>
      <c r="Q263" s="68" t="str">
        <f t="shared" si="9"/>
        <v>DENTRO DEL TIEMPO</v>
      </c>
      <c r="R263" s="99"/>
    </row>
    <row r="264" spans="1:18" ht="60.75" x14ac:dyDescent="0.25">
      <c r="A264" s="96">
        <v>259</v>
      </c>
      <c r="B264" s="97" t="s">
        <v>9158</v>
      </c>
      <c r="C264" s="98">
        <v>44799</v>
      </c>
      <c r="D264" s="98">
        <v>44799</v>
      </c>
      <c r="E264" s="99">
        <v>2</v>
      </c>
      <c r="F264" s="99" t="s">
        <v>22</v>
      </c>
      <c r="G264" s="97" t="s">
        <v>1256</v>
      </c>
      <c r="H264" s="97" t="s">
        <v>24</v>
      </c>
      <c r="I264" s="97" t="s">
        <v>1256</v>
      </c>
      <c r="J264" s="100">
        <v>44802</v>
      </c>
      <c r="K264" s="100">
        <v>44802</v>
      </c>
      <c r="L264" s="101">
        <f t="shared" si="8"/>
        <v>1</v>
      </c>
      <c r="M264" s="97" t="s">
        <v>9159</v>
      </c>
      <c r="N264" s="68" t="s">
        <v>26</v>
      </c>
      <c r="O264" s="97" t="s">
        <v>2614</v>
      </c>
      <c r="P264" s="99" t="s">
        <v>9160</v>
      </c>
      <c r="Q264" s="68" t="str">
        <f t="shared" si="9"/>
        <v>DENTRO DEL TIEMPO</v>
      </c>
      <c r="R264" s="99"/>
    </row>
    <row r="265" spans="1:18" ht="60.75" x14ac:dyDescent="0.25">
      <c r="A265" s="96">
        <v>260</v>
      </c>
      <c r="B265" s="97" t="s">
        <v>9161</v>
      </c>
      <c r="C265" s="98">
        <v>44802</v>
      </c>
      <c r="D265" s="98">
        <v>44802</v>
      </c>
      <c r="E265" s="99">
        <v>2</v>
      </c>
      <c r="F265" s="99" t="s">
        <v>22</v>
      </c>
      <c r="G265" s="97" t="s">
        <v>1256</v>
      </c>
      <c r="H265" s="97" t="s">
        <v>24</v>
      </c>
      <c r="I265" s="97" t="s">
        <v>1256</v>
      </c>
      <c r="J265" s="100">
        <v>44803</v>
      </c>
      <c r="K265" s="100">
        <v>44803</v>
      </c>
      <c r="L265" s="101">
        <f t="shared" si="8"/>
        <v>1</v>
      </c>
      <c r="M265" s="97" t="s">
        <v>9162</v>
      </c>
      <c r="N265" s="68" t="s">
        <v>26</v>
      </c>
      <c r="O265" s="97" t="s">
        <v>2557</v>
      </c>
      <c r="P265" s="99" t="s">
        <v>2321</v>
      </c>
      <c r="Q265" s="68" t="str">
        <f t="shared" si="9"/>
        <v>DENTRO DEL TIEMPO</v>
      </c>
      <c r="R265" s="99"/>
    </row>
    <row r="266" spans="1:18" ht="60.75" x14ac:dyDescent="0.25">
      <c r="A266" s="96">
        <v>261</v>
      </c>
      <c r="B266" s="97" t="s">
        <v>9163</v>
      </c>
      <c r="C266" s="98">
        <v>44802</v>
      </c>
      <c r="D266" s="98">
        <v>44802</v>
      </c>
      <c r="E266" s="99">
        <v>2</v>
      </c>
      <c r="F266" s="99" t="s">
        <v>22</v>
      </c>
      <c r="G266" s="97" t="s">
        <v>1256</v>
      </c>
      <c r="H266" s="97" t="s">
        <v>24</v>
      </c>
      <c r="I266" s="97" t="s">
        <v>1256</v>
      </c>
      <c r="J266" s="100">
        <v>44803</v>
      </c>
      <c r="K266" s="100">
        <v>44803</v>
      </c>
      <c r="L266" s="101">
        <f t="shared" si="8"/>
        <v>1</v>
      </c>
      <c r="M266" s="97" t="s">
        <v>9164</v>
      </c>
      <c r="N266" s="68" t="s">
        <v>26</v>
      </c>
      <c r="O266" s="97" t="s">
        <v>2557</v>
      </c>
      <c r="P266" s="99" t="s">
        <v>2321</v>
      </c>
      <c r="Q266" s="68" t="str">
        <f t="shared" si="9"/>
        <v>DENTRO DEL TIEMPO</v>
      </c>
      <c r="R266" s="99"/>
    </row>
    <row r="267" spans="1:18" ht="60.75" x14ac:dyDescent="0.25">
      <c r="A267" s="96">
        <v>262</v>
      </c>
      <c r="B267" s="97" t="s">
        <v>9165</v>
      </c>
      <c r="C267" s="98">
        <v>44802</v>
      </c>
      <c r="D267" s="98">
        <v>44802</v>
      </c>
      <c r="E267" s="99">
        <v>2</v>
      </c>
      <c r="F267" s="99" t="s">
        <v>22</v>
      </c>
      <c r="G267" s="97" t="s">
        <v>1256</v>
      </c>
      <c r="H267" s="97" t="s">
        <v>24</v>
      </c>
      <c r="I267" s="97" t="s">
        <v>1256</v>
      </c>
      <c r="J267" s="100">
        <v>44803</v>
      </c>
      <c r="K267" s="100">
        <v>44803</v>
      </c>
      <c r="L267" s="101">
        <f t="shared" si="8"/>
        <v>1</v>
      </c>
      <c r="M267" s="97" t="s">
        <v>9166</v>
      </c>
      <c r="N267" s="68" t="s">
        <v>26</v>
      </c>
      <c r="O267" s="97" t="s">
        <v>4563</v>
      </c>
      <c r="P267" s="99" t="s">
        <v>1585</v>
      </c>
      <c r="Q267" s="68" t="str">
        <f t="shared" si="9"/>
        <v>DENTRO DEL TIEMPO</v>
      </c>
      <c r="R267" s="99"/>
    </row>
    <row r="268" spans="1:18" ht="60.75" x14ac:dyDescent="0.25">
      <c r="A268" s="96">
        <v>263</v>
      </c>
      <c r="B268" s="97" t="s">
        <v>9167</v>
      </c>
      <c r="C268" s="98">
        <v>44802</v>
      </c>
      <c r="D268" s="98">
        <v>44802</v>
      </c>
      <c r="E268" s="99">
        <v>2</v>
      </c>
      <c r="F268" s="99" t="s">
        <v>22</v>
      </c>
      <c r="G268" s="97" t="s">
        <v>1256</v>
      </c>
      <c r="H268" s="97" t="s">
        <v>24</v>
      </c>
      <c r="I268" s="97" t="s">
        <v>1256</v>
      </c>
      <c r="J268" s="100">
        <v>44803</v>
      </c>
      <c r="K268" s="100">
        <v>44803</v>
      </c>
      <c r="L268" s="101">
        <f t="shared" si="8"/>
        <v>1</v>
      </c>
      <c r="M268" s="97" t="s">
        <v>9168</v>
      </c>
      <c r="N268" s="68" t="s">
        <v>26</v>
      </c>
      <c r="O268" s="97" t="s">
        <v>2982</v>
      </c>
      <c r="P268" s="99" t="s">
        <v>2965</v>
      </c>
      <c r="Q268" s="68" t="str">
        <f t="shared" si="9"/>
        <v>DENTRO DEL TIEMPO</v>
      </c>
      <c r="R268" s="99"/>
    </row>
    <row r="269" spans="1:18" ht="60.75" x14ac:dyDescent="0.25">
      <c r="A269" s="96">
        <v>264</v>
      </c>
      <c r="B269" s="97" t="s">
        <v>9169</v>
      </c>
      <c r="C269" s="98">
        <v>44802</v>
      </c>
      <c r="D269" s="98">
        <v>44802</v>
      </c>
      <c r="E269" s="99">
        <v>2</v>
      </c>
      <c r="F269" s="99" t="s">
        <v>22</v>
      </c>
      <c r="G269" s="97" t="s">
        <v>1256</v>
      </c>
      <c r="H269" s="97" t="s">
        <v>24</v>
      </c>
      <c r="I269" s="97" t="s">
        <v>1256</v>
      </c>
      <c r="J269" s="100">
        <v>44803</v>
      </c>
      <c r="K269" s="100">
        <v>44803</v>
      </c>
      <c r="L269" s="101">
        <f t="shared" si="8"/>
        <v>1</v>
      </c>
      <c r="M269" s="97" t="s">
        <v>9170</v>
      </c>
      <c r="N269" s="68" t="s">
        <v>26</v>
      </c>
      <c r="O269" s="97" t="s">
        <v>9171</v>
      </c>
      <c r="P269" s="99" t="s">
        <v>9172</v>
      </c>
      <c r="Q269" s="68" t="str">
        <f t="shared" si="9"/>
        <v>DENTRO DEL TIEMPO</v>
      </c>
      <c r="R269" s="99"/>
    </row>
    <row r="270" spans="1:18" ht="36.75" hidden="1" x14ac:dyDescent="0.25">
      <c r="A270" s="96">
        <v>265</v>
      </c>
      <c r="B270" s="97" t="s">
        <v>9173</v>
      </c>
      <c r="C270" s="98">
        <v>44802</v>
      </c>
      <c r="D270" s="98">
        <v>44802</v>
      </c>
      <c r="E270" s="99">
        <v>0</v>
      </c>
      <c r="F270" s="99" t="s">
        <v>790</v>
      </c>
      <c r="G270" s="97" t="s">
        <v>9174</v>
      </c>
      <c r="H270" s="97" t="s">
        <v>2592</v>
      </c>
      <c r="I270" s="97" t="s">
        <v>9174</v>
      </c>
      <c r="J270" s="100">
        <v>44818</v>
      </c>
      <c r="K270" s="100">
        <v>44818</v>
      </c>
      <c r="L270" s="101">
        <f t="shared" si="8"/>
        <v>12</v>
      </c>
      <c r="M270" s="97" t="s">
        <v>9175</v>
      </c>
      <c r="N270" s="68" t="s">
        <v>26</v>
      </c>
      <c r="O270" s="97" t="s">
        <v>9176</v>
      </c>
      <c r="P270" s="99"/>
      <c r="Q270" s="68" t="str">
        <f t="shared" si="9"/>
        <v>DENTRO DEL TIEMPO</v>
      </c>
      <c r="R270" s="99"/>
    </row>
    <row r="271" spans="1:18" ht="60.75" x14ac:dyDescent="0.25">
      <c r="A271" s="96">
        <v>266</v>
      </c>
      <c r="B271" s="97" t="s">
        <v>9177</v>
      </c>
      <c r="C271" s="98">
        <v>44803</v>
      </c>
      <c r="D271" s="98">
        <v>44803</v>
      </c>
      <c r="E271" s="99">
        <v>2</v>
      </c>
      <c r="F271" s="99" t="s">
        <v>22</v>
      </c>
      <c r="G271" s="97" t="s">
        <v>1256</v>
      </c>
      <c r="H271" s="97" t="s">
        <v>24</v>
      </c>
      <c r="I271" s="97" t="s">
        <v>1256</v>
      </c>
      <c r="J271" s="100">
        <v>44803</v>
      </c>
      <c r="K271" s="100">
        <v>44803</v>
      </c>
      <c r="L271" s="101">
        <f t="shared" si="8"/>
        <v>0</v>
      </c>
      <c r="M271" s="97" t="s">
        <v>9178</v>
      </c>
      <c r="N271" s="68" t="s">
        <v>26</v>
      </c>
      <c r="O271" s="97" t="s">
        <v>7463</v>
      </c>
      <c r="P271" s="99" t="s">
        <v>1518</v>
      </c>
      <c r="Q271" s="68" t="str">
        <f t="shared" si="9"/>
        <v>DENTRO DEL TIEMPO</v>
      </c>
      <c r="R271" s="99"/>
    </row>
    <row r="272" spans="1:18" ht="60.75" x14ac:dyDescent="0.25">
      <c r="A272" s="96">
        <v>267</v>
      </c>
      <c r="B272" s="97" t="s">
        <v>9179</v>
      </c>
      <c r="C272" s="98">
        <v>44803</v>
      </c>
      <c r="D272" s="98">
        <v>44803</v>
      </c>
      <c r="E272" s="99">
        <v>2</v>
      </c>
      <c r="F272" s="99" t="s">
        <v>22</v>
      </c>
      <c r="G272" s="97" t="s">
        <v>1256</v>
      </c>
      <c r="H272" s="97" t="s">
        <v>24</v>
      </c>
      <c r="I272" s="97" t="s">
        <v>1256</v>
      </c>
      <c r="J272" s="100">
        <v>44803</v>
      </c>
      <c r="K272" s="100">
        <v>44803</v>
      </c>
      <c r="L272" s="101">
        <f t="shared" si="8"/>
        <v>0</v>
      </c>
      <c r="M272" s="97" t="s">
        <v>9180</v>
      </c>
      <c r="N272" s="68" t="s">
        <v>26</v>
      </c>
      <c r="O272" s="97" t="s">
        <v>3275</v>
      </c>
      <c r="P272" s="99" t="s">
        <v>7608</v>
      </c>
      <c r="Q272" s="68" t="str">
        <f t="shared" si="9"/>
        <v>DENTRO DEL TIEMPO</v>
      </c>
      <c r="R272" s="99"/>
    </row>
    <row r="273" spans="1:18" ht="60.75" x14ac:dyDescent="0.25">
      <c r="A273" s="96">
        <v>268</v>
      </c>
      <c r="B273" s="97" t="s">
        <v>9181</v>
      </c>
      <c r="C273" s="98">
        <v>44803</v>
      </c>
      <c r="D273" s="98">
        <v>44803</v>
      </c>
      <c r="E273" s="99">
        <v>2</v>
      </c>
      <c r="F273" s="99" t="s">
        <v>22</v>
      </c>
      <c r="G273" s="97" t="s">
        <v>1256</v>
      </c>
      <c r="H273" s="97" t="s">
        <v>24</v>
      </c>
      <c r="I273" s="97" t="s">
        <v>1256</v>
      </c>
      <c r="J273" s="100">
        <v>44804</v>
      </c>
      <c r="K273" s="100">
        <v>44804</v>
      </c>
      <c r="L273" s="101">
        <f t="shared" si="8"/>
        <v>1</v>
      </c>
      <c r="M273" s="97" t="s">
        <v>9182</v>
      </c>
      <c r="N273" s="68" t="s">
        <v>26</v>
      </c>
      <c r="O273" s="97" t="s">
        <v>9183</v>
      </c>
      <c r="P273" s="99" t="s">
        <v>9184</v>
      </c>
      <c r="Q273" s="68" t="str">
        <f t="shared" si="9"/>
        <v>DENTRO DEL TIEMPO</v>
      </c>
      <c r="R273" s="99"/>
    </row>
    <row r="274" spans="1:18" ht="60.75" x14ac:dyDescent="0.25">
      <c r="A274" s="96">
        <v>269</v>
      </c>
      <c r="B274" s="97" t="s">
        <v>9185</v>
      </c>
      <c r="C274" s="98">
        <v>44803</v>
      </c>
      <c r="D274" s="98">
        <v>44803</v>
      </c>
      <c r="E274" s="99">
        <v>2</v>
      </c>
      <c r="F274" s="99" t="s">
        <v>22</v>
      </c>
      <c r="G274" s="97" t="s">
        <v>1256</v>
      </c>
      <c r="H274" s="97" t="s">
        <v>24</v>
      </c>
      <c r="I274" s="97" t="s">
        <v>1256</v>
      </c>
      <c r="J274" s="100">
        <v>44804</v>
      </c>
      <c r="K274" s="100">
        <v>44804</v>
      </c>
      <c r="L274" s="101">
        <f t="shared" si="8"/>
        <v>1</v>
      </c>
      <c r="M274" s="97" t="s">
        <v>9186</v>
      </c>
      <c r="N274" s="68" t="s">
        <v>26</v>
      </c>
      <c r="O274" s="97" t="s">
        <v>9187</v>
      </c>
      <c r="P274" s="99" t="s">
        <v>9188</v>
      </c>
      <c r="Q274" s="68" t="str">
        <f t="shared" si="9"/>
        <v>DENTRO DEL TIEMPO</v>
      </c>
      <c r="R274" s="99"/>
    </row>
    <row r="275" spans="1:18" ht="60.75" x14ac:dyDescent="0.25">
      <c r="A275" s="96">
        <v>270</v>
      </c>
      <c r="B275" s="97" t="s">
        <v>9189</v>
      </c>
      <c r="C275" s="98">
        <v>44803</v>
      </c>
      <c r="D275" s="98">
        <v>44803</v>
      </c>
      <c r="E275" s="99">
        <v>2</v>
      </c>
      <c r="F275" s="99" t="s">
        <v>22</v>
      </c>
      <c r="G275" s="97" t="s">
        <v>1256</v>
      </c>
      <c r="H275" s="97" t="s">
        <v>24</v>
      </c>
      <c r="I275" s="97" t="s">
        <v>1256</v>
      </c>
      <c r="J275" s="100">
        <v>44804</v>
      </c>
      <c r="K275" s="100">
        <v>44804</v>
      </c>
      <c r="L275" s="101">
        <f t="shared" si="8"/>
        <v>1</v>
      </c>
      <c r="M275" s="97" t="s">
        <v>9190</v>
      </c>
      <c r="N275" s="68" t="s">
        <v>26</v>
      </c>
      <c r="O275" s="97" t="s">
        <v>6522</v>
      </c>
      <c r="P275" s="99" t="s">
        <v>9191</v>
      </c>
      <c r="Q275" s="68" t="str">
        <f t="shared" si="9"/>
        <v>DENTRO DEL TIEMPO</v>
      </c>
      <c r="R275" s="99"/>
    </row>
    <row r="276" spans="1:18" ht="60.75" x14ac:dyDescent="0.25">
      <c r="A276" s="96">
        <v>271</v>
      </c>
      <c r="B276" s="97" t="s">
        <v>9192</v>
      </c>
      <c r="C276" s="98">
        <v>44803</v>
      </c>
      <c r="D276" s="98">
        <v>44803</v>
      </c>
      <c r="E276" s="99">
        <v>2</v>
      </c>
      <c r="F276" s="99" t="s">
        <v>22</v>
      </c>
      <c r="G276" s="97" t="s">
        <v>1256</v>
      </c>
      <c r="H276" s="97" t="s">
        <v>24</v>
      </c>
      <c r="I276" s="97" t="s">
        <v>1256</v>
      </c>
      <c r="J276" s="100">
        <v>44804</v>
      </c>
      <c r="K276" s="100">
        <v>44804</v>
      </c>
      <c r="L276" s="101">
        <f t="shared" si="8"/>
        <v>1</v>
      </c>
      <c r="M276" s="97" t="s">
        <v>9193</v>
      </c>
      <c r="N276" s="68" t="s">
        <v>26</v>
      </c>
      <c r="O276" s="97" t="s">
        <v>9194</v>
      </c>
      <c r="P276" s="99" t="s">
        <v>2721</v>
      </c>
      <c r="Q276" s="68" t="str">
        <f t="shared" si="9"/>
        <v>DENTRO DEL TIEMPO</v>
      </c>
      <c r="R276" s="99"/>
    </row>
    <row r="277" spans="1:18" ht="60.75" x14ac:dyDescent="0.25">
      <c r="A277" s="96">
        <v>272</v>
      </c>
      <c r="B277" s="97" t="s">
        <v>9195</v>
      </c>
      <c r="C277" s="98">
        <v>44803</v>
      </c>
      <c r="D277" s="98">
        <v>44803</v>
      </c>
      <c r="E277" s="99">
        <v>37</v>
      </c>
      <c r="F277" s="99" t="s">
        <v>22</v>
      </c>
      <c r="G277" s="97" t="s">
        <v>1256</v>
      </c>
      <c r="H277" s="97" t="s">
        <v>24</v>
      </c>
      <c r="I277" s="97" t="s">
        <v>1256</v>
      </c>
      <c r="J277" s="100">
        <v>44810</v>
      </c>
      <c r="K277" s="100">
        <v>44810</v>
      </c>
      <c r="L277" s="101">
        <f t="shared" si="8"/>
        <v>5</v>
      </c>
      <c r="M277" s="97" t="s">
        <v>9196</v>
      </c>
      <c r="N277" s="68" t="s">
        <v>26</v>
      </c>
      <c r="O277" s="97" t="s">
        <v>9197</v>
      </c>
      <c r="P277" s="99" t="s">
        <v>9198</v>
      </c>
      <c r="Q277" s="68" t="str">
        <f t="shared" si="9"/>
        <v>DENTRO DEL TIEMPO</v>
      </c>
      <c r="R277" s="99"/>
    </row>
    <row r="278" spans="1:18" ht="60.75" x14ac:dyDescent="0.25">
      <c r="A278" s="96">
        <v>273</v>
      </c>
      <c r="B278" s="97" t="s">
        <v>9199</v>
      </c>
      <c r="C278" s="98">
        <v>44803</v>
      </c>
      <c r="D278" s="98">
        <v>44803</v>
      </c>
      <c r="E278" s="99">
        <v>2</v>
      </c>
      <c r="F278" s="99" t="s">
        <v>22</v>
      </c>
      <c r="G278" s="97" t="s">
        <v>1256</v>
      </c>
      <c r="H278" s="97" t="s">
        <v>24</v>
      </c>
      <c r="I278" s="97" t="s">
        <v>1256</v>
      </c>
      <c r="J278" s="100">
        <v>44804</v>
      </c>
      <c r="K278" s="100">
        <v>44804</v>
      </c>
      <c r="L278" s="101">
        <f t="shared" si="8"/>
        <v>1</v>
      </c>
      <c r="M278" s="97" t="s">
        <v>9200</v>
      </c>
      <c r="N278" s="68" t="s">
        <v>26</v>
      </c>
      <c r="O278" s="97" t="s">
        <v>9201</v>
      </c>
      <c r="P278" s="99" t="s">
        <v>9202</v>
      </c>
      <c r="Q278" s="68" t="str">
        <f t="shared" si="9"/>
        <v>DENTRO DEL TIEMPO</v>
      </c>
      <c r="R278" s="99"/>
    </row>
    <row r="279" spans="1:18" ht="60.75" x14ac:dyDescent="0.25">
      <c r="A279" s="96">
        <v>274</v>
      </c>
      <c r="B279" s="97" t="s">
        <v>9203</v>
      </c>
      <c r="C279" s="98">
        <v>44803</v>
      </c>
      <c r="D279" s="98">
        <v>44803</v>
      </c>
      <c r="E279" s="99">
        <v>2</v>
      </c>
      <c r="F279" s="99" t="s">
        <v>22</v>
      </c>
      <c r="G279" s="97" t="s">
        <v>1256</v>
      </c>
      <c r="H279" s="97" t="s">
        <v>24</v>
      </c>
      <c r="I279" s="97" t="s">
        <v>1256</v>
      </c>
      <c r="J279" s="100">
        <v>44804</v>
      </c>
      <c r="K279" s="100">
        <v>44804</v>
      </c>
      <c r="L279" s="101">
        <f t="shared" si="8"/>
        <v>1</v>
      </c>
      <c r="M279" s="97" t="s">
        <v>9204</v>
      </c>
      <c r="N279" s="68" t="s">
        <v>26</v>
      </c>
      <c r="O279" s="97" t="s">
        <v>2396</v>
      </c>
      <c r="P279" s="99" t="s">
        <v>1315</v>
      </c>
      <c r="Q279" s="68" t="str">
        <f t="shared" si="9"/>
        <v>DENTRO DEL TIEMPO</v>
      </c>
      <c r="R279" s="99"/>
    </row>
    <row r="280" spans="1:18" ht="60.75" x14ac:dyDescent="0.25">
      <c r="A280" s="96">
        <v>275</v>
      </c>
      <c r="B280" s="97" t="s">
        <v>9205</v>
      </c>
      <c r="C280" s="98">
        <v>44803</v>
      </c>
      <c r="D280" s="98">
        <v>44803</v>
      </c>
      <c r="E280" s="99">
        <v>2</v>
      </c>
      <c r="F280" s="99" t="s">
        <v>22</v>
      </c>
      <c r="G280" s="97" t="s">
        <v>1256</v>
      </c>
      <c r="H280" s="97" t="s">
        <v>24</v>
      </c>
      <c r="I280" s="97" t="s">
        <v>1256</v>
      </c>
      <c r="J280" s="100">
        <v>44804</v>
      </c>
      <c r="K280" s="100">
        <v>44804</v>
      </c>
      <c r="L280" s="101">
        <f t="shared" si="8"/>
        <v>1</v>
      </c>
      <c r="M280" s="97" t="s">
        <v>9206</v>
      </c>
      <c r="N280" s="68" t="s">
        <v>26</v>
      </c>
      <c r="O280" s="97" t="s">
        <v>2396</v>
      </c>
      <c r="P280" s="99" t="s">
        <v>1315</v>
      </c>
      <c r="Q280" s="68" t="str">
        <f t="shared" si="9"/>
        <v>DENTRO DEL TIEMPO</v>
      </c>
      <c r="R280" s="99"/>
    </row>
    <row r="281" spans="1:18" ht="60.75" x14ac:dyDescent="0.25">
      <c r="A281" s="96">
        <v>276</v>
      </c>
      <c r="B281" s="97" t="s">
        <v>9207</v>
      </c>
      <c r="C281" s="98">
        <v>44803</v>
      </c>
      <c r="D281" s="98">
        <v>44803</v>
      </c>
      <c r="E281" s="99">
        <v>2</v>
      </c>
      <c r="F281" s="99" t="s">
        <v>22</v>
      </c>
      <c r="G281" s="97" t="s">
        <v>9208</v>
      </c>
      <c r="H281" s="97" t="s">
        <v>24</v>
      </c>
      <c r="I281" s="97" t="s">
        <v>9208</v>
      </c>
      <c r="J281" s="100">
        <v>44810</v>
      </c>
      <c r="K281" s="100">
        <v>44810</v>
      </c>
      <c r="L281" s="101">
        <f t="shared" si="8"/>
        <v>5</v>
      </c>
      <c r="M281" s="97" t="s">
        <v>9209</v>
      </c>
      <c r="N281" s="68" t="s">
        <v>26</v>
      </c>
      <c r="O281" s="97" t="s">
        <v>9210</v>
      </c>
      <c r="P281" s="99" t="s">
        <v>9211</v>
      </c>
      <c r="Q281" s="68" t="str">
        <f t="shared" si="9"/>
        <v>DENTRO DEL TIEMPO</v>
      </c>
      <c r="R281" s="99"/>
    </row>
    <row r="282" spans="1:18" ht="60.75" x14ac:dyDescent="0.25">
      <c r="A282" s="96">
        <v>277</v>
      </c>
      <c r="B282" s="97" t="s">
        <v>9212</v>
      </c>
      <c r="C282" s="98">
        <v>44803</v>
      </c>
      <c r="D282" s="98">
        <v>44803</v>
      </c>
      <c r="E282" s="99">
        <v>7</v>
      </c>
      <c r="F282" s="99" t="s">
        <v>22</v>
      </c>
      <c r="G282" s="97" t="s">
        <v>1256</v>
      </c>
      <c r="H282" s="97" t="s">
        <v>24</v>
      </c>
      <c r="I282" s="97" t="s">
        <v>1256</v>
      </c>
      <c r="J282" s="100">
        <v>44810</v>
      </c>
      <c r="K282" s="100">
        <v>44810</v>
      </c>
      <c r="L282" s="101">
        <f t="shared" si="8"/>
        <v>5</v>
      </c>
      <c r="M282" s="97" t="s">
        <v>9213</v>
      </c>
      <c r="N282" s="68" t="s">
        <v>26</v>
      </c>
      <c r="O282" s="97" t="s">
        <v>8157</v>
      </c>
      <c r="P282" s="99" t="s">
        <v>8158</v>
      </c>
      <c r="Q282" s="68" t="str">
        <f t="shared" si="9"/>
        <v>DENTRO DEL TIEMPO</v>
      </c>
      <c r="R282" s="99"/>
    </row>
    <row r="283" spans="1:18" ht="60.75" x14ac:dyDescent="0.25">
      <c r="A283" s="96">
        <v>278</v>
      </c>
      <c r="B283" s="97" t="s">
        <v>9214</v>
      </c>
      <c r="C283" s="98">
        <v>44803</v>
      </c>
      <c r="D283" s="98">
        <v>44803</v>
      </c>
      <c r="E283" s="99">
        <v>2</v>
      </c>
      <c r="F283" s="99" t="s">
        <v>22</v>
      </c>
      <c r="G283" s="97" t="s">
        <v>1256</v>
      </c>
      <c r="H283" s="97" t="s">
        <v>24</v>
      </c>
      <c r="I283" s="97" t="s">
        <v>1256</v>
      </c>
      <c r="J283" s="100">
        <v>44804</v>
      </c>
      <c r="K283" s="100">
        <v>44804</v>
      </c>
      <c r="L283" s="101">
        <f t="shared" si="8"/>
        <v>1</v>
      </c>
      <c r="M283" s="97" t="s">
        <v>9215</v>
      </c>
      <c r="N283" s="68" t="s">
        <v>26</v>
      </c>
      <c r="O283" s="97" t="s">
        <v>9216</v>
      </c>
      <c r="P283" s="99" t="s">
        <v>9217</v>
      </c>
      <c r="Q283" s="68" t="str">
        <f t="shared" si="9"/>
        <v>DENTRO DEL TIEMPO</v>
      </c>
      <c r="R283" s="99"/>
    </row>
    <row r="284" spans="1:18" ht="60.75" x14ac:dyDescent="0.25">
      <c r="A284" s="96">
        <v>279</v>
      </c>
      <c r="B284" s="97" t="s">
        <v>9218</v>
      </c>
      <c r="C284" s="98">
        <v>44803</v>
      </c>
      <c r="D284" s="98">
        <v>44803</v>
      </c>
      <c r="E284" s="99">
        <v>2</v>
      </c>
      <c r="F284" s="99" t="s">
        <v>22</v>
      </c>
      <c r="G284" s="97" t="s">
        <v>1256</v>
      </c>
      <c r="H284" s="97" t="s">
        <v>24</v>
      </c>
      <c r="I284" s="97" t="s">
        <v>1256</v>
      </c>
      <c r="J284" s="100">
        <v>44804</v>
      </c>
      <c r="K284" s="100">
        <v>44804</v>
      </c>
      <c r="L284" s="101">
        <f t="shared" si="8"/>
        <v>1</v>
      </c>
      <c r="M284" s="97" t="s">
        <v>9219</v>
      </c>
      <c r="N284" s="68" t="s">
        <v>26</v>
      </c>
      <c r="O284" s="97" t="s">
        <v>4108</v>
      </c>
      <c r="P284" s="99" t="s">
        <v>1354</v>
      </c>
      <c r="Q284" s="68" t="str">
        <f t="shared" si="9"/>
        <v>DENTRO DEL TIEMPO</v>
      </c>
      <c r="R284" s="99"/>
    </row>
    <row r="285" spans="1:18" ht="60.75" x14ac:dyDescent="0.25">
      <c r="A285" s="96">
        <v>280</v>
      </c>
      <c r="B285" s="97" t="s">
        <v>9220</v>
      </c>
      <c r="C285" s="98">
        <v>44804</v>
      </c>
      <c r="D285" s="98">
        <v>44804</v>
      </c>
      <c r="E285" s="99">
        <v>2</v>
      </c>
      <c r="F285" s="99" t="s">
        <v>22</v>
      </c>
      <c r="G285" s="97" t="s">
        <v>1256</v>
      </c>
      <c r="H285" s="97" t="s">
        <v>24</v>
      </c>
      <c r="I285" s="97" t="s">
        <v>1256</v>
      </c>
      <c r="J285" s="100">
        <v>44805</v>
      </c>
      <c r="K285" s="100">
        <v>44805</v>
      </c>
      <c r="L285" s="101">
        <f t="shared" si="8"/>
        <v>1</v>
      </c>
      <c r="M285" s="97" t="s">
        <v>9221</v>
      </c>
      <c r="N285" s="68" t="s">
        <v>26</v>
      </c>
      <c r="O285" s="97" t="s">
        <v>9222</v>
      </c>
      <c r="P285" s="99" t="s">
        <v>9223</v>
      </c>
      <c r="Q285" s="68" t="str">
        <f t="shared" si="9"/>
        <v>DENTRO DEL TIEMPO</v>
      </c>
      <c r="R285" s="99"/>
    </row>
    <row r="286" spans="1:18" ht="60.75" x14ac:dyDescent="0.25">
      <c r="A286" s="96">
        <v>281</v>
      </c>
      <c r="B286" s="97" t="s">
        <v>9224</v>
      </c>
      <c r="C286" s="98">
        <v>44804</v>
      </c>
      <c r="D286" s="98">
        <v>44804</v>
      </c>
      <c r="E286" s="99">
        <v>2</v>
      </c>
      <c r="F286" s="99" t="s">
        <v>22</v>
      </c>
      <c r="G286" s="97" t="s">
        <v>1256</v>
      </c>
      <c r="H286" s="97" t="s">
        <v>24</v>
      </c>
      <c r="I286" s="97" t="s">
        <v>1256</v>
      </c>
      <c r="J286" s="100">
        <v>44805</v>
      </c>
      <c r="K286" s="100">
        <v>44805</v>
      </c>
      <c r="L286" s="101">
        <f t="shared" si="8"/>
        <v>1</v>
      </c>
      <c r="M286" s="97" t="s">
        <v>9225</v>
      </c>
      <c r="N286" s="68" t="s">
        <v>26</v>
      </c>
      <c r="O286" s="97" t="s">
        <v>9226</v>
      </c>
      <c r="P286" s="99" t="s">
        <v>9227</v>
      </c>
      <c r="Q286" s="68" t="str">
        <f t="shared" si="9"/>
        <v>DENTRO DEL TIEMPO</v>
      </c>
      <c r="R286" s="99"/>
    </row>
    <row r="287" spans="1:18" ht="60.75" x14ac:dyDescent="0.25">
      <c r="A287" s="96">
        <v>282</v>
      </c>
      <c r="B287" s="97" t="s">
        <v>9228</v>
      </c>
      <c r="C287" s="98">
        <v>44804</v>
      </c>
      <c r="D287" s="98">
        <v>44804</v>
      </c>
      <c r="E287" s="99">
        <v>2</v>
      </c>
      <c r="F287" s="99" t="s">
        <v>22</v>
      </c>
      <c r="G287" s="97" t="s">
        <v>1256</v>
      </c>
      <c r="H287" s="97" t="s">
        <v>24</v>
      </c>
      <c r="I287" s="97" t="s">
        <v>1256</v>
      </c>
      <c r="J287" s="100">
        <v>44805</v>
      </c>
      <c r="K287" s="100">
        <v>44805</v>
      </c>
      <c r="L287" s="101">
        <f t="shared" si="8"/>
        <v>1</v>
      </c>
      <c r="M287" s="97" t="s">
        <v>9229</v>
      </c>
      <c r="N287" s="68" t="s">
        <v>26</v>
      </c>
      <c r="O287" s="97" t="s">
        <v>2557</v>
      </c>
      <c r="P287" s="99" t="s">
        <v>9230</v>
      </c>
      <c r="Q287" s="68" t="str">
        <f t="shared" si="9"/>
        <v>DENTRO DEL TIEMPO</v>
      </c>
      <c r="R287" s="99"/>
    </row>
    <row r="288" spans="1:18" ht="60.75" x14ac:dyDescent="0.25">
      <c r="A288" s="96">
        <v>283</v>
      </c>
      <c r="B288" s="97" t="s">
        <v>9231</v>
      </c>
      <c r="C288" s="98">
        <v>44804</v>
      </c>
      <c r="D288" s="98">
        <v>44804</v>
      </c>
      <c r="E288" s="99">
        <v>2</v>
      </c>
      <c r="F288" s="99" t="s">
        <v>22</v>
      </c>
      <c r="G288" s="97" t="s">
        <v>1256</v>
      </c>
      <c r="H288" s="97" t="s">
        <v>24</v>
      </c>
      <c r="I288" s="97" t="s">
        <v>1256</v>
      </c>
      <c r="J288" s="100">
        <v>44805</v>
      </c>
      <c r="K288" s="100">
        <v>44805</v>
      </c>
      <c r="L288" s="101">
        <f t="shared" si="8"/>
        <v>1</v>
      </c>
      <c r="M288" s="97" t="s">
        <v>9232</v>
      </c>
      <c r="N288" s="68" t="s">
        <v>26</v>
      </c>
      <c r="O288" s="97" t="s">
        <v>9233</v>
      </c>
      <c r="P288" s="99" t="s">
        <v>9234</v>
      </c>
      <c r="Q288" s="68" t="str">
        <f t="shared" si="9"/>
        <v>DENTRO DEL TIEMPO</v>
      </c>
      <c r="R288" s="99"/>
    </row>
    <row r="289" spans="1:18" ht="60.75" x14ac:dyDescent="0.25">
      <c r="A289" s="96">
        <v>284</v>
      </c>
      <c r="B289" s="97" t="s">
        <v>9235</v>
      </c>
      <c r="C289" s="98">
        <v>44804</v>
      </c>
      <c r="D289" s="98">
        <v>44804</v>
      </c>
      <c r="E289" s="99">
        <v>2</v>
      </c>
      <c r="F289" s="99" t="s">
        <v>22</v>
      </c>
      <c r="G289" s="97" t="s">
        <v>1256</v>
      </c>
      <c r="H289" s="97" t="s">
        <v>24</v>
      </c>
      <c r="I289" s="97" t="s">
        <v>1256</v>
      </c>
      <c r="J289" s="100">
        <v>44805</v>
      </c>
      <c r="K289" s="100">
        <v>44805</v>
      </c>
      <c r="L289" s="101">
        <f t="shared" si="8"/>
        <v>1</v>
      </c>
      <c r="M289" s="97" t="s">
        <v>9236</v>
      </c>
      <c r="N289" s="68" t="s">
        <v>26</v>
      </c>
      <c r="O289" s="97" t="s">
        <v>9237</v>
      </c>
      <c r="P289" s="99" t="s">
        <v>9238</v>
      </c>
      <c r="Q289" s="68" t="str">
        <f t="shared" si="9"/>
        <v>DENTRO DEL TIEMPO</v>
      </c>
      <c r="R289" s="99"/>
    </row>
    <row r="290" spans="1:18" ht="60.75" x14ac:dyDescent="0.25">
      <c r="A290" s="96">
        <v>285</v>
      </c>
      <c r="B290" s="97" t="s">
        <v>9239</v>
      </c>
      <c r="C290" s="98">
        <v>44804</v>
      </c>
      <c r="D290" s="98">
        <v>44804</v>
      </c>
      <c r="E290" s="99">
        <v>2</v>
      </c>
      <c r="F290" s="99" t="s">
        <v>22</v>
      </c>
      <c r="G290" s="97" t="s">
        <v>1256</v>
      </c>
      <c r="H290" s="97" t="s">
        <v>24</v>
      </c>
      <c r="I290" s="97" t="s">
        <v>1256</v>
      </c>
      <c r="J290" s="100">
        <v>44805</v>
      </c>
      <c r="K290" s="100">
        <v>44805</v>
      </c>
      <c r="L290" s="101">
        <f t="shared" si="8"/>
        <v>1</v>
      </c>
      <c r="M290" s="97" t="s">
        <v>9240</v>
      </c>
      <c r="N290" s="68" t="s">
        <v>26</v>
      </c>
      <c r="O290" s="97" t="s">
        <v>2632</v>
      </c>
      <c r="P290" s="99" t="s">
        <v>2531</v>
      </c>
      <c r="Q290" s="68" t="str">
        <f t="shared" si="9"/>
        <v>DENTRO DEL TIEMPO</v>
      </c>
      <c r="R290" s="99"/>
    </row>
    <row r="291" spans="1:18" ht="60.75" x14ac:dyDescent="0.25">
      <c r="A291" s="96">
        <v>286</v>
      </c>
      <c r="B291" s="97" t="s">
        <v>9241</v>
      </c>
      <c r="C291" s="98">
        <v>44804</v>
      </c>
      <c r="D291" s="98">
        <v>44804</v>
      </c>
      <c r="E291" s="99">
        <v>2</v>
      </c>
      <c r="F291" s="99" t="s">
        <v>22</v>
      </c>
      <c r="G291" s="97" t="s">
        <v>1256</v>
      </c>
      <c r="H291" s="97" t="s">
        <v>24</v>
      </c>
      <c r="I291" s="97" t="s">
        <v>1256</v>
      </c>
      <c r="J291" s="100">
        <v>44805</v>
      </c>
      <c r="K291" s="100">
        <v>44805</v>
      </c>
      <c r="L291" s="101">
        <f t="shared" si="8"/>
        <v>1</v>
      </c>
      <c r="M291" s="97" t="s">
        <v>9242</v>
      </c>
      <c r="N291" s="68" t="s">
        <v>26</v>
      </c>
      <c r="O291" s="97" t="s">
        <v>3134</v>
      </c>
      <c r="P291" s="99" t="s">
        <v>2531</v>
      </c>
      <c r="Q291" s="68" t="str">
        <f t="shared" si="9"/>
        <v>DENTRO DEL TIEMPO</v>
      </c>
      <c r="R291" s="99"/>
    </row>
    <row r="292" spans="1:18" ht="60.75" x14ac:dyDescent="0.25">
      <c r="A292" s="96">
        <v>287</v>
      </c>
      <c r="B292" s="97" t="s">
        <v>9243</v>
      </c>
      <c r="C292" s="98">
        <v>44804</v>
      </c>
      <c r="D292" s="98">
        <v>44804</v>
      </c>
      <c r="E292" s="99">
        <v>2</v>
      </c>
      <c r="F292" s="99" t="s">
        <v>22</v>
      </c>
      <c r="G292" s="97" t="s">
        <v>1256</v>
      </c>
      <c r="H292" s="97" t="s">
        <v>24</v>
      </c>
      <c r="I292" s="97" t="s">
        <v>1256</v>
      </c>
      <c r="J292" s="100">
        <v>44805</v>
      </c>
      <c r="K292" s="100">
        <v>44805</v>
      </c>
      <c r="L292" s="101">
        <f t="shared" si="8"/>
        <v>1</v>
      </c>
      <c r="M292" s="97" t="s">
        <v>9244</v>
      </c>
      <c r="N292" s="68" t="s">
        <v>26</v>
      </c>
      <c r="O292" s="97" t="s">
        <v>9245</v>
      </c>
      <c r="P292" s="99" t="s">
        <v>9246</v>
      </c>
      <c r="Q292" s="68" t="str">
        <f t="shared" si="9"/>
        <v>DENTRO DEL TIEMPO</v>
      </c>
      <c r="R292" s="99"/>
    </row>
    <row r="293" spans="1:18" ht="60.75" x14ac:dyDescent="0.25">
      <c r="A293" s="96">
        <v>288</v>
      </c>
      <c r="B293" s="97" t="s">
        <v>9247</v>
      </c>
      <c r="C293" s="98">
        <v>44804</v>
      </c>
      <c r="D293" s="98">
        <v>44804</v>
      </c>
      <c r="E293" s="99">
        <v>2</v>
      </c>
      <c r="F293" s="99" t="s">
        <v>22</v>
      </c>
      <c r="G293" s="97" t="s">
        <v>1256</v>
      </c>
      <c r="H293" s="97" t="s">
        <v>24</v>
      </c>
      <c r="I293" s="97" t="s">
        <v>1256</v>
      </c>
      <c r="J293" s="100">
        <v>44805</v>
      </c>
      <c r="K293" s="100">
        <v>44805</v>
      </c>
      <c r="L293" s="101">
        <f t="shared" si="8"/>
        <v>1</v>
      </c>
      <c r="M293" s="97" t="s">
        <v>9248</v>
      </c>
      <c r="N293" s="68" t="s">
        <v>26</v>
      </c>
      <c r="O293" s="97" t="s">
        <v>4108</v>
      </c>
      <c r="P293" s="99" t="s">
        <v>8791</v>
      </c>
      <c r="Q293" s="68" t="str">
        <f t="shared" si="9"/>
        <v>DENTRO DEL TIEMPO</v>
      </c>
      <c r="R293" s="99"/>
    </row>
    <row r="294" spans="1:18" ht="60.75" x14ac:dyDescent="0.25">
      <c r="A294" s="96">
        <v>289</v>
      </c>
      <c r="B294" s="97" t="s">
        <v>9249</v>
      </c>
      <c r="C294" s="98">
        <v>44804</v>
      </c>
      <c r="D294" s="98">
        <v>44804</v>
      </c>
      <c r="E294" s="99">
        <v>2</v>
      </c>
      <c r="F294" s="99" t="s">
        <v>22</v>
      </c>
      <c r="G294" s="97" t="s">
        <v>1256</v>
      </c>
      <c r="H294" s="97" t="s">
        <v>24</v>
      </c>
      <c r="I294" s="97" t="s">
        <v>1256</v>
      </c>
      <c r="J294" s="100">
        <v>44805</v>
      </c>
      <c r="K294" s="100">
        <v>44805</v>
      </c>
      <c r="L294" s="101">
        <f t="shared" si="8"/>
        <v>1</v>
      </c>
      <c r="M294" s="97" t="s">
        <v>9250</v>
      </c>
      <c r="N294" s="68" t="s">
        <v>26</v>
      </c>
      <c r="O294" s="97" t="s">
        <v>9251</v>
      </c>
      <c r="P294" s="99" t="s">
        <v>8494</v>
      </c>
      <c r="Q294" s="68" t="str">
        <f t="shared" si="9"/>
        <v>DENTRO DEL TIEMPO</v>
      </c>
      <c r="R294" s="99"/>
    </row>
    <row r="295" spans="1:18" ht="60.75" hidden="1" x14ac:dyDescent="0.25">
      <c r="A295" s="96">
        <v>290</v>
      </c>
      <c r="B295" s="97" t="s">
        <v>9252</v>
      </c>
      <c r="C295" s="98">
        <v>44804</v>
      </c>
      <c r="D295" s="98">
        <v>44804</v>
      </c>
      <c r="E295" s="99">
        <v>0</v>
      </c>
      <c r="F295" s="99" t="s">
        <v>790</v>
      </c>
      <c r="G295" s="97" t="s">
        <v>1386</v>
      </c>
      <c r="H295" s="97" t="s">
        <v>1387</v>
      </c>
      <c r="I295" s="97" t="s">
        <v>1386</v>
      </c>
      <c r="J295" s="100"/>
      <c r="K295" s="100"/>
      <c r="L295" s="101">
        <f t="shared" si="8"/>
        <v>-32004</v>
      </c>
      <c r="M295" s="97"/>
      <c r="N295" s="68" t="s">
        <v>26</v>
      </c>
      <c r="O295" s="97" t="s">
        <v>9253</v>
      </c>
      <c r="P295" s="99" t="s">
        <v>9254</v>
      </c>
      <c r="Q295" s="68" t="str">
        <f t="shared" si="9"/>
        <v>DENTRO DEL TIEMPO</v>
      </c>
      <c r="R295" s="99"/>
    </row>
    <row r="296" spans="1:18" ht="60.75" x14ac:dyDescent="0.25">
      <c r="A296" s="96">
        <v>291</v>
      </c>
      <c r="B296" s="97" t="s">
        <v>9255</v>
      </c>
      <c r="C296" s="98">
        <v>44804</v>
      </c>
      <c r="D296" s="98">
        <v>44804</v>
      </c>
      <c r="E296" s="99">
        <v>2</v>
      </c>
      <c r="F296" s="99" t="s">
        <v>22</v>
      </c>
      <c r="G296" s="97" t="s">
        <v>1256</v>
      </c>
      <c r="H296" s="97" t="s">
        <v>24</v>
      </c>
      <c r="I296" s="97" t="s">
        <v>1256</v>
      </c>
      <c r="J296" s="100">
        <v>44805</v>
      </c>
      <c r="K296" s="100">
        <v>44805</v>
      </c>
      <c r="L296" s="101">
        <f t="shared" si="8"/>
        <v>1</v>
      </c>
      <c r="M296" s="97" t="s">
        <v>9256</v>
      </c>
      <c r="N296" s="68" t="s">
        <v>26</v>
      </c>
      <c r="O296" s="97" t="s">
        <v>9257</v>
      </c>
      <c r="P296" s="99" t="s">
        <v>9258</v>
      </c>
      <c r="Q296" s="68" t="str">
        <f t="shared" si="9"/>
        <v>DENTRO DEL TIEMPO</v>
      </c>
      <c r="R296" s="99"/>
    </row>
    <row r="297" spans="1:18" ht="48.75" x14ac:dyDescent="0.25">
      <c r="A297" s="96">
        <v>292</v>
      </c>
      <c r="B297" s="97" t="s">
        <v>9259</v>
      </c>
      <c r="C297" s="98">
        <v>44774</v>
      </c>
      <c r="D297" s="98">
        <v>44774</v>
      </c>
      <c r="E297" s="99">
        <v>22</v>
      </c>
      <c r="F297" s="99" t="s">
        <v>22</v>
      </c>
      <c r="G297" s="97" t="s">
        <v>1101</v>
      </c>
      <c r="H297" s="97" t="s">
        <v>9260</v>
      </c>
      <c r="I297" s="97" t="s">
        <v>1101</v>
      </c>
      <c r="J297" s="100">
        <v>44778</v>
      </c>
      <c r="K297" s="100">
        <v>44778</v>
      </c>
      <c r="L297" s="101">
        <f t="shared" ref="L297:L360" si="10">+NETWORKDAYS(D297,K297)-1</f>
        <v>4</v>
      </c>
      <c r="M297" s="97" t="s">
        <v>9261</v>
      </c>
      <c r="N297" s="68" t="s">
        <v>1104</v>
      </c>
      <c r="O297" s="97" t="s">
        <v>1026</v>
      </c>
      <c r="P297" s="99" t="s">
        <v>7078</v>
      </c>
      <c r="Q297" s="68" t="str">
        <f t="shared" si="9"/>
        <v>DENTRO DEL TIEMPO</v>
      </c>
      <c r="R297" s="99"/>
    </row>
    <row r="298" spans="1:18" ht="48.75" x14ac:dyDescent="0.25">
      <c r="A298" s="96">
        <v>293</v>
      </c>
      <c r="B298" s="97" t="s">
        <v>9262</v>
      </c>
      <c r="C298" s="98">
        <v>44774</v>
      </c>
      <c r="D298" s="98">
        <v>44774</v>
      </c>
      <c r="E298" s="99">
        <v>3</v>
      </c>
      <c r="F298" s="99" t="s">
        <v>22</v>
      </c>
      <c r="G298" s="97" t="s">
        <v>1101</v>
      </c>
      <c r="H298" s="97" t="s">
        <v>9260</v>
      </c>
      <c r="I298" s="97" t="s">
        <v>1101</v>
      </c>
      <c r="J298" s="100">
        <v>44776</v>
      </c>
      <c r="K298" s="100">
        <v>44776</v>
      </c>
      <c r="L298" s="101">
        <f t="shared" si="10"/>
        <v>2</v>
      </c>
      <c r="M298" s="97" t="s">
        <v>9263</v>
      </c>
      <c r="N298" s="68" t="s">
        <v>1104</v>
      </c>
      <c r="O298" s="97" t="s">
        <v>1026</v>
      </c>
      <c r="P298" s="99" t="s">
        <v>7078</v>
      </c>
      <c r="Q298" s="68" t="str">
        <f t="shared" si="9"/>
        <v>DENTRO DEL TIEMPO</v>
      </c>
      <c r="R298" s="99"/>
    </row>
    <row r="299" spans="1:18" ht="48.75" x14ac:dyDescent="0.25">
      <c r="A299" s="96">
        <v>294</v>
      </c>
      <c r="B299" s="97" t="s">
        <v>9264</v>
      </c>
      <c r="C299" s="98">
        <v>44775</v>
      </c>
      <c r="D299" s="98">
        <v>44775</v>
      </c>
      <c r="E299" s="99">
        <v>1</v>
      </c>
      <c r="F299" s="99" t="s">
        <v>22</v>
      </c>
      <c r="G299" s="97" t="s">
        <v>1101</v>
      </c>
      <c r="H299" s="97" t="s">
        <v>9260</v>
      </c>
      <c r="I299" s="97" t="s">
        <v>1101</v>
      </c>
      <c r="J299" s="100">
        <v>44776</v>
      </c>
      <c r="K299" s="100">
        <v>44776</v>
      </c>
      <c r="L299" s="101">
        <f t="shared" si="10"/>
        <v>1</v>
      </c>
      <c r="M299" s="97" t="s">
        <v>9265</v>
      </c>
      <c r="N299" s="68" t="s">
        <v>1104</v>
      </c>
      <c r="O299" s="97" t="s">
        <v>1026</v>
      </c>
      <c r="P299" s="99" t="s">
        <v>7078</v>
      </c>
      <c r="Q299" s="68" t="str">
        <f t="shared" si="9"/>
        <v>DENTRO DEL TIEMPO</v>
      </c>
      <c r="R299" s="99"/>
    </row>
    <row r="300" spans="1:18" ht="48.75" x14ac:dyDescent="0.25">
      <c r="A300" s="96">
        <v>295</v>
      </c>
      <c r="B300" s="97" t="s">
        <v>9266</v>
      </c>
      <c r="C300" s="98">
        <v>44775</v>
      </c>
      <c r="D300" s="98">
        <v>44775</v>
      </c>
      <c r="E300" s="99">
        <v>1</v>
      </c>
      <c r="F300" s="99" t="s">
        <v>22</v>
      </c>
      <c r="G300" s="97" t="s">
        <v>1101</v>
      </c>
      <c r="H300" s="97" t="s">
        <v>9260</v>
      </c>
      <c r="I300" s="97" t="s">
        <v>1101</v>
      </c>
      <c r="J300" s="100">
        <v>44776</v>
      </c>
      <c r="K300" s="100">
        <v>44776</v>
      </c>
      <c r="L300" s="101">
        <f t="shared" si="10"/>
        <v>1</v>
      </c>
      <c r="M300" s="97" t="s">
        <v>9267</v>
      </c>
      <c r="N300" s="68" t="s">
        <v>1104</v>
      </c>
      <c r="O300" s="97" t="s">
        <v>1026</v>
      </c>
      <c r="P300" s="99" t="s">
        <v>7078</v>
      </c>
      <c r="Q300" s="68" t="str">
        <f t="shared" si="9"/>
        <v>DENTRO DEL TIEMPO</v>
      </c>
      <c r="R300" s="99"/>
    </row>
    <row r="301" spans="1:18" ht="48.75" x14ac:dyDescent="0.25">
      <c r="A301" s="96">
        <v>296</v>
      </c>
      <c r="B301" s="97" t="s">
        <v>9268</v>
      </c>
      <c r="C301" s="98">
        <v>44768</v>
      </c>
      <c r="D301" s="98">
        <v>44775</v>
      </c>
      <c r="E301" s="99">
        <v>4</v>
      </c>
      <c r="F301" s="99" t="s">
        <v>22</v>
      </c>
      <c r="G301" s="97" t="s">
        <v>1101</v>
      </c>
      <c r="H301" s="97" t="s">
        <v>9260</v>
      </c>
      <c r="I301" s="97" t="s">
        <v>1101</v>
      </c>
      <c r="J301" s="100">
        <v>44775</v>
      </c>
      <c r="K301" s="100">
        <v>44775</v>
      </c>
      <c r="L301" s="101">
        <f t="shared" si="10"/>
        <v>0</v>
      </c>
      <c r="M301" s="97" t="s">
        <v>9269</v>
      </c>
      <c r="N301" s="68" t="s">
        <v>1104</v>
      </c>
      <c r="O301" s="97" t="s">
        <v>1026</v>
      </c>
      <c r="P301" s="99" t="s">
        <v>7078</v>
      </c>
      <c r="Q301" s="68" t="str">
        <f t="shared" si="9"/>
        <v>DENTRO DEL TIEMPO</v>
      </c>
      <c r="R301" s="99"/>
    </row>
    <row r="302" spans="1:18" ht="48.75" x14ac:dyDescent="0.25">
      <c r="A302" s="96">
        <v>297</v>
      </c>
      <c r="B302" s="97" t="s">
        <v>9270</v>
      </c>
      <c r="C302" s="98">
        <v>44777</v>
      </c>
      <c r="D302" s="98">
        <v>44777</v>
      </c>
      <c r="E302" s="99">
        <v>3</v>
      </c>
      <c r="F302" s="99" t="s">
        <v>22</v>
      </c>
      <c r="G302" s="97" t="s">
        <v>1101</v>
      </c>
      <c r="H302" s="97" t="s">
        <v>9260</v>
      </c>
      <c r="I302" s="97" t="s">
        <v>1101</v>
      </c>
      <c r="J302" s="100">
        <v>44778</v>
      </c>
      <c r="K302" s="100">
        <v>44778</v>
      </c>
      <c r="L302" s="101">
        <f t="shared" si="10"/>
        <v>1</v>
      </c>
      <c r="M302" s="97" t="s">
        <v>9271</v>
      </c>
      <c r="N302" s="68" t="s">
        <v>1104</v>
      </c>
      <c r="O302" s="97" t="s">
        <v>1026</v>
      </c>
      <c r="P302" s="99" t="s">
        <v>7078</v>
      </c>
      <c r="Q302" s="68" t="str">
        <f t="shared" si="9"/>
        <v>DENTRO DEL TIEMPO</v>
      </c>
      <c r="R302" s="99"/>
    </row>
    <row r="303" spans="1:18" ht="48.75" x14ac:dyDescent="0.25">
      <c r="A303" s="96">
        <v>298</v>
      </c>
      <c r="B303" s="97" t="s">
        <v>9272</v>
      </c>
      <c r="C303" s="98">
        <v>44778</v>
      </c>
      <c r="D303" s="98">
        <v>44778</v>
      </c>
      <c r="E303" s="99">
        <v>103</v>
      </c>
      <c r="F303" s="99" t="s">
        <v>22</v>
      </c>
      <c r="G303" s="97" t="s">
        <v>1101</v>
      </c>
      <c r="H303" s="97" t="s">
        <v>9260</v>
      </c>
      <c r="I303" s="97" t="s">
        <v>1101</v>
      </c>
      <c r="J303" s="100">
        <v>44791</v>
      </c>
      <c r="K303" s="100">
        <v>44791</v>
      </c>
      <c r="L303" s="101">
        <f t="shared" si="10"/>
        <v>9</v>
      </c>
      <c r="M303" s="97" t="s">
        <v>9273</v>
      </c>
      <c r="N303" s="68" t="s">
        <v>1104</v>
      </c>
      <c r="O303" s="97" t="s">
        <v>1026</v>
      </c>
      <c r="P303" s="99" t="s">
        <v>7078</v>
      </c>
      <c r="Q303" s="68" t="str">
        <f t="shared" si="9"/>
        <v>DENTRO DEL TIEMPO</v>
      </c>
      <c r="R303" s="99"/>
    </row>
    <row r="304" spans="1:18" ht="48.75" x14ac:dyDescent="0.25">
      <c r="A304" s="96">
        <v>299</v>
      </c>
      <c r="B304" s="97" t="s">
        <v>9274</v>
      </c>
      <c r="C304" s="98">
        <v>44781</v>
      </c>
      <c r="D304" s="98">
        <v>44781</v>
      </c>
      <c r="E304" s="99">
        <v>2</v>
      </c>
      <c r="F304" s="99" t="s">
        <v>22</v>
      </c>
      <c r="G304" s="97" t="s">
        <v>1101</v>
      </c>
      <c r="H304" s="97" t="s">
        <v>9260</v>
      </c>
      <c r="I304" s="97" t="s">
        <v>1101</v>
      </c>
      <c r="J304" s="100">
        <v>44783</v>
      </c>
      <c r="K304" s="100">
        <v>44783</v>
      </c>
      <c r="L304" s="101">
        <f t="shared" si="10"/>
        <v>2</v>
      </c>
      <c r="M304" s="97" t="s">
        <v>9275</v>
      </c>
      <c r="N304" s="68" t="s">
        <v>1104</v>
      </c>
      <c r="O304" s="97" t="s">
        <v>1026</v>
      </c>
      <c r="P304" s="99" t="s">
        <v>7078</v>
      </c>
      <c r="Q304" s="68" t="str">
        <f t="shared" si="9"/>
        <v>DENTRO DEL TIEMPO</v>
      </c>
      <c r="R304" s="99"/>
    </row>
    <row r="305" spans="1:18" ht="48.75" x14ac:dyDescent="0.25">
      <c r="A305" s="96">
        <v>300</v>
      </c>
      <c r="B305" s="97" t="s">
        <v>9276</v>
      </c>
      <c r="C305" s="98">
        <v>44782</v>
      </c>
      <c r="D305" s="98">
        <v>44782</v>
      </c>
      <c r="E305" s="99">
        <v>1</v>
      </c>
      <c r="F305" s="99" t="s">
        <v>22</v>
      </c>
      <c r="G305" s="97" t="s">
        <v>1101</v>
      </c>
      <c r="H305" s="97" t="s">
        <v>9260</v>
      </c>
      <c r="I305" s="97" t="s">
        <v>1101</v>
      </c>
      <c r="J305" s="100">
        <v>44788</v>
      </c>
      <c r="K305" s="100">
        <v>44788</v>
      </c>
      <c r="L305" s="101">
        <f t="shared" si="10"/>
        <v>4</v>
      </c>
      <c r="M305" s="97" t="s">
        <v>9277</v>
      </c>
      <c r="N305" s="68" t="s">
        <v>1104</v>
      </c>
      <c r="O305" s="97" t="s">
        <v>1026</v>
      </c>
      <c r="P305" s="99" t="s">
        <v>7078</v>
      </c>
      <c r="Q305" s="68" t="str">
        <f t="shared" si="9"/>
        <v>DENTRO DEL TIEMPO</v>
      </c>
      <c r="R305" s="99"/>
    </row>
    <row r="306" spans="1:18" ht="48.75" x14ac:dyDescent="0.25">
      <c r="A306" s="96">
        <v>301</v>
      </c>
      <c r="B306" s="97" t="s">
        <v>9278</v>
      </c>
      <c r="C306" s="98">
        <v>44784</v>
      </c>
      <c r="D306" s="98">
        <v>44784</v>
      </c>
      <c r="E306" s="99">
        <v>5</v>
      </c>
      <c r="F306" s="99" t="s">
        <v>22</v>
      </c>
      <c r="G306" s="97" t="s">
        <v>1101</v>
      </c>
      <c r="H306" s="97" t="s">
        <v>9260</v>
      </c>
      <c r="I306" s="97" t="s">
        <v>1101</v>
      </c>
      <c r="J306" s="100">
        <v>44789</v>
      </c>
      <c r="K306" s="100">
        <v>44789</v>
      </c>
      <c r="L306" s="101">
        <f t="shared" si="10"/>
        <v>3</v>
      </c>
      <c r="M306" s="97" t="s">
        <v>9279</v>
      </c>
      <c r="N306" s="68" t="s">
        <v>1104</v>
      </c>
      <c r="O306" s="97" t="s">
        <v>1026</v>
      </c>
      <c r="P306" s="99" t="s">
        <v>7078</v>
      </c>
      <c r="Q306" s="68" t="str">
        <f t="shared" si="9"/>
        <v>DENTRO DEL TIEMPO</v>
      </c>
      <c r="R306" s="99"/>
    </row>
    <row r="307" spans="1:18" ht="48.75" x14ac:dyDescent="0.25">
      <c r="A307" s="96">
        <v>302</v>
      </c>
      <c r="B307" s="97" t="s">
        <v>9280</v>
      </c>
      <c r="C307" s="98">
        <v>44784</v>
      </c>
      <c r="D307" s="98">
        <v>44784</v>
      </c>
      <c r="E307" s="99">
        <v>1</v>
      </c>
      <c r="F307" s="99" t="s">
        <v>22</v>
      </c>
      <c r="G307" s="97" t="s">
        <v>1101</v>
      </c>
      <c r="H307" s="97" t="s">
        <v>9260</v>
      </c>
      <c r="I307" s="97" t="s">
        <v>1101</v>
      </c>
      <c r="J307" s="100">
        <v>44795</v>
      </c>
      <c r="K307" s="100">
        <v>44795</v>
      </c>
      <c r="L307" s="101">
        <f t="shared" si="10"/>
        <v>7</v>
      </c>
      <c r="M307" s="97" t="s">
        <v>9281</v>
      </c>
      <c r="N307" s="68" t="s">
        <v>1104</v>
      </c>
      <c r="O307" s="97" t="s">
        <v>1026</v>
      </c>
      <c r="P307" s="99" t="s">
        <v>7078</v>
      </c>
      <c r="Q307" s="68" t="str">
        <f t="shared" si="9"/>
        <v>DENTRO DEL TIEMPO</v>
      </c>
      <c r="R307" s="99"/>
    </row>
    <row r="308" spans="1:18" ht="48.75" x14ac:dyDescent="0.25">
      <c r="A308" s="96">
        <v>303</v>
      </c>
      <c r="B308" s="97" t="s">
        <v>9282</v>
      </c>
      <c r="C308" s="98">
        <v>44785</v>
      </c>
      <c r="D308" s="98">
        <v>44785</v>
      </c>
      <c r="E308" s="99">
        <v>1</v>
      </c>
      <c r="F308" s="99" t="s">
        <v>22</v>
      </c>
      <c r="G308" s="97" t="s">
        <v>1101</v>
      </c>
      <c r="H308" s="97" t="s">
        <v>9260</v>
      </c>
      <c r="I308" s="97" t="s">
        <v>1101</v>
      </c>
      <c r="J308" s="100">
        <v>44791</v>
      </c>
      <c r="K308" s="100">
        <v>44791</v>
      </c>
      <c r="L308" s="101">
        <f t="shared" si="10"/>
        <v>4</v>
      </c>
      <c r="M308" s="97" t="s">
        <v>9283</v>
      </c>
      <c r="N308" s="68" t="s">
        <v>1104</v>
      </c>
      <c r="O308" s="97" t="s">
        <v>1026</v>
      </c>
      <c r="P308" s="99" t="s">
        <v>7078</v>
      </c>
      <c r="Q308" s="68" t="str">
        <f t="shared" si="9"/>
        <v>DENTRO DEL TIEMPO</v>
      </c>
      <c r="R308" s="99"/>
    </row>
    <row r="309" spans="1:18" ht="48.75" x14ac:dyDescent="0.25">
      <c r="A309" s="96">
        <v>304</v>
      </c>
      <c r="B309" s="97" t="s">
        <v>9284</v>
      </c>
      <c r="C309" s="98">
        <v>44788</v>
      </c>
      <c r="D309" s="98">
        <v>44788</v>
      </c>
      <c r="E309" s="99">
        <v>26</v>
      </c>
      <c r="F309" s="99" t="s">
        <v>22</v>
      </c>
      <c r="G309" s="97" t="s">
        <v>1101</v>
      </c>
      <c r="H309" s="97" t="s">
        <v>9260</v>
      </c>
      <c r="I309" s="97" t="s">
        <v>1101</v>
      </c>
      <c r="J309" s="100">
        <v>44797</v>
      </c>
      <c r="K309" s="100">
        <v>44797</v>
      </c>
      <c r="L309" s="101">
        <f t="shared" si="10"/>
        <v>7</v>
      </c>
      <c r="M309" s="97" t="s">
        <v>9285</v>
      </c>
      <c r="N309" s="68" t="s">
        <v>1104</v>
      </c>
      <c r="O309" s="97" t="s">
        <v>1026</v>
      </c>
      <c r="P309" s="99" t="s">
        <v>7078</v>
      </c>
      <c r="Q309" s="68" t="str">
        <f t="shared" si="9"/>
        <v>DENTRO DEL TIEMPO</v>
      </c>
      <c r="R309" s="99"/>
    </row>
    <row r="310" spans="1:18" ht="48.75" x14ac:dyDescent="0.25">
      <c r="A310" s="96">
        <v>305</v>
      </c>
      <c r="B310" s="97" t="s">
        <v>9286</v>
      </c>
      <c r="C310" s="98">
        <v>44756</v>
      </c>
      <c r="D310" s="98">
        <v>44788</v>
      </c>
      <c r="E310" s="99">
        <v>45</v>
      </c>
      <c r="F310" s="99" t="s">
        <v>22</v>
      </c>
      <c r="G310" s="97" t="s">
        <v>1101</v>
      </c>
      <c r="H310" s="97" t="s">
        <v>9260</v>
      </c>
      <c r="I310" s="97" t="s">
        <v>1101</v>
      </c>
      <c r="J310" s="100">
        <v>44788</v>
      </c>
      <c r="K310" s="100">
        <v>44788</v>
      </c>
      <c r="L310" s="101">
        <f t="shared" si="10"/>
        <v>0</v>
      </c>
      <c r="M310" s="97" t="s">
        <v>9287</v>
      </c>
      <c r="N310" s="68" t="s">
        <v>1104</v>
      </c>
      <c r="O310" s="97" t="s">
        <v>1026</v>
      </c>
      <c r="P310" s="99" t="s">
        <v>7078</v>
      </c>
      <c r="Q310" s="68" t="str">
        <f t="shared" si="9"/>
        <v>DENTRO DEL TIEMPO</v>
      </c>
      <c r="R310" s="99"/>
    </row>
    <row r="311" spans="1:18" ht="48.75" x14ac:dyDescent="0.25">
      <c r="A311" s="96">
        <v>306</v>
      </c>
      <c r="B311" s="97" t="s">
        <v>9288</v>
      </c>
      <c r="C311" s="98">
        <v>44757</v>
      </c>
      <c r="D311" s="98">
        <v>44788</v>
      </c>
      <c r="E311" s="99">
        <v>35</v>
      </c>
      <c r="F311" s="99" t="s">
        <v>22</v>
      </c>
      <c r="G311" s="97" t="s">
        <v>1101</v>
      </c>
      <c r="H311" s="97" t="s">
        <v>9260</v>
      </c>
      <c r="I311" s="97" t="s">
        <v>1101</v>
      </c>
      <c r="J311" s="100">
        <v>44791</v>
      </c>
      <c r="K311" s="100">
        <v>44791</v>
      </c>
      <c r="L311" s="101">
        <f t="shared" si="10"/>
        <v>3</v>
      </c>
      <c r="M311" s="97" t="s">
        <v>9289</v>
      </c>
      <c r="N311" s="68" t="s">
        <v>1104</v>
      </c>
      <c r="O311" s="97" t="s">
        <v>1026</v>
      </c>
      <c r="P311" s="99" t="s">
        <v>7078</v>
      </c>
      <c r="Q311" s="68" t="str">
        <f t="shared" si="9"/>
        <v>DENTRO DEL TIEMPO</v>
      </c>
      <c r="R311" s="99"/>
    </row>
    <row r="312" spans="1:18" ht="48.75" x14ac:dyDescent="0.25">
      <c r="A312" s="96">
        <v>307</v>
      </c>
      <c r="B312" s="97" t="s">
        <v>9290</v>
      </c>
      <c r="C312" s="98">
        <v>44768</v>
      </c>
      <c r="D312" s="98">
        <v>44788</v>
      </c>
      <c r="E312" s="99">
        <v>85</v>
      </c>
      <c r="F312" s="99" t="s">
        <v>22</v>
      </c>
      <c r="G312" s="97" t="s">
        <v>1101</v>
      </c>
      <c r="H312" s="97" t="s">
        <v>9260</v>
      </c>
      <c r="I312" s="97" t="s">
        <v>1101</v>
      </c>
      <c r="J312" s="100">
        <v>44789</v>
      </c>
      <c r="K312" s="100">
        <v>44789</v>
      </c>
      <c r="L312" s="101">
        <f t="shared" si="10"/>
        <v>1</v>
      </c>
      <c r="M312" s="97" t="s">
        <v>9291</v>
      </c>
      <c r="N312" s="68" t="s">
        <v>1104</v>
      </c>
      <c r="O312" s="97" t="s">
        <v>1026</v>
      </c>
      <c r="P312" s="99" t="s">
        <v>7078</v>
      </c>
      <c r="Q312" s="68" t="str">
        <f t="shared" si="9"/>
        <v>DENTRO DEL TIEMPO</v>
      </c>
      <c r="R312" s="99"/>
    </row>
    <row r="313" spans="1:18" ht="48.75" x14ac:dyDescent="0.25">
      <c r="A313" s="96">
        <v>308</v>
      </c>
      <c r="B313" s="97" t="s">
        <v>9286</v>
      </c>
      <c r="C313" s="98">
        <v>44756</v>
      </c>
      <c r="D313" s="98">
        <v>44788</v>
      </c>
      <c r="E313" s="99">
        <v>15</v>
      </c>
      <c r="F313" s="99" t="s">
        <v>22</v>
      </c>
      <c r="G313" s="97" t="s">
        <v>1101</v>
      </c>
      <c r="H313" s="97" t="s">
        <v>9260</v>
      </c>
      <c r="I313" s="97" t="s">
        <v>1101</v>
      </c>
      <c r="J313" s="100">
        <v>44788</v>
      </c>
      <c r="K313" s="100">
        <v>44788</v>
      </c>
      <c r="L313" s="101">
        <f t="shared" si="10"/>
        <v>0</v>
      </c>
      <c r="M313" s="97" t="s">
        <v>9292</v>
      </c>
      <c r="N313" s="68" t="s">
        <v>1104</v>
      </c>
      <c r="O313" s="97" t="s">
        <v>1026</v>
      </c>
      <c r="P313" s="99" t="s">
        <v>7078</v>
      </c>
      <c r="Q313" s="68" t="str">
        <f t="shared" si="9"/>
        <v>DENTRO DEL TIEMPO</v>
      </c>
      <c r="R313" s="99"/>
    </row>
    <row r="314" spans="1:18" ht="48.75" x14ac:dyDescent="0.25">
      <c r="A314" s="96">
        <v>309</v>
      </c>
      <c r="B314" s="97" t="s">
        <v>9293</v>
      </c>
      <c r="C314" s="98">
        <v>44781</v>
      </c>
      <c r="D314" s="98">
        <v>44789</v>
      </c>
      <c r="E314" s="99">
        <v>1</v>
      </c>
      <c r="F314" s="99" t="s">
        <v>22</v>
      </c>
      <c r="G314" s="97" t="s">
        <v>1101</v>
      </c>
      <c r="H314" s="97" t="s">
        <v>9260</v>
      </c>
      <c r="I314" s="97" t="s">
        <v>1101</v>
      </c>
      <c r="J314" s="100">
        <v>44789</v>
      </c>
      <c r="K314" s="100">
        <v>44789</v>
      </c>
      <c r="L314" s="101">
        <f t="shared" si="10"/>
        <v>0</v>
      </c>
      <c r="M314" s="97" t="s">
        <v>9294</v>
      </c>
      <c r="N314" s="68" t="s">
        <v>1104</v>
      </c>
      <c r="O314" s="97" t="s">
        <v>1026</v>
      </c>
      <c r="P314" s="99" t="s">
        <v>7078</v>
      </c>
      <c r="Q314" s="68" t="str">
        <f t="shared" si="9"/>
        <v>DENTRO DEL TIEMPO</v>
      </c>
      <c r="R314" s="99"/>
    </row>
    <row r="315" spans="1:18" ht="48.75" x14ac:dyDescent="0.25">
      <c r="A315" s="96">
        <v>310</v>
      </c>
      <c r="B315" s="97" t="s">
        <v>9295</v>
      </c>
      <c r="C315" s="98">
        <v>44789</v>
      </c>
      <c r="D315" s="98">
        <v>44789</v>
      </c>
      <c r="E315" s="99">
        <v>1</v>
      </c>
      <c r="F315" s="99" t="s">
        <v>22</v>
      </c>
      <c r="G315" s="97" t="s">
        <v>1101</v>
      </c>
      <c r="H315" s="97" t="s">
        <v>9260</v>
      </c>
      <c r="I315" s="97" t="s">
        <v>1101</v>
      </c>
      <c r="J315" s="100">
        <v>44789</v>
      </c>
      <c r="K315" s="100">
        <v>44789</v>
      </c>
      <c r="L315" s="101">
        <f t="shared" si="10"/>
        <v>0</v>
      </c>
      <c r="M315" s="97" t="s">
        <v>9296</v>
      </c>
      <c r="N315" s="68" t="s">
        <v>1104</v>
      </c>
      <c r="O315" s="97" t="s">
        <v>1026</v>
      </c>
      <c r="P315" s="99" t="s">
        <v>7078</v>
      </c>
      <c r="Q315" s="68" t="str">
        <f t="shared" si="9"/>
        <v>DENTRO DEL TIEMPO</v>
      </c>
      <c r="R315" s="99"/>
    </row>
    <row r="316" spans="1:18" ht="48.75" x14ac:dyDescent="0.25">
      <c r="A316" s="96">
        <v>311</v>
      </c>
      <c r="B316" s="97" t="s">
        <v>9297</v>
      </c>
      <c r="C316" s="98">
        <v>44788</v>
      </c>
      <c r="D316" s="98">
        <v>44789</v>
      </c>
      <c r="E316" s="99">
        <v>1</v>
      </c>
      <c r="F316" s="99" t="s">
        <v>22</v>
      </c>
      <c r="G316" s="97" t="s">
        <v>1101</v>
      </c>
      <c r="H316" s="97" t="s">
        <v>9260</v>
      </c>
      <c r="I316" s="97" t="s">
        <v>1101</v>
      </c>
      <c r="J316" s="100">
        <v>44789</v>
      </c>
      <c r="K316" s="100">
        <v>44789</v>
      </c>
      <c r="L316" s="101">
        <f t="shared" si="10"/>
        <v>0</v>
      </c>
      <c r="M316" s="97" t="s">
        <v>9298</v>
      </c>
      <c r="N316" s="68" t="s">
        <v>1104</v>
      </c>
      <c r="O316" s="97" t="s">
        <v>1026</v>
      </c>
      <c r="P316" s="99" t="s">
        <v>7078</v>
      </c>
      <c r="Q316" s="68" t="str">
        <f t="shared" si="9"/>
        <v>DENTRO DEL TIEMPO</v>
      </c>
      <c r="R316" s="99"/>
    </row>
    <row r="317" spans="1:18" ht="48.75" x14ac:dyDescent="0.25">
      <c r="A317" s="96">
        <v>312</v>
      </c>
      <c r="B317" s="97" t="s">
        <v>9299</v>
      </c>
      <c r="C317" s="98">
        <v>44708</v>
      </c>
      <c r="D317" s="98">
        <v>44789</v>
      </c>
      <c r="E317" s="99">
        <v>6</v>
      </c>
      <c r="F317" s="99" t="s">
        <v>22</v>
      </c>
      <c r="G317" s="97" t="s">
        <v>1101</v>
      </c>
      <c r="H317" s="97" t="s">
        <v>9260</v>
      </c>
      <c r="I317" s="97" t="s">
        <v>1101</v>
      </c>
      <c r="J317" s="100">
        <v>44795</v>
      </c>
      <c r="K317" s="100">
        <v>44795</v>
      </c>
      <c r="L317" s="101">
        <f t="shared" si="10"/>
        <v>4</v>
      </c>
      <c r="M317" s="97" t="s">
        <v>9300</v>
      </c>
      <c r="N317" s="68" t="s">
        <v>1104</v>
      </c>
      <c r="O317" s="97" t="s">
        <v>1026</v>
      </c>
      <c r="P317" s="99" t="s">
        <v>7078</v>
      </c>
      <c r="Q317" s="68" t="str">
        <f t="shared" si="9"/>
        <v>DENTRO DEL TIEMPO</v>
      </c>
      <c r="R317" s="99"/>
    </row>
    <row r="318" spans="1:18" ht="48.75" x14ac:dyDescent="0.25">
      <c r="A318" s="96">
        <v>313</v>
      </c>
      <c r="B318" s="97" t="s">
        <v>9301</v>
      </c>
      <c r="C318" s="98">
        <v>44708</v>
      </c>
      <c r="D318" s="98">
        <v>44789</v>
      </c>
      <c r="E318" s="99">
        <v>6</v>
      </c>
      <c r="F318" s="99" t="s">
        <v>22</v>
      </c>
      <c r="G318" s="97" t="s">
        <v>1101</v>
      </c>
      <c r="H318" s="97" t="s">
        <v>9260</v>
      </c>
      <c r="I318" s="97" t="s">
        <v>1101</v>
      </c>
      <c r="J318" s="100">
        <v>44795</v>
      </c>
      <c r="K318" s="100">
        <v>44795</v>
      </c>
      <c r="L318" s="101">
        <f t="shared" si="10"/>
        <v>4</v>
      </c>
      <c r="M318" s="97" t="s">
        <v>9302</v>
      </c>
      <c r="N318" s="68" t="s">
        <v>1104</v>
      </c>
      <c r="O318" s="97" t="s">
        <v>1026</v>
      </c>
      <c r="P318" s="99" t="s">
        <v>7078</v>
      </c>
      <c r="Q318" s="68" t="str">
        <f t="shared" si="9"/>
        <v>DENTRO DEL TIEMPO</v>
      </c>
      <c r="R318" s="99"/>
    </row>
    <row r="319" spans="1:18" ht="48.75" x14ac:dyDescent="0.25">
      <c r="A319" s="96">
        <v>314</v>
      </c>
      <c r="B319" s="97" t="s">
        <v>9303</v>
      </c>
      <c r="C319" s="98">
        <v>44789</v>
      </c>
      <c r="D319" s="98">
        <v>44789</v>
      </c>
      <c r="E319" s="99">
        <v>3</v>
      </c>
      <c r="F319" s="99" t="s">
        <v>22</v>
      </c>
      <c r="G319" s="97" t="s">
        <v>1101</v>
      </c>
      <c r="H319" s="97" t="s">
        <v>9260</v>
      </c>
      <c r="I319" s="97" t="s">
        <v>1101</v>
      </c>
      <c r="J319" s="100">
        <v>44796</v>
      </c>
      <c r="K319" s="100">
        <v>44796</v>
      </c>
      <c r="L319" s="101">
        <f t="shared" si="10"/>
        <v>5</v>
      </c>
      <c r="M319" s="97" t="s">
        <v>9304</v>
      </c>
      <c r="N319" s="68" t="s">
        <v>1104</v>
      </c>
      <c r="O319" s="97" t="s">
        <v>1026</v>
      </c>
      <c r="P319" s="99" t="s">
        <v>7078</v>
      </c>
      <c r="Q319" s="68" t="str">
        <f t="shared" si="9"/>
        <v>DENTRO DEL TIEMPO</v>
      </c>
      <c r="R319" s="99"/>
    </row>
    <row r="320" spans="1:18" ht="48.75" x14ac:dyDescent="0.25">
      <c r="A320" s="96">
        <v>315</v>
      </c>
      <c r="B320" s="97" t="s">
        <v>9305</v>
      </c>
      <c r="C320" s="98">
        <v>44789</v>
      </c>
      <c r="D320" s="98">
        <v>44789</v>
      </c>
      <c r="E320" s="99">
        <v>3</v>
      </c>
      <c r="F320" s="99" t="s">
        <v>22</v>
      </c>
      <c r="G320" s="97" t="s">
        <v>1101</v>
      </c>
      <c r="H320" s="97" t="s">
        <v>9260</v>
      </c>
      <c r="I320" s="97" t="s">
        <v>1101</v>
      </c>
      <c r="J320" s="100">
        <v>44791</v>
      </c>
      <c r="K320" s="100">
        <v>44791</v>
      </c>
      <c r="L320" s="101">
        <f t="shared" si="10"/>
        <v>2</v>
      </c>
      <c r="M320" s="97" t="s">
        <v>9306</v>
      </c>
      <c r="N320" s="68" t="s">
        <v>1104</v>
      </c>
      <c r="O320" s="97" t="s">
        <v>1026</v>
      </c>
      <c r="P320" s="99" t="s">
        <v>7078</v>
      </c>
      <c r="Q320" s="68" t="str">
        <f t="shared" si="9"/>
        <v>DENTRO DEL TIEMPO</v>
      </c>
      <c r="R320" s="99"/>
    </row>
    <row r="321" spans="1:18" ht="48.75" x14ac:dyDescent="0.25">
      <c r="A321" s="96">
        <v>316</v>
      </c>
      <c r="B321" s="97" t="s">
        <v>9307</v>
      </c>
      <c r="C321" s="98">
        <v>44700</v>
      </c>
      <c r="D321" s="98">
        <v>44790</v>
      </c>
      <c r="E321" s="99">
        <v>29</v>
      </c>
      <c r="F321" s="99" t="s">
        <v>22</v>
      </c>
      <c r="G321" s="97" t="s">
        <v>1101</v>
      </c>
      <c r="H321" s="97" t="s">
        <v>9260</v>
      </c>
      <c r="I321" s="97" t="s">
        <v>1101</v>
      </c>
      <c r="J321" s="100">
        <v>44795</v>
      </c>
      <c r="K321" s="100">
        <v>44795</v>
      </c>
      <c r="L321" s="101">
        <f t="shared" si="10"/>
        <v>3</v>
      </c>
      <c r="M321" s="97" t="s">
        <v>9308</v>
      </c>
      <c r="N321" s="68" t="s">
        <v>1104</v>
      </c>
      <c r="O321" s="97" t="s">
        <v>1026</v>
      </c>
      <c r="P321" s="99" t="s">
        <v>7078</v>
      </c>
      <c r="Q321" s="68" t="str">
        <f t="shared" si="9"/>
        <v>DENTRO DEL TIEMPO</v>
      </c>
      <c r="R321" s="99"/>
    </row>
    <row r="322" spans="1:18" ht="48.75" x14ac:dyDescent="0.25">
      <c r="A322" s="96">
        <v>317</v>
      </c>
      <c r="B322" s="97" t="s">
        <v>9309</v>
      </c>
      <c r="C322" s="98">
        <v>44790</v>
      </c>
      <c r="D322" s="98">
        <v>44790</v>
      </c>
      <c r="E322" s="99">
        <v>1</v>
      </c>
      <c r="F322" s="99" t="s">
        <v>22</v>
      </c>
      <c r="G322" s="97" t="s">
        <v>1101</v>
      </c>
      <c r="H322" s="97" t="s">
        <v>9260</v>
      </c>
      <c r="I322" s="97" t="s">
        <v>1101</v>
      </c>
      <c r="J322" s="100">
        <v>44796</v>
      </c>
      <c r="K322" s="100">
        <v>44796</v>
      </c>
      <c r="L322" s="101">
        <f t="shared" si="10"/>
        <v>4</v>
      </c>
      <c r="M322" s="97" t="s">
        <v>9310</v>
      </c>
      <c r="N322" s="68" t="s">
        <v>1104</v>
      </c>
      <c r="O322" s="97" t="s">
        <v>1026</v>
      </c>
      <c r="P322" s="99" t="s">
        <v>7078</v>
      </c>
      <c r="Q322" s="68" t="str">
        <f t="shared" si="9"/>
        <v>DENTRO DEL TIEMPO</v>
      </c>
      <c r="R322" s="99"/>
    </row>
    <row r="323" spans="1:18" ht="48.75" x14ac:dyDescent="0.25">
      <c r="A323" s="96">
        <v>318</v>
      </c>
      <c r="B323" s="97" t="s">
        <v>9311</v>
      </c>
      <c r="C323" s="98">
        <v>44790</v>
      </c>
      <c r="D323" s="98">
        <v>44790</v>
      </c>
      <c r="E323" s="99">
        <v>1</v>
      </c>
      <c r="F323" s="99" t="s">
        <v>22</v>
      </c>
      <c r="G323" s="97" t="s">
        <v>1101</v>
      </c>
      <c r="H323" s="97" t="s">
        <v>9260</v>
      </c>
      <c r="I323" s="97" t="s">
        <v>1101</v>
      </c>
      <c r="J323" s="100">
        <v>44796</v>
      </c>
      <c r="K323" s="100">
        <v>44796</v>
      </c>
      <c r="L323" s="101">
        <f t="shared" si="10"/>
        <v>4</v>
      </c>
      <c r="M323" s="97" t="s">
        <v>9312</v>
      </c>
      <c r="N323" s="68" t="s">
        <v>1104</v>
      </c>
      <c r="O323" s="97" t="s">
        <v>1026</v>
      </c>
      <c r="P323" s="99" t="s">
        <v>7078</v>
      </c>
      <c r="Q323" s="68" t="str">
        <f t="shared" si="9"/>
        <v>DENTRO DEL TIEMPO</v>
      </c>
      <c r="R323" s="99"/>
    </row>
    <row r="324" spans="1:18" ht="48.75" x14ac:dyDescent="0.25">
      <c r="A324" s="96">
        <v>319</v>
      </c>
      <c r="B324" s="97" t="s">
        <v>9313</v>
      </c>
      <c r="C324" s="98">
        <v>44790</v>
      </c>
      <c r="D324" s="98">
        <v>44790</v>
      </c>
      <c r="E324" s="99">
        <v>1</v>
      </c>
      <c r="F324" s="99" t="s">
        <v>22</v>
      </c>
      <c r="G324" s="97" t="s">
        <v>1101</v>
      </c>
      <c r="H324" s="97" t="s">
        <v>9260</v>
      </c>
      <c r="I324" s="97" t="s">
        <v>1101</v>
      </c>
      <c r="J324" s="100">
        <v>44796</v>
      </c>
      <c r="K324" s="100">
        <v>44796</v>
      </c>
      <c r="L324" s="101">
        <f t="shared" si="10"/>
        <v>4</v>
      </c>
      <c r="M324" s="97" t="s">
        <v>9314</v>
      </c>
      <c r="N324" s="68" t="s">
        <v>1104</v>
      </c>
      <c r="O324" s="97" t="s">
        <v>1026</v>
      </c>
      <c r="P324" s="99" t="s">
        <v>7078</v>
      </c>
      <c r="Q324" s="68" t="str">
        <f t="shared" si="9"/>
        <v>DENTRO DEL TIEMPO</v>
      </c>
      <c r="R324" s="99"/>
    </row>
    <row r="325" spans="1:18" ht="48.75" x14ac:dyDescent="0.25">
      <c r="A325" s="96">
        <v>320</v>
      </c>
      <c r="B325" s="97" t="s">
        <v>9315</v>
      </c>
      <c r="C325" s="98">
        <v>44790</v>
      </c>
      <c r="D325" s="98">
        <v>44790</v>
      </c>
      <c r="E325" s="99">
        <v>8</v>
      </c>
      <c r="F325" s="99" t="s">
        <v>22</v>
      </c>
      <c r="G325" s="97" t="s">
        <v>1101</v>
      </c>
      <c r="H325" s="97" t="s">
        <v>9260</v>
      </c>
      <c r="I325" s="97" t="s">
        <v>1101</v>
      </c>
      <c r="J325" s="100">
        <v>44796</v>
      </c>
      <c r="K325" s="100">
        <v>44796</v>
      </c>
      <c r="L325" s="101">
        <f t="shared" si="10"/>
        <v>4</v>
      </c>
      <c r="M325" s="97" t="s">
        <v>9316</v>
      </c>
      <c r="N325" s="68" t="s">
        <v>1104</v>
      </c>
      <c r="O325" s="97" t="s">
        <v>1026</v>
      </c>
      <c r="P325" s="99" t="s">
        <v>7078</v>
      </c>
      <c r="Q325" s="68" t="str">
        <f t="shared" si="9"/>
        <v>DENTRO DEL TIEMPO</v>
      </c>
      <c r="R325" s="99"/>
    </row>
    <row r="326" spans="1:18" ht="48.75" x14ac:dyDescent="0.25">
      <c r="A326" s="96">
        <v>321</v>
      </c>
      <c r="B326" s="97" t="s">
        <v>9313</v>
      </c>
      <c r="C326" s="98">
        <v>44790</v>
      </c>
      <c r="D326" s="98">
        <v>44790</v>
      </c>
      <c r="E326" s="99">
        <v>1</v>
      </c>
      <c r="F326" s="99" t="s">
        <v>22</v>
      </c>
      <c r="G326" s="97" t="s">
        <v>1101</v>
      </c>
      <c r="H326" s="97" t="s">
        <v>9260</v>
      </c>
      <c r="I326" s="97" t="s">
        <v>1101</v>
      </c>
      <c r="J326" s="100">
        <v>44796</v>
      </c>
      <c r="K326" s="100">
        <v>44796</v>
      </c>
      <c r="L326" s="101">
        <f t="shared" si="10"/>
        <v>4</v>
      </c>
      <c r="M326" s="97" t="s">
        <v>9314</v>
      </c>
      <c r="N326" s="68" t="s">
        <v>1104</v>
      </c>
      <c r="O326" s="97" t="s">
        <v>1026</v>
      </c>
      <c r="P326" s="99" t="s">
        <v>7078</v>
      </c>
      <c r="Q326" s="68" t="str">
        <f t="shared" ref="Q326:Q373" si="11">IF(L326&gt;15,"FUERA DE TIEMPO","DENTRO DEL TIEMPO")</f>
        <v>DENTRO DEL TIEMPO</v>
      </c>
      <c r="R326" s="99"/>
    </row>
    <row r="327" spans="1:18" ht="48.75" x14ac:dyDescent="0.25">
      <c r="A327" s="96">
        <v>322</v>
      </c>
      <c r="B327" s="97" t="s">
        <v>9317</v>
      </c>
      <c r="C327" s="98">
        <v>44791</v>
      </c>
      <c r="D327" s="98">
        <v>44791</v>
      </c>
      <c r="E327" s="99">
        <v>1</v>
      </c>
      <c r="F327" s="99" t="s">
        <v>22</v>
      </c>
      <c r="G327" s="97" t="s">
        <v>1101</v>
      </c>
      <c r="H327" s="97" t="s">
        <v>9260</v>
      </c>
      <c r="I327" s="97" t="s">
        <v>1101</v>
      </c>
      <c r="J327" s="100">
        <v>44791</v>
      </c>
      <c r="K327" s="100">
        <v>44791</v>
      </c>
      <c r="L327" s="101">
        <f t="shared" si="10"/>
        <v>0</v>
      </c>
      <c r="M327" s="97" t="s">
        <v>9318</v>
      </c>
      <c r="N327" s="68" t="s">
        <v>1104</v>
      </c>
      <c r="O327" s="97" t="s">
        <v>1026</v>
      </c>
      <c r="P327" s="99" t="s">
        <v>7078</v>
      </c>
      <c r="Q327" s="68" t="str">
        <f t="shared" si="11"/>
        <v>DENTRO DEL TIEMPO</v>
      </c>
      <c r="R327" s="99"/>
    </row>
    <row r="328" spans="1:18" ht="48.75" x14ac:dyDescent="0.25">
      <c r="A328" s="96">
        <v>323</v>
      </c>
      <c r="B328" s="97" t="s">
        <v>9319</v>
      </c>
      <c r="C328" s="98">
        <v>44791</v>
      </c>
      <c r="D328" s="98">
        <v>44791</v>
      </c>
      <c r="E328" s="99">
        <v>1</v>
      </c>
      <c r="F328" s="99" t="s">
        <v>22</v>
      </c>
      <c r="G328" s="97" t="s">
        <v>1101</v>
      </c>
      <c r="H328" s="97" t="s">
        <v>9260</v>
      </c>
      <c r="I328" s="97" t="s">
        <v>1101</v>
      </c>
      <c r="J328" s="100">
        <v>44796</v>
      </c>
      <c r="K328" s="100">
        <v>44796</v>
      </c>
      <c r="L328" s="101">
        <f t="shared" si="10"/>
        <v>3</v>
      </c>
      <c r="M328" s="97" t="s">
        <v>9320</v>
      </c>
      <c r="N328" s="68" t="s">
        <v>1104</v>
      </c>
      <c r="O328" s="97" t="s">
        <v>1026</v>
      </c>
      <c r="P328" s="99" t="s">
        <v>7078</v>
      </c>
      <c r="Q328" s="68" t="str">
        <f t="shared" si="11"/>
        <v>DENTRO DEL TIEMPO</v>
      </c>
      <c r="R328" s="99"/>
    </row>
    <row r="329" spans="1:18" ht="48.75" x14ac:dyDescent="0.25">
      <c r="A329" s="96">
        <v>324</v>
      </c>
      <c r="B329" s="97" t="s">
        <v>9321</v>
      </c>
      <c r="C329" s="98">
        <v>44791</v>
      </c>
      <c r="D329" s="98">
        <v>44791</v>
      </c>
      <c r="E329" s="99">
        <v>15</v>
      </c>
      <c r="F329" s="99" t="s">
        <v>22</v>
      </c>
      <c r="G329" s="97" t="s">
        <v>1101</v>
      </c>
      <c r="H329" s="97" t="s">
        <v>9260</v>
      </c>
      <c r="I329" s="97" t="s">
        <v>1101</v>
      </c>
      <c r="J329" s="100">
        <v>44797</v>
      </c>
      <c r="K329" s="100">
        <v>44797</v>
      </c>
      <c r="L329" s="101">
        <f t="shared" si="10"/>
        <v>4</v>
      </c>
      <c r="M329" s="97" t="s">
        <v>9322</v>
      </c>
      <c r="N329" s="68" t="s">
        <v>1104</v>
      </c>
      <c r="O329" s="97" t="s">
        <v>1026</v>
      </c>
      <c r="P329" s="99" t="s">
        <v>7078</v>
      </c>
      <c r="Q329" s="68" t="str">
        <f t="shared" si="11"/>
        <v>DENTRO DEL TIEMPO</v>
      </c>
      <c r="R329" s="99"/>
    </row>
    <row r="330" spans="1:18" ht="48.75" x14ac:dyDescent="0.25">
      <c r="A330" s="96">
        <v>325</v>
      </c>
      <c r="B330" s="97" t="s">
        <v>9323</v>
      </c>
      <c r="C330" s="98">
        <v>44791</v>
      </c>
      <c r="D330" s="98">
        <v>44791</v>
      </c>
      <c r="E330" s="99">
        <v>1</v>
      </c>
      <c r="F330" s="99" t="s">
        <v>22</v>
      </c>
      <c r="G330" s="97" t="s">
        <v>1101</v>
      </c>
      <c r="H330" s="97" t="s">
        <v>9260</v>
      </c>
      <c r="I330" s="97" t="s">
        <v>1101</v>
      </c>
      <c r="J330" s="100">
        <v>44798</v>
      </c>
      <c r="K330" s="100">
        <v>44798</v>
      </c>
      <c r="L330" s="101">
        <f t="shared" si="10"/>
        <v>5</v>
      </c>
      <c r="M330" s="97" t="s">
        <v>9324</v>
      </c>
      <c r="N330" s="68" t="s">
        <v>1104</v>
      </c>
      <c r="O330" s="97" t="s">
        <v>1026</v>
      </c>
      <c r="P330" s="99" t="s">
        <v>7078</v>
      </c>
      <c r="Q330" s="68" t="str">
        <f t="shared" si="11"/>
        <v>DENTRO DEL TIEMPO</v>
      </c>
      <c r="R330" s="99"/>
    </row>
    <row r="331" spans="1:18" ht="48.75" x14ac:dyDescent="0.25">
      <c r="A331" s="96">
        <v>326</v>
      </c>
      <c r="B331" s="97" t="s">
        <v>9325</v>
      </c>
      <c r="C331" s="98">
        <v>44757</v>
      </c>
      <c r="D331" s="98">
        <v>44791</v>
      </c>
      <c r="E331" s="99">
        <v>35</v>
      </c>
      <c r="F331" s="99" t="s">
        <v>22</v>
      </c>
      <c r="G331" s="97" t="s">
        <v>1101</v>
      </c>
      <c r="H331" s="97" t="s">
        <v>9260</v>
      </c>
      <c r="I331" s="97" t="s">
        <v>1101</v>
      </c>
      <c r="J331" s="100">
        <v>44791</v>
      </c>
      <c r="K331" s="100">
        <v>44791</v>
      </c>
      <c r="L331" s="101">
        <f t="shared" si="10"/>
        <v>0</v>
      </c>
      <c r="M331" s="97" t="s">
        <v>9326</v>
      </c>
      <c r="N331" s="68" t="s">
        <v>1104</v>
      </c>
      <c r="O331" s="97" t="s">
        <v>1026</v>
      </c>
      <c r="P331" s="99" t="s">
        <v>7078</v>
      </c>
      <c r="Q331" s="68" t="str">
        <f t="shared" si="11"/>
        <v>DENTRO DEL TIEMPO</v>
      </c>
      <c r="R331" s="99"/>
    </row>
    <row r="332" spans="1:18" ht="48.75" x14ac:dyDescent="0.25">
      <c r="A332" s="96">
        <v>327</v>
      </c>
      <c r="B332" s="97" t="s">
        <v>9327</v>
      </c>
      <c r="C332" s="98">
        <v>44792</v>
      </c>
      <c r="D332" s="98">
        <v>44792</v>
      </c>
      <c r="E332" s="99">
        <v>1</v>
      </c>
      <c r="F332" s="99" t="s">
        <v>22</v>
      </c>
      <c r="G332" s="97" t="s">
        <v>1101</v>
      </c>
      <c r="H332" s="97" t="s">
        <v>9260</v>
      </c>
      <c r="I332" s="97" t="s">
        <v>1101</v>
      </c>
      <c r="J332" s="100">
        <v>44798</v>
      </c>
      <c r="K332" s="100">
        <v>44798</v>
      </c>
      <c r="L332" s="101">
        <f t="shared" si="10"/>
        <v>4</v>
      </c>
      <c r="M332" s="97" t="s">
        <v>9328</v>
      </c>
      <c r="N332" s="68" t="s">
        <v>1104</v>
      </c>
      <c r="O332" s="97" t="s">
        <v>1026</v>
      </c>
      <c r="P332" s="99" t="s">
        <v>7078</v>
      </c>
      <c r="Q332" s="68" t="str">
        <f t="shared" si="11"/>
        <v>DENTRO DEL TIEMPO</v>
      </c>
      <c r="R332" s="99"/>
    </row>
    <row r="333" spans="1:18" ht="48.75" x14ac:dyDescent="0.25">
      <c r="A333" s="96">
        <v>328</v>
      </c>
      <c r="B333" s="97" t="s">
        <v>9329</v>
      </c>
      <c r="C333" s="98">
        <v>44792</v>
      </c>
      <c r="D333" s="98">
        <v>44792</v>
      </c>
      <c r="E333" s="99">
        <v>1</v>
      </c>
      <c r="F333" s="99" t="s">
        <v>22</v>
      </c>
      <c r="G333" s="97" t="s">
        <v>1101</v>
      </c>
      <c r="H333" s="97" t="s">
        <v>9260</v>
      </c>
      <c r="I333" s="97" t="s">
        <v>1101</v>
      </c>
      <c r="J333" s="100">
        <v>44798</v>
      </c>
      <c r="K333" s="100">
        <v>44798</v>
      </c>
      <c r="L333" s="101">
        <f t="shared" si="10"/>
        <v>4</v>
      </c>
      <c r="M333" s="97" t="s">
        <v>9330</v>
      </c>
      <c r="N333" s="68" t="s">
        <v>1104</v>
      </c>
      <c r="O333" s="97" t="s">
        <v>1026</v>
      </c>
      <c r="P333" s="99" t="s">
        <v>7078</v>
      </c>
      <c r="Q333" s="68" t="str">
        <f t="shared" si="11"/>
        <v>DENTRO DEL TIEMPO</v>
      </c>
      <c r="R333" s="99"/>
    </row>
    <row r="334" spans="1:18" ht="48.75" x14ac:dyDescent="0.25">
      <c r="A334" s="96">
        <v>329</v>
      </c>
      <c r="B334" s="97" t="s">
        <v>9331</v>
      </c>
      <c r="C334" s="98">
        <v>44776</v>
      </c>
      <c r="D334" s="98">
        <v>44795</v>
      </c>
      <c r="E334" s="99">
        <v>3</v>
      </c>
      <c r="F334" s="99" t="s">
        <v>22</v>
      </c>
      <c r="G334" s="97" t="s">
        <v>1101</v>
      </c>
      <c r="H334" s="97" t="s">
        <v>9260</v>
      </c>
      <c r="I334" s="97" t="s">
        <v>1101</v>
      </c>
      <c r="J334" s="100">
        <v>44795</v>
      </c>
      <c r="K334" s="100">
        <v>44795</v>
      </c>
      <c r="L334" s="101">
        <f t="shared" si="10"/>
        <v>0</v>
      </c>
      <c r="M334" s="97" t="s">
        <v>9332</v>
      </c>
      <c r="N334" s="68" t="s">
        <v>1104</v>
      </c>
      <c r="O334" s="97" t="s">
        <v>1026</v>
      </c>
      <c r="P334" s="99" t="s">
        <v>7078</v>
      </c>
      <c r="Q334" s="68" t="str">
        <f t="shared" si="11"/>
        <v>DENTRO DEL TIEMPO</v>
      </c>
      <c r="R334" s="99"/>
    </row>
    <row r="335" spans="1:18" ht="48.75" x14ac:dyDescent="0.25">
      <c r="A335" s="96">
        <v>330</v>
      </c>
      <c r="B335" s="97" t="s">
        <v>9333</v>
      </c>
      <c r="C335" s="98">
        <v>44781</v>
      </c>
      <c r="D335" s="98">
        <v>44795</v>
      </c>
      <c r="E335" s="99">
        <v>12</v>
      </c>
      <c r="F335" s="99" t="s">
        <v>22</v>
      </c>
      <c r="G335" s="97" t="s">
        <v>1101</v>
      </c>
      <c r="H335" s="97" t="s">
        <v>9260</v>
      </c>
      <c r="I335" s="97" t="s">
        <v>1101</v>
      </c>
      <c r="J335" s="100">
        <v>44803</v>
      </c>
      <c r="K335" s="100">
        <v>44803</v>
      </c>
      <c r="L335" s="101">
        <f t="shared" si="10"/>
        <v>6</v>
      </c>
      <c r="M335" s="97" t="s">
        <v>9334</v>
      </c>
      <c r="N335" s="68" t="s">
        <v>1104</v>
      </c>
      <c r="O335" s="97" t="s">
        <v>1026</v>
      </c>
      <c r="P335" s="99" t="s">
        <v>7078</v>
      </c>
      <c r="Q335" s="68" t="str">
        <f t="shared" si="11"/>
        <v>DENTRO DEL TIEMPO</v>
      </c>
      <c r="R335" s="99"/>
    </row>
    <row r="336" spans="1:18" ht="48.75" x14ac:dyDescent="0.25">
      <c r="A336" s="96">
        <v>331</v>
      </c>
      <c r="B336" s="97" t="s">
        <v>9335</v>
      </c>
      <c r="C336" s="98">
        <v>44789</v>
      </c>
      <c r="D336" s="98">
        <v>44795</v>
      </c>
      <c r="E336" s="99">
        <v>5</v>
      </c>
      <c r="F336" s="99" t="s">
        <v>22</v>
      </c>
      <c r="G336" s="97" t="s">
        <v>1101</v>
      </c>
      <c r="H336" s="97" t="s">
        <v>9260</v>
      </c>
      <c r="I336" s="97" t="s">
        <v>1101</v>
      </c>
      <c r="J336" s="100">
        <v>44802</v>
      </c>
      <c r="K336" s="100">
        <v>44802</v>
      </c>
      <c r="L336" s="101">
        <f t="shared" si="10"/>
        <v>5</v>
      </c>
      <c r="M336" s="97" t="s">
        <v>9336</v>
      </c>
      <c r="N336" s="68" t="s">
        <v>1104</v>
      </c>
      <c r="O336" s="97" t="s">
        <v>1026</v>
      </c>
      <c r="P336" s="99" t="s">
        <v>7078</v>
      </c>
      <c r="Q336" s="68" t="str">
        <f t="shared" si="11"/>
        <v>DENTRO DEL TIEMPO</v>
      </c>
      <c r="R336" s="99"/>
    </row>
    <row r="337" spans="1:18" ht="48.75" x14ac:dyDescent="0.25">
      <c r="A337" s="96">
        <v>332</v>
      </c>
      <c r="B337" s="97" t="s">
        <v>9337</v>
      </c>
      <c r="C337" s="98">
        <v>44795</v>
      </c>
      <c r="D337" s="98">
        <v>44795</v>
      </c>
      <c r="E337" s="99">
        <v>1</v>
      </c>
      <c r="F337" s="99" t="s">
        <v>22</v>
      </c>
      <c r="G337" s="97" t="s">
        <v>1101</v>
      </c>
      <c r="H337" s="97" t="s">
        <v>9260</v>
      </c>
      <c r="I337" s="97" t="s">
        <v>1101</v>
      </c>
      <c r="J337" s="100">
        <v>44798</v>
      </c>
      <c r="K337" s="100">
        <v>44798</v>
      </c>
      <c r="L337" s="101">
        <f t="shared" si="10"/>
        <v>3</v>
      </c>
      <c r="M337" s="97" t="s">
        <v>9338</v>
      </c>
      <c r="N337" s="68" t="s">
        <v>1104</v>
      </c>
      <c r="O337" s="97" t="s">
        <v>1026</v>
      </c>
      <c r="P337" s="99" t="s">
        <v>7078</v>
      </c>
      <c r="Q337" s="68" t="str">
        <f t="shared" si="11"/>
        <v>DENTRO DEL TIEMPO</v>
      </c>
      <c r="R337" s="99"/>
    </row>
    <row r="338" spans="1:18" ht="48.75" x14ac:dyDescent="0.25">
      <c r="A338" s="96">
        <v>333</v>
      </c>
      <c r="B338" s="97" t="s">
        <v>9339</v>
      </c>
      <c r="C338" s="98">
        <v>44795</v>
      </c>
      <c r="D338" s="98">
        <v>44795</v>
      </c>
      <c r="E338" s="99">
        <v>10</v>
      </c>
      <c r="F338" s="99" t="s">
        <v>22</v>
      </c>
      <c r="G338" s="97" t="s">
        <v>1101</v>
      </c>
      <c r="H338" s="97" t="s">
        <v>9260</v>
      </c>
      <c r="I338" s="97" t="s">
        <v>1101</v>
      </c>
      <c r="J338" s="100">
        <v>44803</v>
      </c>
      <c r="K338" s="100">
        <v>44803</v>
      </c>
      <c r="L338" s="101">
        <f t="shared" si="10"/>
        <v>6</v>
      </c>
      <c r="M338" s="97" t="s">
        <v>9340</v>
      </c>
      <c r="N338" s="68" t="s">
        <v>1104</v>
      </c>
      <c r="O338" s="97" t="s">
        <v>1026</v>
      </c>
      <c r="P338" s="99" t="s">
        <v>7078</v>
      </c>
      <c r="Q338" s="68" t="str">
        <f t="shared" si="11"/>
        <v>DENTRO DEL TIEMPO</v>
      </c>
      <c r="R338" s="99"/>
    </row>
    <row r="339" spans="1:18" ht="48.75" x14ac:dyDescent="0.25">
      <c r="A339" s="96">
        <v>334</v>
      </c>
      <c r="B339" s="97" t="s">
        <v>9341</v>
      </c>
      <c r="C339" s="98">
        <v>44795</v>
      </c>
      <c r="D339" s="98">
        <v>44795</v>
      </c>
      <c r="E339" s="99">
        <v>4</v>
      </c>
      <c r="F339" s="99" t="s">
        <v>22</v>
      </c>
      <c r="G339" s="97" t="s">
        <v>1101</v>
      </c>
      <c r="H339" s="97" t="s">
        <v>9260</v>
      </c>
      <c r="I339" s="97" t="s">
        <v>1101</v>
      </c>
      <c r="J339" s="100">
        <v>44798</v>
      </c>
      <c r="K339" s="100">
        <v>44798</v>
      </c>
      <c r="L339" s="101">
        <f t="shared" si="10"/>
        <v>3</v>
      </c>
      <c r="M339" s="97" t="s">
        <v>9342</v>
      </c>
      <c r="N339" s="68" t="s">
        <v>1104</v>
      </c>
      <c r="O339" s="97" t="s">
        <v>1026</v>
      </c>
      <c r="P339" s="99" t="s">
        <v>7078</v>
      </c>
      <c r="Q339" s="68" t="str">
        <f t="shared" si="11"/>
        <v>DENTRO DEL TIEMPO</v>
      </c>
      <c r="R339" s="99"/>
    </row>
    <row r="340" spans="1:18" ht="48.75" x14ac:dyDescent="0.25">
      <c r="A340" s="96">
        <v>335</v>
      </c>
      <c r="B340" s="97" t="s">
        <v>9343</v>
      </c>
      <c r="C340" s="98">
        <v>44767</v>
      </c>
      <c r="D340" s="98">
        <v>44795</v>
      </c>
      <c r="E340" s="99">
        <v>1</v>
      </c>
      <c r="F340" s="99" t="s">
        <v>22</v>
      </c>
      <c r="G340" s="97" t="s">
        <v>1101</v>
      </c>
      <c r="H340" s="97" t="s">
        <v>9260</v>
      </c>
      <c r="I340" s="97" t="s">
        <v>1101</v>
      </c>
      <c r="J340" s="100">
        <v>44809</v>
      </c>
      <c r="K340" s="100">
        <v>44809</v>
      </c>
      <c r="L340" s="101">
        <f t="shared" si="10"/>
        <v>10</v>
      </c>
      <c r="M340" s="97" t="s">
        <v>9344</v>
      </c>
      <c r="N340" s="68" t="s">
        <v>1104</v>
      </c>
      <c r="O340" s="97" t="s">
        <v>1026</v>
      </c>
      <c r="P340" s="99" t="s">
        <v>7078</v>
      </c>
      <c r="Q340" s="68" t="str">
        <f t="shared" si="11"/>
        <v>DENTRO DEL TIEMPO</v>
      </c>
      <c r="R340" s="99"/>
    </row>
    <row r="341" spans="1:18" ht="48.75" x14ac:dyDescent="0.25">
      <c r="A341" s="96">
        <v>336</v>
      </c>
      <c r="B341" s="97" t="s">
        <v>9345</v>
      </c>
      <c r="C341" s="98">
        <v>44796</v>
      </c>
      <c r="D341" s="98">
        <v>44796</v>
      </c>
      <c r="E341" s="99">
        <v>5</v>
      </c>
      <c r="F341" s="99" t="s">
        <v>22</v>
      </c>
      <c r="G341" s="97" t="s">
        <v>1101</v>
      </c>
      <c r="H341" s="97" t="s">
        <v>9260</v>
      </c>
      <c r="I341" s="97" t="s">
        <v>1101</v>
      </c>
      <c r="J341" s="100">
        <v>44799</v>
      </c>
      <c r="K341" s="100">
        <v>44799</v>
      </c>
      <c r="L341" s="101">
        <f t="shared" si="10"/>
        <v>3</v>
      </c>
      <c r="M341" s="97" t="s">
        <v>9346</v>
      </c>
      <c r="N341" s="68" t="s">
        <v>1104</v>
      </c>
      <c r="O341" s="97" t="s">
        <v>1026</v>
      </c>
      <c r="P341" s="99" t="s">
        <v>7078</v>
      </c>
      <c r="Q341" s="68" t="str">
        <f t="shared" si="11"/>
        <v>DENTRO DEL TIEMPO</v>
      </c>
      <c r="R341" s="99"/>
    </row>
    <row r="342" spans="1:18" ht="48.75" x14ac:dyDescent="0.25">
      <c r="A342" s="96">
        <v>337</v>
      </c>
      <c r="B342" s="97" t="s">
        <v>9347</v>
      </c>
      <c r="C342" s="98">
        <v>44796</v>
      </c>
      <c r="D342" s="98">
        <v>44796</v>
      </c>
      <c r="E342" s="99">
        <v>79</v>
      </c>
      <c r="F342" s="99" t="s">
        <v>22</v>
      </c>
      <c r="G342" s="97" t="s">
        <v>1101</v>
      </c>
      <c r="H342" s="97" t="s">
        <v>9260</v>
      </c>
      <c r="I342" s="97" t="s">
        <v>1101</v>
      </c>
      <c r="J342" s="100">
        <v>44798</v>
      </c>
      <c r="K342" s="100">
        <v>44798</v>
      </c>
      <c r="L342" s="101">
        <f t="shared" si="10"/>
        <v>2</v>
      </c>
      <c r="M342" s="97" t="s">
        <v>9346</v>
      </c>
      <c r="N342" s="68" t="s">
        <v>1104</v>
      </c>
      <c r="O342" s="97" t="s">
        <v>1026</v>
      </c>
      <c r="P342" s="99" t="s">
        <v>7078</v>
      </c>
      <c r="Q342" s="68" t="str">
        <f t="shared" si="11"/>
        <v>DENTRO DEL TIEMPO</v>
      </c>
      <c r="R342" s="99"/>
    </row>
    <row r="343" spans="1:18" ht="48.75" x14ac:dyDescent="0.25">
      <c r="A343" s="96">
        <v>338</v>
      </c>
      <c r="B343" s="97" t="s">
        <v>9348</v>
      </c>
      <c r="C343" s="98" t="s">
        <v>9349</v>
      </c>
      <c r="D343" s="98">
        <v>44796</v>
      </c>
      <c r="E343" s="99">
        <v>2</v>
      </c>
      <c r="F343" s="99" t="s">
        <v>22</v>
      </c>
      <c r="G343" s="97" t="s">
        <v>1101</v>
      </c>
      <c r="H343" s="97" t="s">
        <v>9260</v>
      </c>
      <c r="I343" s="97" t="s">
        <v>1101</v>
      </c>
      <c r="J343" s="100">
        <v>44799</v>
      </c>
      <c r="K343" s="100">
        <v>44799</v>
      </c>
      <c r="L343" s="101">
        <f t="shared" si="10"/>
        <v>3</v>
      </c>
      <c r="M343" s="97" t="s">
        <v>9350</v>
      </c>
      <c r="N343" s="68" t="s">
        <v>1104</v>
      </c>
      <c r="O343" s="97" t="s">
        <v>1026</v>
      </c>
      <c r="P343" s="99" t="s">
        <v>7078</v>
      </c>
      <c r="Q343" s="68" t="str">
        <f t="shared" si="11"/>
        <v>DENTRO DEL TIEMPO</v>
      </c>
      <c r="R343" s="99"/>
    </row>
    <row r="344" spans="1:18" ht="48.75" x14ac:dyDescent="0.25">
      <c r="A344" s="96">
        <v>339</v>
      </c>
      <c r="B344" s="97" t="s">
        <v>9351</v>
      </c>
      <c r="C344" s="98">
        <v>44796</v>
      </c>
      <c r="D344" s="98">
        <v>44796</v>
      </c>
      <c r="E344" s="99">
        <v>4</v>
      </c>
      <c r="F344" s="99" t="s">
        <v>22</v>
      </c>
      <c r="G344" s="97" t="s">
        <v>1101</v>
      </c>
      <c r="H344" s="97" t="s">
        <v>9260</v>
      </c>
      <c r="I344" s="97" t="s">
        <v>1101</v>
      </c>
      <c r="J344" s="100">
        <v>44799</v>
      </c>
      <c r="K344" s="100">
        <v>44799</v>
      </c>
      <c r="L344" s="101">
        <f t="shared" si="10"/>
        <v>3</v>
      </c>
      <c r="M344" s="97" t="s">
        <v>9352</v>
      </c>
      <c r="N344" s="68" t="s">
        <v>1104</v>
      </c>
      <c r="O344" s="97" t="s">
        <v>1026</v>
      </c>
      <c r="P344" s="99" t="s">
        <v>7078</v>
      </c>
      <c r="Q344" s="68" t="str">
        <f t="shared" si="11"/>
        <v>DENTRO DEL TIEMPO</v>
      </c>
      <c r="R344" s="99"/>
    </row>
    <row r="345" spans="1:18" ht="48.75" x14ac:dyDescent="0.25">
      <c r="A345" s="96">
        <v>340</v>
      </c>
      <c r="B345" s="97" t="s">
        <v>9353</v>
      </c>
      <c r="C345" s="98">
        <v>44796</v>
      </c>
      <c r="D345" s="98">
        <v>44796</v>
      </c>
      <c r="E345" s="99">
        <v>4</v>
      </c>
      <c r="F345" s="99" t="s">
        <v>22</v>
      </c>
      <c r="G345" s="97" t="s">
        <v>1101</v>
      </c>
      <c r="H345" s="97" t="s">
        <v>9260</v>
      </c>
      <c r="I345" s="97" t="s">
        <v>1101</v>
      </c>
      <c r="J345" s="100">
        <v>44799</v>
      </c>
      <c r="K345" s="100">
        <v>44799</v>
      </c>
      <c r="L345" s="101">
        <f t="shared" si="10"/>
        <v>3</v>
      </c>
      <c r="M345" s="97" t="s">
        <v>9354</v>
      </c>
      <c r="N345" s="68" t="s">
        <v>1104</v>
      </c>
      <c r="O345" s="97" t="s">
        <v>1026</v>
      </c>
      <c r="P345" s="99" t="s">
        <v>7078</v>
      </c>
      <c r="Q345" s="68" t="str">
        <f t="shared" si="11"/>
        <v>DENTRO DEL TIEMPO</v>
      </c>
      <c r="R345" s="99"/>
    </row>
    <row r="346" spans="1:18" ht="48.75" x14ac:dyDescent="0.25">
      <c r="A346" s="96">
        <v>341</v>
      </c>
      <c r="B346" s="97" t="s">
        <v>9355</v>
      </c>
      <c r="C346" s="98">
        <v>44796</v>
      </c>
      <c r="D346" s="98">
        <v>44796</v>
      </c>
      <c r="E346" s="99">
        <v>4</v>
      </c>
      <c r="F346" s="99" t="s">
        <v>22</v>
      </c>
      <c r="G346" s="97" t="s">
        <v>1101</v>
      </c>
      <c r="H346" s="97" t="s">
        <v>9260</v>
      </c>
      <c r="I346" s="97" t="s">
        <v>1101</v>
      </c>
      <c r="J346" s="100">
        <v>44799</v>
      </c>
      <c r="K346" s="100">
        <v>44799</v>
      </c>
      <c r="L346" s="101">
        <f t="shared" si="10"/>
        <v>3</v>
      </c>
      <c r="M346" s="97" t="s">
        <v>9356</v>
      </c>
      <c r="N346" s="68" t="s">
        <v>1104</v>
      </c>
      <c r="O346" s="97" t="s">
        <v>1026</v>
      </c>
      <c r="P346" s="99" t="s">
        <v>7078</v>
      </c>
      <c r="Q346" s="68" t="str">
        <f t="shared" si="11"/>
        <v>DENTRO DEL TIEMPO</v>
      </c>
      <c r="R346" s="99"/>
    </row>
    <row r="347" spans="1:18" ht="48.75" x14ac:dyDescent="0.25">
      <c r="A347" s="96">
        <v>342</v>
      </c>
      <c r="B347" s="97" t="s">
        <v>9357</v>
      </c>
      <c r="C347" s="98">
        <v>44797</v>
      </c>
      <c r="D347" s="98">
        <v>44797</v>
      </c>
      <c r="E347" s="99">
        <v>3</v>
      </c>
      <c r="F347" s="99" t="s">
        <v>22</v>
      </c>
      <c r="G347" s="97" t="s">
        <v>1101</v>
      </c>
      <c r="H347" s="97" t="s">
        <v>9260</v>
      </c>
      <c r="I347" s="97" t="s">
        <v>1101</v>
      </c>
      <c r="J347" s="100">
        <v>44799</v>
      </c>
      <c r="K347" s="100">
        <v>44799</v>
      </c>
      <c r="L347" s="101">
        <f t="shared" si="10"/>
        <v>2</v>
      </c>
      <c r="M347" s="97" t="s">
        <v>9358</v>
      </c>
      <c r="N347" s="68" t="s">
        <v>1104</v>
      </c>
      <c r="O347" s="97" t="s">
        <v>1026</v>
      </c>
      <c r="P347" s="99" t="s">
        <v>7078</v>
      </c>
      <c r="Q347" s="68" t="str">
        <f t="shared" si="11"/>
        <v>DENTRO DEL TIEMPO</v>
      </c>
      <c r="R347" s="99"/>
    </row>
    <row r="348" spans="1:18" ht="48.75" x14ac:dyDescent="0.25">
      <c r="A348" s="96">
        <v>343</v>
      </c>
      <c r="B348" s="97" t="s">
        <v>9359</v>
      </c>
      <c r="C348" s="98">
        <v>44797</v>
      </c>
      <c r="D348" s="98">
        <v>44797</v>
      </c>
      <c r="E348" s="99">
        <v>3</v>
      </c>
      <c r="F348" s="99" t="s">
        <v>22</v>
      </c>
      <c r="G348" s="97" t="s">
        <v>1101</v>
      </c>
      <c r="H348" s="97" t="s">
        <v>9260</v>
      </c>
      <c r="I348" s="97" t="s">
        <v>1101</v>
      </c>
      <c r="J348" s="100">
        <v>44799</v>
      </c>
      <c r="K348" s="100">
        <v>44799</v>
      </c>
      <c r="L348" s="101">
        <f t="shared" si="10"/>
        <v>2</v>
      </c>
      <c r="M348" s="97" t="s">
        <v>9360</v>
      </c>
      <c r="N348" s="68" t="s">
        <v>1104</v>
      </c>
      <c r="O348" s="97" t="s">
        <v>1026</v>
      </c>
      <c r="P348" s="99" t="s">
        <v>7078</v>
      </c>
      <c r="Q348" s="68" t="str">
        <f t="shared" si="11"/>
        <v>DENTRO DEL TIEMPO</v>
      </c>
      <c r="R348" s="99"/>
    </row>
    <row r="349" spans="1:18" ht="48.75" x14ac:dyDescent="0.25">
      <c r="A349" s="96">
        <v>344</v>
      </c>
      <c r="B349" s="97" t="s">
        <v>9361</v>
      </c>
      <c r="C349" s="98">
        <v>44795</v>
      </c>
      <c r="D349" s="98">
        <v>44798</v>
      </c>
      <c r="E349" s="99">
        <v>5</v>
      </c>
      <c r="F349" s="99" t="s">
        <v>22</v>
      </c>
      <c r="G349" s="97" t="s">
        <v>1101</v>
      </c>
      <c r="H349" s="97" t="s">
        <v>9260</v>
      </c>
      <c r="I349" s="97" t="s">
        <v>1101</v>
      </c>
      <c r="J349" s="100">
        <v>44798</v>
      </c>
      <c r="K349" s="100">
        <v>44798</v>
      </c>
      <c r="L349" s="101">
        <f t="shared" si="10"/>
        <v>0</v>
      </c>
      <c r="M349" s="97" t="s">
        <v>9362</v>
      </c>
      <c r="N349" s="68" t="s">
        <v>1104</v>
      </c>
      <c r="O349" s="97" t="s">
        <v>1026</v>
      </c>
      <c r="P349" s="99" t="s">
        <v>7078</v>
      </c>
      <c r="Q349" s="68" t="str">
        <f t="shared" si="11"/>
        <v>DENTRO DEL TIEMPO</v>
      </c>
      <c r="R349" s="99"/>
    </row>
    <row r="350" spans="1:18" ht="48.75" x14ac:dyDescent="0.25">
      <c r="A350" s="96">
        <v>345</v>
      </c>
      <c r="B350" s="97" t="s">
        <v>9363</v>
      </c>
      <c r="C350" s="98">
        <v>44798</v>
      </c>
      <c r="D350" s="98">
        <v>44798</v>
      </c>
      <c r="E350" s="99">
        <v>1</v>
      </c>
      <c r="F350" s="99" t="s">
        <v>22</v>
      </c>
      <c r="G350" s="97" t="s">
        <v>1101</v>
      </c>
      <c r="H350" s="97" t="s">
        <v>9260</v>
      </c>
      <c r="I350" s="97" t="s">
        <v>1101</v>
      </c>
      <c r="J350" s="100">
        <v>44799</v>
      </c>
      <c r="K350" s="100">
        <v>44799</v>
      </c>
      <c r="L350" s="101">
        <f t="shared" si="10"/>
        <v>1</v>
      </c>
      <c r="M350" s="97" t="s">
        <v>9364</v>
      </c>
      <c r="N350" s="68" t="s">
        <v>1104</v>
      </c>
      <c r="O350" s="97" t="s">
        <v>1026</v>
      </c>
      <c r="P350" s="99" t="s">
        <v>7078</v>
      </c>
      <c r="Q350" s="68" t="str">
        <f t="shared" si="11"/>
        <v>DENTRO DEL TIEMPO</v>
      </c>
      <c r="R350" s="99"/>
    </row>
    <row r="351" spans="1:18" ht="48.75" x14ac:dyDescent="0.25">
      <c r="A351" s="96">
        <v>346</v>
      </c>
      <c r="B351" s="97" t="s">
        <v>9365</v>
      </c>
      <c r="C351" s="98">
        <v>44798</v>
      </c>
      <c r="D351" s="98">
        <v>44798</v>
      </c>
      <c r="E351" s="99">
        <v>1</v>
      </c>
      <c r="F351" s="99" t="s">
        <v>22</v>
      </c>
      <c r="G351" s="97" t="s">
        <v>1101</v>
      </c>
      <c r="H351" s="97" t="s">
        <v>9260</v>
      </c>
      <c r="I351" s="97" t="s">
        <v>1101</v>
      </c>
      <c r="J351" s="100">
        <v>44799</v>
      </c>
      <c r="K351" s="100">
        <v>44799</v>
      </c>
      <c r="L351" s="101">
        <f t="shared" si="10"/>
        <v>1</v>
      </c>
      <c r="M351" s="97" t="s">
        <v>9366</v>
      </c>
      <c r="N351" s="68" t="s">
        <v>1104</v>
      </c>
      <c r="O351" s="97" t="s">
        <v>1026</v>
      </c>
      <c r="P351" s="99" t="s">
        <v>7078</v>
      </c>
      <c r="Q351" s="68" t="str">
        <f t="shared" si="11"/>
        <v>DENTRO DEL TIEMPO</v>
      </c>
      <c r="R351" s="99"/>
    </row>
    <row r="352" spans="1:18" ht="48.75" x14ac:dyDescent="0.25">
      <c r="A352" s="96">
        <v>347</v>
      </c>
      <c r="B352" s="97" t="s">
        <v>9335</v>
      </c>
      <c r="C352" s="98">
        <v>44789</v>
      </c>
      <c r="D352" s="98">
        <v>44798</v>
      </c>
      <c r="E352" s="99">
        <v>1</v>
      </c>
      <c r="F352" s="99" t="s">
        <v>22</v>
      </c>
      <c r="G352" s="97" t="s">
        <v>1101</v>
      </c>
      <c r="H352" s="97" t="s">
        <v>9260</v>
      </c>
      <c r="I352" s="97" t="s">
        <v>1101</v>
      </c>
      <c r="J352" s="100">
        <v>44802</v>
      </c>
      <c r="K352" s="100">
        <v>44802</v>
      </c>
      <c r="L352" s="101">
        <f t="shared" si="10"/>
        <v>2</v>
      </c>
      <c r="M352" s="97" t="s">
        <v>9336</v>
      </c>
      <c r="N352" s="68" t="s">
        <v>1104</v>
      </c>
      <c r="O352" s="97" t="s">
        <v>1026</v>
      </c>
      <c r="P352" s="99" t="s">
        <v>7078</v>
      </c>
      <c r="Q352" s="68" t="str">
        <f t="shared" si="11"/>
        <v>DENTRO DEL TIEMPO</v>
      </c>
      <c r="R352" s="99"/>
    </row>
    <row r="353" spans="1:18" ht="48.75" x14ac:dyDescent="0.25">
      <c r="A353" s="96">
        <v>348</v>
      </c>
      <c r="B353" s="97" t="s">
        <v>9367</v>
      </c>
      <c r="C353" s="98">
        <v>44767</v>
      </c>
      <c r="D353" s="98">
        <v>44798</v>
      </c>
      <c r="E353" s="99">
        <v>1</v>
      </c>
      <c r="F353" s="99" t="s">
        <v>22</v>
      </c>
      <c r="G353" s="97" t="s">
        <v>1101</v>
      </c>
      <c r="H353" s="97" t="s">
        <v>9260</v>
      </c>
      <c r="I353" s="97" t="s">
        <v>1101</v>
      </c>
      <c r="J353" s="100">
        <v>44799</v>
      </c>
      <c r="K353" s="100">
        <v>44799</v>
      </c>
      <c r="L353" s="101">
        <f t="shared" si="10"/>
        <v>1</v>
      </c>
      <c r="M353" s="97" t="s">
        <v>9368</v>
      </c>
      <c r="N353" s="68" t="s">
        <v>1104</v>
      </c>
      <c r="O353" s="97" t="s">
        <v>1026</v>
      </c>
      <c r="P353" s="99" t="s">
        <v>7078</v>
      </c>
      <c r="Q353" s="68" t="str">
        <f t="shared" si="11"/>
        <v>DENTRO DEL TIEMPO</v>
      </c>
      <c r="R353" s="99"/>
    </row>
    <row r="354" spans="1:18" ht="48.75" x14ac:dyDescent="0.25">
      <c r="A354" s="96">
        <v>349</v>
      </c>
      <c r="B354" s="97" t="s">
        <v>9369</v>
      </c>
      <c r="C354" s="98">
        <v>44798</v>
      </c>
      <c r="D354" s="98">
        <v>44798</v>
      </c>
      <c r="E354" s="99">
        <v>1</v>
      </c>
      <c r="F354" s="99" t="s">
        <v>22</v>
      </c>
      <c r="G354" s="97" t="s">
        <v>1101</v>
      </c>
      <c r="H354" s="97" t="s">
        <v>9260</v>
      </c>
      <c r="I354" s="97" t="s">
        <v>1101</v>
      </c>
      <c r="J354" s="100">
        <v>44809</v>
      </c>
      <c r="K354" s="100">
        <v>44809</v>
      </c>
      <c r="L354" s="101">
        <f t="shared" si="10"/>
        <v>7</v>
      </c>
      <c r="M354" s="97" t="s">
        <v>9370</v>
      </c>
      <c r="N354" s="68" t="s">
        <v>1104</v>
      </c>
      <c r="O354" s="97" t="s">
        <v>1026</v>
      </c>
      <c r="P354" s="99" t="s">
        <v>7078</v>
      </c>
      <c r="Q354" s="68" t="str">
        <f t="shared" si="11"/>
        <v>DENTRO DEL TIEMPO</v>
      </c>
      <c r="R354" s="99"/>
    </row>
    <row r="355" spans="1:18" ht="48.75" x14ac:dyDescent="0.25">
      <c r="A355" s="96">
        <v>350</v>
      </c>
      <c r="B355" s="97" t="s">
        <v>9371</v>
      </c>
      <c r="C355" s="98">
        <v>44798</v>
      </c>
      <c r="D355" s="98">
        <v>44798</v>
      </c>
      <c r="E355" s="99">
        <v>1</v>
      </c>
      <c r="F355" s="99" t="s">
        <v>22</v>
      </c>
      <c r="G355" s="97" t="s">
        <v>1101</v>
      </c>
      <c r="H355" s="97" t="s">
        <v>9260</v>
      </c>
      <c r="I355" s="97" t="s">
        <v>1101</v>
      </c>
      <c r="J355" s="100">
        <v>44802</v>
      </c>
      <c r="K355" s="100">
        <v>44802</v>
      </c>
      <c r="L355" s="101">
        <f t="shared" si="10"/>
        <v>2</v>
      </c>
      <c r="M355" s="97" t="s">
        <v>9366</v>
      </c>
      <c r="N355" s="68" t="s">
        <v>1104</v>
      </c>
      <c r="O355" s="97" t="s">
        <v>1026</v>
      </c>
      <c r="P355" s="99" t="s">
        <v>7078</v>
      </c>
      <c r="Q355" s="68" t="str">
        <f t="shared" si="11"/>
        <v>DENTRO DEL TIEMPO</v>
      </c>
      <c r="R355" s="99"/>
    </row>
    <row r="356" spans="1:18" ht="48.75" x14ac:dyDescent="0.25">
      <c r="A356" s="96">
        <v>351</v>
      </c>
      <c r="B356" s="97" t="s">
        <v>9369</v>
      </c>
      <c r="C356" s="98">
        <v>44798</v>
      </c>
      <c r="D356" s="98">
        <v>44798</v>
      </c>
      <c r="E356" s="99">
        <v>1</v>
      </c>
      <c r="F356" s="99" t="s">
        <v>22</v>
      </c>
      <c r="G356" s="97" t="s">
        <v>1101</v>
      </c>
      <c r="H356" s="97" t="s">
        <v>9260</v>
      </c>
      <c r="I356" s="97" t="s">
        <v>1101</v>
      </c>
      <c r="J356" s="100">
        <v>44809</v>
      </c>
      <c r="K356" s="100">
        <v>44809</v>
      </c>
      <c r="L356" s="101">
        <f t="shared" si="10"/>
        <v>7</v>
      </c>
      <c r="M356" s="97" t="s">
        <v>9370</v>
      </c>
      <c r="N356" s="68" t="s">
        <v>1104</v>
      </c>
      <c r="O356" s="97" t="s">
        <v>1026</v>
      </c>
      <c r="P356" s="99" t="s">
        <v>7078</v>
      </c>
      <c r="Q356" s="68" t="str">
        <f t="shared" si="11"/>
        <v>DENTRO DEL TIEMPO</v>
      </c>
      <c r="R356" s="99"/>
    </row>
    <row r="357" spans="1:18" ht="48.75" x14ac:dyDescent="0.25">
      <c r="A357" s="96">
        <v>352</v>
      </c>
      <c r="B357" s="97" t="s">
        <v>9372</v>
      </c>
      <c r="C357" s="98">
        <v>44799</v>
      </c>
      <c r="D357" s="98">
        <v>44799</v>
      </c>
      <c r="E357" s="99">
        <v>1</v>
      </c>
      <c r="F357" s="99" t="s">
        <v>22</v>
      </c>
      <c r="G357" s="97" t="s">
        <v>1101</v>
      </c>
      <c r="H357" s="97" t="s">
        <v>9260</v>
      </c>
      <c r="I357" s="97" t="s">
        <v>1101</v>
      </c>
      <c r="J357" s="100">
        <v>44804</v>
      </c>
      <c r="K357" s="100">
        <v>44804</v>
      </c>
      <c r="L357" s="101">
        <f t="shared" si="10"/>
        <v>3</v>
      </c>
      <c r="M357" s="97" t="s">
        <v>9373</v>
      </c>
      <c r="N357" s="68" t="s">
        <v>1104</v>
      </c>
      <c r="O357" s="97" t="s">
        <v>1026</v>
      </c>
      <c r="P357" s="99" t="s">
        <v>7078</v>
      </c>
      <c r="Q357" s="68" t="str">
        <f t="shared" si="11"/>
        <v>DENTRO DEL TIEMPO</v>
      </c>
      <c r="R357" s="99"/>
    </row>
    <row r="358" spans="1:18" ht="48.75" x14ac:dyDescent="0.25">
      <c r="A358" s="96">
        <v>353</v>
      </c>
      <c r="B358" s="97" t="s">
        <v>9374</v>
      </c>
      <c r="C358" s="98">
        <v>44799</v>
      </c>
      <c r="D358" s="98">
        <v>44799</v>
      </c>
      <c r="E358" s="99">
        <v>3</v>
      </c>
      <c r="F358" s="99" t="s">
        <v>22</v>
      </c>
      <c r="G358" s="97" t="s">
        <v>1101</v>
      </c>
      <c r="H358" s="97" t="s">
        <v>9260</v>
      </c>
      <c r="I358" s="97" t="s">
        <v>1101</v>
      </c>
      <c r="J358" s="100">
        <v>44804</v>
      </c>
      <c r="K358" s="100">
        <v>44804</v>
      </c>
      <c r="L358" s="101">
        <f t="shared" si="10"/>
        <v>3</v>
      </c>
      <c r="M358" s="97" t="s">
        <v>9375</v>
      </c>
      <c r="N358" s="68" t="s">
        <v>1104</v>
      </c>
      <c r="O358" s="97" t="s">
        <v>1026</v>
      </c>
      <c r="P358" s="99" t="s">
        <v>7078</v>
      </c>
      <c r="Q358" s="68" t="str">
        <f t="shared" si="11"/>
        <v>DENTRO DEL TIEMPO</v>
      </c>
      <c r="R358" s="99"/>
    </row>
    <row r="359" spans="1:18" ht="48.75" x14ac:dyDescent="0.25">
      <c r="A359" s="96">
        <v>354</v>
      </c>
      <c r="B359" s="97" t="s">
        <v>9376</v>
      </c>
      <c r="C359" s="98">
        <v>44802</v>
      </c>
      <c r="D359" s="98">
        <v>44802</v>
      </c>
      <c r="E359" s="99">
        <v>1</v>
      </c>
      <c r="F359" s="99" t="s">
        <v>22</v>
      </c>
      <c r="G359" s="97" t="s">
        <v>1101</v>
      </c>
      <c r="H359" s="97" t="s">
        <v>9260</v>
      </c>
      <c r="I359" s="97" t="s">
        <v>1101</v>
      </c>
      <c r="J359" s="100">
        <v>44816</v>
      </c>
      <c r="K359" s="100">
        <v>44816</v>
      </c>
      <c r="L359" s="101">
        <f t="shared" si="10"/>
        <v>10</v>
      </c>
      <c r="M359" s="97" t="s">
        <v>9377</v>
      </c>
      <c r="N359" s="68" t="s">
        <v>1104</v>
      </c>
      <c r="O359" s="97" t="s">
        <v>1026</v>
      </c>
      <c r="P359" s="99" t="s">
        <v>7078</v>
      </c>
      <c r="Q359" s="68" t="str">
        <f t="shared" si="11"/>
        <v>DENTRO DEL TIEMPO</v>
      </c>
      <c r="R359" s="99"/>
    </row>
    <row r="360" spans="1:18" ht="48.75" x14ac:dyDescent="0.25">
      <c r="A360" s="96">
        <v>355</v>
      </c>
      <c r="B360" s="97" t="s">
        <v>9378</v>
      </c>
      <c r="C360" s="98">
        <v>44802</v>
      </c>
      <c r="D360" s="98">
        <v>44802</v>
      </c>
      <c r="E360" s="99">
        <v>1</v>
      </c>
      <c r="F360" s="99" t="s">
        <v>22</v>
      </c>
      <c r="G360" s="97" t="s">
        <v>1101</v>
      </c>
      <c r="H360" s="97" t="s">
        <v>9260</v>
      </c>
      <c r="I360" s="97" t="s">
        <v>1101</v>
      </c>
      <c r="J360" s="100">
        <v>44805</v>
      </c>
      <c r="K360" s="100">
        <v>44805</v>
      </c>
      <c r="L360" s="101">
        <f t="shared" si="10"/>
        <v>3</v>
      </c>
      <c r="M360" s="97" t="s">
        <v>9379</v>
      </c>
      <c r="N360" s="68" t="s">
        <v>1104</v>
      </c>
      <c r="O360" s="97" t="s">
        <v>1026</v>
      </c>
      <c r="P360" s="99" t="s">
        <v>7078</v>
      </c>
      <c r="Q360" s="68" t="str">
        <f t="shared" si="11"/>
        <v>DENTRO DEL TIEMPO</v>
      </c>
      <c r="R360" s="99"/>
    </row>
    <row r="361" spans="1:18" ht="48.75" x14ac:dyDescent="0.25">
      <c r="A361" s="96">
        <v>356</v>
      </c>
      <c r="B361" s="97" t="s">
        <v>9380</v>
      </c>
      <c r="C361" s="98">
        <v>44802</v>
      </c>
      <c r="D361" s="98">
        <v>44802</v>
      </c>
      <c r="E361" s="99">
        <v>1</v>
      </c>
      <c r="F361" s="99" t="s">
        <v>22</v>
      </c>
      <c r="G361" s="97" t="s">
        <v>1101</v>
      </c>
      <c r="H361" s="97" t="s">
        <v>9260</v>
      </c>
      <c r="I361" s="97" t="s">
        <v>1101</v>
      </c>
      <c r="J361" s="100">
        <v>44804</v>
      </c>
      <c r="K361" s="100">
        <v>44804</v>
      </c>
      <c r="L361" s="101">
        <f t="shared" ref="L361:L373" si="12">+NETWORKDAYS(D361,K361)-1</f>
        <v>2</v>
      </c>
      <c r="M361" s="97" t="s">
        <v>9381</v>
      </c>
      <c r="N361" s="68" t="s">
        <v>1104</v>
      </c>
      <c r="O361" s="97" t="s">
        <v>1026</v>
      </c>
      <c r="P361" s="99" t="s">
        <v>7078</v>
      </c>
      <c r="Q361" s="68" t="str">
        <f t="shared" si="11"/>
        <v>DENTRO DEL TIEMPO</v>
      </c>
      <c r="R361" s="99"/>
    </row>
    <row r="362" spans="1:18" ht="48.75" x14ac:dyDescent="0.25">
      <c r="A362" s="96">
        <v>357</v>
      </c>
      <c r="B362" s="97" t="s">
        <v>9382</v>
      </c>
      <c r="C362" s="98">
        <v>44802</v>
      </c>
      <c r="D362" s="98">
        <v>44802</v>
      </c>
      <c r="E362" s="99">
        <v>27</v>
      </c>
      <c r="F362" s="99" t="s">
        <v>22</v>
      </c>
      <c r="G362" s="97" t="s">
        <v>1101</v>
      </c>
      <c r="H362" s="97" t="s">
        <v>9260</v>
      </c>
      <c r="I362" s="97" t="s">
        <v>1101</v>
      </c>
      <c r="J362" s="100">
        <v>44805</v>
      </c>
      <c r="K362" s="100">
        <v>44805</v>
      </c>
      <c r="L362" s="101">
        <f t="shared" si="12"/>
        <v>3</v>
      </c>
      <c r="M362" s="97" t="s">
        <v>9383</v>
      </c>
      <c r="N362" s="68" t="s">
        <v>1104</v>
      </c>
      <c r="O362" s="97" t="s">
        <v>1026</v>
      </c>
      <c r="P362" s="99" t="s">
        <v>7078</v>
      </c>
      <c r="Q362" s="68" t="str">
        <f t="shared" si="11"/>
        <v>DENTRO DEL TIEMPO</v>
      </c>
      <c r="R362" s="99"/>
    </row>
    <row r="363" spans="1:18" ht="48.75" x14ac:dyDescent="0.25">
      <c r="A363" s="96">
        <v>358</v>
      </c>
      <c r="B363" s="97" t="s">
        <v>9343</v>
      </c>
      <c r="C363" s="98">
        <v>44767</v>
      </c>
      <c r="D363" s="98">
        <v>44803</v>
      </c>
      <c r="E363" s="99">
        <v>32</v>
      </c>
      <c r="F363" s="99" t="s">
        <v>22</v>
      </c>
      <c r="G363" s="97" t="s">
        <v>1101</v>
      </c>
      <c r="H363" s="97" t="s">
        <v>9260</v>
      </c>
      <c r="I363" s="97" t="s">
        <v>1101</v>
      </c>
      <c r="J363" s="100">
        <v>44803</v>
      </c>
      <c r="K363" s="100">
        <v>44803</v>
      </c>
      <c r="L363" s="101">
        <f t="shared" si="12"/>
        <v>0</v>
      </c>
      <c r="M363" s="97" t="s">
        <v>9344</v>
      </c>
      <c r="N363" s="68" t="s">
        <v>1104</v>
      </c>
      <c r="O363" s="97" t="s">
        <v>1026</v>
      </c>
      <c r="P363" s="99" t="s">
        <v>7078</v>
      </c>
      <c r="Q363" s="68" t="str">
        <f t="shared" si="11"/>
        <v>DENTRO DEL TIEMPO</v>
      </c>
      <c r="R363" s="99"/>
    </row>
    <row r="364" spans="1:18" ht="48.75" x14ac:dyDescent="0.25">
      <c r="A364" s="96">
        <v>359</v>
      </c>
      <c r="B364" s="97" t="s">
        <v>9384</v>
      </c>
      <c r="C364" s="98">
        <v>44803</v>
      </c>
      <c r="D364" s="98">
        <v>44803</v>
      </c>
      <c r="E364" s="99">
        <v>1</v>
      </c>
      <c r="F364" s="99" t="s">
        <v>22</v>
      </c>
      <c r="G364" s="97" t="s">
        <v>1101</v>
      </c>
      <c r="H364" s="97" t="s">
        <v>9260</v>
      </c>
      <c r="I364" s="97" t="s">
        <v>1101</v>
      </c>
      <c r="J364" s="100">
        <v>44805</v>
      </c>
      <c r="K364" s="100">
        <v>44805</v>
      </c>
      <c r="L364" s="101">
        <f t="shared" si="12"/>
        <v>2</v>
      </c>
      <c r="M364" s="97" t="s">
        <v>9385</v>
      </c>
      <c r="N364" s="68" t="s">
        <v>1104</v>
      </c>
      <c r="O364" s="97" t="s">
        <v>1026</v>
      </c>
      <c r="P364" s="99" t="s">
        <v>7078</v>
      </c>
      <c r="Q364" s="68" t="str">
        <f t="shared" si="11"/>
        <v>DENTRO DEL TIEMPO</v>
      </c>
      <c r="R364" s="99"/>
    </row>
    <row r="365" spans="1:18" ht="48.75" x14ac:dyDescent="0.25">
      <c r="A365" s="96">
        <v>360</v>
      </c>
      <c r="B365" s="97" t="s">
        <v>9386</v>
      </c>
      <c r="C365" s="98">
        <v>44803</v>
      </c>
      <c r="D365" s="98">
        <v>44803</v>
      </c>
      <c r="E365" s="99">
        <v>1</v>
      </c>
      <c r="F365" s="99" t="s">
        <v>22</v>
      </c>
      <c r="G365" s="97" t="s">
        <v>1101</v>
      </c>
      <c r="H365" s="97" t="s">
        <v>9260</v>
      </c>
      <c r="I365" s="97" t="s">
        <v>1101</v>
      </c>
      <c r="J365" s="100">
        <v>44809</v>
      </c>
      <c r="K365" s="100">
        <v>44809</v>
      </c>
      <c r="L365" s="101">
        <f t="shared" si="12"/>
        <v>4</v>
      </c>
      <c r="M365" s="97" t="s">
        <v>9387</v>
      </c>
      <c r="N365" s="68" t="s">
        <v>1104</v>
      </c>
      <c r="O365" s="97" t="s">
        <v>1026</v>
      </c>
      <c r="P365" s="99" t="s">
        <v>7078</v>
      </c>
      <c r="Q365" s="68" t="str">
        <f t="shared" si="11"/>
        <v>DENTRO DEL TIEMPO</v>
      </c>
      <c r="R365" s="99"/>
    </row>
    <row r="366" spans="1:18" ht="48.75" x14ac:dyDescent="0.25">
      <c r="A366" s="96">
        <v>361</v>
      </c>
      <c r="B366" s="97" t="s">
        <v>9388</v>
      </c>
      <c r="C366" s="98">
        <v>44803</v>
      </c>
      <c r="D366" s="98">
        <v>44803</v>
      </c>
      <c r="E366" s="99">
        <v>1</v>
      </c>
      <c r="F366" s="99" t="s">
        <v>22</v>
      </c>
      <c r="G366" s="97" t="s">
        <v>1101</v>
      </c>
      <c r="H366" s="97" t="s">
        <v>9260</v>
      </c>
      <c r="I366" s="97" t="s">
        <v>1101</v>
      </c>
      <c r="J366" s="100">
        <v>44809</v>
      </c>
      <c r="K366" s="100">
        <v>44809</v>
      </c>
      <c r="L366" s="101">
        <f t="shared" si="12"/>
        <v>4</v>
      </c>
      <c r="M366" s="97" t="s">
        <v>9389</v>
      </c>
      <c r="N366" s="68" t="s">
        <v>1104</v>
      </c>
      <c r="O366" s="97" t="s">
        <v>1026</v>
      </c>
      <c r="P366" s="99" t="s">
        <v>7078</v>
      </c>
      <c r="Q366" s="68" t="str">
        <f t="shared" si="11"/>
        <v>DENTRO DEL TIEMPO</v>
      </c>
      <c r="R366" s="99"/>
    </row>
    <row r="367" spans="1:18" ht="48.75" x14ac:dyDescent="0.25">
      <c r="A367" s="96">
        <v>362</v>
      </c>
      <c r="B367" s="97" t="s">
        <v>9390</v>
      </c>
      <c r="C367" s="98">
        <v>44774</v>
      </c>
      <c r="D367" s="98">
        <v>44804</v>
      </c>
      <c r="E367" s="99">
        <v>76</v>
      </c>
      <c r="F367" s="99" t="s">
        <v>22</v>
      </c>
      <c r="G367" s="97" t="s">
        <v>1101</v>
      </c>
      <c r="H367" s="97" t="s">
        <v>9260</v>
      </c>
      <c r="I367" s="97" t="s">
        <v>1101</v>
      </c>
      <c r="J367" s="100">
        <v>44816</v>
      </c>
      <c r="K367" s="100">
        <v>44816</v>
      </c>
      <c r="L367" s="101">
        <f t="shared" si="12"/>
        <v>8</v>
      </c>
      <c r="M367" s="97" t="s">
        <v>9391</v>
      </c>
      <c r="N367" s="68" t="s">
        <v>1104</v>
      </c>
      <c r="O367" s="97" t="s">
        <v>1026</v>
      </c>
      <c r="P367" s="99" t="s">
        <v>7078</v>
      </c>
      <c r="Q367" s="68" t="str">
        <f t="shared" si="11"/>
        <v>DENTRO DEL TIEMPO</v>
      </c>
      <c r="R367" s="99"/>
    </row>
    <row r="368" spans="1:18" ht="48.75" x14ac:dyDescent="0.25">
      <c r="A368" s="96">
        <v>363</v>
      </c>
      <c r="B368" s="97" t="s">
        <v>9392</v>
      </c>
      <c r="C368" s="98">
        <v>44789</v>
      </c>
      <c r="D368" s="98">
        <v>44804</v>
      </c>
      <c r="E368" s="99">
        <v>24</v>
      </c>
      <c r="F368" s="99" t="s">
        <v>22</v>
      </c>
      <c r="G368" s="97" t="s">
        <v>1101</v>
      </c>
      <c r="H368" s="97" t="s">
        <v>9260</v>
      </c>
      <c r="I368" s="97" t="s">
        <v>1101</v>
      </c>
      <c r="J368" s="100">
        <v>44816</v>
      </c>
      <c r="K368" s="100">
        <v>44816</v>
      </c>
      <c r="L368" s="101">
        <f t="shared" si="12"/>
        <v>8</v>
      </c>
      <c r="M368" s="97" t="s">
        <v>9393</v>
      </c>
      <c r="N368" s="68" t="s">
        <v>1104</v>
      </c>
      <c r="O368" s="97" t="s">
        <v>1026</v>
      </c>
      <c r="P368" s="99" t="s">
        <v>7078</v>
      </c>
      <c r="Q368" s="68" t="str">
        <f t="shared" si="11"/>
        <v>DENTRO DEL TIEMPO</v>
      </c>
      <c r="R368" s="99"/>
    </row>
    <row r="369" spans="1:18" ht="48.75" x14ac:dyDescent="0.25">
      <c r="A369" s="96">
        <v>364</v>
      </c>
      <c r="B369" s="97" t="s">
        <v>9394</v>
      </c>
      <c r="C369" s="98">
        <v>44791</v>
      </c>
      <c r="D369" s="98">
        <v>44804</v>
      </c>
      <c r="E369" s="99">
        <v>1</v>
      </c>
      <c r="F369" s="99" t="s">
        <v>22</v>
      </c>
      <c r="G369" s="97" t="s">
        <v>1101</v>
      </c>
      <c r="H369" s="97" t="s">
        <v>9260</v>
      </c>
      <c r="I369" s="97" t="s">
        <v>1101</v>
      </c>
      <c r="J369" s="100">
        <v>44810</v>
      </c>
      <c r="K369" s="100">
        <v>44810</v>
      </c>
      <c r="L369" s="101">
        <f t="shared" si="12"/>
        <v>4</v>
      </c>
      <c r="M369" s="97" t="s">
        <v>9395</v>
      </c>
      <c r="N369" s="68" t="s">
        <v>1104</v>
      </c>
      <c r="O369" s="97" t="s">
        <v>1026</v>
      </c>
      <c r="P369" s="99" t="s">
        <v>7078</v>
      </c>
      <c r="Q369" s="68" t="str">
        <f t="shared" si="11"/>
        <v>DENTRO DEL TIEMPO</v>
      </c>
      <c r="R369" s="99"/>
    </row>
    <row r="370" spans="1:18" ht="48.75" x14ac:dyDescent="0.25">
      <c r="A370" s="96">
        <v>365</v>
      </c>
      <c r="B370" s="97" t="s">
        <v>9396</v>
      </c>
      <c r="C370" s="98">
        <v>44797</v>
      </c>
      <c r="D370" s="98">
        <v>44804</v>
      </c>
      <c r="E370" s="99">
        <v>8</v>
      </c>
      <c r="F370" s="99" t="s">
        <v>22</v>
      </c>
      <c r="G370" s="97" t="s">
        <v>1101</v>
      </c>
      <c r="H370" s="97" t="s">
        <v>9260</v>
      </c>
      <c r="I370" s="97" t="s">
        <v>1101</v>
      </c>
      <c r="J370" s="100">
        <v>44816</v>
      </c>
      <c r="K370" s="100">
        <v>44816</v>
      </c>
      <c r="L370" s="101">
        <f t="shared" si="12"/>
        <v>8</v>
      </c>
      <c r="M370" s="97" t="s">
        <v>9397</v>
      </c>
      <c r="N370" s="68" t="s">
        <v>1104</v>
      </c>
      <c r="O370" s="97" t="s">
        <v>1026</v>
      </c>
      <c r="P370" s="99" t="s">
        <v>7078</v>
      </c>
      <c r="Q370" s="68" t="str">
        <f t="shared" si="11"/>
        <v>DENTRO DEL TIEMPO</v>
      </c>
      <c r="R370" s="99"/>
    </row>
    <row r="371" spans="1:18" ht="48.75" x14ac:dyDescent="0.25">
      <c r="A371" s="96">
        <v>366</v>
      </c>
      <c r="B371" s="97" t="s">
        <v>9398</v>
      </c>
      <c r="C371" s="98">
        <v>44804</v>
      </c>
      <c r="D371" s="98">
        <v>44804</v>
      </c>
      <c r="E371" s="99">
        <v>3</v>
      </c>
      <c r="F371" s="99" t="s">
        <v>22</v>
      </c>
      <c r="G371" s="97" t="s">
        <v>1101</v>
      </c>
      <c r="H371" s="97" t="s">
        <v>9260</v>
      </c>
      <c r="I371" s="97" t="s">
        <v>1101</v>
      </c>
      <c r="J371" s="100">
        <v>44813</v>
      </c>
      <c r="K371" s="100">
        <v>44813</v>
      </c>
      <c r="L371" s="101">
        <f t="shared" si="12"/>
        <v>7</v>
      </c>
      <c r="M371" s="97" t="s">
        <v>9399</v>
      </c>
      <c r="N371" s="68" t="s">
        <v>1104</v>
      </c>
      <c r="O371" s="97" t="s">
        <v>1026</v>
      </c>
      <c r="P371" s="99" t="s">
        <v>7078</v>
      </c>
      <c r="Q371" s="68" t="str">
        <f t="shared" si="11"/>
        <v>DENTRO DEL TIEMPO</v>
      </c>
      <c r="R371" s="99"/>
    </row>
    <row r="372" spans="1:18" ht="48.75" x14ac:dyDescent="0.25">
      <c r="A372" s="96">
        <v>367</v>
      </c>
      <c r="B372" s="97" t="s">
        <v>9400</v>
      </c>
      <c r="C372" s="98">
        <v>44804</v>
      </c>
      <c r="D372" s="98">
        <v>44804</v>
      </c>
      <c r="E372" s="99">
        <v>3</v>
      </c>
      <c r="F372" s="99" t="s">
        <v>22</v>
      </c>
      <c r="G372" s="97" t="s">
        <v>1101</v>
      </c>
      <c r="H372" s="97" t="s">
        <v>9260</v>
      </c>
      <c r="I372" s="97" t="s">
        <v>1101</v>
      </c>
      <c r="J372" s="100">
        <v>44813</v>
      </c>
      <c r="K372" s="100">
        <v>44813</v>
      </c>
      <c r="L372" s="101">
        <f t="shared" si="12"/>
        <v>7</v>
      </c>
      <c r="M372" s="97" t="s">
        <v>9401</v>
      </c>
      <c r="N372" s="68" t="s">
        <v>1104</v>
      </c>
      <c r="O372" s="97" t="s">
        <v>1026</v>
      </c>
      <c r="P372" s="99" t="s">
        <v>7078</v>
      </c>
      <c r="Q372" s="68" t="str">
        <f t="shared" si="11"/>
        <v>DENTRO DEL TIEMPO</v>
      </c>
      <c r="R372" s="99"/>
    </row>
    <row r="373" spans="1:18" ht="48.75" x14ac:dyDescent="0.25">
      <c r="A373" s="96">
        <v>368</v>
      </c>
      <c r="B373" s="97" t="s">
        <v>9402</v>
      </c>
      <c r="C373" s="98">
        <v>44799</v>
      </c>
      <c r="D373" s="98">
        <v>44804</v>
      </c>
      <c r="E373" s="99">
        <v>10</v>
      </c>
      <c r="F373" s="99" t="s">
        <v>22</v>
      </c>
      <c r="G373" s="97" t="s">
        <v>1101</v>
      </c>
      <c r="H373" s="97" t="s">
        <v>9260</v>
      </c>
      <c r="I373" s="97" t="s">
        <v>1101</v>
      </c>
      <c r="J373" s="100">
        <v>44816</v>
      </c>
      <c r="K373" s="100">
        <v>44816</v>
      </c>
      <c r="L373" s="101">
        <f t="shared" si="12"/>
        <v>8</v>
      </c>
      <c r="M373" s="97" t="s">
        <v>9403</v>
      </c>
      <c r="N373" s="68" t="s">
        <v>1104</v>
      </c>
      <c r="O373" s="97" t="s">
        <v>1026</v>
      </c>
      <c r="P373" s="99" t="s">
        <v>7078</v>
      </c>
      <c r="Q373" s="68" t="str">
        <f t="shared" si="11"/>
        <v>DENTRO DEL TIEMPO</v>
      </c>
      <c r="R373" s="99"/>
    </row>
    <row r="374" spans="1:18" ht="48.75" x14ac:dyDescent="0.25">
      <c r="A374" s="96">
        <v>369</v>
      </c>
      <c r="B374" s="97" t="s">
        <v>8218</v>
      </c>
      <c r="C374" s="98">
        <v>44776</v>
      </c>
      <c r="D374" s="98">
        <v>44776</v>
      </c>
      <c r="E374" s="99">
        <v>2</v>
      </c>
      <c r="F374" s="99" t="s">
        <v>22</v>
      </c>
      <c r="G374" s="97" t="s">
        <v>1072</v>
      </c>
      <c r="H374" s="97" t="s">
        <v>1023</v>
      </c>
      <c r="I374" s="97" t="s">
        <v>1072</v>
      </c>
      <c r="J374" s="100">
        <v>44776</v>
      </c>
      <c r="K374" s="100">
        <v>44776</v>
      </c>
      <c r="L374" s="101">
        <v>0</v>
      </c>
      <c r="M374" s="97" t="s">
        <v>8219</v>
      </c>
      <c r="N374" s="68" t="s">
        <v>1025</v>
      </c>
      <c r="O374" s="97" t="s">
        <v>1093</v>
      </c>
      <c r="P374" s="99" t="s">
        <v>1030</v>
      </c>
      <c r="Q374" s="68" t="s">
        <v>5840</v>
      </c>
      <c r="R374" s="99"/>
    </row>
    <row r="375" spans="1:18" ht="48.75" x14ac:dyDescent="0.25">
      <c r="A375" s="96">
        <v>370</v>
      </c>
      <c r="B375" s="97" t="s">
        <v>8220</v>
      </c>
      <c r="C375" s="98">
        <v>44777</v>
      </c>
      <c r="D375" s="98">
        <v>44778</v>
      </c>
      <c r="E375" s="99">
        <v>2</v>
      </c>
      <c r="F375" s="99" t="s">
        <v>22</v>
      </c>
      <c r="G375" s="97" t="s">
        <v>1022</v>
      </c>
      <c r="H375" s="97" t="s">
        <v>1023</v>
      </c>
      <c r="I375" s="97" t="s">
        <v>1022</v>
      </c>
      <c r="J375" s="100">
        <v>44778</v>
      </c>
      <c r="K375" s="100" t="s">
        <v>8221</v>
      </c>
      <c r="L375" s="101">
        <v>0</v>
      </c>
      <c r="M375" s="97" t="s">
        <v>8222</v>
      </c>
      <c r="N375" s="68" t="s">
        <v>1025</v>
      </c>
      <c r="O375" s="97" t="s">
        <v>1026</v>
      </c>
      <c r="P375" s="99" t="s">
        <v>1030</v>
      </c>
      <c r="Q375" s="68" t="s">
        <v>5840</v>
      </c>
      <c r="R375" s="99"/>
    </row>
    <row r="376" spans="1:18" ht="48.75" x14ac:dyDescent="0.25">
      <c r="A376" s="96">
        <v>371</v>
      </c>
      <c r="B376" s="97" t="s">
        <v>8223</v>
      </c>
      <c r="C376" s="98">
        <v>44777</v>
      </c>
      <c r="D376" s="98">
        <v>44778</v>
      </c>
      <c r="E376" s="99">
        <v>2</v>
      </c>
      <c r="F376" s="99" t="s">
        <v>22</v>
      </c>
      <c r="G376" s="97" t="s">
        <v>1022</v>
      </c>
      <c r="H376" s="97" t="s">
        <v>1023</v>
      </c>
      <c r="I376" s="97" t="s">
        <v>1022</v>
      </c>
      <c r="J376" s="100">
        <v>44778</v>
      </c>
      <c r="K376" s="100">
        <v>44778</v>
      </c>
      <c r="L376" s="101">
        <v>0</v>
      </c>
      <c r="M376" s="97" t="s">
        <v>8224</v>
      </c>
      <c r="N376" s="68" t="s">
        <v>1025</v>
      </c>
      <c r="O376" s="97" t="s">
        <v>1026</v>
      </c>
      <c r="P376" s="99" t="s">
        <v>1030</v>
      </c>
      <c r="Q376" s="68" t="s">
        <v>5840</v>
      </c>
      <c r="R376" s="99"/>
    </row>
    <row r="377" spans="1:18" ht="48.75" x14ac:dyDescent="0.25">
      <c r="A377" s="96">
        <v>372</v>
      </c>
      <c r="B377" s="97" t="s">
        <v>8225</v>
      </c>
      <c r="C377" s="98">
        <v>44782</v>
      </c>
      <c r="D377" s="98">
        <v>44782</v>
      </c>
      <c r="E377" s="99">
        <v>2</v>
      </c>
      <c r="F377" s="99" t="s">
        <v>22</v>
      </c>
      <c r="G377" s="97" t="s">
        <v>1072</v>
      </c>
      <c r="H377" s="97" t="s">
        <v>1023</v>
      </c>
      <c r="I377" s="97" t="s">
        <v>1072</v>
      </c>
      <c r="J377" s="100">
        <v>44782</v>
      </c>
      <c r="K377" s="100">
        <v>44782</v>
      </c>
      <c r="L377" s="101">
        <v>0</v>
      </c>
      <c r="M377" s="97" t="s">
        <v>8226</v>
      </c>
      <c r="N377" s="68" t="s">
        <v>1025</v>
      </c>
      <c r="O377" s="97" t="s">
        <v>1026</v>
      </c>
      <c r="P377" s="99" t="s">
        <v>1030</v>
      </c>
      <c r="Q377" s="68" t="s">
        <v>5840</v>
      </c>
      <c r="R377" s="99"/>
    </row>
    <row r="378" spans="1:18" ht="48.75" x14ac:dyDescent="0.25">
      <c r="A378" s="96">
        <v>373</v>
      </c>
      <c r="B378" s="97" t="s">
        <v>8227</v>
      </c>
      <c r="C378" s="98">
        <v>44778</v>
      </c>
      <c r="D378" s="98">
        <v>44782</v>
      </c>
      <c r="E378" s="99">
        <v>24</v>
      </c>
      <c r="F378" s="99" t="s">
        <v>22</v>
      </c>
      <c r="G378" s="97" t="s">
        <v>1022</v>
      </c>
      <c r="H378" s="97" t="s">
        <v>1023</v>
      </c>
      <c r="I378" s="97" t="s">
        <v>1072</v>
      </c>
      <c r="J378" s="100">
        <v>44782</v>
      </c>
      <c r="K378" s="100">
        <v>44782</v>
      </c>
      <c r="L378" s="101">
        <v>0</v>
      </c>
      <c r="M378" s="97" t="s">
        <v>8228</v>
      </c>
      <c r="N378" s="68" t="s">
        <v>1025</v>
      </c>
      <c r="O378" s="97" t="s">
        <v>1047</v>
      </c>
      <c r="P378" s="99" t="s">
        <v>1030</v>
      </c>
      <c r="Q378" s="68" t="s">
        <v>5840</v>
      </c>
      <c r="R378" s="99"/>
    </row>
    <row r="379" spans="1:18" ht="48.75" x14ac:dyDescent="0.25">
      <c r="A379" s="96">
        <v>374</v>
      </c>
      <c r="B379" s="97" t="s">
        <v>8229</v>
      </c>
      <c r="C379" s="98">
        <v>44781</v>
      </c>
      <c r="D379" s="98">
        <v>44782</v>
      </c>
      <c r="E379" s="99">
        <v>2</v>
      </c>
      <c r="F379" s="99" t="s">
        <v>22</v>
      </c>
      <c r="G379" s="97" t="s">
        <v>1072</v>
      </c>
      <c r="H379" s="97" t="s">
        <v>1023</v>
      </c>
      <c r="I379" s="97" t="s">
        <v>1072</v>
      </c>
      <c r="J379" s="100" t="s">
        <v>8230</v>
      </c>
      <c r="K379" s="100">
        <v>44782</v>
      </c>
      <c r="L379" s="101">
        <v>0</v>
      </c>
      <c r="M379" s="97" t="s">
        <v>8231</v>
      </c>
      <c r="N379" s="68" t="s">
        <v>1039</v>
      </c>
      <c r="O379" s="97" t="s">
        <v>1026</v>
      </c>
      <c r="P379" s="99" t="s">
        <v>1030</v>
      </c>
      <c r="Q379" s="68" t="s">
        <v>5840</v>
      </c>
      <c r="R379" s="99"/>
    </row>
    <row r="380" spans="1:18" ht="48.75" x14ac:dyDescent="0.25">
      <c r="A380" s="96">
        <v>375</v>
      </c>
      <c r="B380" s="97" t="s">
        <v>8232</v>
      </c>
      <c r="C380" s="98">
        <v>44782</v>
      </c>
      <c r="D380" s="98">
        <v>44783</v>
      </c>
      <c r="E380" s="99">
        <v>2</v>
      </c>
      <c r="F380" s="99" t="s">
        <v>22</v>
      </c>
      <c r="G380" s="97" t="s">
        <v>1072</v>
      </c>
      <c r="H380" s="97" t="s">
        <v>1023</v>
      </c>
      <c r="I380" s="97" t="s">
        <v>1072</v>
      </c>
      <c r="J380" s="100">
        <v>44783</v>
      </c>
      <c r="K380" s="100">
        <v>44783</v>
      </c>
      <c r="L380" s="101">
        <v>0</v>
      </c>
      <c r="M380" s="97" t="s">
        <v>8233</v>
      </c>
      <c r="N380" s="68" t="s">
        <v>1025</v>
      </c>
      <c r="O380" s="97" t="s">
        <v>1026</v>
      </c>
      <c r="P380" s="99" t="s">
        <v>1030</v>
      </c>
      <c r="Q380" s="68" t="s">
        <v>5840</v>
      </c>
      <c r="R380" s="99"/>
    </row>
    <row r="381" spans="1:18" ht="48.75" x14ac:dyDescent="0.25">
      <c r="A381" s="96">
        <v>376</v>
      </c>
      <c r="B381" s="97" t="s">
        <v>8234</v>
      </c>
      <c r="C381" s="98">
        <v>44783</v>
      </c>
      <c r="D381" s="98">
        <v>44783</v>
      </c>
      <c r="E381" s="99">
        <v>2</v>
      </c>
      <c r="F381" s="99" t="s">
        <v>22</v>
      </c>
      <c r="G381" s="97" t="s">
        <v>1072</v>
      </c>
      <c r="H381" s="97" t="s">
        <v>1023</v>
      </c>
      <c r="I381" s="97" t="s">
        <v>1072</v>
      </c>
      <c r="J381" s="100">
        <v>44784</v>
      </c>
      <c r="K381" s="100" t="s">
        <v>8235</v>
      </c>
      <c r="L381" s="101">
        <v>0</v>
      </c>
      <c r="M381" s="97" t="s">
        <v>8236</v>
      </c>
      <c r="N381" s="68" t="s">
        <v>1025</v>
      </c>
      <c r="O381" s="97" t="s">
        <v>1093</v>
      </c>
      <c r="P381" s="99" t="s">
        <v>1030</v>
      </c>
      <c r="Q381" s="68" t="s">
        <v>5840</v>
      </c>
      <c r="R381" s="99"/>
    </row>
    <row r="382" spans="1:18" ht="48.75" x14ac:dyDescent="0.25">
      <c r="A382" s="96">
        <v>377</v>
      </c>
      <c r="B382" s="97" t="s">
        <v>8237</v>
      </c>
      <c r="C382" s="98">
        <v>44784</v>
      </c>
      <c r="D382" s="98">
        <v>44784</v>
      </c>
      <c r="E382" s="99">
        <v>2</v>
      </c>
      <c r="F382" s="99" t="s">
        <v>22</v>
      </c>
      <c r="G382" s="97" t="s">
        <v>1072</v>
      </c>
      <c r="H382" s="97" t="s">
        <v>1023</v>
      </c>
      <c r="I382" s="97" t="s">
        <v>1072</v>
      </c>
      <c r="J382" s="100">
        <v>44784</v>
      </c>
      <c r="K382" s="100" t="s">
        <v>8238</v>
      </c>
      <c r="L382" s="101">
        <v>0</v>
      </c>
      <c r="M382" s="97" t="s">
        <v>8239</v>
      </c>
      <c r="N382" s="68" t="s">
        <v>1025</v>
      </c>
      <c r="O382" s="97" t="s">
        <v>1093</v>
      </c>
      <c r="P382" s="99" t="s">
        <v>1030</v>
      </c>
      <c r="Q382" s="68" t="s">
        <v>5840</v>
      </c>
      <c r="R382" s="99"/>
    </row>
    <row r="383" spans="1:18" ht="48.75" x14ac:dyDescent="0.25">
      <c r="A383" s="96">
        <v>378</v>
      </c>
      <c r="B383" s="97" t="s">
        <v>8240</v>
      </c>
      <c r="C383" s="98">
        <v>44788</v>
      </c>
      <c r="D383" s="98">
        <v>44788</v>
      </c>
      <c r="E383" s="99">
        <v>2</v>
      </c>
      <c r="F383" s="99" t="s">
        <v>22</v>
      </c>
      <c r="G383" s="97" t="s">
        <v>1072</v>
      </c>
      <c r="H383" s="97" t="s">
        <v>1023</v>
      </c>
      <c r="I383" s="97" t="s">
        <v>1072</v>
      </c>
      <c r="J383" s="100">
        <v>44788</v>
      </c>
      <c r="K383" s="100">
        <v>44788</v>
      </c>
      <c r="L383" s="101">
        <v>0</v>
      </c>
      <c r="M383" s="97" t="s">
        <v>8241</v>
      </c>
      <c r="N383" s="68" t="s">
        <v>1025</v>
      </c>
      <c r="O383" s="97" t="s">
        <v>1026</v>
      </c>
      <c r="P383" s="99" t="s">
        <v>1030</v>
      </c>
      <c r="Q383" s="68" t="s">
        <v>5840</v>
      </c>
      <c r="R383" s="99"/>
    </row>
    <row r="384" spans="1:18" ht="48.75" x14ac:dyDescent="0.25">
      <c r="A384" s="96">
        <v>379</v>
      </c>
      <c r="B384" s="97" t="s">
        <v>8242</v>
      </c>
      <c r="C384" s="98">
        <v>44790</v>
      </c>
      <c r="D384" s="98">
        <v>44790</v>
      </c>
      <c r="E384" s="99">
        <v>2</v>
      </c>
      <c r="F384" s="99" t="s">
        <v>22</v>
      </c>
      <c r="G384" s="97" t="s">
        <v>1072</v>
      </c>
      <c r="H384" s="97" t="s">
        <v>1023</v>
      </c>
      <c r="I384" s="97" t="s">
        <v>1072</v>
      </c>
      <c r="J384" s="100">
        <v>44790</v>
      </c>
      <c r="K384" s="100">
        <v>44790</v>
      </c>
      <c r="L384" s="101">
        <v>0</v>
      </c>
      <c r="M384" s="97" t="s">
        <v>4870</v>
      </c>
      <c r="N384" s="68" t="s">
        <v>1025</v>
      </c>
      <c r="O384" s="97" t="s">
        <v>1026</v>
      </c>
      <c r="P384" s="99" t="s">
        <v>1030</v>
      </c>
      <c r="Q384" s="68" t="s">
        <v>5840</v>
      </c>
      <c r="R384" s="99"/>
    </row>
    <row r="385" spans="1:18" ht="48.75" x14ac:dyDescent="0.25">
      <c r="A385" s="96">
        <v>380</v>
      </c>
      <c r="B385" s="97" t="s">
        <v>8243</v>
      </c>
      <c r="C385" s="98">
        <v>44790</v>
      </c>
      <c r="D385" s="98">
        <v>44790</v>
      </c>
      <c r="E385" s="99">
        <v>2</v>
      </c>
      <c r="F385" s="99" t="s">
        <v>22</v>
      </c>
      <c r="G385" s="97" t="s">
        <v>1072</v>
      </c>
      <c r="H385" s="97" t="s">
        <v>1023</v>
      </c>
      <c r="I385" s="97" t="s">
        <v>1072</v>
      </c>
      <c r="J385" s="100">
        <v>44790</v>
      </c>
      <c r="K385" s="100">
        <v>44790</v>
      </c>
      <c r="L385" s="101">
        <v>0</v>
      </c>
      <c r="M385" s="97" t="s">
        <v>8244</v>
      </c>
      <c r="N385" s="68" t="s">
        <v>1025</v>
      </c>
      <c r="O385" s="97" t="s">
        <v>1026</v>
      </c>
      <c r="P385" s="99" t="s">
        <v>1030</v>
      </c>
      <c r="Q385" s="68" t="s">
        <v>5840</v>
      </c>
      <c r="R385" s="99"/>
    </row>
    <row r="386" spans="1:18" ht="48.75" x14ac:dyDescent="0.25">
      <c r="A386" s="96">
        <v>381</v>
      </c>
      <c r="B386" s="97" t="s">
        <v>8245</v>
      </c>
      <c r="C386" s="98">
        <v>44790</v>
      </c>
      <c r="D386" s="98">
        <v>44790</v>
      </c>
      <c r="E386" s="99">
        <v>2</v>
      </c>
      <c r="F386" s="99" t="s">
        <v>22</v>
      </c>
      <c r="G386" s="97" t="s">
        <v>1072</v>
      </c>
      <c r="H386" s="97" t="s">
        <v>1023</v>
      </c>
      <c r="I386" s="97" t="s">
        <v>1072</v>
      </c>
      <c r="J386" s="100">
        <v>44790</v>
      </c>
      <c r="K386" s="100">
        <v>44790</v>
      </c>
      <c r="L386" s="101">
        <v>0</v>
      </c>
      <c r="M386" s="97" t="s">
        <v>8246</v>
      </c>
      <c r="N386" s="68" t="s">
        <v>1025</v>
      </c>
      <c r="O386" s="97" t="s">
        <v>1026</v>
      </c>
      <c r="P386" s="99" t="s">
        <v>1030</v>
      </c>
      <c r="Q386" s="68" t="s">
        <v>5840</v>
      </c>
      <c r="R386" s="99"/>
    </row>
    <row r="387" spans="1:18" ht="48.75" x14ac:dyDescent="0.25">
      <c r="A387" s="96">
        <v>382</v>
      </c>
      <c r="B387" s="97" t="s">
        <v>8247</v>
      </c>
      <c r="C387" s="98">
        <v>44792</v>
      </c>
      <c r="D387" s="98">
        <v>44792</v>
      </c>
      <c r="E387" s="99">
        <v>2</v>
      </c>
      <c r="F387" s="99" t="s">
        <v>22</v>
      </c>
      <c r="G387" s="97" t="s">
        <v>1072</v>
      </c>
      <c r="H387" s="97" t="s">
        <v>1023</v>
      </c>
      <c r="I387" s="97" t="s">
        <v>1072</v>
      </c>
      <c r="J387" s="100">
        <v>44792</v>
      </c>
      <c r="K387" s="100">
        <v>44792</v>
      </c>
      <c r="L387" s="101">
        <v>0</v>
      </c>
      <c r="M387" s="97" t="s">
        <v>8248</v>
      </c>
      <c r="N387" s="68" t="s">
        <v>1025</v>
      </c>
      <c r="O387" s="97" t="s">
        <v>1026</v>
      </c>
      <c r="P387" s="99" t="s">
        <v>1030</v>
      </c>
      <c r="Q387" s="68" t="s">
        <v>5840</v>
      </c>
      <c r="R387" s="99"/>
    </row>
    <row r="388" spans="1:18" ht="48.75" x14ac:dyDescent="0.25">
      <c r="A388" s="96">
        <v>383</v>
      </c>
      <c r="B388" s="97" t="s">
        <v>8249</v>
      </c>
      <c r="C388" s="98">
        <v>44796</v>
      </c>
      <c r="D388" s="98">
        <v>44796</v>
      </c>
      <c r="E388" s="99">
        <v>2</v>
      </c>
      <c r="F388" s="99" t="s">
        <v>22</v>
      </c>
      <c r="G388" s="97" t="s">
        <v>1022</v>
      </c>
      <c r="H388" s="97" t="s">
        <v>1023</v>
      </c>
      <c r="I388" s="97" t="s">
        <v>1022</v>
      </c>
      <c r="J388" s="100">
        <v>44796</v>
      </c>
      <c r="K388" s="100">
        <v>44796</v>
      </c>
      <c r="L388" s="101">
        <v>0</v>
      </c>
      <c r="M388" s="97" t="s">
        <v>8250</v>
      </c>
      <c r="N388" s="68" t="s">
        <v>1025</v>
      </c>
      <c r="O388" s="97" t="s">
        <v>1026</v>
      </c>
      <c r="P388" s="99" t="s">
        <v>1030</v>
      </c>
      <c r="Q388" s="68" t="s">
        <v>5840</v>
      </c>
      <c r="R388" s="99"/>
    </row>
    <row r="389" spans="1:18" ht="48.75" x14ac:dyDescent="0.25">
      <c r="A389" s="96">
        <v>384</v>
      </c>
      <c r="B389" s="97" t="s">
        <v>8251</v>
      </c>
      <c r="C389" s="98">
        <v>44797</v>
      </c>
      <c r="D389" s="98">
        <v>44797</v>
      </c>
      <c r="E389" s="99">
        <v>2</v>
      </c>
      <c r="F389" s="99" t="s">
        <v>22</v>
      </c>
      <c r="G389" s="97" t="s">
        <v>1022</v>
      </c>
      <c r="H389" s="97" t="s">
        <v>1023</v>
      </c>
      <c r="I389" s="97" t="s">
        <v>1022</v>
      </c>
      <c r="J389" s="100">
        <v>44798</v>
      </c>
      <c r="K389" s="100">
        <v>44798</v>
      </c>
      <c r="L389" s="101">
        <v>0</v>
      </c>
      <c r="M389" s="97" t="s">
        <v>8252</v>
      </c>
      <c r="N389" s="68" t="s">
        <v>1025</v>
      </c>
      <c r="O389" s="97" t="s">
        <v>1026</v>
      </c>
      <c r="P389" s="99" t="s">
        <v>1030</v>
      </c>
      <c r="Q389" s="68" t="s">
        <v>5840</v>
      </c>
      <c r="R389" s="99"/>
    </row>
    <row r="390" spans="1:18" ht="48.75" x14ac:dyDescent="0.25">
      <c r="A390" s="96">
        <v>385</v>
      </c>
      <c r="B390" s="97" t="s">
        <v>8253</v>
      </c>
      <c r="C390" s="98">
        <v>44798</v>
      </c>
      <c r="D390" s="98">
        <v>44798</v>
      </c>
      <c r="E390" s="99">
        <v>2</v>
      </c>
      <c r="F390" s="99" t="s">
        <v>22</v>
      </c>
      <c r="G390" s="97" t="s">
        <v>1022</v>
      </c>
      <c r="H390" s="97" t="s">
        <v>1023</v>
      </c>
      <c r="I390" s="97" t="s">
        <v>1022</v>
      </c>
      <c r="J390" s="100">
        <v>44799</v>
      </c>
      <c r="K390" s="100">
        <v>44802</v>
      </c>
      <c r="L390" s="101">
        <v>0</v>
      </c>
      <c r="M390" s="97" t="s">
        <v>8254</v>
      </c>
      <c r="N390" s="68" t="s">
        <v>1025</v>
      </c>
      <c r="O390" s="97" t="s">
        <v>1026</v>
      </c>
      <c r="P390" s="99" t="s">
        <v>1030</v>
      </c>
      <c r="Q390" s="68" t="s">
        <v>5840</v>
      </c>
      <c r="R390" s="99"/>
    </row>
    <row r="391" spans="1:18" ht="48.75" x14ac:dyDescent="0.25">
      <c r="A391" s="96">
        <v>386</v>
      </c>
      <c r="B391" s="97" t="s">
        <v>8255</v>
      </c>
      <c r="C391" s="98">
        <v>44802</v>
      </c>
      <c r="D391" s="98">
        <v>44802</v>
      </c>
      <c r="E391" s="99">
        <v>2</v>
      </c>
      <c r="F391" s="99" t="s">
        <v>22</v>
      </c>
      <c r="G391" s="97" t="s">
        <v>1022</v>
      </c>
      <c r="H391" s="97" t="s">
        <v>1023</v>
      </c>
      <c r="I391" s="97" t="s">
        <v>1022</v>
      </c>
      <c r="J391" s="100">
        <v>44802</v>
      </c>
      <c r="K391" s="100">
        <v>44802</v>
      </c>
      <c r="L391" s="101">
        <v>0</v>
      </c>
      <c r="M391" s="97" t="s">
        <v>8256</v>
      </c>
      <c r="N391" s="68" t="s">
        <v>1025</v>
      </c>
      <c r="O391" s="97" t="s">
        <v>1026</v>
      </c>
      <c r="P391" s="99" t="s">
        <v>1030</v>
      </c>
      <c r="Q391" s="68" t="s">
        <v>5840</v>
      </c>
      <c r="R391" s="99"/>
    </row>
    <row r="392" spans="1:18" ht="48.75" x14ac:dyDescent="0.25">
      <c r="A392" s="96">
        <v>387</v>
      </c>
      <c r="B392" s="97" t="s">
        <v>8257</v>
      </c>
      <c r="C392" s="98">
        <v>44802</v>
      </c>
      <c r="D392" s="98">
        <v>44802</v>
      </c>
      <c r="E392" s="99">
        <v>2</v>
      </c>
      <c r="F392" s="99" t="s">
        <v>22</v>
      </c>
      <c r="G392" s="97" t="s">
        <v>1022</v>
      </c>
      <c r="H392" s="97" t="s">
        <v>1023</v>
      </c>
      <c r="I392" s="97" t="s">
        <v>1022</v>
      </c>
      <c r="J392" s="100">
        <v>44803</v>
      </c>
      <c r="K392" s="100">
        <v>44804</v>
      </c>
      <c r="L392" s="101">
        <v>0</v>
      </c>
      <c r="M392" s="97" t="s">
        <v>8258</v>
      </c>
      <c r="N392" s="68" t="s">
        <v>1025</v>
      </c>
      <c r="O392" s="97" t="s">
        <v>1026</v>
      </c>
      <c r="P392" s="99" t="s">
        <v>1030</v>
      </c>
      <c r="Q392" s="68" t="s">
        <v>5840</v>
      </c>
      <c r="R392" s="99"/>
    </row>
    <row r="393" spans="1:18" ht="48.75" x14ac:dyDescent="0.25">
      <c r="A393" s="96">
        <v>388</v>
      </c>
      <c r="B393" s="97" t="s">
        <v>8259</v>
      </c>
      <c r="C393" s="98">
        <v>44803</v>
      </c>
      <c r="D393" s="98">
        <v>44803</v>
      </c>
      <c r="E393" s="99">
        <v>2</v>
      </c>
      <c r="F393" s="99" t="s">
        <v>22</v>
      </c>
      <c r="G393" s="97" t="s">
        <v>1022</v>
      </c>
      <c r="H393" s="97" t="s">
        <v>1023</v>
      </c>
      <c r="I393" s="97" t="s">
        <v>1022</v>
      </c>
      <c r="J393" s="100">
        <v>44803</v>
      </c>
      <c r="K393" s="100">
        <v>44804</v>
      </c>
      <c r="L393" s="101">
        <v>0</v>
      </c>
      <c r="M393" s="97" t="s">
        <v>8260</v>
      </c>
      <c r="N393" s="68" t="s">
        <v>1025</v>
      </c>
      <c r="O393" s="97" t="s">
        <v>1026</v>
      </c>
      <c r="P393" s="99" t="s">
        <v>1030</v>
      </c>
      <c r="Q393" s="68" t="s">
        <v>5840</v>
      </c>
      <c r="R393" s="99"/>
    </row>
    <row r="394" spans="1:18" ht="48.75" x14ac:dyDescent="0.25">
      <c r="A394" s="96">
        <v>389</v>
      </c>
      <c r="B394" s="97" t="s">
        <v>8261</v>
      </c>
      <c r="C394" s="98">
        <v>44803</v>
      </c>
      <c r="D394" s="98">
        <v>44803</v>
      </c>
      <c r="E394" s="99">
        <v>2</v>
      </c>
      <c r="F394" s="99" t="s">
        <v>22</v>
      </c>
      <c r="G394" s="97" t="s">
        <v>1022</v>
      </c>
      <c r="H394" s="97" t="s">
        <v>1023</v>
      </c>
      <c r="I394" s="97" t="s">
        <v>1022</v>
      </c>
      <c r="J394" s="100">
        <v>44803</v>
      </c>
      <c r="K394" s="100">
        <v>44803</v>
      </c>
      <c r="L394" s="101">
        <v>0</v>
      </c>
      <c r="M394" s="97" t="s">
        <v>8262</v>
      </c>
      <c r="N394" s="68" t="s">
        <v>1025</v>
      </c>
      <c r="O394" s="97" t="s">
        <v>1026</v>
      </c>
      <c r="P394" s="99" t="s">
        <v>1030</v>
      </c>
      <c r="Q394" s="68" t="s">
        <v>5840</v>
      </c>
      <c r="R394" s="99"/>
    </row>
    <row r="395" spans="1:18" ht="48.75" x14ac:dyDescent="0.25">
      <c r="A395" s="96">
        <v>390</v>
      </c>
      <c r="B395" s="97" t="s">
        <v>8263</v>
      </c>
      <c r="C395" s="98">
        <v>44803</v>
      </c>
      <c r="D395" s="98">
        <v>44803</v>
      </c>
      <c r="E395" s="99">
        <v>2</v>
      </c>
      <c r="F395" s="99" t="s">
        <v>22</v>
      </c>
      <c r="G395" s="97" t="s">
        <v>1022</v>
      </c>
      <c r="H395" s="97" t="s">
        <v>1023</v>
      </c>
      <c r="I395" s="97" t="s">
        <v>1022</v>
      </c>
      <c r="J395" s="100">
        <v>44803</v>
      </c>
      <c r="K395" s="100">
        <v>44803</v>
      </c>
      <c r="L395" s="101">
        <v>0</v>
      </c>
      <c r="M395" s="97" t="s">
        <v>8264</v>
      </c>
      <c r="N395" s="68" t="s">
        <v>1025</v>
      </c>
      <c r="O395" s="97" t="s">
        <v>1026</v>
      </c>
      <c r="P395" s="99" t="s">
        <v>1030</v>
      </c>
      <c r="Q395" s="68" t="s">
        <v>5840</v>
      </c>
      <c r="R395" s="99"/>
    </row>
  </sheetData>
  <autoFilter ref="A5:R395">
    <filterColumn colId="5">
      <filters>
        <filter val="ATENDIDO"/>
      </filters>
    </filterColumn>
  </autoFilter>
  <mergeCells count="3">
    <mergeCell ref="A1:R1"/>
    <mergeCell ref="A2:R2"/>
    <mergeCell ref="A3:R3"/>
  </mergeCells>
  <pageMargins left="0.7" right="0.7" top="0.75" bottom="0.75" header="0.3" footer="0.3"/>
  <pageSetup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ENE-2022</vt:lpstr>
      <vt:lpstr>FEB-2022</vt:lpstr>
      <vt:lpstr>MAR-2022</vt:lpstr>
      <vt:lpstr>ABR-2022</vt:lpstr>
      <vt:lpstr>MAY-2022</vt:lpstr>
      <vt:lpstr>JUN-2022</vt:lpstr>
      <vt:lpstr>JUL-2022</vt:lpstr>
      <vt:lpstr>AGO-2022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Mayte_Elizalde</dc:creator>
  <cp:lastModifiedBy>Mayte_Elizalde</cp:lastModifiedBy>
  <dcterms:created xsi:type="dcterms:W3CDTF">2022-10-14T20:37:06Z</dcterms:created>
  <dcterms:modified xsi:type="dcterms:W3CDTF">2022-10-14T21:02:12Z</dcterms:modified>
</cp:coreProperties>
</file>